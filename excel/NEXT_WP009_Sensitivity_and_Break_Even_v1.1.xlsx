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drawings/charts/chart2.xml" ContentType="application/vnd.openxmlformats-officedocument.drawingml.char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b8ae477311a4115" /></Relationships>
</file>

<file path=xl/workbook.xml><?xml version="1.0" encoding="utf-8"?>
<x:workbook xmlns:x="http://schemas.openxmlformats.org/spreadsheetml/2006/main">
  <x:sheets>
    <x:sheet xmlns:r="http://schemas.openxmlformats.org/officeDocument/2006/relationships" name="Summary" sheetId="1" r:id="R5eb8e8b33e7b4d2a"/>
    <x:sheet xmlns:r="http://schemas.openxmlformats.org/officeDocument/2006/relationships" name="Assumptions" sheetId="2" r:id="R229c5250e3874758"/>
    <x:sheet xmlns:r="http://schemas.openxmlformats.org/officeDocument/2006/relationships" name="Model" sheetId="3" r:id="Ra25d925d04ab49a5"/>
    <x:sheet xmlns:r="http://schemas.openxmlformats.org/officeDocument/2006/relationships" name="Break_Even" sheetId="4" r:id="R8626e0215b214a86"/>
    <x:sheet xmlns:r="http://schemas.openxmlformats.org/officeDocument/2006/relationships" name="Sensitivity" sheetId="5" r:id="Rb5144126a82f42ce"/>
    <x:sheet xmlns:r="http://schemas.openxmlformats.org/officeDocument/2006/relationships" name="Source_Data" sheetId="6" r:id="R368e742bbc934e88"/>
    <x:sheet xmlns:r="http://schemas.openxmlformats.org/officeDocument/2006/relationships" name="Monthly_Data" sheetId="7" r:id="Rfa0bed9f47604d04"/>
    <x:sheet xmlns:r="http://schemas.openxmlformats.org/officeDocument/2006/relationships" name="QC_Checks" sheetId="8" r:id="R9b1021b215b74a2b"/>
    <x:sheet xmlns:r="http://schemas.openxmlformats.org/officeDocument/2006/relationships" name="ReadMe" sheetId="9" r:id="R8c87fa42390e4bc7"/>
  </x:sheets>
</x:workbook>
</file>

<file path=xl/sharedStrings.xml><?xml version="1.0" encoding="utf-8"?>
<x:sst xmlns:x="http://schemas.openxmlformats.org/spreadsheetml/2006/main"/>
</file>

<file path=xl/styles.xml><?xml version="1.0" encoding="utf-8"?>
<x:styleSheet xmlns:x="http://schemas.openxmlformats.org/spreadsheetml/2006/main">
  <x:numFmts count="10">
    <x:numFmt numFmtId="200" formatCode="0.00%;[Red](0.00%);0.00%"/>
    <x:numFmt numFmtId="201" formatCode="0.00;[Red](0.00);0.00"/>
    <x:numFmt numFmtId="202" formatCode="#,##0"/>
    <x:numFmt numFmtId="203" formatCode="0.00&quot;x&quot;"/>
    <x:numFmt numFmtId="204" formatCode="0.0"/>
    <x:numFmt numFmtId="205" formatCode="0.000000"/>
    <x:numFmt numFmtId="206" formatCode="0.00"/>
    <x:numFmt numFmtId="207" formatCode="0.00%"/>
    <x:numFmt numFmtId="208" formatCode="0"/>
    <x:numFmt numFmtId="209" formatCode="0.000000000"/>
  </x:numFmts>
  <x:fonts count="6">
    <x:font>
      <x:sz val="11"/>
      <x:name val="Carlito"/>
    </x:font>
    <x:font>
      <x:sz val="10"/>
      <x:color rgb="FF203040"/>
      <x:name val="Arial"/>
    </x:font>
    <x:font>
      <x:b/>
      <x:sz val="16"/>
      <x:color rgb="FF24384D"/>
      <x:name val="Arial"/>
    </x:font>
    <x:font>
      <x:sz val="10"/>
      <x:color rgb="FF1453A3"/>
      <x:name val="Arial"/>
    </x:font>
    <x:font>
      <x:b/>
      <x:sz val="10"/>
      <x:color rgb="FFFFFFFF"/>
      <x:name val="Arial"/>
    </x:font>
    <x:font>
      <x:b/>
      <x:sz val="10"/>
      <x:color rgb="FF203040"/>
      <x:name val="Arial"/>
    </x:font>
  </x:fonts>
  <x:fills count="5">
    <x:fill>
      <x:patternFill patternType="none"/>
    </x:fill>
    <x:fill>
      <x:patternFill patternType="gray125"/>
    </x:fill>
    <x:fill>
      <x:patternFill patternType="solid">
        <x:fgColor rgb="FFFFF2CC"/>
      </x:patternFill>
    </x:fill>
    <x:fill>
      <x:patternFill patternType="solid">
        <x:fgColor rgb="FF24384D"/>
      </x:patternFill>
    </x:fill>
    <x:fill>
      <x:patternFill patternType="solid">
        <x:fgColor rgb="FF24384D"/>
      </x:patternFill>
    </x:fill>
  </x:fills>
  <x:borders count="4">
    <x:border/>
    <x:border>
      <x:left style="dashed">
        <x:color rgb="FFA5B2C0"/>
      </x:left>
      <x:top style="dashed">
        <x:color rgb="FFA5B2C0"/>
      </x:top>
      <x:bottom style="dashed">
        <x:color rgb="FFA5B2C0"/>
      </x:bottom>
    </x:border>
    <x:border>
      <x:top style="dashed">
        <x:color rgb="FFA5B2C0"/>
      </x:top>
      <x:bottom style="dashed">
        <x:color rgb="FFA5B2C0"/>
      </x:bottom>
    </x:border>
    <x:border>
      <x:right style="dashed">
        <x:color rgb="FFA5B2C0"/>
      </x:right>
      <x:top style="dashed">
        <x:color rgb="FFA5B2C0"/>
      </x:top>
      <x:bottom style="dashed">
        <x:color rgb="FFA5B2C0"/>
      </x:bottom>
    </x:border>
  </x:borders>
  <x:cellStyleXfs count="1">
    <x:xf numFmtId="0" fontId="0" fillId="0" borderId="0"/>
  </x:cellStyleXfs>
  <x:cellXfs count="47">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3" fillId="2" borderId="0" xfId="0" applyNumberFormat="1" applyFont="1" applyFill="1" applyBorder="1" applyAlignment="1">
      <x:alignment vertical="center"/>
    </x:xf>
    <x:xf numFmtId="200" fontId="3" fillId="2" borderId="0" xfId="0" applyNumberFormat="1" applyFont="1" applyFill="1" applyBorder="1" applyAlignment="1">
      <x:alignment vertical="center"/>
    </x:xf>
    <x:xf numFmtId="200" fontId="1" fillId="0" borderId="0" xfId="0" applyNumberFormat="1" applyFont="1" applyFill="1" applyBorder="1" applyAlignment="1">
      <x:alignment vertical="center"/>
    </x:xf>
    <x:xf numFmtId="0" fontId="1" fillId="3" borderId="0" xfId="0" applyNumberFormat="1" applyFont="1" applyFill="1" applyBorder="1" applyAlignment="1">
      <x:alignment vertical="center"/>
    </x:xf>
    <x:xf numFmtId="0" fontId="4" fillId="3" borderId="0" xfId="0" applyNumberFormat="1" applyFont="1" applyFill="1" applyBorder="1" applyAlignment="1">
      <x:alignment vertical="center"/>
    </x:xf>
    <x:xf numFmtId="0" fontId="4" fillId="3" borderId="0" xfId="0" applyNumberFormat="1" applyFont="1" applyFill="1" applyBorder="1" applyAlignment="1">
      <x:alignment vertical="center" wrapText="1"/>
    </x:xf>
    <x:xf numFmtId="0" fontId="4" fillId="3" borderId="0" xfId="0" applyNumberFormat="1" applyFont="1" applyFill="1" applyBorder="1" applyAlignment="1">
      <x:alignment horizontal="center" vertical="center" wrapText="1"/>
    </x:xf>
    <x:xf numFmtId="0" fontId="1" fillId="0" borderId="0" xfId="0" applyNumberFormat="1" applyFont="1" applyFill="1" applyBorder="1" applyAlignment="1">
      <x:alignment vertical="center" wrapText="1"/>
    </x:xf>
    <x:xf numFmtId="200" fontId="4" fillId="3" borderId="0" xfId="0" applyNumberFormat="1" applyFont="1" applyFill="1" applyBorder="1" applyAlignment="1">
      <x:alignment horizontal="center" vertical="center" wrapText="1"/>
    </x:xf>
    <x:xf numFmtId="200" fontId="1" fillId="0" borderId="0" xfId="0" applyNumberFormat="1" applyFont="1" applyFill="1" applyBorder="1" applyAlignment="1">
      <x:alignment vertical="center" wrapText="1"/>
    </x:xf>
    <x:xf numFmtId="201" fontId="3" fillId="2" borderId="0" xfId="0" applyNumberFormat="1" applyFont="1" applyFill="1" applyBorder="1" applyAlignment="1">
      <x:alignment vertical="center"/>
    </x:xf>
    <x:xf numFmtId="202" fontId="1" fillId="0" borderId="0" xfId="0" applyNumberFormat="1" applyFont="1" applyFill="1" applyBorder="1" applyAlignment="1">
      <x:alignment vertical="center"/>
    </x:xf>
    <x:xf numFmtId="201" fontId="1" fillId="0" borderId="0" xfId="0" applyNumberFormat="1" applyFont="1" applyFill="1" applyBorder="1" applyAlignment="1">
      <x:alignment vertical="center"/>
    </x:xf>
    <x:xf numFmtId="0" fontId="1" fillId="0" borderId="1" xfId="0" applyNumberFormat="1" applyFont="1" applyFill="1" applyBorder="1" applyAlignment="1">
      <x:alignment vertical="center"/>
    </x:xf>
    <x:xf numFmtId="0" fontId="1" fillId="0" borderId="2" xfId="0" applyNumberFormat="1" applyFont="1" applyFill="1" applyBorder="1" applyAlignment="1">
      <x:alignment vertical="center"/>
    </x:xf>
    <x:xf numFmtId="0" fontId="1" fillId="0" borderId="3" xfId="0" applyNumberFormat="1" applyFont="1" applyFill="1" applyBorder="1" applyAlignment="1">
      <x:alignment vertical="center"/>
    </x:xf>
    <x:xf numFmtId="0" fontId="1" fillId="0" borderId="1" xfId="0" applyNumberFormat="1" applyFont="1" applyFill="1" applyBorder="1" applyAlignment="1">
      <x:alignment horizontal="center" vertical="center"/>
    </x:xf>
    <x:xf numFmtId="0" fontId="1" fillId="0" borderId="2" xfId="0" applyNumberFormat="1" applyFont="1" applyFill="1" applyBorder="1" applyAlignment="1">
      <x:alignment horizontal="center" vertical="center"/>
    </x:xf>
    <x:xf numFmtId="0" fontId="1" fillId="0" borderId="3" xfId="0" applyNumberFormat="1" applyFont="1" applyFill="1" applyBorder="1" applyAlignment="1">
      <x:alignment horizontal="center" vertical="center"/>
    </x:xf>
    <x:xf numFmtId="203" fontId="1" fillId="0" borderId="0" xfId="0" applyNumberFormat="1" applyFont="1" applyFill="1" applyBorder="1" applyAlignment="1">
      <x:alignment vertical="center"/>
    </x:xf>
    <x:xf numFmtId="0" fontId="5" fillId="0" borderId="0" xfId="0" applyNumberFormat="1" applyFont="1" applyFill="1" applyBorder="1" applyAlignment="1">
      <x:alignment vertical="center"/>
    </x:xf>
    <x:xf numFmtId="200" fontId="5" fillId="0" borderId="0" xfId="0" applyNumberFormat="1" applyFont="1" applyFill="1" applyBorder="1" applyAlignment="1">
      <x:alignment vertical="center"/>
    </x:xf>
    <x:xf numFmtId="204" fontId="1" fillId="0" borderId="0" xfId="0" applyNumberFormat="1" applyFont="1" applyFill="1" applyBorder="1" applyAlignment="1">
      <x:alignment vertical="center"/>
    </x:xf>
    <x:xf numFmtId="205" fontId="1" fillId="0" borderId="0" xfId="0" applyNumberFormat="1" applyFont="1" applyFill="1" applyBorder="1" applyAlignment="1">
      <x:alignment vertical="center"/>
    </x:xf>
    <x:xf numFmtId="0" fontId="1" fillId="0" borderId="0" xfId="0" applyNumberFormat="1" applyFont="1" applyFill="1" applyBorder="1" applyAlignment="1">
      <x:alignment horizontal="center" vertical="center"/>
    </x:xf>
    <x:xf numFmtId="206" fontId="1" fillId="0" borderId="0" xfId="0" applyNumberFormat="1" applyFont="1" applyFill="1" applyBorder="1" applyAlignment="1">
      <x:alignment vertical="center"/>
    </x:xf>
    <x:xf numFmtId="201" fontId="1" fillId="0" borderId="0" xfId="0" applyNumberFormat="1" applyFont="1" applyFill="1" applyBorder="1" applyAlignment="1">
      <x:alignment horizontal="right" vertical="center"/>
    </x:xf>
    <x:xf numFmtId="207" fontId="1" fillId="0" borderId="0" xfId="0" applyNumberFormat="1" applyFont="1" applyFill="1" applyBorder="1" applyAlignment="1">
      <x:alignment vertical="center"/>
    </x:xf>
    <x:xf numFmtId="208" fontId="1" fillId="0" borderId="0" xfId="0" applyNumberFormat="1" applyFont="1" applyFill="1" applyBorder="1" applyAlignment="1">
      <x:alignment vertical="center"/>
    </x:xf>
    <x:xf numFmtId="0" fontId="4" fillId="4" borderId="0" xfId="0" applyNumberFormat="1" applyFont="1" applyFill="1" applyBorder="1" applyAlignment="1">
      <x:alignment horizontal="center" vertical="center" wrapText="1"/>
    </x:xf>
    <x:xf numFmtId="0" fontId="1" fillId="4" borderId="0" xfId="0" applyNumberFormat="1" applyFont="1" applyFill="1" applyBorder="1" applyAlignment="1">
      <x:alignment vertical="center"/>
    </x:xf>
    <x:xf numFmtId="0" fontId="4" fillId="4" borderId="0" xfId="0" applyNumberFormat="1" applyFont="1" applyFill="1" applyBorder="1" applyAlignment="1">
      <x:alignment vertical="center"/>
    </x:xf>
    <x:xf numFmtId="0" fontId="4" fillId="4" borderId="0" xfId="0" applyNumberFormat="1" applyFont="1" applyFill="1" applyBorder="1" applyAlignment="1">
      <x:alignment vertical="center" wrapText="1"/>
    </x:xf>
    <x:xf numFmtId="0" fontId="1" fillId="0" borderId="0" xfId="0" applyNumberFormat="1" applyFont="1" applyFill="1" applyBorder="1" applyAlignment="1">
      <x:alignment horizontal="center" vertical="center" wrapText="1"/>
    </x:xf>
    <x:xf numFmtId="0" fontId="1"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wrapText="1"/>
    </x:xf>
    <x:xf numFmtId="0" fontId="4" fillId="4" borderId="0" xfId="0" applyNumberFormat="1" applyFont="1" applyFill="1" applyBorder="1" applyAlignment="1">
      <x:alignment horizontal="center" wrapText="1"/>
    </x:xf>
    <x:xf numFmtId="205" fontId="1" fillId="0" borderId="0" xfId="0" applyNumberFormat="1" applyFont="1" applyFill="1" applyBorder="1" applyAlignment="1">
      <x:alignment vertical="center" wrapText="1"/>
    </x:xf>
    <x:xf numFmtId="209" fontId="1" fillId="0" borderId="0" xfId="0" applyNumberFormat="1" applyFont="1" applyFill="1" applyBorder="1" applyAlignment="1">
      <x:alignment vertical="center" wrapText="1"/>
    </x:xf>
    <x:xf numFmtId="201" fontId="1" fillId="0" borderId="0" xfId="0" applyNumberFormat="1" applyFont="1" applyFill="1" applyBorder="1" applyAlignment="1">
      <x:alignment horizontal="right" vertical="center" wrapText="1"/>
    </x:xf>
    <x:xf numFmtId="201" fontId="1" fillId="0" borderId="0" xfId="0" applyNumberFormat="1" applyFont="1" applyFill="1" applyBorder="1" applyAlignment="1">
      <x:alignment vertical="center" wrapText="1"/>
    </x:xf>
  </x:cellXfs>
  <x:cellStyles count="1">
    <x:cellStyle name="Normal" xfId="0"/>
  </x:cellStyles>
  <x:dxfs count="5">
    <x:dxf>
      <x:font>
        <x:b/>
        <x:color rgb="FF9C2424"/>
      </x:font>
      <x:fill>
        <x:patternFill>
          <x:bgColor rgb="FFFCE4D6"/>
        </x:patternFill>
      </x:fill>
    </x:dxf>
    <x:dxf>
      <x:font>
        <x:b/>
        <x:color rgb="FF9C2424"/>
      </x:font>
      <x:fill>
        <x:patternFill>
          <x:bgColor rgb="FFFCE4D6"/>
        </x:patternFill>
      </x:fill>
    </x:dxf>
    <x:dxf>
      <x:font>
        <x:b/>
        <x:color rgb="FF9C2424"/>
      </x:font>
      <x:fill>
        <x:patternFill>
          <x:bgColor rgb="FFFCE4D6"/>
        </x:patternFill>
      </x:fill>
    </x:dxf>
    <x:dxf>
      <x:font>
        <x:b/>
        <x:color rgb="FF9C2424"/>
      </x:font>
      <x:fill>
        <x:patternFill patternType="solid">
          <x:bgColor rgb="FFFFF2CC"/>
        </x:patternFill>
      </x:fill>
    </x:dxf>
    <x:dxf>
      <x:font>
        <x:b/>
        <x:color rgb="FF9C2424"/>
      </x:font>
      <x:fill>
        <x:patternFill patternType="solid">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9de356b2da64480" /><Relationship Type="http://schemas.openxmlformats.org/officeDocument/2006/relationships/theme" Target="/xl/theme/theme1.xml" Id="R268ffd242aa94ae7" /><Relationship Type="http://schemas.openxmlformats.org/officeDocument/2006/relationships/sharedStrings" Target="/xl/sharedStrings.xml" Id="R92e35422bb65458b" /><Relationship Type="http://schemas.openxmlformats.org/officeDocument/2006/relationships/worksheet" Target="/xl/worksheets/sheet1.xml" Id="R5eb8e8b33e7b4d2a" /><Relationship Type="http://schemas.openxmlformats.org/officeDocument/2006/relationships/worksheet" Target="/xl/worksheets/sheet2.xml" Id="R229c5250e3874758" /><Relationship Type="http://schemas.openxmlformats.org/officeDocument/2006/relationships/worksheet" Target="/xl/worksheets/sheet3.xml" Id="Ra25d925d04ab49a5" /><Relationship Type="http://schemas.openxmlformats.org/officeDocument/2006/relationships/worksheet" Target="/xl/worksheets/sheet4.xml" Id="R8626e0215b214a86" /><Relationship Type="http://schemas.openxmlformats.org/officeDocument/2006/relationships/worksheet" Target="/xl/worksheets/sheet5.xml" Id="Rb5144126a82f42ce" /><Relationship Type="http://schemas.openxmlformats.org/officeDocument/2006/relationships/worksheet" Target="/xl/worksheets/sheet6.xml" Id="R368e742bbc934e88" /><Relationship Type="http://schemas.openxmlformats.org/officeDocument/2006/relationships/worksheet" Target="/xl/worksheets/sheet7.xml" Id="Rfa0bed9f47604d04" /><Relationship Type="http://schemas.openxmlformats.org/officeDocument/2006/relationships/worksheet" Target="/xl/worksheets/sheet8.xml" Id="R9b1021b215b74a2b" /><Relationship Type="http://schemas.openxmlformats.org/officeDocument/2006/relationships/worksheet" Target="/xl/worksheets/sheet9.xml" Id="R8c87fa42390e4bc7" /></Relationships>
</file>

<file path=xl/drawings/_rels/drawing1.xml.rels>&#65279;<?xml version="1.0" encoding="utf-8"?><Relationships xmlns="http://schemas.openxmlformats.org/package/2006/relationships"><Relationship Type="http://schemas.openxmlformats.org/officeDocument/2006/relationships/chart" Target="/xl/drawings/charts/chart1.xml" Id="R2d0264892c4046cf" /></Relationships>
</file>

<file path=xl/drawings/_rels/drawing2.xml.rels>&#65279;<?xml version="1.0" encoding="utf-8"?><Relationships xmlns="http://schemas.openxmlformats.org/package/2006/relationships"><Relationship Type="http://schemas.openxmlformats.org/officeDocument/2006/relationships/chart" Target="/xl/drawings/charts/chart2.xml" Id="Ree051238262f4463"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latin typeface="Arial"/>
                <a:ea typeface="Arial"/>
                <a:cs typeface="Arial"/>
              </a:rPr>
              <a:t>Active case: concentration change (HHI points)</a:t>
            </a:r>
          </a:p>
        </c:rich>
      </c:tx>
      <c:overlay val="0"/>
      <c:txPr>
        <a:bodyPr xmlns:a="http://schemas.openxmlformats.org/drawingml/2006/main" anchorCtr="1"/>
        <a:lstStyle xmlns:a="http://schemas.openxmlformats.org/drawingml/2006/main"/>
        <a:p xmlns:a="http://schemas.openxmlformats.org/drawingml/2006/main">
          <a:pPr>
            <a:defRPr sz="900">
              <a:latin typeface="Arial"/>
              <a:ea typeface="Arial"/>
              <a:cs typeface="Arial"/>
            </a:defRPr>
          </a:pPr>
        </a:p>
      </c:txPr>
    </c:title>
    <c:plotArea>
      <c:barChart>
        <c:barDir val="col"/>
        <c:varyColors val="0"/>
        <c:ser>
          <c:idx val="0"/>
          <c:order val="0"/>
          <c:tx>
            <c:v>HHI change</c:v>
          </c:tx>
          <c:spPr>
            <a:solidFill xmlns:a="http://schemas.openxmlformats.org/drawingml/2006/main">
              <a:srgbClr val="56718B"/>
            </a:solidFill>
          </c:spPr>
          <c:cat>
            <c:strRef>
              <c:f>'Summary'!$A$11:$A$14</c:f>
              <c:strCache>
                <c:ptCount val="0"/>
              </c:strCache>
            </c:strRef>
          </c:cat>
          <c:val>
            <c:numRef>
              <c:f>'Summary'!$F$11:$F$14</c:f>
              <c:numCache>
                <c:formatCode>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low"/>
        <c:txPr>
          <a:bodyPr xmlns:a="http://schemas.openxmlformats.org/drawingml/2006/main" anchorCtr="1"/>
          <a:lstStyle xmlns:a="http://schemas.openxmlformats.org/drawingml/2006/main"/>
          <a:p xmlns:a="http://schemas.openxmlformats.org/drawingml/2006/main">
            <a:pPr>
              <a:defRPr sz="900">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50112"/>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latin typeface="Arial"/>
                <a:ea typeface="Arial"/>
                <a:cs typeface="Arial"/>
              </a:rPr>
              <a:t>Selected saved tests: basket cost change</a:t>
            </a:r>
          </a:p>
        </c:rich>
      </c:tx>
      <c:overlay val="0"/>
      <c:txPr>
        <a:bodyPr xmlns:a="http://schemas.openxmlformats.org/drawingml/2006/main" anchorCtr="1"/>
        <a:lstStyle xmlns:a="http://schemas.openxmlformats.org/drawingml/2006/main"/>
        <a:p xmlns:a="http://schemas.openxmlformats.org/drawingml/2006/main">
          <a:pPr>
            <a:defRPr sz="900">
              <a:latin typeface="Arial"/>
              <a:ea typeface="Arial"/>
              <a:cs typeface="Arial"/>
            </a:defRPr>
          </a:pPr>
        </a:p>
      </c:txPr>
    </c:title>
    <c:plotArea>
      <c:barChart>
        <c:barDir val="col"/>
        <c:varyColors val="0"/>
        <c:ser>
          <c:idx val="0"/>
          <c:order val="0"/>
          <c:tx>
            <c:v>Equal-weight change</c:v>
          </c:tx>
          <c:spPr>
            <a:solidFill xmlns:a="http://schemas.openxmlformats.org/drawingml/2006/main">
              <a:srgbClr val="24384D"/>
            </a:solidFill>
          </c:spPr>
          <c:cat>
            <c:strRef>
              <c:f>'Sensitivity'!$A$36:$A$43</c:f>
              <c:strCache>
                <c:ptCount val="0"/>
              </c:strCache>
            </c:strRef>
          </c:cat>
          <c:val>
            <c:numRef>
              <c:f>'Sensitivity'!$B$36:$B$43</c:f>
              <c:numCache>
                <c:formatCode>0.00%;[Red](0.00%);0.00%</c:formatCode>
                <c:ptCount val="0"/>
              </c:numCache>
            </c:numRef>
          </c:val>
        </c:ser>
        <c:ser>
          <c:idx val="1"/>
          <c:order val="1"/>
          <c:tx>
            <c:v>Value-weight change</c:v>
          </c:tx>
          <c:spPr>
            <a:solidFill xmlns:a="http://schemas.openxmlformats.org/drawingml/2006/main">
              <a:srgbClr val="9CACBA"/>
            </a:solidFill>
          </c:spPr>
          <c:cat>
            <c:strRef>
              <c:f>'Sensitivity'!$A$36:$A$43</c:f>
              <c:strCache>
                <c:ptCount val="0"/>
              </c:strCache>
            </c:strRef>
          </c:cat>
          <c:val>
            <c:numRef>
              <c:f>'Sensitivity'!$C$36:$C$43</c:f>
              <c:numCache>
                <c:formatCode>0.00%;[Red](0.00%);0.00%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low"/>
        <c:txPr>
          <a:bodyPr xmlns:a="http://schemas.openxmlformats.org/drawingml/2006/main" anchorCtr="1"/>
          <a:lstStyle xmlns:a="http://schemas.openxmlformats.org/drawingml/2006/main"/>
          <a:p xmlns:a="http://schemas.openxmlformats.org/drawingml/2006/main">
            <a:pPr>
              <a:defRPr sz="900">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 sourceLinked="0"/>
        <c:majorTickMark val="none"/>
        <c:minorTickMark val="none"/>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50112"/>
        <c:crossBetween val="between"/>
      </c:valAx>
    </c:plotArea>
    <c:legend>
      <c:legendPos val="t"/>
      <c:overlay val="0"/>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0</xdr:col>
      <xdr:colOff>0</xdr:colOff>
      <xdr:row>27</xdr:row>
      <xdr:rowOff>0</xdr:rowOff>
    </xdr:from>
    <xdr:to>
      <xdr:col>10</xdr:col>
      <xdr:colOff>0</xdr:colOff>
      <xdr:row>44</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d0264892c4046cf"/>
        </a:graphicData>
      </a:graphic>
    </xdr:graphicFrame>
    <xdr:clientData/>
  </xdr:twoCellAnchor>
</xdr:wsDr>
</file>

<file path=xl/drawings/drawing2.xml><?xml version="1.0" encoding="utf-8"?>
<xdr:wsDr xmlns:xdr="http://schemas.openxmlformats.org/drawingml/2006/spreadsheetDrawing">
  <xdr:twoCellAnchor>
    <xdr:from>
      <xdr:col>4</xdr:col>
      <xdr:colOff>0</xdr:colOff>
      <xdr:row>34</xdr:row>
      <xdr:rowOff>0</xdr:rowOff>
    </xdr:from>
    <xdr:to>
      <xdr:col>12</xdr:col>
      <xdr:colOff>0</xdr:colOff>
      <xdr:row>54</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e051238262f4463"/>
        </a:graphicData>
      </a:graphic>
    </xdr:graphicFrame>
    <xdr:clientData/>
  </xdr:twoCellAnchor>
</xdr:wsDr>
</file>

<file path=xl/theme/theme1.xml><?xml version="1.0" encoding="utf-8"?>
<a:theme xmlns:a="http://schemas.openxmlformats.org/drawingml/2006/main" name="NEXT Sourcing">
  <a:themeElements>
    <a:clrScheme name="NEXT Sourcing">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NEXT Sourcing">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e3c3b74236984561" /></Relationships>
</file>

<file path=xl/worksheets/_rels/sheet5.xml.rels>&#65279;<?xml version="1.0" encoding="utf-8"?><Relationships xmlns="http://schemas.openxmlformats.org/package/2006/relationships"><Relationship Type="http://schemas.openxmlformats.org/officeDocument/2006/relationships/drawing" Target="/xl/drawings/drawing2.xml" Id="Rda99266133e8448e" /></Relationships>
</file>

<file path=xl/worksheets/sheet1.xml><?xml version="1.0" encoding="utf-8"?>
<x:worksheet xmlns:x="http://schemas.openxmlformats.org/spreadsheetml/2006/main">
  <x:sheetPr>
    <x:tabColor rgb="FF24384D"/>
  </x:sheetPr>
  <x:sheetViews>
    <x:sheetView showGridLines="0" workbookViewId="0"/>
  </x:sheetViews>
  <x:sheetFormatPr defaultRowHeight="15"/>
  <x:cols>
    <x:col min="1" max="1" width="24" hidden="0" customWidth="1"/>
    <x:col min="2" max="2" width="15"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 min="9" max="9" width="15" hidden="0" customWidth="1"/>
    <x:col min="10" max="10" width="15" hidden="0" customWidth="1"/>
  </x:cols>
  <x:sheetData>
    <x:row r="1" ht="23" customHeight="1">
      <x:c r="A1" s="2"/>
      <x:c r="B1" s="2"/>
      <x:c r="C1" s="2"/>
      <x:c r="D1" s="2"/>
      <x:c r="E1" s="2"/>
      <x:c r="F1" s="2"/>
      <x:c r="G1" s="2"/>
      <x:c r="H1" s="2"/>
      <x:c r="I1" s="2"/>
      <x:c r="J1" s="2"/>
    </x:row>
    <x:row r="2" ht="29" customHeight="1">
      <x:c r="A2" s="3" t="str">
        <x:v>WP009 sensitivity and break-even analysis</x:v>
      </x:c>
      <x:c r="B2" s="2"/>
      <x:c r="C2" s="2"/>
      <x:c r="D2" s="2"/>
      <x:c r="E2" s="2"/>
      <x:c r="F2" s="2"/>
      <x:c r="G2" s="2"/>
      <x:c r="H2" s="2"/>
      <x:c r="I2" s="2"/>
      <x:c r="J2" s="2"/>
    </x:row>
    <x:row r="3" ht="23" customHeight="1">
      <x:c r="A3" s="2"/>
      <x:c r="B3" s="2"/>
      <x:c r="C3" s="2"/>
      <x:c r="D3" s="2"/>
      <x:c r="E3" s="2"/>
      <x:c r="F3" s="2"/>
      <x:c r="G3" s="2"/>
      <x:c r="H3" s="2"/>
      <x:c r="I3" s="2"/>
      <x:c r="J3" s="2"/>
    </x:row>
    <x:row r="4" ht="30" customHeight="1">
      <x:c r="A4" s="2" t="str">
        <x:v>Case selected:</x:v>
      </x:c>
      <x:c r="B4" s="21" t="str">
        <x:f>'Assumptions'!B8</x:f>
        <x:v>Balanced, 3x</x:v>
      </x:c>
      <x:c r="C4" s="22"/>
      <x:c r="D4" s="23"/>
      <x:c r="E4" s="2"/>
      <x:c r="F4" s="2"/>
      <x:c r="G4" s="2"/>
      <x:c r="H4" s="2"/>
      <x:c r="I4" s="2"/>
      <x:c r="J4" s="2"/>
    </x:row>
    <x:row r="5" ht="23" customHeight="1">
      <x:c r="A5" s="2"/>
      <x:c r="B5" s="2"/>
      <x:c r="C5" s="2"/>
      <x:c r="D5" s="2"/>
      <x:c r="E5" s="2"/>
      <x:c r="F5" s="2"/>
      <x:c r="G5" s="2"/>
      <x:c r="H5" s="2"/>
      <x:c r="I5" s="2"/>
      <x:c r="J5" s="2"/>
    </x:row>
    <x:row r="6" ht="42" customHeight="1">
      <x:c r="A6" s="12" t="str">
        <x:v>Illustrative trade-benchmark analysis. No candidate is cleared for allocation. Select a case in Assumptions to update the active results. The study findings below refer to the saved test results dated 18 September 2026.</x:v>
      </x:c>
      <x:c r="B6" s="12"/>
      <x:c r="C6" s="12"/>
      <x:c r="D6" s="12"/>
      <x:c r="E6" s="12"/>
      <x:c r="F6" s="12"/>
      <x:c r="G6" s="12"/>
      <x:c r="H6" s="12"/>
      <x:c r="I6" s="12"/>
      <x:c r="J6" s="12"/>
    </x:row>
    <x:row r="7" ht="23" customHeight="1">
      <x:c r="A7" s="2"/>
      <x:c r="B7" s="2"/>
      <x:c r="C7" s="2"/>
      <x:c r="D7" s="2"/>
      <x:c r="E7" s="2"/>
      <x:c r="F7" s="2"/>
      <x:c r="G7" s="2"/>
      <x:c r="H7" s="2"/>
      <x:c r="I7" s="2"/>
      <x:c r="J7" s="2"/>
    </x:row>
    <x:row r="8" ht="23" customHeight="1">
      <x:c r="A8" s="25" t="str">
        <x:v>Basket cost change</x:v>
      </x:c>
      <x:c r="B8" s="25"/>
      <x:c r="C8" s="25"/>
      <x:c r="D8" s="25" t="str">
        <x:v>Equal weights</x:v>
      </x:c>
      <x:c r="E8" s="25"/>
      <x:c r="F8" s="26" t="n">
        <x:f>'Model'!B60</x:f>
        <x:v>0.0007667252992001883</x:v>
      </x:c>
      <x:c r="G8" s="26"/>
      <x:c r="H8" s="26" t="str">
        <x:v>UK value weights</x:v>
      </x:c>
      <x:c r="I8" s="26"/>
      <x:c r="J8" s="26" t="n">
        <x:f>'Model'!B61</x:f>
        <x:v>-0.0009929236664520365</x:v>
      </x:c>
    </x:row>
    <x:row r="9" ht="23" customHeight="1">
      <x:c r="A9" s="2"/>
      <x:c r="B9" s="2"/>
      <x:c r="C9" s="2"/>
      <x:c r="D9" s="2"/>
      <x:c r="E9" s="2"/>
      <x:c r="F9" s="2"/>
      <x:c r="G9" s="2"/>
      <x:c r="H9" s="2"/>
      <x:c r="I9" s="2"/>
      <x:c r="J9" s="2"/>
    </x:row>
    <x:row r="10" ht="42" customHeight="1">
      <x:c r="A10" s="11" t="str">
        <x:v>Product</x:v>
      </x:c>
      <x:c r="B10" s="11" t="str">
        <x:v>China baseline</x:v>
      </x:c>
      <x:c r="C10" s="11" t="str">
        <x:v>Requested shift (pp)</x:v>
      </x:c>
      <x:c r="D10" s="11" t="str">
        <x:v>Feasible shift (pp)</x:v>
      </x:c>
      <x:c r="E10" s="11" t="str">
        <x:v>Cost change</x:v>
      </x:c>
      <x:c r="F10" s="11" t="str">
        <x:v>HHI change</x:v>
      </x:c>
      <x:c r="G10" s="11" t="str">
        <x:v>Receiver multiple</x:v>
      </x:c>
      <x:c r="H10" s="11" t="str">
        <x:v>Operating budget £/kg</x:v>
      </x:c>
      <x:c r="I10" s="11" t="str">
        <x:v>Gate status</x:v>
      </x:c>
      <x:c r="J10" s="2"/>
    </x:row>
    <x:row r="11" ht="23" customHeight="1">
      <x:c r="A11" s="2" t="str">
        <x:v>Cotton T-shirts</x:v>
      </x:c>
      <x:c r="B11" s="7" t="n">
        <x:f>'Model'!B52</x:f>
        <x:v>0.032221226763006934</x:v>
      </x:c>
      <x:c r="C11" s="30" t="n">
        <x:f>'Model'!H52*100</x:f>
        <x:v>10</x:v>
      </x:c>
      <x:c r="D11" s="30" t="n">
        <x:f>'Model'!I52*100</x:f>
        <x:v>3.2221226763006934</x:v>
      </x:c>
      <x:c r="E11" s="7" t="n">
        <x:f>'Model'!K52</x:f>
        <x:v>-0.0008462427496100933</x:v>
      </x:c>
      <x:c r="F11" s="27" t="n">
        <x:f>'Model'!M52</x:f>
        <x:v>39.567478091494195</x:v>
      </x:c>
      <x:c r="G11" s="24" t="n">
        <x:f>'Model'!N52</x:f>
        <x:v>1.5193994950781227</x:v>
      </x:c>
      <x:c r="H11" s="17" t="n">
        <x:f>'Model'!O52</x:f>
        <x:v>0.32430548693161754</x:v>
      </x:c>
      <x:c r="I11" s="29" t="str">
        <x:f>'Model'!U52</x:f>
        <x:v>Hold</x:v>
      </x:c>
      <x:c r="J11" s="2"/>
    </x:row>
    <x:row r="12" ht="23" customHeight="1">
      <x:c r="A12" s="2" t="str">
        <x:v>MMF knitwear</x:v>
      </x:c>
      <x:c r="B12" s="7" t="n">
        <x:f>'Model'!B53</x:f>
        <x:v>0.3661327533481963</x:v>
      </x:c>
      <x:c r="C12" s="30" t="n">
        <x:f>'Model'!H53*100</x:f>
        <x:v>10</x:v>
      </x:c>
      <x:c r="D12" s="30" t="n">
        <x:f>'Model'!I53*100</x:f>
        <x:v>1.415329825765332</x:v>
      </x:c>
      <x:c r="E12" s="7" t="n">
        <x:f>'Model'!K53</x:f>
        <x:v>-0.004627003502947313</x:v>
      </x:c>
      <x:c r="F12" s="27" t="n">
        <x:f>'Model'!M53</x:f>
        <x:v>-88.19322957670738</x:v>
      </x:c>
      <x:c r="G12" s="24" t="n">
        <x:f>'Model'!N53</x:f>
        <x:v>3</x:v>
      </x:c>
      <x:c r="H12" s="17" t="n">
        <x:f>'Model'!O53</x:f>
        <x:v>4.536960287859991</x:v>
      </x:c>
      <x:c r="I12" s="29" t="str">
        <x:f>'Model'!U53</x:f>
        <x:v>Hold</x:v>
      </x:c>
      <x:c r="J12" s="2"/>
    </x:row>
    <x:row r="13" ht="23" customHeight="1">
      <x:c r="A13" s="2" t="str">
        <x:v>Synthetic dresses</x:v>
      </x:c>
      <x:c r="B13" s="7" t="n">
        <x:f>'Model'!B54</x:f>
        <x:v>0.47952184790226143</x:v>
      </x:c>
      <x:c r="C13" s="30" t="n">
        <x:f>'Model'!H54*100</x:f>
        <x:v>10</x:v>
      </x:c>
      <x:c r="D13" s="30" t="n">
        <x:f>'Model'!I54*100</x:f>
        <x:v>10</x:v>
      </x:c>
      <x:c r="E13" s="7" t="n">
        <x:f>'Model'!K54</x:f>
        <x:v>-0.004908756055984731</x:v>
      </x:c>
      <x:c r="F13" s="27" t="n">
        <x:f>'Model'!M54</x:f>
        <x:v>-635.801651328959</x:v>
      </x:c>
      <x:c r="G13" s="24" t="n">
        <x:f>'Model'!N54</x:f>
        <x:v>1.7346679013589075</x:v>
      </x:c>
      <x:c r="H13" s="17" t="n">
        <x:f>'Model'!O54</x:f>
        <x:v>1.3510196663815073</x:v>
      </x:c>
      <x:c r="I13" s="29" t="str">
        <x:f>'Model'!U54</x:f>
        <x:v>Hold</x:v>
      </x:c>
      <x:c r="J13" s="2"/>
    </x:row>
    <x:row r="14" ht="23" customHeight="1">
      <x:c r="A14" s="2" t="str">
        <x:v>Cotton shirts</x:v>
      </x:c>
      <x:c r="B14" s="7" t="n">
        <x:f>'Model'!B55</x:f>
        <x:v>0.06915990057015509</x:v>
      </x:c>
      <x:c r="C14" s="30" t="n">
        <x:f>'Model'!H55*100</x:f>
        <x:v>10</x:v>
      </x:c>
      <x:c r="D14" s="30" t="n">
        <x:f>'Model'!I55*100</x:f>
        <x:v>6.915990057015509</x:v>
      </x:c>
      <x:c r="E14" s="7" t="n">
        <x:f>'Model'!K55</x:f>
        <x:v>0.01344890350534289</x:v>
      </x:c>
      <x:c r="F14" s="27" t="n">
        <x:f>'Model'!M55</x:f>
        <x:v>117.77113668368929</x:v>
      </x:c>
      <x:c r="G14" s="24" t="n">
        <x:f>'Model'!N55</x:f>
        <x:v>1.4259779790859572</x:v>
      </x:c>
      <x:c r="H14" s="17" t="n">
        <x:f>'Model'!O55</x:f>
        <x:v>-3.9773270397330123</x:v>
      </x:c>
      <x:c r="I14" s="29" t="str">
        <x:f>'Model'!U55</x:f>
        <x:v>Hold</x:v>
      </x:c>
      <x:c r="J14" s="2"/>
    </x:row>
    <x:row r="15" ht="23" customHeight="1">
      <x:c r="A15" s="2"/>
      <x:c r="B15" s="2"/>
      <x:c r="C15" s="2"/>
      <x:c r="D15" s="2"/>
      <x:c r="E15" s="2"/>
      <x:c r="F15" s="2"/>
      <x:c r="G15" s="2"/>
      <x:c r="H15" s="2"/>
      <x:c r="I15" s="2"/>
      <x:c r="J15" s="2"/>
    </x:row>
    <x:row r="16" ht="40" customHeight="1">
      <x:c r="A16" s="12" t="str">
        <x:v>Interpret cost and concentration separately. A negative cost change means a lower benchmark. A negative HHI change means less concentration in the ten-country mass-share proxy. Neither establishes supplier capability, service performance or NEXT savings.</x:v>
      </x:c>
      <x:c r="B16" s="12"/>
      <x:c r="C16" s="12"/>
      <x:c r="D16" s="12"/>
      <x:c r="E16" s="12"/>
      <x:c r="F16" s="12"/>
      <x:c r="G16" s="12"/>
      <x:c r="H16" s="12"/>
      <x:c r="I16" s="12"/>
      <x:c r="J16" s="12"/>
    </x:row>
    <x:row r="17" ht="23" customHeight="1">
      <x:c r="A17" s="2"/>
      <x:c r="B17" s="2"/>
      <x:c r="C17" s="2"/>
      <x:c r="D17" s="2"/>
      <x:c r="E17" s="2"/>
      <x:c r="F17" s="2"/>
      <x:c r="G17" s="2"/>
      <x:c r="H17" s="2"/>
      <x:c r="I17" s="2"/>
      <x:c r="J17" s="2"/>
    </x:row>
    <x:row r="18" ht="30" customHeight="1">
      <x:c r="A18" s="12" t="str">
        <x:f>IF(COUNTIFS('Sensitivity'!K7:K32,"Refresh required")&gt;0,"Saved study needs refresh: inputs changed. The study findings and ensemble tables below describe the captured input set.","Saved study: all captured inputs match. Ensemble frequencies describe designed tests, not probabilities.")</x:f>
        <x:v>Saved study: all captured inputs match. Ensemble frequencies describe designed tests, not probabilities.</x:v>
      </x:c>
      <x:c r="B18" s="12"/>
      <x:c r="C18" s="12"/>
      <x:c r="D18" s="12"/>
      <x:c r="E18" s="12"/>
      <x:c r="F18" s="12"/>
      <x:c r="G18" s="12"/>
      <x:c r="H18" s="12"/>
      <x:c r="I18" s="12"/>
      <x:c r="J18" s="12"/>
    </x:row>
    <x:row r="19" ht="58" customHeight="1">
      <x:c r="A19" s="12" t="str">
        <x:v>Cotton shirts cost more and increase HHI in all 22 active tests. In the default case, China’s duty-paid benchmark is below the receiver mix’s duty-free price: operating headroom is −£3.98/kg and the break-even premium is −14.07%. There is no positive budget for added cost or financing days.</x:v>
      </x:c>
      <x:c r="B19" s="12"/>
      <x:c r="C19" s="12"/>
      <x:c r="D19" s="12"/>
      <x:c r="E19" s="12"/>
      <x:c r="F19" s="12"/>
      <x:c r="G19" s="12"/>
      <x:c r="H19" s="12"/>
      <x:c r="I19" s="12"/>
      <x:c r="J19" s="12"/>
    </x:row>
    <x:row r="20" ht="23" customHeight="1">
      <x:c r="A20" s="2"/>
      <x:c r="B20" s="2"/>
      <x:c r="C20" s="2"/>
      <x:c r="D20" s="2"/>
      <x:c r="E20" s="2"/>
      <x:c r="F20" s="2"/>
      <x:c r="G20" s="2"/>
      <x:c r="H20" s="2"/>
      <x:c r="I20" s="2"/>
      <x:c r="J20" s="2"/>
    </x:row>
    <x:row r="21" ht="50" customHeight="1">
      <x:c r="A21" s="12" t="str">
        <x:v>MMF knitwear costs less in 24 of 26 tests; synthetic dresses in 21 of 26. Both reduce HHI in all 26. These are consistent concentration results and mostly favourable cost results, with exceptions. Receiver mixes still require comparable quotes, capacity and origin evidence.</x:v>
      </x:c>
      <x:c r="B21" s="12"/>
      <x:c r="C21" s="12"/>
      <x:c r="D21" s="12"/>
      <x:c r="E21" s="12"/>
      <x:c r="F21" s="12"/>
      <x:c r="G21" s="12"/>
      <x:c r="H21" s="12"/>
      <x:c r="I21" s="12"/>
      <x:c r="J21" s="12"/>
    </x:row>
    <x:row r="22" ht="23" customHeight="1">
      <x:c r="A22" s="2"/>
      <x:c r="B22" s="2"/>
      <x:c r="C22" s="2"/>
      <x:c r="D22" s="2"/>
      <x:c r="E22" s="2"/>
      <x:c r="F22" s="2"/>
      <x:c r="G22" s="2"/>
      <x:c r="H22" s="2"/>
      <x:c r="I22" s="2"/>
      <x:c r="J22" s="2"/>
    </x:row>
    <x:row r="23" ht="44" customHeight="1">
      <x:c r="A23" s="12" t="str">
        <x:v>Q2.6 uses its permitted threshold route: operating additions are separately named and break-even limits are calculated. Q5.4 supports a monitor-and-trigger recommendation because small changes can reverse the basket cost result. H5 remains partially tested.</x:v>
      </x:c>
      <x:c r="B23" s="12"/>
      <x:c r="C23" s="12"/>
      <x:c r="D23" s="12"/>
      <x:c r="E23" s="12"/>
      <x:c r="F23" s="12"/>
      <x:c r="G23" s="12"/>
      <x:c r="H23" s="12"/>
      <x:c r="I23" s="12"/>
      <x:c r="J23" s="12"/>
    </x:row>
    <x:row r="24" ht="23" customHeight="1">
      <x:c r="A24" s="2"/>
      <x:c r="B24" s="2"/>
      <x:c r="C24" s="2"/>
      <x:c r="D24" s="2"/>
      <x:c r="E24" s="2"/>
      <x:c r="F24" s="2"/>
      <x:c r="G24" s="2"/>
      <x:c r="H24" s="2"/>
      <x:c r="I24" s="2"/>
      <x:c r="J24" s="2"/>
    </x:row>
    <x:row r="25" ht="44" customHeight="1">
      <x:c r="A25" s="12" t="str">
        <x:v>WP010 can now synthesize a category-specific, conditional recommendation. Use dated quotes, origin evidence, capacity, service terms and WP007 clearance before any allocation decision. Myanmar remains excluded from new allocation under D008/D020.</x:v>
      </x:c>
      <x:c r="B25" s="12"/>
      <x:c r="C25" s="12"/>
      <x:c r="D25" s="12"/>
      <x:c r="E25" s="12"/>
      <x:c r="F25" s="12"/>
      <x:c r="G25" s="12"/>
      <x:c r="H25" s="12"/>
      <x:c r="I25" s="12"/>
      <x:c r="J25" s="12"/>
    </x:row>
    <x:row r="26" ht="23" customHeight="1">
      <x:c r="A26" s="2"/>
      <x:c r="B26" s="2"/>
      <x:c r="C26" s="2"/>
      <x:c r="D26" s="2"/>
      <x:c r="E26" s="2"/>
      <x:c r="F26" s="2"/>
      <x:c r="G26" s="2"/>
      <x:c r="H26" s="2"/>
      <x:c r="I26" s="2"/>
      <x:c r="J26" s="2"/>
    </x:row>
    <x:row r="27" ht="23" customHeight="1">
      <x:c r="A27" s="2"/>
      <x:c r="B27" s="2"/>
      <x:c r="C27" s="2"/>
      <x:c r="D27" s="2"/>
      <x:c r="E27" s="2"/>
      <x:c r="F27" s="2"/>
      <x:c r="G27" s="2"/>
      <x:c r="H27" s="2"/>
      <x:c r="I27" s="2"/>
      <x:c r="J27" s="2"/>
    </x:row>
    <x:row r="28" ht="23" customHeight="1">
      <x:c r="A28" s="2"/>
      <x:c r="B28" s="2"/>
      <x:c r="C28" s="2"/>
      <x:c r="D28" s="2"/>
      <x:c r="E28" s="2"/>
      <x:c r="F28" s="2"/>
      <x:c r="G28" s="2"/>
      <x:c r="H28" s="2"/>
      <x:c r="I28" s="2"/>
      <x:c r="J28" s="2"/>
    </x:row>
    <x:row r="29" ht="23" customHeight="1">
      <x:c r="A29" s="2"/>
      <x:c r="B29" s="2"/>
      <x:c r="C29" s="2"/>
      <x:c r="D29" s="2"/>
      <x:c r="E29" s="2"/>
      <x:c r="F29" s="2"/>
      <x:c r="G29" s="2"/>
      <x:c r="H29" s="2"/>
      <x:c r="I29" s="2"/>
      <x:c r="J29" s="2"/>
    </x:row>
    <x:row r="30" ht="23" customHeight="1">
      <x:c r="A30" s="2"/>
      <x:c r="B30" s="2"/>
      <x:c r="C30" s="2"/>
      <x:c r="D30" s="2"/>
      <x:c r="E30" s="2"/>
      <x:c r="F30" s="2"/>
      <x:c r="G30" s="2"/>
      <x:c r="H30" s="2"/>
      <x:c r="I30" s="2"/>
      <x:c r="J30" s="2"/>
    </x:row>
    <x:row r="31" ht="23" customHeight="1">
      <x:c r="A31" s="2"/>
      <x:c r="B31" s="2"/>
      <x:c r="C31" s="2"/>
      <x:c r="D31" s="2"/>
      <x:c r="E31" s="2"/>
      <x:c r="F31" s="2"/>
      <x:c r="G31" s="2"/>
      <x:c r="H31" s="2"/>
      <x:c r="I31" s="2"/>
      <x:c r="J31" s="2"/>
    </x:row>
    <x:row r="32" ht="23" customHeight="1">
      <x:c r="A32" s="2"/>
      <x:c r="B32" s="2"/>
      <x:c r="C32" s="2"/>
      <x:c r="D32" s="2"/>
      <x:c r="E32" s="2"/>
      <x:c r="F32" s="2"/>
      <x:c r="G32" s="2"/>
      <x:c r="H32" s="2"/>
      <x:c r="I32" s="2"/>
      <x:c r="J32" s="2"/>
    </x:row>
    <x:row r="33" ht="23" customHeight="1">
      <x:c r="A33" s="2"/>
      <x:c r="B33" s="2"/>
      <x:c r="C33" s="2"/>
      <x:c r="D33" s="2"/>
      <x:c r="E33" s="2"/>
      <x:c r="F33" s="2"/>
      <x:c r="G33" s="2"/>
      <x:c r="H33" s="2"/>
      <x:c r="I33" s="2"/>
      <x:c r="J33" s="2"/>
    </x:row>
    <x:row r="34" ht="23" customHeight="1">
      <x:c r="A34" s="2"/>
      <x:c r="B34" s="2"/>
      <x:c r="C34" s="2"/>
      <x:c r="D34" s="2"/>
      <x:c r="E34" s="2"/>
      <x:c r="F34" s="2"/>
      <x:c r="G34" s="2"/>
      <x:c r="H34" s="2"/>
      <x:c r="I34" s="2"/>
      <x:c r="J34" s="2"/>
    </x:row>
    <x:row r="35" ht="23" customHeight="1">
      <x:c r="A35" s="2"/>
      <x:c r="B35" s="2"/>
      <x:c r="C35" s="2"/>
      <x:c r="D35" s="2"/>
      <x:c r="E35" s="2"/>
      <x:c r="F35" s="2"/>
      <x:c r="G35" s="2"/>
      <x:c r="H35" s="2"/>
      <x:c r="I35" s="2"/>
      <x:c r="J35" s="2"/>
    </x:row>
    <x:row r="36" ht="23" customHeight="1">
      <x:c r="A36" s="2"/>
      <x:c r="B36" s="2"/>
      <x:c r="C36" s="2"/>
      <x:c r="D36" s="2"/>
      <x:c r="E36" s="2"/>
      <x:c r="F36" s="2"/>
      <x:c r="G36" s="2"/>
      <x:c r="H36" s="2"/>
      <x:c r="I36" s="2"/>
      <x:c r="J36" s="2"/>
    </x:row>
    <x:row r="37" ht="23" customHeight="1">
      <x:c r="A37" s="2"/>
      <x:c r="B37" s="2"/>
      <x:c r="C37" s="2"/>
      <x:c r="D37" s="2"/>
      <x:c r="E37" s="2"/>
      <x:c r="F37" s="2"/>
      <x:c r="G37" s="2"/>
      <x:c r="H37" s="2"/>
      <x:c r="I37" s="2"/>
      <x:c r="J37" s="2"/>
    </x:row>
    <x:row r="38" ht="23" customHeight="1">
      <x:c r="A38" s="2"/>
      <x:c r="B38" s="2"/>
      <x:c r="C38" s="2"/>
      <x:c r="D38" s="2"/>
      <x:c r="E38" s="2"/>
      <x:c r="F38" s="2"/>
      <x:c r="G38" s="2"/>
      <x:c r="H38" s="2"/>
      <x:c r="I38" s="2"/>
      <x:c r="J38" s="2"/>
    </x:row>
    <x:row r="39" ht="23" customHeight="1">
      <x:c r="A39" s="2"/>
      <x:c r="B39" s="2"/>
      <x:c r="C39" s="2"/>
      <x:c r="D39" s="2"/>
      <x:c r="E39" s="2"/>
      <x:c r="F39" s="2"/>
      <x:c r="G39" s="2"/>
      <x:c r="H39" s="2"/>
      <x:c r="I39" s="2"/>
      <x:c r="J39" s="2"/>
    </x:row>
    <x:row r="40" ht="23" customHeight="1">
      <x:c r="A40" s="2"/>
      <x:c r="B40" s="2"/>
      <x:c r="C40" s="2"/>
      <x:c r="D40" s="2"/>
      <x:c r="E40" s="2"/>
      <x:c r="F40" s="2"/>
      <x:c r="G40" s="2"/>
      <x:c r="H40" s="2"/>
      <x:c r="I40" s="2"/>
      <x:c r="J40" s="2"/>
    </x:row>
    <x:row r="41" ht="23" customHeight="1">
      <x:c r="A41" s="2"/>
      <x:c r="B41" s="2"/>
      <x:c r="C41" s="2"/>
      <x:c r="D41" s="2"/>
      <x:c r="E41" s="2"/>
      <x:c r="F41" s="2"/>
      <x:c r="G41" s="2"/>
      <x:c r="H41" s="2"/>
      <x:c r="I41" s="2"/>
      <x:c r="J41" s="2"/>
    </x:row>
    <x:row r="42" ht="23" customHeight="1">
      <x:c r="A42" s="2"/>
      <x:c r="B42" s="2"/>
      <x:c r="C42" s="2"/>
      <x:c r="D42" s="2"/>
      <x:c r="E42" s="2"/>
      <x:c r="F42" s="2"/>
      <x:c r="G42" s="2"/>
      <x:c r="H42" s="2"/>
      <x:c r="I42" s="2"/>
      <x:c r="J42" s="2"/>
    </x:row>
    <x:row r="43" ht="23" customHeight="1">
      <x:c r="A43" s="2"/>
      <x:c r="B43" s="2"/>
      <x:c r="C43" s="2"/>
      <x:c r="D43" s="2"/>
      <x:c r="E43" s="2"/>
      <x:c r="F43" s="2"/>
      <x:c r="G43" s="2"/>
      <x:c r="H43" s="2"/>
      <x:c r="I43" s="2"/>
      <x:c r="J43" s="2"/>
    </x:row>
    <x:row r="44" ht="23" customHeight="1">
      <x:c r="A44" s="2"/>
      <x:c r="B44" s="2"/>
      <x:c r="C44" s="2"/>
      <x:c r="D44" s="2"/>
      <x:c r="E44" s="2"/>
      <x:c r="F44" s="2"/>
      <x:c r="G44" s="2"/>
      <x:c r="H44" s="2"/>
      <x:c r="I44" s="2"/>
      <x:c r="J44" s="2"/>
    </x:row>
    <x:row r="45" ht="23" customHeight="1">
      <x:c r="A45" s="2"/>
      <x:c r="B45" s="2"/>
      <x:c r="C45" s="2"/>
      <x:c r="D45" s="2"/>
      <x:c r="E45" s="2"/>
      <x:c r="F45" s="2"/>
      <x:c r="G45" s="2"/>
      <x:c r="H45" s="2"/>
      <x:c r="I45" s="2"/>
      <x:c r="J45" s="2"/>
    </x:row>
    <x:row r="46" ht="29" customHeight="1">
      <x:c r="A46" s="12" t="str">
        <x:v>Category direction across the 26 saved cases</x:v>
      </x:c>
      <x:c r="B46" s="12"/>
      <x:c r="C46" s="12"/>
      <x:c r="D46" s="12"/>
      <x:c r="E46" s="12"/>
      <x:c r="F46" s="12"/>
      <x:c r="G46" s="12"/>
      <x:c r="H46" s="12"/>
      <x:c r="I46" s="12"/>
      <x:c r="J46" s="12"/>
    </x:row>
    <x:row r="47" ht="26" customHeight="1">
      <x:c r="A47" s="2"/>
      <x:c r="B47" s="2"/>
      <x:c r="C47" s="2"/>
      <x:c r="D47" s="2"/>
      <x:c r="E47" s="2"/>
      <x:c r="F47" s="2"/>
      <x:c r="G47" s="2"/>
      <x:c r="H47" s="2"/>
      <x:c r="I47" s="2"/>
      <x:c r="J47" s="2"/>
    </x:row>
    <x:row r="48" ht="43" customHeight="1">
      <x:c r="A48" s="34" t="str">
        <x:v>CN8 / category</x:v>
      </x:c>
      <x:c r="B48" s="34" t="str">
        <x:v>Cost lower</x:v>
      </x:c>
      <x:c r="C48" s="34" t="str">
        <x:v>Cost higher</x:v>
      </x:c>
      <x:c r="D48" s="34" t="str">
        <x:v>Cost unchanged</x:v>
      </x:c>
      <x:c r="E48" s="34" t="str">
        <x:v>Min cost change</x:v>
      </x:c>
      <x:c r="F48" s="34" t="str">
        <x:v>Max cost change</x:v>
      </x:c>
      <x:c r="G48" s="34" t="str">
        <x:v>HHI lower</x:v>
      </x:c>
      <x:c r="H48" s="34" t="str">
        <x:v>HHI higher</x:v>
      </x:c>
      <x:c r="I48" s="34" t="str">
        <x:v>No shift</x:v>
      </x:c>
      <x:c r="J48" s="34" t="str">
        <x:v>Tests</x:v>
      </x:c>
    </x:row>
    <x:row r="49" ht="37" customHeight="1">
      <x:c r="A49" s="12" t="str">
        <x:v>61103099 MMF knitwear</x:v>
      </x:c>
      <x:c r="B49" s="33" t="n">
        <x:f>COUNTIFS('Sensitivity'!$B$58:$B$161,"61103099",'Sensitivity'!$D$58:$D$161,"&lt;0")</x:f>
        <x:v>24</x:v>
      </x:c>
      <x:c r="C49" s="33" t="n">
        <x:f>COUNTIFS('Sensitivity'!$B$58:$B$161,"61103099",'Sensitivity'!$D$58:$D$161,"&gt;0")</x:f>
        <x:v>2</x:v>
      </x:c>
      <x:c r="D49" s="33" t="n">
        <x:f>COUNTIFS('Sensitivity'!$B$58:$B$161,"61103099",'Sensitivity'!$D$58:$D$161,"=0")</x:f>
        <x:v>0</x:v>
      </x:c>
      <x:c r="E49" s="7" t="n">
        <x:f>_xlfn.MINIFS('Sensitivity'!$D$58:$D$161,'Sensitivity'!$B$58:$B$161,"61103099")</x:f>
        <x:v>-0.08350185310997105</x:v>
      </x:c>
      <x:c r="F49" s="7" t="n">
        <x:f>_xlfn.MAXIFS('Sensitivity'!$D$58:$D$161,'Sensitivity'!$B$58:$B$161,"61103099")</x:f>
        <x:v>0.0017413618658577157</x:v>
      </x:c>
      <x:c r="G49" s="33" t="n">
        <x:f>COUNTIFS('Sensitivity'!$B$58:$B$161,"61103099",'Sensitivity'!$E$58:$E$161,"&lt;0")</x:f>
        <x:v>26</x:v>
      </x:c>
      <x:c r="H49" s="33" t="n">
        <x:f>COUNTIFS('Sensitivity'!$B$58:$B$161,"61103099",'Sensitivity'!$E$58:$E$161,"&gt;0")</x:f>
        <x:v>0</x:v>
      </x:c>
      <x:c r="I49" s="33" t="n">
        <x:f>COUNTIFS('Sensitivity'!$B$58:$B$161,"61103099",'Sensitivity'!$C$58:$C$161,"=0")</x:f>
        <x:v>0</x:v>
      </x:c>
      <x:c r="J49" s="33" t="n">
        <x:f>COUNTIFS('Sensitivity'!$B$58:$B$161,"61103099")</x:f>
        <x:v>26</x:v>
      </x:c>
    </x:row>
    <x:row r="50" ht="37" customHeight="1">
      <x:c r="A50" s="12" t="str">
        <x:v>62044300 Synthetic dresses</x:v>
      </x:c>
      <x:c r="B50" s="33" t="n">
        <x:f>COUNTIFS('Sensitivity'!$B$58:$B$161,"62044300",'Sensitivity'!$D$58:$D$161,"&lt;0")</x:f>
        <x:v>21</x:v>
      </x:c>
      <x:c r="C50" s="33" t="n">
        <x:f>COUNTIFS('Sensitivity'!$B$58:$B$161,"62044300",'Sensitivity'!$D$58:$D$161,"&gt;0")</x:f>
        <x:v>5</x:v>
      </x:c>
      <x:c r="D50" s="33" t="n">
        <x:f>COUNTIFS('Sensitivity'!$B$58:$B$161,"62044300",'Sensitivity'!$D$58:$D$161,"=0")</x:f>
        <x:v>0</x:v>
      </x:c>
      <x:c r="E50" s="7" t="n">
        <x:f>_xlfn.MINIFS('Sensitivity'!$D$58:$D$161,'Sensitivity'!$B$58:$B$161,"62044300")</x:f>
        <x:v>-0.008203307112604197</x:v>
      </x:c>
      <x:c r="F50" s="7" t="n">
        <x:f>_xlfn.MAXIFS('Sensitivity'!$D$58:$D$161,'Sensitivity'!$B$58:$B$161,"62044300")</x:f>
        <x:v>0.007645205710227421</x:v>
      </x:c>
      <x:c r="G50" s="33" t="n">
        <x:f>COUNTIFS('Sensitivity'!$B$58:$B$161,"62044300",'Sensitivity'!$E$58:$E$161,"&lt;0")</x:f>
        <x:v>26</x:v>
      </x:c>
      <x:c r="H50" s="33" t="n">
        <x:f>COUNTIFS('Sensitivity'!$B$58:$B$161,"62044300",'Sensitivity'!$E$58:$E$161,"&gt;0")</x:f>
        <x:v>0</x:v>
      </x:c>
      <x:c r="I50" s="33" t="n">
        <x:f>COUNTIFS('Sensitivity'!$B$58:$B$161,"62044300",'Sensitivity'!$C$58:$C$161,"=0")</x:f>
        <x:v>0</x:v>
      </x:c>
      <x:c r="J50" s="33" t="n">
        <x:f>COUNTIFS('Sensitivity'!$B$58:$B$161,"62044300")</x:f>
        <x:v>26</x:v>
      </x:c>
    </x:row>
    <x:row r="51" ht="37" customHeight="1">
      <x:c r="A51" s="12" t="str">
        <x:v>61091000 Cotton T-shirts</x:v>
      </x:c>
      <x:c r="B51" s="33" t="n">
        <x:f>COUNTIFS('Sensitivity'!$B$58:$B$161,"61091000",'Sensitivity'!$D$58:$D$161,"&lt;0")</x:f>
        <x:v>14</x:v>
      </x:c>
      <x:c r="C51" s="33" t="n">
        <x:f>COUNTIFS('Sensitivity'!$B$58:$B$161,"61091000",'Sensitivity'!$D$58:$D$161,"&gt;0")</x:f>
        <x:v>8</x:v>
      </x:c>
      <x:c r="D51" s="33" t="n">
        <x:f>COUNTIFS('Sensitivity'!$B$58:$B$161,"61091000",'Sensitivity'!$D$58:$D$161,"=0")</x:f>
        <x:v>4</x:v>
      </x:c>
      <x:c r="E51" s="7" t="n">
        <x:f>_xlfn.MINIFS('Sensitivity'!$D$58:$D$161,'Sensitivity'!$B$58:$B$161,"61091000")</x:f>
        <x:v>-0.01055059946821213</x:v>
      </x:c>
      <x:c r="F51" s="7" t="n">
        <x:f>_xlfn.MAXIFS('Sensitivity'!$D$58:$D$161,'Sensitivity'!$B$58:$B$161,"61091000")</x:f>
        <x:v>0.006534432618102715</x:v>
      </x:c>
      <x:c r="G51" s="33" t="n">
        <x:f>COUNTIFS('Sensitivity'!$B$58:$B$161,"61091000",'Sensitivity'!$E$58:$E$161,"&lt;0")</x:f>
        <x:v>0</x:v>
      </x:c>
      <x:c r="H51" s="33" t="n">
        <x:f>COUNTIFS('Sensitivity'!$B$58:$B$161,"61091000",'Sensitivity'!$E$58:$E$161,"&gt;0")</x:f>
        <x:v>22</x:v>
      </x:c>
      <x:c r="I51" s="33" t="n">
        <x:f>COUNTIFS('Sensitivity'!$B$58:$B$161,"61091000",'Sensitivity'!$C$58:$C$161,"=0")</x:f>
        <x:v>4</x:v>
      </x:c>
      <x:c r="J51" s="33" t="n">
        <x:f>COUNTIFS('Sensitivity'!$B$58:$B$161,"61091000")</x:f>
        <x:v>26</x:v>
      </x:c>
    </x:row>
    <x:row r="52" ht="37" customHeight="1">
      <x:c r="A52" s="12" t="str">
        <x:v>62052000 Cotton shirts</x:v>
      </x:c>
      <x:c r="B52" s="33" t="n">
        <x:f>COUNTIFS('Sensitivity'!$B$58:$B$161,"62052000",'Sensitivity'!$D$58:$D$161,"&lt;0")</x:f>
        <x:v>0</x:v>
      </x:c>
      <x:c r="C52" s="33" t="n">
        <x:f>COUNTIFS('Sensitivity'!$B$58:$B$161,"62052000",'Sensitivity'!$D$58:$D$161,"&gt;0")</x:f>
        <x:v>22</x:v>
      </x:c>
      <x:c r="D52" s="33" t="n">
        <x:f>COUNTIFS('Sensitivity'!$B$58:$B$161,"62052000",'Sensitivity'!$D$58:$D$161,"=0")</x:f>
        <x:v>4</x:v>
      </x:c>
      <x:c r="E52" s="7" t="n">
        <x:f>_xlfn.MINIFS('Sensitivity'!$D$58:$D$161,'Sensitivity'!$B$58:$B$161,"62052000")</x:f>
        <x:v>0</x:v>
      </x:c>
      <x:c r="F52" s="7" t="n">
        <x:f>_xlfn.MAXIFS('Sensitivity'!$D$58:$D$161,'Sensitivity'!$B$58:$B$161,"62052000")</x:f>
        <x:v>0.028213251470262213</x:v>
      </x:c>
      <x:c r="G52" s="33" t="n">
        <x:f>COUNTIFS('Sensitivity'!$B$58:$B$161,"62052000",'Sensitivity'!$E$58:$E$161,"&lt;0")</x:f>
        <x:v>0</x:v>
      </x:c>
      <x:c r="H52" s="33" t="n">
        <x:f>COUNTIFS('Sensitivity'!$B$58:$B$161,"62052000",'Sensitivity'!$E$58:$E$161,"&gt;0")</x:f>
        <x:v>22</x:v>
      </x:c>
      <x:c r="I52" s="33" t="n">
        <x:f>COUNTIFS('Sensitivity'!$B$58:$B$161,"62052000",'Sensitivity'!$C$58:$C$161,"=0")</x:f>
        <x:v>4</x:v>
      </x:c>
      <x:c r="J52" s="33" t="n">
        <x:f>COUNTIFS('Sensitivity'!$B$58:$B$161,"62052000")</x:f>
        <x:v>26</x:v>
      </x:c>
    </x:row>
    <x:row r="53" ht="26" customHeight="1">
      <x:c r="A53" s="2"/>
      <x:c r="B53" s="2"/>
      <x:c r="C53" s="2"/>
      <x:c r="D53" s="2"/>
      <x:c r="E53" s="2"/>
      <x:c r="F53" s="2"/>
      <x:c r="G53" s="2"/>
      <x:c r="H53" s="2"/>
      <x:c r="I53" s="2"/>
      <x:c r="J53" s="2"/>
    </x:row>
    <x:row r="54" ht="46" customHeight="1">
      <x:c r="A54" s="12" t="str">
        <x:v>Four synthetic-only cases leave both cotton categories unchanged. Cotton shirts have higher cost in all 22 active cases. Knitwear and dresses have cost exceptions, so neither has a universally favourable cost sign. All four categories retain their respective HHI direction whenever a shift is active.</x:v>
      </x:c>
      <x:c r="B54" s="12"/>
      <x:c r="C54" s="12"/>
      <x:c r="D54" s="12"/>
      <x:c r="E54" s="12"/>
      <x:c r="F54" s="12"/>
      <x:c r="G54" s="12"/>
      <x:c r="H54" s="12"/>
      <x:c r="I54" s="12"/>
      <x:c r="J54" s="12"/>
    </x:row>
    <x:row r="55" ht="26" customHeight="1">
      <x:c r="A55" s="2"/>
      <x:c r="B55" s="2"/>
      <x:c r="C55" s="2"/>
      <x:c r="D55" s="2"/>
      <x:c r="E55" s="2"/>
      <x:c r="F55" s="2"/>
      <x:c r="G55" s="2"/>
      <x:c r="H55" s="2"/>
      <x:c r="I55" s="2"/>
      <x:c r="J55" s="2"/>
    </x:row>
    <x:row r="56" ht="26" customHeight="1">
      <x:c r="A56" s="2"/>
      <x:c r="B56" s="2"/>
      <x:c r="C56" s="2"/>
      <x:c r="D56" s="2"/>
      <x:c r="E56" s="2"/>
      <x:c r="F56" s="2"/>
      <x:c r="G56" s="2"/>
      <x:c r="H56" s="2"/>
      <x:c r="I56" s="2"/>
      <x:c r="J56" s="2"/>
    </x:row>
    <x:row r="57" ht="43" customHeight="1">
      <x:c r="A57" s="34" t="str">
        <x:v>Basket weights</x:v>
      </x:c>
      <x:c r="B57" s="34" t="str">
        <x:v>Cost lower</x:v>
      </x:c>
      <x:c r="C57" s="34" t="str">
        <x:v>Cost higher</x:v>
      </x:c>
      <x:c r="D57" s="34" t="str">
        <x:v>Unchanged</x:v>
      </x:c>
      <x:c r="E57" s="34" t="str">
        <x:v>Min cost change</x:v>
      </x:c>
      <x:c r="F57" s="34" t="str">
        <x:v>Max cost change</x:v>
      </x:c>
      <x:c r="G57" s="2"/>
      <x:c r="H57" s="2"/>
      <x:c r="I57" s="2"/>
      <x:c r="J57" s="2"/>
    </x:row>
    <x:row r="58" ht="26" customHeight="1">
      <x:c r="A58" s="2" t="str">
        <x:v>Equal category</x:v>
      </x:c>
      <x:c r="B58" s="33" t="n">
        <x:f>COUNTIFS('Sensitivity'!C7:C32,"&lt;0")</x:f>
        <x:v>10</x:v>
      </x:c>
      <x:c r="C58" s="33" t="n">
        <x:f>COUNTIFS('Sensitivity'!C7:C32,"&gt;0")</x:f>
        <x:v>16</x:v>
      </x:c>
      <x:c r="D58" s="33" t="n">
        <x:f>COUNTIFS('Sensitivity'!C7:C32,"=0")</x:f>
        <x:v>0</x:v>
      </x:c>
      <x:c r="E58" s="7" t="n">
        <x:f>MIN('Sensitivity'!C7:C32)</x:f>
        <x:v>-0.021848727625710856</x:v>
      </x:c>
      <x:c r="F58" s="7" t="n">
        <x:f>MAX('Sensitivity'!C7:C32)</x:f>
        <x:v>0.0086763612458787</x:v>
      </x:c>
      <x:c r="G58" s="2"/>
      <x:c r="H58" s="2"/>
      <x:c r="I58" s="2"/>
      <x:c r="J58" s="2"/>
    </x:row>
    <x:row r="59" ht="26" customHeight="1">
      <x:c r="A59" s="2" t="str">
        <x:v>FY2025 UK value</x:v>
      </x:c>
      <x:c r="B59" s="33" t="n">
        <x:f>COUNTIFS('Sensitivity'!D7:D32,"&lt;0")</x:f>
        <x:v>17</x:v>
      </x:c>
      <x:c r="C59" s="33" t="n">
        <x:f>COUNTIFS('Sensitivity'!D7:D32,"&gt;0")</x:f>
        <x:v>9</x:v>
      </x:c>
      <x:c r="D59" s="33" t="n">
        <x:f>COUNTIFS('Sensitivity'!D7:D32,"=0")</x:f>
        <x:v>0</x:v>
      </x:c>
      <x:c r="E59" s="7" t="n">
        <x:f>MIN('Sensitivity'!D7:D32)</x:f>
        <x:v>-0.0254176195653385</x:v>
      </x:c>
      <x:c r="F59" s="7" t="n">
        <x:f>MAX('Sensitivity'!D7:D32)</x:f>
        <x:v>0.005198440283236936</x:v>
      </x:c>
      <x:c r="G59" s="2"/>
      <x:c r="H59" s="2"/>
      <x:c r="I59" s="2"/>
      <x:c r="J59" s="2"/>
    </x:row>
    <x:row r="60" ht="26" customHeight="1">
      <x:c r="A60" s="2"/>
      <x:c r="B60" s="2"/>
      <x:c r="C60" s="2"/>
      <x:c r="D60" s="2"/>
      <x:c r="E60" s="2"/>
      <x:c r="F60" s="2"/>
      <x:c r="G60" s="2"/>
      <x:c r="H60" s="2"/>
      <x:c r="I60" s="2"/>
      <x:c r="J60" s="2"/>
    </x:row>
    <x:row r="61" ht="30" customHeight="1">
      <x:c r="A61" s="12" t="str">
        <x:f>"The two basket weightings disagree in sign in "&amp;COUNTIFS('Sensitivity'!L7:L32,"Yes")&amp;" of 26 saved cases."</x:f>
        <x:v>The two basket weightings disagree in sign in 7 of 26 saved cases.</x:v>
      </x:c>
      <x:c r="B61" s="12"/>
      <x:c r="C61" s="12"/>
      <x:c r="D61" s="12"/>
      <x:c r="E61" s="12"/>
      <x:c r="F61" s="12"/>
      <x:c r="G61" s="12"/>
      <x:c r="H61" s="12"/>
      <x:c r="I61" s="12"/>
      <x:c r="J61" s="12"/>
    </x:row>
    <x:row r="62" ht="26" customHeight="1">
      <x:c r="A62" s="2"/>
      <x:c r="B62" s="2"/>
      <x:c r="C62" s="2"/>
      <x:c r="D62" s="2"/>
      <x:c r="E62" s="2"/>
      <x:c r="F62" s="2"/>
      <x:c r="G62" s="2"/>
      <x:c r="H62" s="2"/>
      <x:c r="I62" s="2"/>
      <x:c r="J62" s="2"/>
    </x:row>
    <x:row r="63" ht="46" customHeight="1">
      <x:c r="A63" s="12" t="str">
        <x:v>No basket-level saving is robust across all tested assumptions. Growth caps, receiver mix, price period, tariffs, operating stress and basket weights can change the cost sign. These cases share inputs and are not independent observations or an exhaustive set of possibilities.</x:v>
      </x:c>
      <x:c r="B63" s="12"/>
      <x:c r="C63" s="12"/>
      <x:c r="D63" s="12"/>
      <x:c r="E63" s="12"/>
      <x:c r="F63" s="12"/>
      <x:c r="G63" s="12"/>
      <x:c r="H63" s="12"/>
      <x:c r="I63" s="12"/>
      <x:c r="J63" s="12"/>
    </x:row>
    <x:row r="64" ht="26" customHeight="1">
      <x:c r="A64" s="2"/>
      <x:c r="B64" s="2"/>
      <x:c r="C64" s="2"/>
      <x:c r="D64" s="2"/>
      <x:c r="E64" s="2"/>
      <x:c r="F64" s="2"/>
      <x:c r="G64" s="2"/>
      <x:c r="H64" s="2"/>
      <x:c r="I64" s="2"/>
      <x:c r="J64" s="2"/>
    </x:row>
  </x:sheetData>
  <x:mergeCells>
    <x:mergeCell ref="B4:D4"/>
    <x:mergeCell ref="A6:J6"/>
    <x:mergeCell ref="A16:J16"/>
    <x:mergeCell ref="A19:J19"/>
    <x:mergeCell ref="A21:J21"/>
    <x:mergeCell ref="A23:J23"/>
    <x:mergeCell ref="A25:J25"/>
    <x:mergeCell ref="A18:J18"/>
    <x:mergeCell ref="A46:J46"/>
    <x:mergeCell ref="A54:J54"/>
    <x:mergeCell ref="A61:J61"/>
    <x:mergeCell ref="A63:J63"/>
  </x:mergeCells>
  <x:conditionalFormatting sqref="A18:J18">
    <x:cfRule type="containsText" dxfId="3" priority="1" operator="containsText" text="needs refresh"/>
  </x:conditionalFormatting>
  <x:pageMargins left="0.7" right="0.7" top="0.75" bottom="0.75" header="0.3" footer="0.3"/>
  <x:drawing xmlns:r="http://schemas.openxmlformats.org/officeDocument/2006/relationships" r:id="Re3c3b74236984561"/>
</x:worksheet>
</file>

<file path=xl/worksheets/sheet2.xml><?xml version="1.0" encoding="utf-8"?>
<x:worksheet xmlns:x="http://schemas.openxmlformats.org/spreadsheetml/2006/main">
  <x:sheetPr>
    <x:tabColor rgb="FF56718B"/>
  </x:sheetPr>
  <x:sheetViews>
    <x:sheetView showGridLines="0" workbookViewId="0"/>
  </x:sheetViews>
  <x:sheetFormatPr defaultRowHeight="15"/>
  <x:cols>
    <x:col min="1" max="1" width="15" hidden="0" customWidth="1"/>
    <x:col min="2" max="2" width="31"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 min="9" max="9" width="15" hidden="0" customWidth="1"/>
    <x:col min="10" max="10" width="15" hidden="0" customWidth="1"/>
    <x:col min="11" max="11" width="15" hidden="0" customWidth="1"/>
    <x:col min="12" max="12" width="15" hidden="0" customWidth="1"/>
  </x:cols>
  <x:sheetData>
    <x:row r="1" ht="23" customHeight="1">
      <x:c r="A1" s="2"/>
      <x:c r="B1" s="2"/>
      <x:c r="C1" s="2"/>
      <x:c r="D1" s="2"/>
      <x:c r="E1" s="2"/>
      <x:c r="F1" s="2"/>
      <x:c r="G1" s="2"/>
      <x:c r="H1" s="2"/>
      <x:c r="I1" s="2"/>
      <x:c r="J1" s="2"/>
      <x:c r="K1" s="2"/>
      <x:c r="L1" s="2"/>
    </x:row>
    <x:row r="2" ht="29" customHeight="1">
      <x:c r="A2" s="3" t="str">
        <x:v>WP009 controls and test definitions</x:v>
      </x:c>
      <x:c r="B2" s="2"/>
      <x:c r="C2" s="2"/>
      <x:c r="D2" s="2"/>
      <x:c r="E2" s="2"/>
      <x:c r="F2" s="2"/>
      <x:c r="G2" s="2"/>
      <x:c r="H2" s="2"/>
      <x:c r="I2" s="2"/>
      <x:c r="J2" s="2"/>
      <x:c r="K2" s="2"/>
      <x:c r="L2" s="2"/>
    </x:row>
    <x:row r="3" ht="23" customHeight="1">
      <x:c r="A3" s="2"/>
      <x:c r="B3" s="2"/>
      <x:c r="C3" s="2"/>
      <x:c r="D3" s="2"/>
      <x:c r="E3" s="2"/>
      <x:c r="F3" s="2"/>
      <x:c r="G3" s="2"/>
      <x:c r="H3" s="2"/>
      <x:c r="I3" s="2"/>
      <x:c r="J3" s="2"/>
      <x:c r="K3" s="2"/>
      <x:c r="L3" s="2"/>
    </x:row>
    <x:row r="4" ht="23" customHeight="1">
      <x:c r="A4" s="2"/>
      <x:c r="B4" s="2"/>
      <x:c r="C4" s="2"/>
      <x:c r="D4" s="2"/>
      <x:c r="E4" s="2"/>
      <x:c r="F4" s="2"/>
      <x:c r="G4" s="2"/>
      <x:c r="H4" s="2"/>
      <x:c r="I4" s="2"/>
      <x:c r="J4" s="2"/>
      <x:c r="K4" s="2"/>
      <x:c r="L4" s="2"/>
    </x:row>
    <x:row r="5" ht="23" customHeight="1">
      <x:c r="A5" s="2" t="str">
        <x:v>Selected case ID</x:v>
      </x:c>
      <x:c r="B5" s="5" t="n">
        <x:v>1</x:v>
      </x:c>
      <x:c r="C5" s="2"/>
      <x:c r="D5" s="2" t="str">
        <x:v>Share ceiling</x:v>
      </x:c>
      <x:c r="E5" s="6" t="n">
        <x:v>0.35</x:v>
      </x:c>
      <x:c r="F5" s="7"/>
      <x:c r="G5" s="7" t="str">
        <x:v>Addition cap</x:v>
      </x:c>
      <x:c r="H5" s="6" t="n">
        <x:v>0.1</x:v>
      </x:c>
      <x:c r="I5" s="2"/>
      <x:c r="J5" s="2"/>
      <x:c r="K5" s="2"/>
      <x:c r="L5" s="2"/>
    </x:row>
    <x:row r="6" ht="23" customHeight="1">
      <x:c r="A6" s="2"/>
      <x:c r="B6" s="2"/>
      <x:c r="C6" s="2"/>
      <x:c r="D6" s="2"/>
      <x:c r="E6" s="2"/>
      <x:c r="F6" s="2"/>
      <x:c r="G6" s="2"/>
      <x:c r="H6" s="2"/>
      <x:c r="I6" s="2"/>
      <x:c r="J6" s="2"/>
      <x:c r="K6" s="2"/>
      <x:c r="L6" s="2"/>
    </x:row>
    <x:row r="7" ht="42" customHeight="1">
      <x:c r="A7" s="11" t="str">
        <x:v>ID</x:v>
      </x:c>
      <x:c r="B7" s="11" t="str">
        <x:v>Case</x:v>
      </x:c>
      <x:c r="C7" s="11" t="str">
        <x:v>Price period</x:v>
      </x:c>
      <x:c r="D7" s="11" t="str">
        <x:v>Data basis</x:v>
      </x:c>
      <x:c r="E7" s="11" t="str">
        <x:v>Tariff test</x:v>
      </x:c>
      <x:c r="F7" s="11" t="str">
        <x:v>Use growth cap</x:v>
      </x:c>
      <x:c r="G7" s="11" t="str">
        <x:v>Max multiple</x:v>
      </x:c>
      <x:c r="H7" s="11" t="str">
        <x:v>Requested shift</x:v>
      </x:c>
      <x:c r="I7" s="11" t="str">
        <x:v>Premium</x:v>
      </x:c>
      <x:c r="J7" s="11" t="str">
        <x:v>Mix ID</x:v>
      </x:c>
      <x:c r="K7" s="11" t="str">
        <x:v>Operating set</x:v>
      </x:c>
      <x:c r="L7" s="11" t="str">
        <x:v>Input status</x:v>
      </x:c>
    </x:row>
    <x:row r="8" ht="23" customHeight="1">
      <x:c r="A8" s="2" t="n">
        <x:f>INDEX(A13:A38,$B$5)</x:f>
        <x:v>1</x:v>
      </x:c>
      <x:c r="B8" s="2" t="str">
        <x:f>INDEX(B13:B38,$B$5)</x:f>
        <x:v>Balanced, 3x</x:v>
      </x:c>
      <x:c r="C8" s="2" t="str">
        <x:f>INDEX(C13:C38,$B$5)</x:f>
        <x:v>H1 2026</x:v>
      </x:c>
      <x:c r="D8" s="2" t="str">
        <x:f>INDEX(D13:D38,$B$5)</x:f>
        <x:v>Reported</x:v>
      </x:c>
      <x:c r="E8" s="2" t="str">
        <x:f>INDEX(E13:E38,$B$5)</x:f>
        <x:v>Eligible</x:v>
      </x:c>
      <x:c r="F8" s="2" t="n">
        <x:f>INDEX(F13:F38,$B$5)</x:f>
        <x:v>1</x:v>
      </x:c>
      <x:c r="G8" s="2" t="n">
        <x:f>INDEX(G13:G38,$B$5)</x:f>
        <x:v>3</x:v>
      </x:c>
      <x:c r="H8" s="7" t="n">
        <x:f>INDEX(H13:H38,$B$5)</x:f>
        <x:v>0.1</x:v>
      </x:c>
      <x:c r="I8" s="7" t="n">
        <x:f>INDEX(I13:I38,$B$5)</x:f>
        <x:v>0</x:v>
      </x:c>
      <x:c r="J8" s="2" t="n">
        <x:f>INDEX(J13:J38,$B$5)</x:f>
        <x:v>1</x:v>
      </x:c>
      <x:c r="K8" s="2" t="n">
        <x:f>INDEX(K13:K38,$B$5)</x:f>
        <x:v>0</x:v>
      </x:c>
      <x:c r="L8" s="29" t="str">
        <x:f>IF(AND(COUNT(B5,E5,H5,F8:K8,C47:F47)=13,B5&gt;=1,B5&lt;=26,E5&gt;0,E5&lt;=1,H5&gt;=0,H5&lt;=1,OR(C8="FY2025",C8="H1 2025",C8="H1 2026"),OR(D8="Reported",D8="Common"),OR(E8="Eligible",E8="MFN all",E8="MFN increment"),OR(F8=0,F8=1),IF(F8=1,G8&gt;=1,TRUE),H8&gt;=0,H8&lt;=1,I8&gt;=0,J8&gt;=1,J8&lt;=6,K8&gt;=0,K8&lt;=3,C47&gt;=0,D47&gt;=0,E47&gt;=0,F47&gt;=0),"Valid","Invalid inputs")</x:f>
        <x:v>Valid</x:v>
      </x:c>
    </x:row>
    <x:row r="9" ht="23" customHeight="1">
      <x:c r="A9" s="2"/>
      <x:c r="B9" s="2"/>
      <x:c r="C9" s="2"/>
      <x:c r="D9" s="2"/>
      <x:c r="E9" s="2"/>
      <x:c r="F9" s="2"/>
      <x:c r="G9" s="2"/>
      <x:c r="H9" s="7"/>
      <x:c r="I9" s="7"/>
      <x:c r="J9" s="2"/>
      <x:c r="K9" s="2"/>
      <x:c r="L9" s="2"/>
    </x:row>
    <x:row r="10" ht="40" customHeight="1">
      <x:c r="A10" s="12" t="str">
        <x:v>Amber cells are editable tests. Select one case to recalculate Model, Break_Even and Summary. Sensitivity contains dated results from running all 26 cases; refresh it after changing source data, shared limits, receiver mixes or operating assumptions.</x:v>
      </x:c>
      <x:c r="B10" s="12"/>
      <x:c r="C10" s="12"/>
      <x:c r="D10" s="12"/>
      <x:c r="E10" s="12"/>
      <x:c r="F10" s="12"/>
      <x:c r="G10" s="12"/>
      <x:c r="H10" s="14"/>
      <x:c r="I10" s="14"/>
      <x:c r="J10" s="12"/>
      <x:c r="K10" s="12"/>
      <x:c r="L10" s="12"/>
    </x:row>
    <x:row r="11" ht="23" customHeight="1">
      <x:c r="A11" s="2"/>
      <x:c r="B11" s="2"/>
      <x:c r="C11" s="2"/>
      <x:c r="D11" s="2"/>
      <x:c r="E11" s="2"/>
      <x:c r="F11" s="2"/>
      <x:c r="G11" s="2"/>
      <x:c r="H11" s="7"/>
      <x:c r="I11" s="7"/>
      <x:c r="J11" s="2"/>
      <x:c r="K11" s="2"/>
      <x:c r="L11" s="2"/>
    </x:row>
    <x:row r="12" ht="42" customHeight="1">
      <x:c r="A12" s="11" t="str">
        <x:v>ID</x:v>
      </x:c>
      <x:c r="B12" s="11" t="str">
        <x:v>Case</x:v>
      </x:c>
      <x:c r="C12" s="11" t="str">
        <x:v>Price period</x:v>
      </x:c>
      <x:c r="D12" s="11" t="str">
        <x:v>Data basis</x:v>
      </x:c>
      <x:c r="E12" s="11" t="str">
        <x:v>Tariff test</x:v>
      </x:c>
      <x:c r="F12" s="11" t="str">
        <x:v>Use growth cap</x:v>
      </x:c>
      <x:c r="G12" s="11" t="str">
        <x:v>Max multiple</x:v>
      </x:c>
      <x:c r="H12" s="13" t="str">
        <x:v>Requested shift</x:v>
      </x:c>
      <x:c r="I12" s="13" t="str">
        <x:v>Premium</x:v>
      </x:c>
      <x:c r="J12" s="11" t="str">
        <x:v>Mix ID</x:v>
      </x:c>
      <x:c r="K12" s="11" t="str">
        <x:v>Operating set</x:v>
      </x:c>
      <x:c r="L12" s="2"/>
    </x:row>
    <x:row r="13" ht="32" customHeight="1">
      <x:c r="A13" s="2" t="n">
        <x:v>1</x:v>
      </x:c>
      <x:c r="B13" s="12" t="str">
        <x:v>Balanced, 3x</x:v>
      </x:c>
      <x:c r="C13" s="5" t="str">
        <x:v>H1 2026</x:v>
      </x:c>
      <x:c r="D13" s="5" t="str">
        <x:v>Reported</x:v>
      </x:c>
      <x:c r="E13" s="5" t="str">
        <x:v>Eligible</x:v>
      </x:c>
      <x:c r="F13" s="5" t="n">
        <x:v>1</x:v>
      </x:c>
      <x:c r="G13" s="5" t="n">
        <x:v>3</x:v>
      </x:c>
      <x:c r="H13" s="6" t="n">
        <x:v>0.1</x:v>
      </x:c>
      <x:c r="I13" s="6" t="n">
        <x:v>0</x:v>
      </x:c>
      <x:c r="J13" s="5" t="n">
        <x:v>1</x:v>
      </x:c>
      <x:c r="K13" s="5" t="n">
        <x:v>0</x:v>
      </x:c>
      <x:c r="L13" s="2"/>
    </x:row>
    <x:row r="14" ht="32" customHeight="1">
      <x:c r="A14" s="2" t="n">
        <x:v>2</x:v>
      </x:c>
      <x:c r="B14" s="12" t="str">
        <x:v>Cautious, 3x</x:v>
      </x:c>
      <x:c r="C14" s="5" t="str">
        <x:v>H1 2026</x:v>
      </x:c>
      <x:c r="D14" s="5" t="str">
        <x:v>Reported</x:v>
      </x:c>
      <x:c r="E14" s="5" t="str">
        <x:v>Eligible</x:v>
      </x:c>
      <x:c r="F14" s="5" t="n">
        <x:v>1</x:v>
      </x:c>
      <x:c r="G14" s="5" t="n">
        <x:v>3</x:v>
      </x:c>
      <x:c r="H14" s="6" t="n">
        <x:v>0.05</x:v>
      </x:c>
      <x:c r="I14" s="6" t="n">
        <x:v>0</x:v>
      </x:c>
      <x:c r="J14" s="5" t="n">
        <x:v>1</x:v>
      </x:c>
      <x:c r="K14" s="5" t="n">
        <x:v>0</x:v>
      </x:c>
      <x:c r="L14" s="2"/>
    </x:row>
    <x:row r="15" ht="32" customHeight="1">
      <x:c r="A15" s="2" t="n">
        <x:v>3</x:v>
      </x:c>
      <x:c r="B15" s="12" t="str">
        <x:v>Accelerated, 3x</x:v>
      </x:c>
      <x:c r="C15" s="5" t="str">
        <x:v>H1 2026</x:v>
      </x:c>
      <x:c r="D15" s="5" t="str">
        <x:v>Reported</x:v>
      </x:c>
      <x:c r="E15" s="5" t="str">
        <x:v>Eligible</x:v>
      </x:c>
      <x:c r="F15" s="5" t="n">
        <x:v>1</x:v>
      </x:c>
      <x:c r="G15" s="5" t="n">
        <x:v>3</x:v>
      </x:c>
      <x:c r="H15" s="6" t="n">
        <x:v>0.15</x:v>
      </x:c>
      <x:c r="I15" s="6" t="n">
        <x:v>0</x:v>
      </x:c>
      <x:c r="J15" s="5" t="n">
        <x:v>1</x:v>
      </x:c>
      <x:c r="K15" s="5" t="n">
        <x:v>0</x:v>
      </x:c>
      <x:c r="L15" s="2"/>
    </x:row>
    <x:row r="16" ht="32" customHeight="1">
      <x:c r="A16" s="2" t="n">
        <x:v>4</x:v>
      </x:c>
      <x:c r="B16" s="12" t="str">
        <x:v>Share limits only</x:v>
      </x:c>
      <x:c r="C16" s="5" t="str">
        <x:v>H1 2026</x:v>
      </x:c>
      <x:c r="D16" s="5" t="str">
        <x:v>Reported</x:v>
      </x:c>
      <x:c r="E16" s="5" t="str">
        <x:v>Eligible</x:v>
      </x:c>
      <x:c r="F16" s="5" t="n">
        <x:v>0</x:v>
      </x:c>
      <x:c r="G16" s="5" t="n">
        <x:v>3</x:v>
      </x:c>
      <x:c r="H16" s="6" t="n">
        <x:v>0.1</x:v>
      </x:c>
      <x:c r="I16" s="6" t="n">
        <x:v>0</x:v>
      </x:c>
      <x:c r="J16" s="5" t="n">
        <x:v>1</x:v>
      </x:c>
      <x:c r="K16" s="5" t="n">
        <x:v>0</x:v>
      </x:c>
      <x:c r="L16" s="2"/>
    </x:row>
    <x:row r="17" ht="32" customHeight="1">
      <x:c r="A17" s="2" t="n">
        <x:v>5</x:v>
      </x:c>
      <x:c r="B17" s="12" t="str">
        <x:v>Growth cap 2x</x:v>
      </x:c>
      <x:c r="C17" s="5" t="str">
        <x:v>H1 2026</x:v>
      </x:c>
      <x:c r="D17" s="5" t="str">
        <x:v>Reported</x:v>
      </x:c>
      <x:c r="E17" s="5" t="str">
        <x:v>Eligible</x:v>
      </x:c>
      <x:c r="F17" s="5" t="n">
        <x:v>1</x:v>
      </x:c>
      <x:c r="G17" s="5" t="n">
        <x:v>2</x:v>
      </x:c>
      <x:c r="H17" s="6" t="n">
        <x:v>0.1</x:v>
      </x:c>
      <x:c r="I17" s="6" t="n">
        <x:v>0</x:v>
      </x:c>
      <x:c r="J17" s="5" t="n">
        <x:v>1</x:v>
      </x:c>
      <x:c r="K17" s="5" t="n">
        <x:v>0</x:v>
      </x:c>
      <x:c r="L17" s="2"/>
    </x:row>
    <x:row r="18" ht="32" customHeight="1">
      <x:c r="A18" s="2" t="n">
        <x:v>6</x:v>
      </x:c>
      <x:c r="B18" s="12" t="str">
        <x:v>Growth cap 5x</x:v>
      </x:c>
      <x:c r="C18" s="5" t="str">
        <x:v>H1 2026</x:v>
      </x:c>
      <x:c r="D18" s="5" t="str">
        <x:v>Reported</x:v>
      </x:c>
      <x:c r="E18" s="5" t="str">
        <x:v>Eligible</x:v>
      </x:c>
      <x:c r="F18" s="5" t="n">
        <x:v>1</x:v>
      </x:c>
      <x:c r="G18" s="5" t="n">
        <x:v>5</x:v>
      </x:c>
      <x:c r="H18" s="6" t="n">
        <x:v>0.1</x:v>
      </x:c>
      <x:c r="I18" s="6" t="n">
        <x:v>0</x:v>
      </x:c>
      <x:c r="J18" s="5" t="n">
        <x:v>1</x:v>
      </x:c>
      <x:c r="K18" s="5" t="n">
        <x:v>0</x:v>
      </x:c>
      <x:c r="L18" s="2"/>
    </x:row>
    <x:row r="19" ht="32" customHeight="1">
      <x:c r="A19" s="2" t="n">
        <x:v>7</x:v>
      </x:c>
      <x:c r="B19" s="12" t="str">
        <x:v>Equal receiver mix</x:v>
      </x:c>
      <x:c r="C19" s="5" t="str">
        <x:v>H1 2026</x:v>
      </x:c>
      <x:c r="D19" s="5" t="str">
        <x:v>Reported</x:v>
      </x:c>
      <x:c r="E19" s="5" t="str">
        <x:v>Eligible</x:v>
      </x:c>
      <x:c r="F19" s="5" t="n">
        <x:v>1</x:v>
      </x:c>
      <x:c r="G19" s="5" t="n">
        <x:v>3</x:v>
      </x:c>
      <x:c r="H19" s="6" t="n">
        <x:v>0.1</x:v>
      </x:c>
      <x:c r="I19" s="6" t="n">
        <x:v>0</x:v>
      </x:c>
      <x:c r="J19" s="5" t="n">
        <x:v>2</x:v>
      </x:c>
      <x:c r="K19" s="5" t="n">
        <x:v>0</x:v>
      </x:c>
      <x:c r="L19" s="2"/>
    </x:row>
    <x:row r="20" ht="32" customHeight="1">
      <x:c r="A20" s="2" t="n">
        <x:v>8</x:v>
      </x:c>
      <x:c r="B20" s="12" t="str">
        <x:v>Mix by baseline presence</x:v>
      </x:c>
      <x:c r="C20" s="5" t="str">
        <x:v>H1 2026</x:v>
      </x:c>
      <x:c r="D20" s="5" t="str">
        <x:v>Reported</x:v>
      </x:c>
      <x:c r="E20" s="5" t="str">
        <x:v>Eligible</x:v>
      </x:c>
      <x:c r="F20" s="5" t="n">
        <x:v>1</x:v>
      </x:c>
      <x:c r="G20" s="5" t="n">
        <x:v>3</x:v>
      </x:c>
      <x:c r="H20" s="6" t="n">
        <x:v>0.1</x:v>
      </x:c>
      <x:c r="I20" s="6" t="n">
        <x:v>0</x:v>
      </x:c>
      <x:c r="J20" s="5" t="n">
        <x:v>3</x:v>
      </x:c>
      <x:c r="K20" s="5" t="n">
        <x:v>0</x:v>
      </x:c>
      <x:c r="L20" s="2"/>
    </x:row>
    <x:row r="21" ht="32" customHeight="1">
      <x:c r="A21" s="2" t="n">
        <x:v>9</x:v>
      </x:c>
      <x:c r="B21" s="12" t="str">
        <x:v>Turkey 50% mix</x:v>
      </x:c>
      <x:c r="C21" s="5" t="str">
        <x:v>H1 2026</x:v>
      </x:c>
      <x:c r="D21" s="5" t="str">
        <x:v>Reported</x:v>
      </x:c>
      <x:c r="E21" s="5" t="str">
        <x:v>Eligible</x:v>
      </x:c>
      <x:c r="F21" s="5" t="n">
        <x:v>1</x:v>
      </x:c>
      <x:c r="G21" s="5" t="n">
        <x:v>3</x:v>
      </x:c>
      <x:c r="H21" s="6" t="n">
        <x:v>0.1</x:v>
      </x:c>
      <x:c r="I21" s="6" t="n">
        <x:v>0</x:v>
      </x:c>
      <x:c r="J21" s="5" t="n">
        <x:v>4</x:v>
      </x:c>
      <x:c r="K21" s="5" t="n">
        <x:v>0</x:v>
      </x:c>
      <x:c r="L21" s="2"/>
    </x:row>
    <x:row r="22" ht="32" customHeight="1">
      <x:c r="A22" s="2" t="n">
        <x:v>10</x:v>
      </x:c>
      <x:c r="B22" s="12" t="str">
        <x:v>Synthetic pair only</x:v>
      </x:c>
      <x:c r="C22" s="5" t="str">
        <x:v>H1 2026</x:v>
      </x:c>
      <x:c r="D22" s="5" t="str">
        <x:v>Reported</x:v>
      </x:c>
      <x:c r="E22" s="5" t="str">
        <x:v>Eligible</x:v>
      </x:c>
      <x:c r="F22" s="5" t="n">
        <x:v>1</x:v>
      </x:c>
      <x:c r="G22" s="5" t="n">
        <x:v>3</x:v>
      </x:c>
      <x:c r="H22" s="6" t="n">
        <x:v>0.1</x:v>
      </x:c>
      <x:c r="I22" s="6" t="n">
        <x:v>0</x:v>
      </x:c>
      <x:c r="J22" s="5" t="n">
        <x:v>5</x:v>
      </x:c>
      <x:c r="K22" s="5" t="n">
        <x:v>0</x:v>
      </x:c>
      <x:c r="L22" s="2"/>
    </x:row>
    <x:row r="23" ht="32" customHeight="1">
      <x:c r="A23" s="2" t="n">
        <x:v>11</x:v>
      </x:c>
      <x:c r="B23" s="12" t="str">
        <x:v>Synthetic, Turkey-led knitwear</x:v>
      </x:c>
      <x:c r="C23" s="5" t="str">
        <x:v>H1 2026</x:v>
      </x:c>
      <x:c r="D23" s="5" t="str">
        <x:v>Reported</x:v>
      </x:c>
      <x:c r="E23" s="5" t="str">
        <x:v>Eligible</x:v>
      </x:c>
      <x:c r="F23" s="5" t="n">
        <x:v>1</x:v>
      </x:c>
      <x:c r="G23" s="5" t="n">
        <x:v>3</x:v>
      </x:c>
      <x:c r="H23" s="6" t="n">
        <x:v>0.1</x:v>
      </x:c>
      <x:c r="I23" s="6" t="n">
        <x:v>0</x:v>
      </x:c>
      <x:c r="J23" s="5" t="n">
        <x:v>6</x:v>
      </x:c>
      <x:c r="K23" s="5" t="n">
        <x:v>0</x:v>
      </x:c>
      <x:c r="L23" s="2"/>
    </x:row>
    <x:row r="24" ht="32" customHeight="1">
      <x:c r="A24" s="2" t="n">
        <x:v>12</x:v>
      </x:c>
      <x:c r="B24" s="12" t="str">
        <x:v>MFN on whole benchmark</x:v>
      </x:c>
      <x:c r="C24" s="5" t="str">
        <x:v>H1 2026</x:v>
      </x:c>
      <x:c r="D24" s="5" t="str">
        <x:v>Reported</x:v>
      </x:c>
      <x:c r="E24" s="5" t="str">
        <x:v>MFN all</x:v>
      </x:c>
      <x:c r="F24" s="5" t="n">
        <x:v>1</x:v>
      </x:c>
      <x:c r="G24" s="5" t="n">
        <x:v>3</x:v>
      </x:c>
      <x:c r="H24" s="6" t="n">
        <x:v>0.1</x:v>
      </x:c>
      <x:c r="I24" s="6" t="n">
        <x:v>0</x:v>
      </x:c>
      <x:c r="J24" s="5" t="n">
        <x:v>1</x:v>
      </x:c>
      <x:c r="K24" s="5" t="n">
        <x:v>0</x:v>
      </x:c>
      <x:c r="L24" s="2"/>
    </x:row>
    <x:row r="25" ht="32" customHeight="1">
      <x:c r="A25" s="2" t="n">
        <x:v>13</x:v>
      </x:c>
      <x:c r="B25" s="12" t="str">
        <x:v>MFN on transferred volume</x:v>
      </x:c>
      <x:c r="C25" s="5" t="str">
        <x:v>H1 2026</x:v>
      </x:c>
      <x:c r="D25" s="5" t="str">
        <x:v>Reported</x:v>
      </x:c>
      <x:c r="E25" s="5" t="str">
        <x:v>MFN increment</x:v>
      </x:c>
      <x:c r="F25" s="5" t="n">
        <x:v>1</x:v>
      </x:c>
      <x:c r="G25" s="5" t="n">
        <x:v>3</x:v>
      </x:c>
      <x:c r="H25" s="6" t="n">
        <x:v>0.1</x:v>
      </x:c>
      <x:c r="I25" s="6" t="n">
        <x:v>0</x:v>
      </x:c>
      <x:c r="J25" s="5" t="n">
        <x:v>1</x:v>
      </x:c>
      <x:c r="K25" s="5" t="n">
        <x:v>0</x:v>
      </x:c>
      <x:c r="L25" s="2"/>
    </x:row>
    <x:row r="26" ht="32" customHeight="1">
      <x:c r="A26" s="2" t="n">
        <x:v>14</x:v>
      </x:c>
      <x:c r="B26" s="12" t="str">
        <x:v>Receiver premium 2%</x:v>
      </x:c>
      <x:c r="C26" s="5" t="str">
        <x:v>H1 2026</x:v>
      </x:c>
      <x:c r="D26" s="5" t="str">
        <x:v>Reported</x:v>
      </x:c>
      <x:c r="E26" s="5" t="str">
        <x:v>Eligible</x:v>
      </x:c>
      <x:c r="F26" s="5" t="n">
        <x:v>1</x:v>
      </x:c>
      <x:c r="G26" s="5" t="n">
        <x:v>3</x:v>
      </x:c>
      <x:c r="H26" s="6" t="n">
        <x:v>0.1</x:v>
      </x:c>
      <x:c r="I26" s="6" t="n">
        <x:v>0.02</x:v>
      </x:c>
      <x:c r="J26" s="5" t="n">
        <x:v>1</x:v>
      </x:c>
      <x:c r="K26" s="5" t="n">
        <x:v>0</x:v>
      </x:c>
      <x:c r="L26" s="2"/>
    </x:row>
    <x:row r="27" ht="32" customHeight="1">
      <x:c r="A27" s="2" t="n">
        <x:v>15</x:v>
      </x:c>
      <x:c r="B27" s="12" t="str">
        <x:v>Receiver premium 5%</x:v>
      </x:c>
      <x:c r="C27" s="5" t="str">
        <x:v>H1 2026</x:v>
      </x:c>
      <x:c r="D27" s="5" t="str">
        <x:v>Reported</x:v>
      </x:c>
      <x:c r="E27" s="5" t="str">
        <x:v>Eligible</x:v>
      </x:c>
      <x:c r="F27" s="5" t="n">
        <x:v>1</x:v>
      </x:c>
      <x:c r="G27" s="5" t="n">
        <x:v>3</x:v>
      </x:c>
      <x:c r="H27" s="6" t="n">
        <x:v>0.1</x:v>
      </x:c>
      <x:c r="I27" s="6" t="n">
        <x:v>0.05</x:v>
      </x:c>
      <x:c r="J27" s="5" t="n">
        <x:v>1</x:v>
      </x:c>
      <x:c r="K27" s="5" t="n">
        <x:v>0</x:v>
      </x:c>
      <x:c r="L27" s="2"/>
    </x:row>
    <x:row r="28" ht="32" customHeight="1">
      <x:c r="A28" s="2" t="n">
        <x:v>16</x:v>
      </x:c>
      <x:c r="B28" s="12" t="str">
        <x:v>H1 2026 common months</x:v>
      </x:c>
      <x:c r="C28" s="5" t="str">
        <x:v>H1 2026</x:v>
      </x:c>
      <x:c r="D28" s="5" t="str">
        <x:v>Common</x:v>
      </x:c>
      <x:c r="E28" s="5" t="str">
        <x:v>Eligible</x:v>
      </x:c>
      <x:c r="F28" s="5" t="n">
        <x:v>1</x:v>
      </x:c>
      <x:c r="G28" s="5" t="n">
        <x:v>3</x:v>
      </x:c>
      <x:c r="H28" s="6" t="n">
        <x:v>0.1</x:v>
      </x:c>
      <x:c r="I28" s="6" t="n">
        <x:v>0</x:v>
      </x:c>
      <x:c r="J28" s="5" t="n">
        <x:v>1</x:v>
      </x:c>
      <x:c r="K28" s="5" t="n">
        <x:v>0</x:v>
      </x:c>
      <x:c r="L28" s="2"/>
    </x:row>
    <x:row r="29" ht="32" customHeight="1">
      <x:c r="A29" s="2" t="n">
        <x:v>17</x:v>
      </x:c>
      <x:c r="B29" s="12" t="str">
        <x:v>FY2025 reported prices</x:v>
      </x:c>
      <x:c r="C29" s="5" t="str">
        <x:v>FY2025</x:v>
      </x:c>
      <x:c r="D29" s="5" t="str">
        <x:v>Reported</x:v>
      </x:c>
      <x:c r="E29" s="5" t="str">
        <x:v>Eligible</x:v>
      </x:c>
      <x:c r="F29" s="5" t="n">
        <x:v>1</x:v>
      </x:c>
      <x:c r="G29" s="5" t="n">
        <x:v>3</x:v>
      </x:c>
      <x:c r="H29" s="6" t="n">
        <x:v>0.1</x:v>
      </x:c>
      <x:c r="I29" s="6" t="n">
        <x:v>0</x:v>
      </x:c>
      <x:c r="J29" s="5" t="n">
        <x:v>1</x:v>
      </x:c>
      <x:c r="K29" s="5" t="n">
        <x:v>0</x:v>
      </x:c>
      <x:c r="L29" s="2"/>
    </x:row>
    <x:row r="30" ht="32" customHeight="1">
      <x:c r="A30" s="2" t="n">
        <x:v>18</x:v>
      </x:c>
      <x:c r="B30" s="12" t="str">
        <x:v>FY2025 common months</x:v>
      </x:c>
      <x:c r="C30" s="5" t="str">
        <x:v>FY2025</x:v>
      </x:c>
      <x:c r="D30" s="5" t="str">
        <x:v>Common</x:v>
      </x:c>
      <x:c r="E30" s="5" t="str">
        <x:v>Eligible</x:v>
      </x:c>
      <x:c r="F30" s="5" t="n">
        <x:v>1</x:v>
      </x:c>
      <x:c r="G30" s="5" t="n">
        <x:v>3</x:v>
      </x:c>
      <x:c r="H30" s="6" t="n">
        <x:v>0.1</x:v>
      </x:c>
      <x:c r="I30" s="6" t="n">
        <x:v>0</x:v>
      </x:c>
      <x:c r="J30" s="5" t="n">
        <x:v>1</x:v>
      </x:c>
      <x:c r="K30" s="5" t="n">
        <x:v>0</x:v>
      </x:c>
      <x:c r="L30" s="2"/>
    </x:row>
    <x:row r="31" ht="32" customHeight="1">
      <x:c r="A31" s="2" t="n">
        <x:v>19</x:v>
      </x:c>
      <x:c r="B31" s="12" t="str">
        <x:v>H1 2025 reported prices</x:v>
      </x:c>
      <x:c r="C31" s="5" t="str">
        <x:v>H1 2025</x:v>
      </x:c>
      <x:c r="D31" s="5" t="str">
        <x:v>Reported</x:v>
      </x:c>
      <x:c r="E31" s="5" t="str">
        <x:v>Eligible</x:v>
      </x:c>
      <x:c r="F31" s="5" t="n">
        <x:v>1</x:v>
      </x:c>
      <x:c r="G31" s="5" t="n">
        <x:v>3</x:v>
      </x:c>
      <x:c r="H31" s="6" t="n">
        <x:v>0.1</x:v>
      </x:c>
      <x:c r="I31" s="6" t="n">
        <x:v>0</x:v>
      </x:c>
      <x:c r="J31" s="5" t="n">
        <x:v>1</x:v>
      </x:c>
      <x:c r="K31" s="5" t="n">
        <x:v>0</x:v>
      </x:c>
      <x:c r="L31" s="2"/>
    </x:row>
    <x:row r="32" ht="32" customHeight="1">
      <x:c r="A32" s="2" t="n">
        <x:v>20</x:v>
      </x:c>
      <x:c r="B32" s="12" t="str">
        <x:v>H1 2025 common months</x:v>
      </x:c>
      <x:c r="C32" s="5" t="str">
        <x:v>H1 2025</x:v>
      </x:c>
      <x:c r="D32" s="5" t="str">
        <x:v>Common</x:v>
      </x:c>
      <x:c r="E32" s="5" t="str">
        <x:v>Eligible</x:v>
      </x:c>
      <x:c r="F32" s="5" t="n">
        <x:v>1</x:v>
      </x:c>
      <x:c r="G32" s="5" t="n">
        <x:v>3</x:v>
      </x:c>
      <x:c r="H32" s="6" t="n">
        <x:v>0.1</x:v>
      </x:c>
      <x:c r="I32" s="6" t="n">
        <x:v>0</x:v>
      </x:c>
      <x:c r="J32" s="5" t="n">
        <x:v>1</x:v>
      </x:c>
      <x:c r="K32" s="5" t="n">
        <x:v>0</x:v>
      </x:c>
      <x:c r="L32" s="2"/>
    </x:row>
    <x:row r="33" ht="32" customHeight="1">
      <x:c r="A33" s="2" t="n">
        <x:v>21</x:v>
      </x:c>
      <x:c r="B33" s="12" t="str">
        <x:v>Operating stress low</x:v>
      </x:c>
      <x:c r="C33" s="5" t="str">
        <x:v>H1 2026</x:v>
      </x:c>
      <x:c r="D33" s="5" t="str">
        <x:v>Reported</x:v>
      </x:c>
      <x:c r="E33" s="5" t="str">
        <x:v>Eligible</x:v>
      </x:c>
      <x:c r="F33" s="5" t="n">
        <x:v>1</x:v>
      </x:c>
      <x:c r="G33" s="5" t="n">
        <x:v>3</x:v>
      </x:c>
      <x:c r="H33" s="6" t="n">
        <x:v>0.1</x:v>
      </x:c>
      <x:c r="I33" s="6" t="n">
        <x:v>0</x:v>
      </x:c>
      <x:c r="J33" s="5" t="n">
        <x:v>1</x:v>
      </x:c>
      <x:c r="K33" s="5" t="n">
        <x:v>1</x:v>
      </x:c>
      <x:c r="L33" s="2"/>
    </x:row>
    <x:row r="34" ht="32" customHeight="1">
      <x:c r="A34" s="2" t="n">
        <x:v>22</x:v>
      </x:c>
      <x:c r="B34" s="12" t="str">
        <x:v>Operating stress central</x:v>
      </x:c>
      <x:c r="C34" s="5" t="str">
        <x:v>H1 2026</x:v>
      </x:c>
      <x:c r="D34" s="5" t="str">
        <x:v>Reported</x:v>
      </x:c>
      <x:c r="E34" s="5" t="str">
        <x:v>Eligible</x:v>
      </x:c>
      <x:c r="F34" s="5" t="n">
        <x:v>1</x:v>
      </x:c>
      <x:c r="G34" s="5" t="n">
        <x:v>3</x:v>
      </x:c>
      <x:c r="H34" s="6" t="n">
        <x:v>0.1</x:v>
      </x:c>
      <x:c r="I34" s="6" t="n">
        <x:v>0</x:v>
      </x:c>
      <x:c r="J34" s="5" t="n">
        <x:v>1</x:v>
      </x:c>
      <x:c r="K34" s="5" t="n">
        <x:v>2</x:v>
      </x:c>
      <x:c r="L34" s="2"/>
    </x:row>
    <x:row r="35" ht="32" customHeight="1">
      <x:c r="A35" s="2" t="n">
        <x:v>23</x:v>
      </x:c>
      <x:c r="B35" s="12" t="str">
        <x:v>Operating stress high</x:v>
      </x:c>
      <x:c r="C35" s="5" t="str">
        <x:v>H1 2026</x:v>
      </x:c>
      <x:c r="D35" s="5" t="str">
        <x:v>Reported</x:v>
      </x:c>
      <x:c r="E35" s="5" t="str">
        <x:v>Eligible</x:v>
      </x:c>
      <x:c r="F35" s="5" t="n">
        <x:v>1</x:v>
      </x:c>
      <x:c r="G35" s="5" t="n">
        <x:v>3</x:v>
      </x:c>
      <x:c r="H35" s="6" t="n">
        <x:v>0.1</x:v>
      </x:c>
      <x:c r="I35" s="6" t="n">
        <x:v>0</x:v>
      </x:c>
      <x:c r="J35" s="5" t="n">
        <x:v>1</x:v>
      </x:c>
      <x:c r="K35" s="5" t="n">
        <x:v>3</x:v>
      </x:c>
      <x:c r="L35" s="2"/>
    </x:row>
    <x:row r="36" ht="32" customHeight="1">
      <x:c r="A36" s="2" t="n">
        <x:v>24</x:v>
      </x:c>
      <x:c r="B36" s="12" t="str">
        <x:v>Synthetic mix, increment MFN</x:v>
      </x:c>
      <x:c r="C36" s="5" t="str">
        <x:v>H1 2026</x:v>
      </x:c>
      <x:c r="D36" s="5" t="str">
        <x:v>Reported</x:v>
      </x:c>
      <x:c r="E36" s="5" t="str">
        <x:v>MFN increment</x:v>
      </x:c>
      <x:c r="F36" s="5" t="n">
        <x:v>1</x:v>
      </x:c>
      <x:c r="G36" s="5" t="n">
        <x:v>3</x:v>
      </x:c>
      <x:c r="H36" s="6" t="n">
        <x:v>0.1</x:v>
      </x:c>
      <x:c r="I36" s="6" t="n">
        <x:v>0</x:v>
      </x:c>
      <x:c r="J36" s="5" t="n">
        <x:v>6</x:v>
      </x:c>
      <x:c r="K36" s="5" t="n">
        <x:v>0</x:v>
      </x:c>
      <x:c r="L36" s="2"/>
    </x:row>
    <x:row r="37" ht="32" customHeight="1">
      <x:c r="A37" s="2" t="n">
        <x:v>25</x:v>
      </x:c>
      <x:c r="B37" s="12" t="str">
        <x:v>Presence mix, common months</x:v>
      </x:c>
      <x:c r="C37" s="5" t="str">
        <x:v>H1 2026</x:v>
      </x:c>
      <x:c r="D37" s="5" t="str">
        <x:v>Common</x:v>
      </x:c>
      <x:c r="E37" s="5" t="str">
        <x:v>Eligible</x:v>
      </x:c>
      <x:c r="F37" s="5" t="n">
        <x:v>1</x:v>
      </x:c>
      <x:c r="G37" s="5" t="n">
        <x:v>3</x:v>
      </x:c>
      <x:c r="H37" s="6" t="n">
        <x:v>0.1</x:v>
      </x:c>
      <x:c r="I37" s="6" t="n">
        <x:v>0</x:v>
      </x:c>
      <x:c r="J37" s="5" t="n">
        <x:v>3</x:v>
      </x:c>
      <x:c r="K37" s="5" t="n">
        <x:v>0</x:v>
      </x:c>
      <x:c r="L37" s="2"/>
    </x:row>
    <x:row r="38" ht="32" customHeight="1">
      <x:c r="A38" s="2" t="n">
        <x:v>26</x:v>
      </x:c>
      <x:c r="B38" s="12" t="str">
        <x:v>Synthetic mix, common months</x:v>
      </x:c>
      <x:c r="C38" s="5" t="str">
        <x:v>H1 2026</x:v>
      </x:c>
      <x:c r="D38" s="5" t="str">
        <x:v>Common</x:v>
      </x:c>
      <x:c r="E38" s="5" t="str">
        <x:v>Eligible</x:v>
      </x:c>
      <x:c r="F38" s="5" t="n">
        <x:v>1</x:v>
      </x:c>
      <x:c r="G38" s="5" t="n">
        <x:v>3</x:v>
      </x:c>
      <x:c r="H38" s="6" t="n">
        <x:v>0.1</x:v>
      </x:c>
      <x:c r="I38" s="6" t="n">
        <x:v>0</x:v>
      </x:c>
      <x:c r="J38" s="5" t="n">
        <x:v>6</x:v>
      </x:c>
      <x:c r="K38" s="5" t="n">
        <x:v>0</x:v>
      </x:c>
      <x:c r="L38" s="2"/>
    </x:row>
    <x:row r="39" ht="23" customHeight="1">
      <x:c r="A39" s="2"/>
      <x:c r="B39" s="2"/>
      <x:c r="C39" s="2"/>
      <x:c r="D39" s="2"/>
      <x:c r="E39" s="2"/>
      <x:c r="F39" s="2"/>
      <x:c r="G39" s="2"/>
      <x:c r="H39" s="2"/>
      <x:c r="I39" s="2"/>
      <x:c r="J39" s="2"/>
      <x:c r="K39" s="2"/>
      <x:c r="L39" s="2"/>
    </x:row>
    <x:row r="40" ht="23" customHeight="1">
      <x:c r="A40" s="2"/>
      <x:c r="B40" s="2"/>
      <x:c r="C40" s="2"/>
      <x:c r="D40" s="2"/>
      <x:c r="E40" s="2"/>
      <x:c r="F40" s="2"/>
      <x:c r="G40" s="2"/>
      <x:c r="H40" s="2"/>
      <x:c r="I40" s="2"/>
      <x:c r="J40" s="2"/>
      <x:c r="K40" s="2"/>
      <x:c r="L40" s="2"/>
    </x:row>
    <x:row r="41" ht="42" customHeight="1">
      <x:c r="A41" s="11" t="str">
        <x:v>Set</x:v>
      </x:c>
      <x:c r="B41" s="11" t="str">
        <x:v>Description</x:v>
      </x:c>
      <x:c r="C41" s="11" t="str">
        <x:v>Inland / handling £/kg</x:v>
      </x:c>
      <x:c r="D41" s="11" t="str">
        <x:v>Transition £/kg</x:v>
      </x:c>
      <x:c r="E41" s="11" t="str">
        <x:v>Annual carry rate</x:v>
      </x:c>
      <x:c r="F41" s="11" t="str">
        <x:v>Extra days</x:v>
      </x:c>
      <x:c r="G41" s="2"/>
      <x:c r="H41" s="2"/>
      <x:c r="I41" s="2"/>
      <x:c r="J41" s="2"/>
      <x:c r="K41" s="2"/>
      <x:c r="L41" s="2"/>
    </x:row>
    <x:row r="42" ht="23" customHeight="1">
      <x:c r="A42" s="2" t="n">
        <x:v>0</x:v>
      </x:c>
      <x:c r="B42" s="2" t="str">
        <x:v>Excluded from initial cost</x:v>
      </x:c>
      <x:c r="C42" s="15" t="n">
        <x:v>0</x:v>
      </x:c>
      <x:c r="D42" s="15" t="n">
        <x:v>0</x:v>
      </x:c>
      <x:c r="E42" s="6" t="n">
        <x:v>0.15</x:v>
      </x:c>
      <x:c r="F42" s="5" t="n">
        <x:v>0</x:v>
      </x:c>
      <x:c r="G42" s="2"/>
      <x:c r="H42" s="2"/>
      <x:c r="I42" s="2"/>
      <x:c r="J42" s="2"/>
      <x:c r="K42" s="2"/>
      <x:c r="L42" s="2"/>
    </x:row>
    <x:row r="43" ht="23" customHeight="1">
      <x:c r="A43" s="2" t="n">
        <x:v>1</x:v>
      </x:c>
      <x:c r="B43" s="2" t="str">
        <x:v>Low stress</x:v>
      </x:c>
      <x:c r="C43" s="15" t="n">
        <x:v>0.1</x:v>
      </x:c>
      <x:c r="D43" s="15" t="n">
        <x:v>0.05</x:v>
      </x:c>
      <x:c r="E43" s="6" t="n">
        <x:v>0.1</x:v>
      </x:c>
      <x:c r="F43" s="5" t="n">
        <x:v>7</x:v>
      </x:c>
      <x:c r="G43" s="2"/>
      <x:c r="H43" s="2"/>
      <x:c r="I43" s="2"/>
      <x:c r="J43" s="2"/>
      <x:c r="K43" s="2"/>
      <x:c r="L43" s="2"/>
    </x:row>
    <x:row r="44" ht="23" customHeight="1">
      <x:c r="A44" s="2" t="n">
        <x:v>2</x:v>
      </x:c>
      <x:c r="B44" s="2" t="str">
        <x:v>Central stress</x:v>
      </x:c>
      <x:c r="C44" s="15" t="n">
        <x:v>0.25</x:v>
      </x:c>
      <x:c r="D44" s="15" t="n">
        <x:v>0.1</x:v>
      </x:c>
      <x:c r="E44" s="6" t="n">
        <x:v>0.15</x:v>
      </x:c>
      <x:c r="F44" s="5" t="n">
        <x:v>14</x:v>
      </x:c>
      <x:c r="G44" s="2"/>
      <x:c r="H44" s="2"/>
      <x:c r="I44" s="2"/>
      <x:c r="J44" s="2"/>
      <x:c r="K44" s="2"/>
      <x:c r="L44" s="2"/>
    </x:row>
    <x:row r="45" ht="23" customHeight="1">
      <x:c r="A45" s="2" t="n">
        <x:v>3</x:v>
      </x:c>
      <x:c r="B45" s="2" t="str">
        <x:v>High stress</x:v>
      </x:c>
      <x:c r="C45" s="15" t="n">
        <x:v>0.5</x:v>
      </x:c>
      <x:c r="D45" s="15" t="n">
        <x:v>0.25</x:v>
      </x:c>
      <x:c r="E45" s="6" t="n">
        <x:v>0.2</x:v>
      </x:c>
      <x:c r="F45" s="5" t="n">
        <x:v>28</x:v>
      </x:c>
      <x:c r="G45" s="2"/>
      <x:c r="H45" s="2"/>
      <x:c r="I45" s="2"/>
      <x:c r="J45" s="2"/>
      <x:c r="K45" s="2"/>
      <x:c r="L45" s="2"/>
    </x:row>
    <x:row r="46" ht="23" customHeight="1">
      <x:c r="A46" s="2"/>
      <x:c r="B46" s="2"/>
      <x:c r="C46" s="2"/>
      <x:c r="D46" s="2"/>
      <x:c r="E46" s="2"/>
      <x:c r="F46" s="2"/>
      <x:c r="G46" s="2"/>
      <x:c r="H46" s="2"/>
      <x:c r="I46" s="2"/>
      <x:c r="J46" s="2"/>
      <x:c r="K46" s="2"/>
      <x:c r="L46" s="2"/>
    </x:row>
    <x:row r="47" ht="23" customHeight="1">
      <x:c r="A47" s="2" t="str">
        <x:v>Active operating set</x:v>
      </x:c>
      <x:c r="B47" s="2"/>
      <x:c r="C47" s="30" t="n">
        <x:f>INDEX(C42:C45,MATCH(K8,A42:A45,0))</x:f>
        <x:v>0</x:v>
      </x:c>
      <x:c r="D47" s="30" t="n">
        <x:f>INDEX(D42:D45,MATCH(K8,A42:A45,0))</x:f>
        <x:v>0</x:v>
      </x:c>
      <x:c r="E47" s="32" t="n">
        <x:f>INDEX(E42:E45,MATCH(K8,A42:A45,0))</x:f>
        <x:v>0.15</x:v>
      </x:c>
      <x:c r="F47" s="2" t="n">
        <x:f>INDEX(F42:F45,MATCH(K8,A42:A45,0))</x:f>
        <x:v>0</x:v>
      </x:c>
      <x:c r="G47" s="2"/>
      <x:c r="H47" s="2"/>
      <x:c r="I47" s="2"/>
      <x:c r="J47" s="2"/>
      <x:c r="K47" s="2"/>
      <x:c r="L47" s="2"/>
    </x:row>
    <x:row r="48" ht="23" customHeight="1">
      <x:c r="A48" s="2"/>
      <x:c r="B48" s="2"/>
      <x:c r="C48" s="2"/>
      <x:c r="D48" s="2"/>
      <x:c r="E48" s="2"/>
      <x:c r="F48" s="2"/>
      <x:c r="G48" s="2"/>
      <x:c r="H48" s="2"/>
      <x:c r="I48" s="2"/>
      <x:c r="J48" s="2"/>
      <x:c r="K48" s="2"/>
      <x:c r="L48" s="2"/>
    </x:row>
    <x:row r="49" ht="48" customHeight="1">
      <x:c r="A49" s="12" t="str">
        <x:v>Operating stresses are assumptions, not observed supplier costs. Inland/handling and transition additions apply per transferred kg. Extra days represent incremental cash tied up, not total transit time. International freight is already in border values. The 15% rate in set 0 is used only to illustrate a days threshold.</x:v>
      </x:c>
      <x:c r="B49" s="12"/>
      <x:c r="C49" s="12"/>
      <x:c r="D49" s="12"/>
      <x:c r="E49" s="12"/>
      <x:c r="F49" s="12"/>
      <x:c r="G49" s="12"/>
      <x:c r="H49" s="12"/>
      <x:c r="I49" s="12"/>
      <x:c r="J49" s="12"/>
      <x:c r="K49" s="12"/>
      <x:c r="L49" s="12"/>
    </x:row>
    <x:row r="50" ht="23" customHeight="1">
      <x:c r="A50" s="2"/>
      <x:c r="B50" s="2"/>
      <x:c r="C50" s="2"/>
      <x:c r="D50" s="2"/>
      <x:c r="E50" s="2"/>
      <x:c r="F50" s="2"/>
      <x:c r="G50" s="2"/>
      <x:c r="H50" s="2"/>
      <x:c r="I50" s="2"/>
      <x:c r="J50" s="2"/>
      <x:c r="K50" s="2"/>
      <x:c r="L50" s="2"/>
    </x:row>
    <x:row r="51" ht="42" customHeight="1">
      <x:c r="A51" s="11" t="str">
        <x:v>Mix ID</x:v>
      </x:c>
      <x:c r="B51" s="11" t="str">
        <x:v>CN8</x:v>
      </x:c>
      <x:c r="C51" s="11" t="str">
        <x:v>India weight</x:v>
      </x:c>
      <x:c r="D51" s="11" t="str">
        <x:v>Turkey weight</x:v>
      </x:c>
      <x:c r="E51" s="11" t="str">
        <x:v>Vietnam weight</x:v>
      </x:c>
      <x:c r="F51" s="11" t="str">
        <x:v>Apply requested shift</x:v>
      </x:c>
      <x:c r="G51" s="2"/>
      <x:c r="H51" s="2"/>
      <x:c r="I51" s="2"/>
      <x:c r="J51" s="2"/>
      <x:c r="K51" s="2"/>
      <x:c r="L51" s="2"/>
    </x:row>
    <x:row r="52" ht="23" customHeight="1">
      <x:c r="A52" s="2" t="n">
        <x:v>1</x:v>
      </x:c>
      <x:c r="B52" s="2" t="str">
        <x:v>61091000</x:v>
      </x:c>
      <x:c r="C52" s="6" t="n">
        <x:v>0.5</x:v>
      </x:c>
      <x:c r="D52" s="6" t="n">
        <x:v>0.25</x:v>
      </x:c>
      <x:c r="E52" s="6" t="n">
        <x:v>0.25</x:v>
      </x:c>
      <x:c r="F52" s="5" t="n">
        <x:v>1</x:v>
      </x:c>
      <x:c r="G52" s="2"/>
      <x:c r="H52" s="2"/>
      <x:c r="I52" s="2"/>
      <x:c r="J52" s="2"/>
      <x:c r="K52" s="2"/>
      <x:c r="L52" s="2"/>
    </x:row>
    <x:row r="53" ht="23" customHeight="1">
      <x:c r="A53" s="2" t="n">
        <x:v>1</x:v>
      </x:c>
      <x:c r="B53" s="2" t="str">
        <x:v>61103099</x:v>
      </x:c>
      <x:c r="C53" s="6" t="n">
        <x:v>0.5</x:v>
      </x:c>
      <x:c r="D53" s="6" t="n">
        <x:v>0.25</x:v>
      </x:c>
      <x:c r="E53" s="6" t="n">
        <x:v>0.25</x:v>
      </x:c>
      <x:c r="F53" s="5" t="n">
        <x:v>1</x:v>
      </x:c>
      <x:c r="G53" s="2"/>
      <x:c r="H53" s="2"/>
      <x:c r="I53" s="2"/>
      <x:c r="J53" s="2"/>
      <x:c r="K53" s="2"/>
      <x:c r="L53" s="2"/>
    </x:row>
    <x:row r="54" ht="23" customHeight="1">
      <x:c r="A54" s="2" t="n">
        <x:v>1</x:v>
      </x:c>
      <x:c r="B54" s="2" t="str">
        <x:v>62044300</x:v>
      </x:c>
      <x:c r="C54" s="6" t="n">
        <x:v>0.5</x:v>
      </x:c>
      <x:c r="D54" s="6" t="n">
        <x:v>0.25</x:v>
      </x:c>
      <x:c r="E54" s="6" t="n">
        <x:v>0.25</x:v>
      </x:c>
      <x:c r="F54" s="5" t="n">
        <x:v>1</x:v>
      </x:c>
      <x:c r="G54" s="2"/>
      <x:c r="H54" s="2"/>
      <x:c r="I54" s="2"/>
      <x:c r="J54" s="2"/>
      <x:c r="K54" s="2"/>
      <x:c r="L54" s="2"/>
    </x:row>
    <x:row r="55" ht="23" customHeight="1">
      <x:c r="A55" s="2" t="n">
        <x:v>1</x:v>
      </x:c>
      <x:c r="B55" s="2" t="str">
        <x:v>62052000</x:v>
      </x:c>
      <x:c r="C55" s="6" t="n">
        <x:v>0.5</x:v>
      </x:c>
      <x:c r="D55" s="6" t="n">
        <x:v>0.25</x:v>
      </x:c>
      <x:c r="E55" s="6" t="n">
        <x:v>0.25</x:v>
      </x:c>
      <x:c r="F55" s="5" t="n">
        <x:v>1</x:v>
      </x:c>
      <x:c r="G55" s="2"/>
      <x:c r="H55" s="2"/>
      <x:c r="I55" s="2"/>
      <x:c r="J55" s="2"/>
      <x:c r="K55" s="2"/>
      <x:c r="L55" s="2"/>
    </x:row>
    <x:row r="56" ht="23" customHeight="1">
      <x:c r="A56" s="2" t="n">
        <x:v>2</x:v>
      </x:c>
      <x:c r="B56" s="2" t="str">
        <x:v>61091000</x:v>
      </x:c>
      <x:c r="C56" s="6" t="n">
        <x:v>0.3333333333333333</x:v>
      </x:c>
      <x:c r="D56" s="6" t="n">
        <x:v>0.3333333333333333</x:v>
      </x:c>
      <x:c r="E56" s="6" t="n">
        <x:v>0.3333333333333333</x:v>
      </x:c>
      <x:c r="F56" s="5" t="n">
        <x:v>1</x:v>
      </x:c>
      <x:c r="G56" s="2"/>
      <x:c r="H56" s="2"/>
      <x:c r="I56" s="2"/>
      <x:c r="J56" s="2"/>
      <x:c r="K56" s="2"/>
      <x:c r="L56" s="2"/>
    </x:row>
    <x:row r="57" ht="23" customHeight="1">
      <x:c r="A57" s="2" t="n">
        <x:v>2</x:v>
      </x:c>
      <x:c r="B57" s="2" t="str">
        <x:v>61103099</x:v>
      </x:c>
      <x:c r="C57" s="6" t="n">
        <x:v>0.3333333333333333</x:v>
      </x:c>
      <x:c r="D57" s="6" t="n">
        <x:v>0.3333333333333333</x:v>
      </x:c>
      <x:c r="E57" s="6" t="n">
        <x:v>0.3333333333333333</x:v>
      </x:c>
      <x:c r="F57" s="5" t="n">
        <x:v>1</x:v>
      </x:c>
      <x:c r="G57" s="2"/>
      <x:c r="H57" s="2"/>
      <x:c r="I57" s="2"/>
      <x:c r="J57" s="2"/>
      <x:c r="K57" s="2"/>
      <x:c r="L57" s="2"/>
    </x:row>
    <x:row r="58" ht="23" customHeight="1">
      <x:c r="A58" s="2" t="n">
        <x:v>2</x:v>
      </x:c>
      <x:c r="B58" s="2" t="str">
        <x:v>62044300</x:v>
      </x:c>
      <x:c r="C58" s="6" t="n">
        <x:v>0.3333333333333333</x:v>
      </x:c>
      <x:c r="D58" s="6" t="n">
        <x:v>0.3333333333333333</x:v>
      </x:c>
      <x:c r="E58" s="6" t="n">
        <x:v>0.3333333333333333</x:v>
      </x:c>
      <x:c r="F58" s="5" t="n">
        <x:v>1</x:v>
      </x:c>
      <x:c r="G58" s="2"/>
      <x:c r="H58" s="2"/>
      <x:c r="I58" s="2"/>
      <x:c r="J58" s="2"/>
      <x:c r="K58" s="2"/>
      <x:c r="L58" s="2"/>
    </x:row>
    <x:row r="59" ht="23" customHeight="1">
      <x:c r="A59" s="2" t="n">
        <x:v>2</x:v>
      </x:c>
      <x:c r="B59" s="2" t="str">
        <x:v>62052000</x:v>
      </x:c>
      <x:c r="C59" s="6" t="n">
        <x:v>0.3333333333333333</x:v>
      </x:c>
      <x:c r="D59" s="6" t="n">
        <x:v>0.3333333333333333</x:v>
      </x:c>
      <x:c r="E59" s="6" t="n">
        <x:v>0.3333333333333333</x:v>
      </x:c>
      <x:c r="F59" s="5" t="n">
        <x:v>1</x:v>
      </x:c>
      <x:c r="G59" s="2"/>
      <x:c r="H59" s="2"/>
      <x:c r="I59" s="2"/>
      <x:c r="J59" s="2"/>
      <x:c r="K59" s="2"/>
      <x:c r="L59" s="2"/>
    </x:row>
    <x:row r="60" ht="23" customHeight="1">
      <x:c r="A60" s="2" t="n">
        <x:v>3</x:v>
      </x:c>
      <x:c r="B60" s="2" t="str">
        <x:v>61091000</x:v>
      </x:c>
      <x:c r="C60" s="6" t="n">
        <x:f>'Model'!D9/SUM('Model'!D9,'Model'!D14,'Model'!D15)</x:f>
        <x:v>0.5591970096677155</x:v>
      </x:c>
      <x:c r="D60" s="6" t="n">
        <x:f>'Model'!D14/SUM('Model'!D9,'Model'!D14,'Model'!D15)</x:f>
        <x:v>0.35621575722244825</x:v>
      </x:c>
      <x:c r="E60" s="6" t="n">
        <x:f>'Model'!D15/SUM('Model'!D9,'Model'!D14,'Model'!D15)</x:f>
        <x:v>0.08458723310983628</x:v>
      </x:c>
      <x:c r="F60" s="5" t="n">
        <x:v>1</x:v>
      </x:c>
      <x:c r="G60" s="2"/>
      <x:c r="H60" s="2"/>
      <x:c r="I60" s="2"/>
      <x:c r="J60" s="2"/>
      <x:c r="K60" s="2"/>
      <x:c r="L60" s="2"/>
    </x:row>
    <x:row r="61" ht="23" customHeight="1">
      <x:c r="A61" s="2" t="n">
        <x:v>3</x:v>
      </x:c>
      <x:c r="B61" s="2" t="str">
        <x:v>61103099</x:v>
      </x:c>
      <x:c r="C61" s="6" t="n">
        <x:f>'Model'!D19/SUM('Model'!D19,'Model'!D24,'Model'!D25)</x:f>
        <x:v>0.020125363150035717</x:v>
      </x:c>
      <x:c r="D61" s="6" t="n">
        <x:f>'Model'!D24/SUM('Model'!D19,'Model'!D24,'Model'!D25)</x:f>
        <x:v>0.9296900284649403</x:v>
      </x:c>
      <x:c r="E61" s="6" t="n">
        <x:f>'Model'!D25/SUM('Model'!D19,'Model'!D24,'Model'!D25)</x:f>
        <x:v>0.05018460838502393</x:v>
      </x:c>
      <x:c r="F61" s="5" t="n">
        <x:v>1</x:v>
      </x:c>
      <x:c r="G61" s="2"/>
      <x:c r="H61" s="2"/>
      <x:c r="I61" s="2"/>
      <x:c r="J61" s="2"/>
      <x:c r="K61" s="2"/>
      <x:c r="L61" s="2"/>
    </x:row>
    <x:row r="62" ht="23" customHeight="1">
      <x:c r="A62" s="2" t="n">
        <x:v>3</x:v>
      </x:c>
      <x:c r="B62" s="2" t="str">
        <x:v>62044300</x:v>
      </x:c>
      <x:c r="C62" s="6" t="n">
        <x:f>'Model'!D29/SUM('Model'!D29,'Model'!D34,'Model'!D35)</x:f>
        <x:v>0.6869136818660501</x:v>
      </x:c>
      <x:c r="D62" s="6" t="n">
        <x:f>'Model'!D34/SUM('Model'!D29,'Model'!D34,'Model'!D35)</x:f>
        <x:v>0.15452600853203663</x:v>
      </x:c>
      <x:c r="E62" s="6" t="n">
        <x:f>'Model'!D35/SUM('Model'!D29,'Model'!D34,'Model'!D35)</x:f>
        <x:v>0.15856030960191322</x:v>
      </x:c>
      <x:c r="F62" s="5" t="n">
        <x:v>1</x:v>
      </x:c>
      <x:c r="G62" s="2"/>
      <x:c r="H62" s="2"/>
      <x:c r="I62" s="2"/>
      <x:c r="J62" s="2"/>
      <x:c r="K62" s="2"/>
      <x:c r="L62" s="2"/>
    </x:row>
    <x:row r="63" ht="23" customHeight="1">
      <x:c r="A63" s="2" t="n">
        <x:v>3</x:v>
      </x:c>
      <x:c r="B63" s="2" t="str">
        <x:v>62052000</x:v>
      </x:c>
      <x:c r="C63" s="6" t="n">
        <x:f>'Model'!D39/SUM('Model'!D39,'Model'!D44,'Model'!D45)</x:f>
        <x:v>0.6434507385755575</x:v>
      </x:c>
      <x:c r="D63" s="6" t="n">
        <x:f>'Model'!D44/SUM('Model'!D39,'Model'!D44,'Model'!D45)</x:f>
        <x:v>0.1562101864457371</x:v>
      </x:c>
      <x:c r="E63" s="6" t="n">
        <x:f>'Model'!D45/SUM('Model'!D39,'Model'!D44,'Model'!D45)</x:f>
        <x:v>0.20033907497870546</x:v>
      </x:c>
      <x:c r="F63" s="5" t="n">
        <x:v>1</x:v>
      </x:c>
      <x:c r="G63" s="2"/>
      <x:c r="H63" s="2"/>
      <x:c r="I63" s="2"/>
      <x:c r="J63" s="2"/>
      <x:c r="K63" s="2"/>
      <x:c r="L63" s="2"/>
    </x:row>
    <x:row r="64" ht="23" customHeight="1">
      <x:c r="A64" s="2" t="n">
        <x:v>4</x:v>
      </x:c>
      <x:c r="B64" s="2" t="str">
        <x:v>61091000</x:v>
      </x:c>
      <x:c r="C64" s="6" t="n">
        <x:v>0.25</x:v>
      </x:c>
      <x:c r="D64" s="6" t="n">
        <x:v>0.5</x:v>
      </x:c>
      <x:c r="E64" s="6" t="n">
        <x:v>0.25</x:v>
      </x:c>
      <x:c r="F64" s="5" t="n">
        <x:v>1</x:v>
      </x:c>
      <x:c r="G64" s="2"/>
      <x:c r="H64" s="2"/>
      <x:c r="I64" s="2"/>
      <x:c r="J64" s="2"/>
      <x:c r="K64" s="2"/>
      <x:c r="L64" s="2"/>
    </x:row>
    <x:row r="65" ht="23" customHeight="1">
      <x:c r="A65" s="2" t="n">
        <x:v>4</x:v>
      </x:c>
      <x:c r="B65" s="2" t="str">
        <x:v>61103099</x:v>
      </x:c>
      <x:c r="C65" s="6" t="n">
        <x:v>0.25</x:v>
      </x:c>
      <x:c r="D65" s="6" t="n">
        <x:v>0.5</x:v>
      </x:c>
      <x:c r="E65" s="6" t="n">
        <x:v>0.25</x:v>
      </x:c>
      <x:c r="F65" s="5" t="n">
        <x:v>1</x:v>
      </x:c>
      <x:c r="G65" s="2"/>
      <x:c r="H65" s="2"/>
      <x:c r="I65" s="2"/>
      <x:c r="J65" s="2"/>
      <x:c r="K65" s="2"/>
      <x:c r="L65" s="2"/>
    </x:row>
    <x:row r="66" ht="23" customHeight="1">
      <x:c r="A66" s="2" t="n">
        <x:v>4</x:v>
      </x:c>
      <x:c r="B66" s="2" t="str">
        <x:v>62044300</x:v>
      </x:c>
      <x:c r="C66" s="6" t="n">
        <x:v>0.25</x:v>
      </x:c>
      <x:c r="D66" s="6" t="n">
        <x:v>0.5</x:v>
      </x:c>
      <x:c r="E66" s="6" t="n">
        <x:v>0.25</x:v>
      </x:c>
      <x:c r="F66" s="5" t="n">
        <x:v>1</x:v>
      </x:c>
      <x:c r="G66" s="2"/>
      <x:c r="H66" s="2"/>
      <x:c r="I66" s="2"/>
      <x:c r="J66" s="2"/>
      <x:c r="K66" s="2"/>
      <x:c r="L66" s="2"/>
    </x:row>
    <x:row r="67" ht="23" customHeight="1">
      <x:c r="A67" s="2" t="n">
        <x:v>4</x:v>
      </x:c>
      <x:c r="B67" s="2" t="str">
        <x:v>62052000</x:v>
      </x:c>
      <x:c r="C67" s="6" t="n">
        <x:v>0.25</x:v>
      </x:c>
      <x:c r="D67" s="6" t="n">
        <x:v>0.5</x:v>
      </x:c>
      <x:c r="E67" s="6" t="n">
        <x:v>0.25</x:v>
      </x:c>
      <x:c r="F67" s="5" t="n">
        <x:v>1</x:v>
      </x:c>
      <x:c r="G67" s="2"/>
      <x:c r="H67" s="2"/>
      <x:c r="I67" s="2"/>
      <x:c r="J67" s="2"/>
      <x:c r="K67" s="2"/>
      <x:c r="L67" s="2"/>
    </x:row>
    <x:row r="68" ht="23" customHeight="1">
      <x:c r="A68" s="2" t="n">
        <x:v>5</x:v>
      </x:c>
      <x:c r="B68" s="2" t="str">
        <x:v>61091000</x:v>
      </x:c>
      <x:c r="C68" s="6" t="n">
        <x:v>0.5</x:v>
      </x:c>
      <x:c r="D68" s="6" t="n">
        <x:v>0.25</x:v>
      </x:c>
      <x:c r="E68" s="6" t="n">
        <x:v>0.25</x:v>
      </x:c>
      <x:c r="F68" s="5" t="n">
        <x:v>0</x:v>
      </x:c>
      <x:c r="G68" s="2"/>
      <x:c r="H68" s="2"/>
      <x:c r="I68" s="2"/>
      <x:c r="J68" s="2"/>
      <x:c r="K68" s="2"/>
      <x:c r="L68" s="2"/>
    </x:row>
    <x:row r="69" ht="23" customHeight="1">
      <x:c r="A69" s="2" t="n">
        <x:v>5</x:v>
      </x:c>
      <x:c r="B69" s="2" t="str">
        <x:v>61103099</x:v>
      </x:c>
      <x:c r="C69" s="6" t="n">
        <x:v>0.5</x:v>
      </x:c>
      <x:c r="D69" s="6" t="n">
        <x:v>0.25</x:v>
      </x:c>
      <x:c r="E69" s="6" t="n">
        <x:v>0.25</x:v>
      </x:c>
      <x:c r="F69" s="5" t="n">
        <x:v>1</x:v>
      </x:c>
      <x:c r="G69" s="2"/>
      <x:c r="H69" s="2"/>
      <x:c r="I69" s="2"/>
      <x:c r="J69" s="2"/>
      <x:c r="K69" s="2"/>
      <x:c r="L69" s="2"/>
    </x:row>
    <x:row r="70" ht="23" customHeight="1">
      <x:c r="A70" s="2" t="n">
        <x:v>5</x:v>
      </x:c>
      <x:c r="B70" s="2" t="str">
        <x:v>62044300</x:v>
      </x:c>
      <x:c r="C70" s="6" t="n">
        <x:v>0.5</x:v>
      </x:c>
      <x:c r="D70" s="6" t="n">
        <x:v>0.25</x:v>
      </x:c>
      <x:c r="E70" s="6" t="n">
        <x:v>0.25</x:v>
      </x:c>
      <x:c r="F70" s="5" t="n">
        <x:v>1</x:v>
      </x:c>
      <x:c r="G70" s="2"/>
      <x:c r="H70" s="2"/>
      <x:c r="I70" s="2"/>
      <x:c r="J70" s="2"/>
      <x:c r="K70" s="2"/>
      <x:c r="L70" s="2"/>
    </x:row>
    <x:row r="71" ht="23" customHeight="1">
      <x:c r="A71" s="2" t="n">
        <x:v>5</x:v>
      </x:c>
      <x:c r="B71" s="2" t="str">
        <x:v>62052000</x:v>
      </x:c>
      <x:c r="C71" s="6" t="n">
        <x:v>0.5</x:v>
      </x:c>
      <x:c r="D71" s="6" t="n">
        <x:v>0.25</x:v>
      </x:c>
      <x:c r="E71" s="6" t="n">
        <x:v>0.25</x:v>
      </x:c>
      <x:c r="F71" s="5" t="n">
        <x:v>0</x:v>
      </x:c>
      <x:c r="G71" s="2"/>
      <x:c r="H71" s="2"/>
      <x:c r="I71" s="2"/>
      <x:c r="J71" s="2"/>
      <x:c r="K71" s="2"/>
      <x:c r="L71" s="2"/>
    </x:row>
    <x:row r="72" ht="23" customHeight="1">
      <x:c r="A72" s="2" t="n">
        <x:v>6</x:v>
      </x:c>
      <x:c r="B72" s="2" t="str">
        <x:v>61091000</x:v>
      </x:c>
      <x:c r="C72" s="6" t="n">
        <x:v>0.5</x:v>
      </x:c>
      <x:c r="D72" s="6" t="n">
        <x:v>0.25</x:v>
      </x:c>
      <x:c r="E72" s="6" t="n">
        <x:v>0.25</x:v>
      </x:c>
      <x:c r="F72" s="5" t="n">
        <x:v>0</x:v>
      </x:c>
      <x:c r="G72" s="2"/>
      <x:c r="H72" s="2"/>
      <x:c r="I72" s="2"/>
      <x:c r="J72" s="2"/>
      <x:c r="K72" s="2"/>
      <x:c r="L72" s="2"/>
    </x:row>
    <x:row r="73" ht="23" customHeight="1">
      <x:c r="A73" s="2" t="n">
        <x:v>6</x:v>
      </x:c>
      <x:c r="B73" s="2" t="str">
        <x:v>61103099</x:v>
      </x:c>
      <x:c r="C73" s="6" t="n">
        <x:v>0</x:v>
      </x:c>
      <x:c r="D73" s="6" t="n">
        <x:v>0.75</x:v>
      </x:c>
      <x:c r="E73" s="6" t="n">
        <x:v>0.25</x:v>
      </x:c>
      <x:c r="F73" s="5" t="n">
        <x:v>1</x:v>
      </x:c>
      <x:c r="G73" s="2"/>
      <x:c r="H73" s="2"/>
      <x:c r="I73" s="2"/>
      <x:c r="J73" s="2"/>
      <x:c r="K73" s="2"/>
      <x:c r="L73" s="2"/>
    </x:row>
    <x:row r="74" ht="23" customHeight="1">
      <x:c r="A74" s="2" t="n">
        <x:v>6</x:v>
      </x:c>
      <x:c r="B74" s="2" t="str">
        <x:v>62044300</x:v>
      </x:c>
      <x:c r="C74" s="6" t="n">
        <x:v>0.5</x:v>
      </x:c>
      <x:c r="D74" s="6" t="n">
        <x:v>0.25</x:v>
      </x:c>
      <x:c r="E74" s="6" t="n">
        <x:v>0.25</x:v>
      </x:c>
      <x:c r="F74" s="5" t="n">
        <x:v>1</x:v>
      </x:c>
      <x:c r="G74" s="2"/>
      <x:c r="H74" s="2"/>
      <x:c r="I74" s="2"/>
      <x:c r="J74" s="2"/>
      <x:c r="K74" s="2"/>
      <x:c r="L74" s="2"/>
    </x:row>
    <x:row r="75" ht="23" customHeight="1">
      <x:c r="A75" s="2" t="n">
        <x:v>6</x:v>
      </x:c>
      <x:c r="B75" s="2" t="str">
        <x:v>62052000</x:v>
      </x:c>
      <x:c r="C75" s="6" t="n">
        <x:v>0.5</x:v>
      </x:c>
      <x:c r="D75" s="6" t="n">
        <x:v>0.25</x:v>
      </x:c>
      <x:c r="E75" s="6" t="n">
        <x:v>0.25</x:v>
      </x:c>
      <x:c r="F75" s="5" t="n">
        <x:v>0</x:v>
      </x:c>
      <x:c r="G75" s="2"/>
      <x:c r="H75" s="2"/>
      <x:c r="I75" s="2"/>
      <x:c r="J75" s="2"/>
      <x:c r="K75" s="2"/>
      <x:c r="L75" s="2"/>
    </x:row>
    <x:row r="76" ht="23" customHeight="1">
      <x:c r="A76" s="2"/>
      <x:c r="B76" s="2"/>
      <x:c r="C76" s="2"/>
      <x:c r="D76" s="2"/>
      <x:c r="E76" s="2"/>
      <x:c r="F76" s="2"/>
      <x:c r="G76" s="2"/>
      <x:c r="H76" s="2"/>
      <x:c r="I76" s="2"/>
      <x:c r="J76" s="2"/>
      <x:c r="K76" s="2"/>
      <x:c r="L76" s="2"/>
    </x:row>
    <x:row r="77" ht="48" customHeight="1">
      <x:c r="A77" s="12" t="str">
        <x:v>Mixes: 1 = 50/25/25; 2 = equal thirds; 3 = proportional to FY2025 receiver mass shares by code; 4 = 25/50/25; 5 = synthetic pair only at 50/25/25; 6 = synthetic pair only, with knitwear at 0/75/25 and dresses at 50/25/25. These tests do not establish capacity or an optimal allocation.</x:v>
      </x:c>
      <x:c r="B77" s="12"/>
      <x:c r="C77" s="12"/>
      <x:c r="D77" s="12"/>
      <x:c r="E77" s="12"/>
      <x:c r="F77" s="12"/>
      <x:c r="G77" s="12"/>
      <x:c r="H77" s="12"/>
      <x:c r="I77" s="12"/>
      <x:c r="J77" s="12"/>
      <x:c r="K77" s="12"/>
      <x:c r="L77" s="12"/>
    </x:row>
    <x:row r="78" ht="23" customHeight="1">
      <x:c r="A78" s="2"/>
      <x:c r="B78" s="2"/>
      <x:c r="C78" s="2"/>
      <x:c r="D78" s="2"/>
      <x:c r="E78" s="2"/>
      <x:c r="F78" s="2"/>
      <x:c r="G78" s="2"/>
      <x:c r="H78" s="2"/>
      <x:c r="I78" s="2"/>
      <x:c r="J78" s="2"/>
      <x:c r="K78" s="2"/>
      <x:c r="L78" s="2"/>
    </x:row>
    <x:row r="79" ht="23" customHeight="1">
      <x:c r="A79" s="2"/>
      <x:c r="B79" s="2"/>
      <x:c r="C79" s="2"/>
      <x:c r="D79" s="2"/>
      <x:c r="E79" s="2"/>
      <x:c r="F79" s="2"/>
      <x:c r="G79" s="2"/>
      <x:c r="H79" s="2"/>
      <x:c r="I79" s="2"/>
      <x:c r="J79" s="2"/>
      <x:c r="K79" s="2"/>
      <x:c r="L79" s="2"/>
    </x:row>
    <x:row r="80" ht="23" customHeight="1">
      <x:c r="A80" s="2"/>
      <x:c r="B80" s="2"/>
      <x:c r="C80" s="2"/>
      <x:c r="D80" s="2"/>
      <x:c r="E80" s="2"/>
      <x:c r="F80" s="2"/>
      <x:c r="G80" s="2"/>
      <x:c r="H80" s="2"/>
      <x:c r="I80" s="2"/>
      <x:c r="J80" s="2"/>
      <x:c r="K80" s="2"/>
      <x:c r="L80" s="2"/>
    </x:row>
    <x:row r="81" ht="23" customHeight="1">
      <x:c r="A81" s="2"/>
      <x:c r="B81" s="2"/>
      <x:c r="C81" s="2"/>
      <x:c r="D81" s="2"/>
      <x:c r="E81" s="2"/>
      <x:c r="F81" s="2"/>
      <x:c r="G81" s="2"/>
      <x:c r="H81" s="2"/>
      <x:c r="I81" s="2"/>
      <x:c r="J81" s="2"/>
      <x:c r="K81" s="2"/>
      <x:c r="L81" s="2"/>
    </x:row>
    <x:row r="82" ht="23" customHeight="1">
      <x:c r="A82" s="2"/>
      <x:c r="B82" s="2"/>
      <x:c r="C82" s="2"/>
      <x:c r="D82" s="2"/>
      <x:c r="E82" s="2"/>
      <x:c r="F82" s="2"/>
      <x:c r="G82" s="2"/>
      <x:c r="H82" s="2"/>
      <x:c r="I82" s="2"/>
      <x:c r="J82" s="2"/>
      <x:c r="K82" s="2"/>
      <x:c r="L82" s="2"/>
    </x:row>
    <x:row r="83" ht="23" customHeight="1">
      <x:c r="A83" s="2"/>
      <x:c r="B83" s="2"/>
      <x:c r="C83" s="2"/>
      <x:c r="D83" s="2"/>
      <x:c r="E83" s="2"/>
      <x:c r="F83" s="2"/>
      <x:c r="G83" s="2"/>
      <x:c r="H83" s="2"/>
      <x:c r="I83" s="2"/>
      <x:c r="J83" s="2"/>
      <x:c r="K83" s="2"/>
      <x:c r="L83" s="2"/>
    </x:row>
    <x:row r="84" ht="23" customHeight="1">
      <x:c r="A84" s="2"/>
      <x:c r="B84" s="2"/>
      <x:c r="C84" s="2"/>
      <x:c r="D84" s="2"/>
      <x:c r="E84" s="2"/>
      <x:c r="F84" s="2"/>
      <x:c r="G84" s="2"/>
      <x:c r="H84" s="2"/>
      <x:c r="I84" s="2"/>
      <x:c r="J84" s="2"/>
      <x:c r="K84" s="2"/>
      <x:c r="L84" s="2"/>
    </x:row>
    <x:row r="85" ht="23" customHeight="1">
      <x:c r="A85" s="2"/>
      <x:c r="B85" s="2"/>
      <x:c r="C85" s="2"/>
      <x:c r="D85" s="2"/>
      <x:c r="E85" s="2"/>
      <x:c r="F85" s="2"/>
      <x:c r="G85" s="2"/>
      <x:c r="H85" s="2"/>
      <x:c r="I85" s="2"/>
      <x:c r="J85" s="2"/>
      <x:c r="K85" s="2"/>
      <x:c r="L85" s="2"/>
    </x:row>
    <x:row r="86" ht="23" customHeight="1">
      <x:c r="A86" s="2"/>
      <x:c r="B86" s="2"/>
      <x:c r="C86" s="2"/>
      <x:c r="D86" s="2"/>
      <x:c r="E86" s="2"/>
      <x:c r="F86" s="2"/>
      <x:c r="G86" s="2"/>
      <x:c r="H86" s="2"/>
      <x:c r="I86" s="2"/>
      <x:c r="J86" s="2"/>
      <x:c r="K86" s="2"/>
      <x:c r="L86" s="2"/>
    </x:row>
    <x:row r="87" ht="23" customHeight="1">
      <x:c r="A87" s="2"/>
      <x:c r="B87" s="2"/>
      <x:c r="C87" s="2"/>
      <x:c r="D87" s="2"/>
      <x:c r="E87" s="2"/>
      <x:c r="F87" s="2"/>
      <x:c r="G87" s="2"/>
      <x:c r="H87" s="2"/>
      <x:c r="I87" s="2"/>
      <x:c r="J87" s="2"/>
      <x:c r="K87" s="2"/>
      <x:c r="L87" s="2"/>
    </x:row>
    <x:row r="88" ht="23" customHeight="1">
      <x:c r="A88" s="2"/>
      <x:c r="B88" s="2"/>
      <x:c r="C88" s="2"/>
      <x:c r="D88" s="2"/>
      <x:c r="E88" s="2"/>
      <x:c r="F88" s="2"/>
      <x:c r="G88" s="2"/>
      <x:c r="H88" s="2"/>
      <x:c r="I88" s="2"/>
      <x:c r="J88" s="2"/>
      <x:c r="K88" s="2"/>
      <x:c r="L88" s="2"/>
    </x:row>
    <x:row r="89" ht="23" customHeight="1">
      <x:c r="A89" s="2"/>
      <x:c r="B89" s="2"/>
      <x:c r="C89" s="2"/>
      <x:c r="D89" s="2"/>
      <x:c r="E89" s="2"/>
      <x:c r="F89" s="2"/>
      <x:c r="G89" s="2"/>
      <x:c r="H89" s="2"/>
      <x:c r="I89" s="2"/>
      <x:c r="J89" s="2"/>
      <x:c r="K89" s="2"/>
      <x:c r="L89" s="2"/>
    </x:row>
    <x:row r="90" ht="23" customHeight="1">
      <x:c r="A90" s="2"/>
      <x:c r="B90" s="2"/>
      <x:c r="C90" s="2"/>
      <x:c r="D90" s="2"/>
      <x:c r="E90" s="2"/>
      <x:c r="F90" s="2"/>
      <x:c r="G90" s="2"/>
      <x:c r="H90" s="2"/>
      <x:c r="I90" s="2"/>
      <x:c r="J90" s="2"/>
      <x:c r="K90" s="2"/>
      <x:c r="L90" s="2"/>
    </x:row>
    <x:row r="91" ht="23" customHeight="1">
      <x:c r="A91" s="2"/>
      <x:c r="B91" s="2"/>
      <x:c r="C91" s="2"/>
      <x:c r="D91" s="2"/>
      <x:c r="E91" s="2"/>
      <x:c r="F91" s="2"/>
      <x:c r="G91" s="2"/>
      <x:c r="H91" s="2"/>
      <x:c r="I91" s="2"/>
      <x:c r="J91" s="2"/>
      <x:c r="K91" s="2"/>
      <x:c r="L91" s="2"/>
    </x:row>
    <x:row r="92" ht="23" customHeight="1">
      <x:c r="A92" s="2"/>
      <x:c r="B92" s="2"/>
      <x:c r="C92" s="2"/>
      <x:c r="D92" s="2"/>
      <x:c r="E92" s="2"/>
      <x:c r="F92" s="2"/>
      <x:c r="G92" s="2"/>
      <x:c r="H92" s="2"/>
      <x:c r="I92" s="2"/>
      <x:c r="J92" s="2"/>
      <x:c r="K92" s="2"/>
      <x:c r="L92" s="2"/>
    </x:row>
  </x:sheetData>
  <x:mergeCells>
    <x:mergeCell ref="A10:L10"/>
    <x:mergeCell ref="A49:L49"/>
    <x:mergeCell ref="A77:L77"/>
  </x:mergeCells>
  <x:conditionalFormatting sqref="L8:L8">
    <x:cfRule type="containsText" dxfId="2" priority="1" operator="containsText" text="Invalid"/>
  </x:conditionalFormatting>
  <x:dataValidations count="4">
    <x:dataValidation type="whole" operator="between" sqref="B5">
      <x:formula1>1</x:formula1>
      <x:formula2>26</x:formula2>
    </x:dataValidation>
    <x:dataValidation type="list" sqref="C13:C38">
      <x:formula1>"FY2025,H1 2025,H1 2026"</x:formula1>
    </x:dataValidation>
    <x:dataValidation type="list" sqref="D13:D38">
      <x:formula1>"Reported,Common"</x:formula1>
    </x:dataValidation>
    <x:dataValidation type="list" sqref="E13:E38">
      <x:formula1>"Eligible,MFN all,MFN increment"</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24" hidden="0" customWidth="1"/>
    <x:col min="2" max="2" width="15"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 min="9" max="9" width="15" hidden="0" customWidth="1"/>
    <x:col min="10" max="10" width="15" hidden="0" customWidth="1"/>
    <x:col min="11" max="11" width="15" hidden="0" customWidth="1"/>
    <x:col min="12" max="12" width="15" hidden="0" customWidth="1"/>
    <x:col min="13" max="13" width="15" hidden="0" customWidth="1"/>
    <x:col min="14" max="14" width="15" hidden="0" customWidth="1"/>
    <x:col min="15" max="15" width="15" hidden="0" customWidth="1"/>
    <x:col min="16" max="16" width="15" hidden="0" customWidth="1"/>
    <x:col min="17" max="17" width="15" hidden="0" customWidth="1"/>
    <x:col min="18" max="18" width="15" hidden="0" customWidth="1"/>
    <x:col min="19" max="19" width="15" hidden="0" customWidth="1"/>
    <x:col min="20" max="20" width="15" hidden="0" customWidth="1"/>
    <x:col min="21" max="21" width="15" hidden="0" customWidth="1"/>
    <x:col min="22" max="22" width="15" hidden="0" customWidth="1"/>
    <x:col min="23" max="23" width="15" hidden="0" customWidth="1"/>
    <x:col min="24" max="24" width="15" hidden="0" customWidth="1"/>
    <x:col min="25" max="25" width="15" hidden="0" customWidth="1"/>
    <x:col min="26" max="26" width="15" hidden="0" customWidth="1"/>
    <x:col min="27" max="27" width="15" hidden="0" customWidth="1"/>
    <x:col min="28" max="28" width="15" hidden="0" customWidth="1"/>
    <x:col min="29" max="29" width="15" hidden="0" customWidth="1"/>
    <x:col min="30" max="30" width="15" hidden="0" customWidth="1"/>
    <x:col min="31" max="31" width="15" hidden="0" customWidth="1"/>
    <x:col min="32" max="32" width="15" hidden="0" customWidth="1"/>
  </x:cols>
  <x:sheetData>
    <x:row r="1" ht="23" customHeight="1">
      <x:c r="A1" s="2"/>
      <x:c r="B1" s="2"/>
      <x:c r="C1" s="2"/>
      <x:c r="D1" s="2"/>
      <x:c r="E1" s="2"/>
      <x:c r="F1" s="2"/>
      <x:c r="G1" s="2"/>
      <x:c r="H1" s="2"/>
      <x:c r="I1" s="2"/>
      <x:c r="J1" s="2"/>
      <x:c r="K1" s="2"/>
      <x:c r="L1" s="2"/>
      <x:c r="M1" s="2"/>
      <x:c r="N1" s="2"/>
      <x:c r="O1" s="2"/>
      <x:c r="P1" s="2"/>
      <x:c r="Q1" s="2"/>
      <x:c r="R1" s="2"/>
      <x:c r="S1" s="2"/>
      <x:c r="T1" s="2"/>
      <x:c r="U1" s="2"/>
      <x:c r="V1" s="2"/>
      <x:c r="W1" s="2"/>
      <x:c r="X1" s="2"/>
      <x:c r="Y1" s="2"/>
      <x:c r="Z1" s="2"/>
      <x:c r="AA1" s="2"/>
      <x:c r="AB1" s="2"/>
      <x:c r="AC1" s="2"/>
      <x:c r="AD1" s="2"/>
      <x:c r="AE1" s="2"/>
      <x:c r="AF1" s="2"/>
    </x:row>
    <x:row r="2" ht="29" customHeight="1">
      <x:c r="A2" s="3" t="str">
        <x:v>Active allocation and cost calculation</x:v>
      </x:c>
      <x:c r="B2" s="2"/>
      <x:c r="C2" s="2"/>
      <x:c r="D2" s="2"/>
      <x:c r="E2" s="2"/>
      <x:c r="F2" s="2"/>
      <x:c r="G2" s="2"/>
      <x:c r="H2" s="2"/>
      <x:c r="I2" s="2"/>
      <x:c r="J2" s="2"/>
      <x:c r="K2" s="2"/>
      <x:c r="L2" s="2"/>
      <x:c r="M2" s="2"/>
      <x:c r="N2" s="2"/>
      <x:c r="O2" s="2"/>
      <x:c r="P2" s="2"/>
      <x:c r="Q2" s="2"/>
      <x:c r="R2" s="2"/>
      <x:c r="S2" s="2"/>
      <x:c r="T2" s="2"/>
      <x:c r="U2" s="2"/>
      <x:c r="V2" s="2"/>
      <x:c r="W2" s="2"/>
      <x:c r="X2" s="2"/>
      <x:c r="Y2" s="2"/>
      <x:c r="Z2" s="2"/>
      <x:c r="AA2" s="2"/>
      <x:c r="AB2" s="2"/>
      <x:c r="AC2" s="2"/>
      <x:c r="AD2" s="2"/>
      <x:c r="AE2" s="2"/>
      <x:c r="AF2" s="2"/>
    </x:row>
    <x:row r="3" ht="23" customHeight="1">
      <x:c r="A3" s="2"/>
      <x:c r="B3" s="2"/>
      <x:c r="C3" s="2"/>
      <x:c r="D3" s="2"/>
      <x:c r="E3" s="2"/>
      <x:c r="F3" s="2"/>
      <x:c r="G3" s="2"/>
      <x:c r="H3" s="2"/>
      <x:c r="I3" s="2"/>
      <x:c r="J3" s="2"/>
      <x:c r="K3" s="2"/>
      <x:c r="L3" s="2"/>
      <x:c r="M3" s="2"/>
      <x:c r="N3" s="2"/>
      <x:c r="O3" s="2"/>
      <x:c r="P3" s="2"/>
      <x:c r="Q3" s="2"/>
      <x:c r="R3" s="2"/>
      <x:c r="S3" s="2"/>
      <x:c r="T3" s="2"/>
      <x:c r="U3" s="2"/>
      <x:c r="V3" s="2"/>
      <x:c r="W3" s="2"/>
      <x:c r="X3" s="2"/>
      <x:c r="Y3" s="2"/>
      <x:c r="Z3" s="2"/>
      <x:c r="AA3" s="2"/>
      <x:c r="AB3" s="2"/>
      <x:c r="AC3" s="2"/>
      <x:c r="AD3" s="2"/>
      <x:c r="AE3" s="2"/>
      <x:c r="AF3" s="2"/>
    </x:row>
    <x:row r="4" ht="30" customHeight="1">
      <x:c r="A4" s="2" t="str">
        <x:v>Case selected:</x:v>
      </x:c>
      <x:c r="B4" s="21" t="str">
        <x:f>'Assumptions'!B8</x:f>
        <x:v>Balanced, 3x</x:v>
      </x:c>
      <x:c r="C4" s="22"/>
      <x:c r="D4" s="23"/>
      <x:c r="E4" s="2"/>
      <x:c r="F4" s="2"/>
      <x:c r="G4" s="2"/>
      <x:c r="H4" s="2"/>
      <x:c r="I4" s="2"/>
      <x:c r="J4" s="2"/>
      <x:c r="K4" s="2"/>
      <x:c r="L4" s="2"/>
      <x:c r="M4" s="2"/>
      <x:c r="N4" s="2"/>
      <x:c r="O4" s="2"/>
      <x:c r="P4" s="2"/>
      <x:c r="Q4" s="2"/>
      <x:c r="R4" s="2"/>
      <x:c r="S4" s="2"/>
      <x:c r="T4" s="2"/>
      <x:c r="U4" s="2"/>
      <x:c r="V4" s="2"/>
      <x:c r="W4" s="2"/>
      <x:c r="X4" s="2"/>
      <x:c r="Y4" s="2"/>
      <x:c r="Z4" s="2"/>
      <x:c r="AA4" s="2"/>
      <x:c r="AB4" s="2"/>
      <x:c r="AC4" s="2"/>
      <x:c r="AD4" s="2"/>
      <x:c r="AE4" s="2"/>
      <x:c r="AF4" s="2"/>
    </x:row>
    <x:row r="5" ht="42" customHeight="1">
      <x:c r="A5" s="11" t="str">
        <x:v>CN8</x:v>
      </x:c>
      <x:c r="B5" s="11" t="str">
        <x:v>Country</x:v>
      </x:c>
      <x:c r="C5" s="11" t="str">
        <x:v>FY2025 mass kg</x:v>
      </x:c>
      <x:c r="D5" s="11" t="str">
        <x:v>Baseline share</x:v>
      </x:c>
      <x:c r="E5" s="11" t="str">
        <x:v>Price value £</x:v>
      </x:c>
      <x:c r="F5" s="11" t="str">
        <x:v>Price mass kg</x:v>
      </x:c>
      <x:c r="G5" s="11" t="str">
        <x:v>Border UV £/kg</x:v>
      </x:c>
      <x:c r="H5" s="11" t="str">
        <x:v>Eligible duty</x:v>
      </x:c>
      <x:c r="I5" s="11" t="str">
        <x:v>MFN duty</x:v>
      </x:c>
      <x:c r="J5" s="11" t="str">
        <x:v>Baseline duty</x:v>
      </x:c>
      <x:c r="K5" s="11" t="str">
        <x:v>Increment duty</x:v>
      </x:c>
      <x:c r="L5" s="11" t="str">
        <x:v>Baseline £/kg</x:v>
      </x:c>
      <x:c r="M5" s="11" t="str">
        <x:v>Increment £/kg</x:v>
      </x:c>
      <x:c r="N5" s="11" t="str">
        <x:v>Receiver weight</x:v>
      </x:c>
      <x:c r="O5" s="11" t="str">
        <x:v>Shift direction</x:v>
      </x:c>
      <x:c r="P5" s="11" t="str">
        <x:v>Shift limit</x:v>
      </x:c>
      <x:c r="Q5" s="11" t="str">
        <x:v>Share change</x:v>
      </x:c>
      <x:c r="R5" s="11" t="str">
        <x:v>New share</x:v>
      </x:c>
      <x:c r="S5" s="11" t="str">
        <x:v>Base contribution</x:v>
      </x:c>
      <x:c r="T5" s="11" t="str">
        <x:v>New mix border</x:v>
      </x:c>
      <x:c r="U5" s="11" t="str">
        <x:v>Tariff / premium</x:v>
      </x:c>
      <x:c r="V5" s="11" t="str">
        <x:v>Inland / handling</x:v>
      </x:c>
      <x:c r="W5" s="11" t="str">
        <x:v>Transition</x:v>
      </x:c>
      <x:c r="X5" s="11" t="str">
        <x:v>Working capital</x:v>
      </x:c>
      <x:c r="Y5" s="11" t="str">
        <x:v>Total new cost</x:v>
      </x:c>
      <x:c r="Z5" s="11" t="str">
        <x:v>Baseline HHI</x:v>
      </x:c>
      <x:c r="AA5" s="11" t="str">
        <x:v>New HHI</x:v>
      </x:c>
      <x:c r="AB5" s="11" t="str">
        <x:v>Receiver multiple</x:v>
      </x:c>
      <x:c r="AC5" s="11" t="str">
        <x:v>Input coverage</x:v>
      </x:c>
      <x:c r="AD5" s="11" t="str">
        <x:v>Retained months</x:v>
      </x:c>
      <x:c r="AE5" s="2"/>
      <x:c r="AF5" s="2"/>
    </x:row>
    <x:row r="6" ht="23" customHeight="1">
      <x:c r="A6" s="2" t="str">
        <x:v>61091000</x:v>
      </x:c>
      <x:c r="B6" s="2" t="str">
        <x:v>Bangladesh</x:v>
      </x:c>
      <x:c r="C6" s="2" t="n">
        <x:f>SUMIFS('Source_Data'!$F$6:$F$125,'Source_Data'!$B$6:$B$125,"FY2025",'Source_Data'!$C$6:$C$125,B6,'Source_Data'!$D$6:$D$125,A6)</x:f>
        <x:v>44227971</x:v>
      </x:c>
      <x:c r="D6" s="7" t="n">
        <x:f>C6/SUM(C6:C15)</x:f>
        <x:v>0.5862208686521764</x:v>
      </x:c>
      <x:c r="E6" s="2" t="n">
        <x:f>IF('Assumptions'!$D$8="Reported",SUMIFS('Source_Data'!$E$6:$E$125,'Source_Data'!$B$6:$B$125,'Assumptions'!$C$8,'Source_Data'!$C$6:$C$125,B6,'Source_Data'!$D$6:$D$125,A6),SUMIFS('Source_Data'!$L$6:$L$125,'Source_Data'!$B$6:$B$125,'Assumptions'!$C$8,'Source_Data'!$C$6:$C$125,B6,'Source_Data'!$D$6:$D$125,A6))</x:f>
        <x:v>254631302</x:v>
      </x:c>
      <x:c r="F6" s="2" t="n">
        <x:f>IF('Assumptions'!$D$8="Reported",SUMIFS('Source_Data'!$F$6:$F$125,'Source_Data'!$B$6:$B$125,'Assumptions'!$C$8,'Source_Data'!$C$6:$C$125,B6,'Source_Data'!$D$6:$D$125,A6),SUMIFS('Source_Data'!$M$6:$M$125,'Source_Data'!$B$6:$B$125,'Assumptions'!$C$8,'Source_Data'!$C$6:$C$125,B6,'Source_Data'!$D$6:$D$125,A6))</x:f>
        <x:v>24484056</x:v>
      </x:c>
      <x:c r="G6" s="17" t="n">
        <x:f>IF(F6&gt;0,E6/F6,"n.a.")</x:f>
        <x:v>10.399882356093288</x:v>
      </x:c>
      <x:c r="H6" s="7" t="n">
        <x:f>SUMIFS('Source_Data'!$F$131:$F$170,'Source_Data'!$B$131:$B$170,B6,'Source_Data'!$C$131:$C$170,A6)</x:f>
        <x:v>0</x:v>
      </x:c>
      <x:c r="I6" s="7" t="n">
        <x:f>SUMIFS('Source_Data'!$G$131:$G$170,'Source_Data'!$B$131:$B$170,B6,'Source_Data'!$C$131:$C$170,A6)</x:f>
        <x:v>0.12</x:v>
      </x:c>
      <x:c r="J6" s="7" t="n">
        <x:f>IF('Assumptions'!$E$8="MFN all",I6,H6)</x:f>
        <x:v>0</x:v>
      </x:c>
      <x:c r="K6" s="7" t="n">
        <x:f>IF('Assumptions'!$E$8="Eligible",H6,I6)</x:f>
        <x:v>0</x:v>
      </x:c>
      <x:c r="L6" s="17" t="n">
        <x:f>IF(ISNUMBER(G6),G6*(1+J6),0)</x:f>
        <x:v>10.399882356093288</x:v>
      </x:c>
      <x:c r="M6" s="17" t="n">
        <x:f>IF(ISNUMBER(G6),G6*(1+K6),0)</x:f>
        <x:v>10.399882356093288</x:v>
      </x:c>
      <x:c r="N6" s="7" t="n">
        <x:f>0</x:f>
        <x:v>0</x:v>
      </x:c>
      <x:c r="O6" s="7" t="n">
        <x:f>IF(B6="China",-1,N6)</x:f>
        <x:v>0</x:v>
      </x:c>
      <x:c r="P6" s="2" t="n">
        <x:f>IF(B6="China",D6,IF(N6&gt;0,MAX(0,MIN('Assumptions'!$E$5-D6,'Assumptions'!$H$5,IF('Assumptions'!$F$8=1,('Assumptions'!$G$8-1)*D6,1)))/N6,1))</x:f>
        <x:v>1</x:v>
      </x:c>
      <x:c r="Q6" s="7" t="n">
        <x:f>IF(ISNUMBER($I52),$I52*O6,0)</x:f>
        <x:v>0</x:v>
      </x:c>
      <x:c r="R6" s="7" t="n">
        <x:f>D6+Q6</x:f>
        <x:v>0.5862208686521764</x:v>
      </x:c>
      <x:c r="S6" s="17" t="n">
        <x:f>D6*L6</x:f>
        <x:v>6.09662806866945</x:v>
      </x:c>
      <x:c r="T6" s="17" t="n">
        <x:f>R6*L6</x:f>
        <x:v>6.09662806866945</x:v>
      </x:c>
      <x:c r="U6" s="17" t="n">
        <x:f>MAX(0,Q6)*(M6*(1+'Assumptions'!$I$8)-L6)</x:f>
        <x:v>0</x:v>
      </x:c>
      <x:c r="V6" s="17" t="n">
        <x:f>MAX(0,Q6)*'Assumptions'!$C$47</x:f>
        <x:v>0</x:v>
      </x:c>
      <x:c r="W6" s="17" t="n">
        <x:f>MAX(0,Q6)*'Assumptions'!$D$47</x:f>
        <x:v>0</x:v>
      </x:c>
      <x:c r="X6" s="17" t="n">
        <x:f>MAX(0,Q6)*M6*(1+'Assumptions'!$I$8)*'Assumptions'!$E$47*'Assumptions'!$F$47/365</x:f>
        <x:v>0</x:v>
      </x:c>
      <x:c r="Y6" s="17" t="n">
        <x:f>SUM(T6:X6)</x:f>
        <x:v>6.09662806866945</x:v>
      </x:c>
      <x:c r="Z6" s="17" t="n">
        <x:f>D6^2*10000</x:f>
        <x:v>3436.5490684331226</x:v>
      </x:c>
      <x:c r="AA6" s="17" t="n">
        <x:f>R6^2*10000</x:f>
        <x:v>3436.5490684331226</x:v>
      </x:c>
      <x:c r="AB6" s="24" t="n">
        <x:f>IF(N6&gt;0,IF(D6&gt;0,R6/D6,IF(R6=0,0,"n.a.")),0)</x:f>
        <x:v>0</x:v>
      </x:c>
      <x:c r="AC6" s="2" t="str">
        <x:f>IF(AND(C6&gt;=0,E6&gt;0,F6&gt;0,COUNTIFS('Source_Data'!$B$6:$B$125,'Assumptions'!$C$8,'Source_Data'!$C$6:$C$125,B6,'Source_Data'!$D$6:$D$125,A6)=1,COUNTIFS('Source_Data'!$B$131:$B$170,B6,'Source_Data'!$C$131:$C$170,A6)=1),"Ready","Missing data")</x:f>
        <x:v>Ready</x:v>
      </x:c>
      <x:c r="AD6" s="2" t="n">
        <x:f>IF('Assumptions'!$D$8="Reported",SUMIFS('Source_Data'!$G$6:$G$125,'Source_Data'!$B$6:$B$125,'Assumptions'!$C$8,'Source_Data'!$C$6:$C$125,B6,'Source_Data'!$D$6:$D$125,A6),SUMIFS('Source_Data'!$N$6:$N$125,'Source_Data'!$B$6:$B$125,'Assumptions'!$C$8,'Source_Data'!$C$6:$C$125,B6,'Source_Data'!$D$6:$D$125,A6))</x:f>
        <x:v>6</x:v>
      </x:c>
      <x:c r="AE6" s="2"/>
      <x:c r="AF6" s="2"/>
    </x:row>
    <x:row r="7" ht="23" customHeight="1">
      <x:c r="A7" s="2" t="str">
        <x:v>61091000</x:v>
      </x:c>
      <x:c r="B7" s="2" t="str">
        <x:v>Cambodia</x:v>
      </x:c>
      <x:c r="C7" s="2" t="n">
        <x:f>SUMIFS('Source_Data'!$F$6:$F$125,'Source_Data'!$B$6:$B$125,"FY2025",'Source_Data'!$C$6:$C$125,B7,'Source_Data'!$D$6:$D$125,A7)</x:f>
        <x:v>547756</x:v>
      </x:c>
      <x:c r="D7" s="7" t="n">
        <x:f>C7/SUM(C6:C15)</x:f>
        <x:v>0.007260247098593818</x:v>
      </x:c>
      <x:c r="E7" s="2" t="n">
        <x:f>IF('Assumptions'!$D$8="Reported",SUMIFS('Source_Data'!$E$6:$E$125,'Source_Data'!$B$6:$B$125,'Assumptions'!$C$8,'Source_Data'!$C$6:$C$125,B7,'Source_Data'!$D$6:$D$125,A7),SUMIFS('Source_Data'!$L$6:$L$125,'Source_Data'!$B$6:$B$125,'Assumptions'!$C$8,'Source_Data'!$C$6:$C$125,B7,'Source_Data'!$D$6:$D$125,A7))</x:f>
        <x:v>5968533</x:v>
      </x:c>
      <x:c r="F7" s="2" t="n">
        <x:f>IF('Assumptions'!$D$8="Reported",SUMIFS('Source_Data'!$F$6:$F$125,'Source_Data'!$B$6:$B$125,'Assumptions'!$C$8,'Source_Data'!$C$6:$C$125,B7,'Source_Data'!$D$6:$D$125,A7),SUMIFS('Source_Data'!$M$6:$M$125,'Source_Data'!$B$6:$B$125,'Assumptions'!$C$8,'Source_Data'!$C$6:$C$125,B7,'Source_Data'!$D$6:$D$125,A7))</x:f>
        <x:v>334694</x:v>
      </x:c>
      <x:c r="G7" s="17" t="n">
        <x:f>IF(F7&gt;0,E7/F7,"n.a.")</x:f>
        <x:v>17.83280548799799</x:v>
      </x:c>
      <x:c r="H7" s="7" t="n">
        <x:f>SUMIFS('Source_Data'!$F$131:$F$170,'Source_Data'!$B$131:$B$170,B7,'Source_Data'!$C$131:$C$170,A7)</x:f>
        <x:v>0</x:v>
      </x:c>
      <x:c r="I7" s="7" t="n">
        <x:f>SUMIFS('Source_Data'!$G$131:$G$170,'Source_Data'!$B$131:$B$170,B7,'Source_Data'!$C$131:$C$170,A7)</x:f>
        <x:v>0.12</x:v>
      </x:c>
      <x:c r="J7" s="7" t="n">
        <x:f>IF('Assumptions'!$E$8="MFN all",I7,H7)</x:f>
        <x:v>0</x:v>
      </x:c>
      <x:c r="K7" s="7" t="n">
        <x:f>IF('Assumptions'!$E$8="Eligible",H7,I7)</x:f>
        <x:v>0</x:v>
      </x:c>
      <x:c r="L7" s="17" t="n">
        <x:f>IF(ISNUMBER(G7),G7*(1+J7),0)</x:f>
        <x:v>17.83280548799799</x:v>
      </x:c>
      <x:c r="M7" s="17" t="n">
        <x:f>IF(ISNUMBER(G7),G7*(1+K7),0)</x:f>
        <x:v>17.83280548799799</x:v>
      </x:c>
      <x:c r="N7" s="7" t="n">
        <x:f>0</x:f>
        <x:v>0</x:v>
      </x:c>
      <x:c r="O7" s="7" t="n">
        <x:f>IF(B7="China",-1,N7)</x:f>
        <x:v>0</x:v>
      </x:c>
      <x:c r="P7" s="2" t="n">
        <x:f>IF(B7="China",D7,IF(N7&gt;0,MAX(0,MIN('Assumptions'!$E$5-D7,'Assumptions'!$H$5,IF('Assumptions'!$F$8=1,('Assumptions'!$G$8-1)*D7,1)))/N7,1))</x:f>
        <x:v>1</x:v>
      </x:c>
      <x:c r="Q7" s="7" t="n">
        <x:f>IF(ISNUMBER($I52),$I52*O7,0)</x:f>
        <x:v>0</x:v>
      </x:c>
      <x:c r="R7" s="7" t="n">
        <x:f>D7+Q7</x:f>
        <x:v>0.007260247098593818</x:v>
      </x:c>
      <x:c r="S7" s="17" t="n">
        <x:f>D7*L7</x:f>
        <x:v>0.12947057430402534</x:v>
      </x:c>
      <x:c r="T7" s="17" t="n">
        <x:f>R7*L7</x:f>
        <x:v>0.12947057430402534</x:v>
      </x:c>
      <x:c r="U7" s="17" t="n">
        <x:f>MAX(0,Q7)*(M7*(1+'Assumptions'!$I$8)-L7)</x:f>
        <x:v>0</x:v>
      </x:c>
      <x:c r="V7" s="17" t="n">
        <x:f>MAX(0,Q7)*'Assumptions'!$C$47</x:f>
        <x:v>0</x:v>
      </x:c>
      <x:c r="W7" s="17" t="n">
        <x:f>MAX(0,Q7)*'Assumptions'!$D$47</x:f>
        <x:v>0</x:v>
      </x:c>
      <x:c r="X7" s="17" t="n">
        <x:f>MAX(0,Q7)*M7*(1+'Assumptions'!$I$8)*'Assumptions'!$E$47*'Assumptions'!$F$47/365</x:f>
        <x:v>0</x:v>
      </x:c>
      <x:c r="Y7" s="17" t="n">
        <x:f>SUM(T7:X7)</x:f>
        <x:v>0.12947057430402534</x:v>
      </x:c>
      <x:c r="Z7" s="17" t="n">
        <x:f>D7^2*10000</x:f>
        <x:v>0.5271118793263996</x:v>
      </x:c>
      <x:c r="AA7" s="17" t="n">
        <x:f>R7^2*10000</x:f>
        <x:v>0.5271118793263996</x:v>
      </x:c>
      <x:c r="AB7" s="24" t="n">
        <x:f>IF(N7&gt;0,IF(D7&gt;0,R7/D7,IF(R7=0,0,"n.a.")),0)</x:f>
        <x:v>0</x:v>
      </x:c>
      <x:c r="AC7" s="2" t="str">
        <x:f>IF(AND(C7&gt;=0,E7&gt;0,F7&gt;0,COUNTIFS('Source_Data'!$B$6:$B$125,'Assumptions'!$C$8,'Source_Data'!$C$6:$C$125,B7,'Source_Data'!$D$6:$D$125,A7)=1,COUNTIFS('Source_Data'!$B$131:$B$170,B7,'Source_Data'!$C$131:$C$170,A7)=1),"Ready","Missing data")</x:f>
        <x:v>Ready</x:v>
      </x:c>
      <x:c r="AD7" s="2" t="n">
        <x:f>IF('Assumptions'!$D$8="Reported",SUMIFS('Source_Data'!$G$6:$G$125,'Source_Data'!$B$6:$B$125,'Assumptions'!$C$8,'Source_Data'!$C$6:$C$125,B7,'Source_Data'!$D$6:$D$125,A7),SUMIFS('Source_Data'!$N$6:$N$125,'Source_Data'!$B$6:$B$125,'Assumptions'!$C$8,'Source_Data'!$C$6:$C$125,B7,'Source_Data'!$D$6:$D$125,A7))</x:f>
        <x:v>6</x:v>
      </x:c>
      <x:c r="AE7" s="2"/>
      <x:c r="AF7" s="2"/>
    </x:row>
    <x:row r="8" ht="23" customHeight="1">
      <x:c r="A8" s="2" t="str">
        <x:v>61091000</x:v>
      </x:c>
      <x:c r="B8" s="2" t="str">
        <x:v>China</x:v>
      </x:c>
      <x:c r="C8" s="2" t="n">
        <x:f>SUMIFS('Source_Data'!$F$6:$F$125,'Source_Data'!$B$6:$B$125,"FY2025",'Source_Data'!$C$6:$C$125,B8,'Source_Data'!$D$6:$D$125,A8)</x:f>
        <x:v>2430960</x:v>
      </x:c>
      <x:c r="D8" s="7" t="n">
        <x:f>C8/SUM(C6:C15)</x:f>
        <x:v>0.032221226763006934</x:v>
      </x:c>
      <x:c r="E8" s="2" t="n">
        <x:f>IF('Assumptions'!$D$8="Reported",SUMIFS('Source_Data'!$E$6:$E$125,'Source_Data'!$B$6:$B$125,'Assumptions'!$C$8,'Source_Data'!$C$6:$C$125,B8,'Source_Data'!$D$6:$D$125,A8),SUMIFS('Source_Data'!$L$6:$L$125,'Source_Data'!$B$6:$B$125,'Assumptions'!$C$8,'Source_Data'!$C$6:$C$125,B8,'Source_Data'!$D$6:$D$125,A8))</x:f>
        <x:v>27268063</x:v>
      </x:c>
      <x:c r="F8" s="2" t="n">
        <x:f>IF('Assumptions'!$D$8="Reported",SUMIFS('Source_Data'!$F$6:$F$125,'Source_Data'!$B$6:$B$125,'Assumptions'!$C$8,'Source_Data'!$C$6:$C$125,B8,'Source_Data'!$D$6:$D$125,A8),SUMIFS('Source_Data'!$M$6:$M$125,'Source_Data'!$B$6:$B$125,'Assumptions'!$C$8,'Source_Data'!$C$6:$C$125,B8,'Source_Data'!$D$6:$D$125,A8))</x:f>
        <x:v>1611661</x:v>
      </x:c>
      <x:c r="G8" s="17" t="n">
        <x:f>IF(F8&gt;0,E8/F8,"n.a.")</x:f>
        <x:v>16.919229912494004</x:v>
      </x:c>
      <x:c r="H8" s="7" t="n">
        <x:f>SUMIFS('Source_Data'!$F$131:$F$170,'Source_Data'!$B$131:$B$170,B8,'Source_Data'!$C$131:$C$170,A8)</x:f>
        <x:v>0.12</x:v>
      </x:c>
      <x:c r="I8" s="7" t="n">
        <x:f>SUMIFS('Source_Data'!$G$131:$G$170,'Source_Data'!$B$131:$B$170,B8,'Source_Data'!$C$131:$C$170,A8)</x:f>
        <x:v>0.12</x:v>
      </x:c>
      <x:c r="J8" s="7" t="n">
        <x:f>IF('Assumptions'!$E$8="MFN all",I8,H8)</x:f>
        <x:v>0.12</x:v>
      </x:c>
      <x:c r="K8" s="7" t="n">
        <x:f>IF('Assumptions'!$E$8="Eligible",H8,I8)</x:f>
        <x:v>0.12</x:v>
      </x:c>
      <x:c r="L8" s="17" t="n">
        <x:f>IF(ISNUMBER(G8),G8*(1+J8),0)</x:f>
        <x:v>18.949537501993287</x:v>
      </x:c>
      <x:c r="M8" s="17" t="n">
        <x:f>IF(ISNUMBER(G8),G8*(1+K8),0)</x:f>
        <x:v>18.949537501993287</x:v>
      </x:c>
      <x:c r="N8" s="7" t="n">
        <x:f>0</x:f>
        <x:v>0</x:v>
      </x:c>
      <x:c r="O8" s="7" t="n">
        <x:f>IF(B8="China",-1,N8)</x:f>
        <x:v>-1</x:v>
      </x:c>
      <x:c r="P8" s="2" t="n">
        <x:f>IF(B8="China",D8,IF(N8&gt;0,MAX(0,MIN('Assumptions'!$E$5-D8,'Assumptions'!$H$5,IF('Assumptions'!$F$8=1,('Assumptions'!$G$8-1)*D8,1)))/N8,1))</x:f>
        <x:v>0.032221226763006934</x:v>
      </x:c>
      <x:c r="Q8" s="7" t="n">
        <x:f>IF(ISNUMBER($I52),$I52*O8,0)</x:f>
        <x:v>-0.032221226763006934</x:v>
      </x:c>
      <x:c r="R8" s="7" t="n">
        <x:f>D8+Q8</x:f>
        <x:v>0</x:v>
      </x:c>
      <x:c r="S8" s="17" t="n">
        <x:f>D8*L8</x:f>
        <x:v>0.6105773449058297</x:v>
      </x:c>
      <x:c r="T8" s="17" t="n">
        <x:f>R8*L8</x:f>
        <x:v>0</x:v>
      </x:c>
      <x:c r="U8" s="17" t="n">
        <x:f>MAX(0,Q8)*(M8*(1+'Assumptions'!$I$8)-L8)</x:f>
        <x:v>0</x:v>
      </x:c>
      <x:c r="V8" s="17" t="n">
        <x:f>MAX(0,Q8)*'Assumptions'!$C$47</x:f>
        <x:v>0</x:v>
      </x:c>
      <x:c r="W8" s="17" t="n">
        <x:f>MAX(0,Q8)*'Assumptions'!$D$47</x:f>
        <x:v>0</x:v>
      </x:c>
      <x:c r="X8" s="17" t="n">
        <x:f>MAX(0,Q8)*M8*(1+'Assumptions'!$I$8)*'Assumptions'!$E$47*'Assumptions'!$F$47/365</x:f>
        <x:v>0</x:v>
      </x:c>
      <x:c r="Y8" s="17" t="n">
        <x:f>SUM(T8:X8)</x:f>
        <x:v>0</x:v>
      </x:c>
      <x:c r="Z8" s="17" t="n">
        <x:f>D8^2*10000</x:f>
        <x:v>10.382074541131143</x:v>
      </x:c>
      <x:c r="AA8" s="17" t="n">
        <x:f>R8^2*10000</x:f>
        <x:v>0</x:v>
      </x:c>
      <x:c r="AB8" s="24" t="n">
        <x:f>IF(N8&gt;0,IF(D8&gt;0,R8/D8,IF(R8=0,0,"n.a.")),0)</x:f>
        <x:v>0</x:v>
      </x:c>
      <x:c r="AC8" s="2" t="str">
        <x:f>IF(AND(C8&gt;=0,E8&gt;0,F8&gt;0,COUNTIFS('Source_Data'!$B$6:$B$125,'Assumptions'!$C$8,'Source_Data'!$C$6:$C$125,B8,'Source_Data'!$D$6:$D$125,A8)=1,COUNTIFS('Source_Data'!$B$131:$B$170,B8,'Source_Data'!$C$131:$C$170,A8)=1),"Ready","Missing data")</x:f>
        <x:v>Ready</x:v>
      </x:c>
      <x:c r="AD8" s="2" t="n">
        <x:f>IF('Assumptions'!$D$8="Reported",SUMIFS('Source_Data'!$G$6:$G$125,'Source_Data'!$B$6:$B$125,'Assumptions'!$C$8,'Source_Data'!$C$6:$C$125,B8,'Source_Data'!$D$6:$D$125,A8),SUMIFS('Source_Data'!$N$6:$N$125,'Source_Data'!$B$6:$B$125,'Assumptions'!$C$8,'Source_Data'!$C$6:$C$125,B8,'Source_Data'!$D$6:$D$125,A8))</x:f>
        <x:v>6</x:v>
      </x:c>
      <x:c r="AE8" s="2"/>
      <x:c r="AF8" s="2"/>
    </x:row>
    <x:row r="9" ht="23" customHeight="1">
      <x:c r="A9" s="2" t="str">
        <x:v>61091000</x:v>
      </x:c>
      <x:c r="B9" s="2" t="str">
        <x:v>India</x:v>
      </x:c>
      <x:c r="C9" s="2" t="n">
        <x:f>SUMIFS('Source_Data'!$F$6:$F$125,'Source_Data'!$B$6:$B$125,"FY2025",'Source_Data'!$C$6:$C$125,B9,'Source_Data'!$D$6:$D$125,A9)</x:f>
        <x:v>7735285</x:v>
      </x:c>
      <x:c r="D9" s="7" t="n">
        <x:f>C9/SUM(C6:C15)</x:f>
        <x:v>0.10252754963532354</x:v>
      </x:c>
      <x:c r="E9" s="2" t="n">
        <x:f>IF('Assumptions'!$D$8="Reported",SUMIFS('Source_Data'!$E$6:$E$125,'Source_Data'!$B$6:$B$125,'Assumptions'!$C$8,'Source_Data'!$C$6:$C$125,B9,'Source_Data'!$D$6:$D$125,A9),SUMIFS('Source_Data'!$L$6:$L$125,'Source_Data'!$B$6:$B$125,'Assumptions'!$C$8,'Source_Data'!$C$6:$C$125,B9,'Source_Data'!$D$6:$D$125,A9))</x:f>
        <x:v>54416583</x:v>
      </x:c>
      <x:c r="F9" s="2" t="n">
        <x:f>IF('Assumptions'!$D$8="Reported",SUMIFS('Source_Data'!$F$6:$F$125,'Source_Data'!$B$6:$B$125,'Assumptions'!$C$8,'Source_Data'!$C$6:$C$125,B9,'Source_Data'!$D$6:$D$125,A9),SUMIFS('Source_Data'!$M$6:$M$125,'Source_Data'!$B$6:$B$125,'Assumptions'!$C$8,'Source_Data'!$C$6:$C$125,B9,'Source_Data'!$D$6:$D$125,A9))</x:f>
        <x:v>4347817</x:v>
      </x:c>
      <x:c r="G9" s="17" t="n">
        <x:f>IF(F9&gt;0,E9/F9,"n.a.")</x:f>
        <x:v>12.515840248106118</x:v>
      </x:c>
      <x:c r="H9" s="7" t="n">
        <x:f>SUMIFS('Source_Data'!$F$131:$F$170,'Source_Data'!$B$131:$B$170,B9,'Source_Data'!$C$131:$C$170,A9)</x:f>
        <x:v>0</x:v>
      </x:c>
      <x:c r="I9" s="7" t="n">
        <x:f>SUMIFS('Source_Data'!$G$131:$G$170,'Source_Data'!$B$131:$B$170,B9,'Source_Data'!$C$131:$C$170,A9)</x:f>
        <x:v>0.12</x:v>
      </x:c>
      <x:c r="J9" s="7" t="n">
        <x:f>IF('Assumptions'!$E$8="MFN all",I9,H9)</x:f>
        <x:v>0</x:v>
      </x:c>
      <x:c r="K9" s="7" t="n">
        <x:f>IF('Assumptions'!$E$8="Eligible",H9,I9)</x:f>
        <x:v>0</x:v>
      </x:c>
      <x:c r="L9" s="17" t="n">
        <x:f>IF(ISNUMBER(G9),G9*(1+J9),0)</x:f>
        <x:v>12.515840248106118</x:v>
      </x:c>
      <x:c r="M9" s="17" t="n">
        <x:f>IF(ISNUMBER(G9),G9*(1+K9),0)</x:f>
        <x:v>12.515840248106118</x:v>
      </x:c>
      <x:c r="N9" s="7" t="n">
        <x:f>SUMIFS('Assumptions'!$C$52:$C$75,'Assumptions'!$A$52:$A$75,'Assumptions'!$J$8,'Assumptions'!$B$52:$B$75,A9)</x:f>
        <x:v>0.5</x:v>
      </x:c>
      <x:c r="O9" s="7" t="n">
        <x:f>IF(B9="China",-1,N9)</x:f>
        <x:v>0.5</x:v>
      </x:c>
      <x:c r="P9" s="2" t="n">
        <x:f>IF(B9="China",D9,IF(N9&gt;0,MAX(0,MIN('Assumptions'!$E$5-D9,'Assumptions'!$H$5,IF('Assumptions'!$F$8=1,('Assumptions'!$G$8-1)*D9,1)))/N9,1))</x:f>
        <x:v>0.2</x:v>
      </x:c>
      <x:c r="Q9" s="7" t="n">
        <x:f>IF(ISNUMBER($I52),$I52*O9,0)</x:f>
        <x:v>0.016110613381503467</x:v>
      </x:c>
      <x:c r="R9" s="7" t="n">
        <x:f>D9+Q9</x:f>
        <x:v>0.118638163016827</x:v>
      </x:c>
      <x:c r="S9" s="17" t="n">
        <x:f>D9*L9</x:f>
        <x:v>1.28321843226548</x:v>
      </x:c>
      <x:c r="T9" s="17" t="n">
        <x:f>R9*L9</x:f>
        <x:v>1.484856295647378</x:v>
      </x:c>
      <x:c r="U9" s="17" t="n">
        <x:f>MAX(0,Q9)*(M9*(1+'Assumptions'!$I$8)-L9)</x:f>
        <x:v>0</x:v>
      </x:c>
      <x:c r="V9" s="17" t="n">
        <x:f>MAX(0,Q9)*'Assumptions'!$C$47</x:f>
        <x:v>0</x:v>
      </x:c>
      <x:c r="W9" s="17" t="n">
        <x:f>MAX(0,Q9)*'Assumptions'!$D$47</x:f>
        <x:v>0</x:v>
      </x:c>
      <x:c r="X9" s="17" t="n">
        <x:f>MAX(0,Q9)*M9*(1+'Assumptions'!$I$8)*'Assumptions'!$E$47*'Assumptions'!$F$47/365</x:f>
        <x:v>0</x:v>
      </x:c>
      <x:c r="Y9" s="17" t="n">
        <x:f>SUM(T9:X9)</x:f>
        <x:v>1.484856295647378</x:v>
      </x:c>
      <x:c r="Z9" s="17" t="n">
        <x:f>D9^2*10000</x:f>
        <x:v>105.11898434223733</x:v>
      </x:c>
      <x:c r="AA9" s="17" t="n">
        <x:f>R9^2*10000</x:f>
        <x:v>140.75013724007218</x:v>
      </x:c>
      <x:c r="AB9" s="24" t="n">
        <x:f>IF(N9&gt;0,IF(D9&gt;0,R9/D9,IF(R9=0,0,"n.a.")),0)</x:f>
        <x:v>1.1571344817934957</x:v>
      </x:c>
      <x:c r="AC9" s="2" t="str">
        <x:f>IF(AND(C9&gt;=0,E9&gt;0,F9&gt;0,COUNTIFS('Source_Data'!$B$6:$B$125,'Assumptions'!$C$8,'Source_Data'!$C$6:$C$125,B9,'Source_Data'!$D$6:$D$125,A9)=1,COUNTIFS('Source_Data'!$B$131:$B$170,B9,'Source_Data'!$C$131:$C$170,A9)=1),"Ready","Missing data")</x:f>
        <x:v>Ready</x:v>
      </x:c>
      <x:c r="AD9" s="2" t="n">
        <x:f>IF('Assumptions'!$D$8="Reported",SUMIFS('Source_Data'!$G$6:$G$125,'Source_Data'!$B$6:$B$125,'Assumptions'!$C$8,'Source_Data'!$C$6:$C$125,B9,'Source_Data'!$D$6:$D$125,A9),SUMIFS('Source_Data'!$N$6:$N$125,'Source_Data'!$B$6:$B$125,'Assumptions'!$C$8,'Source_Data'!$C$6:$C$125,B9,'Source_Data'!$D$6:$D$125,A9))</x:f>
        <x:v>6</x:v>
      </x:c>
      <x:c r="AE9" s="2"/>
      <x:c r="AF9" s="2"/>
    </x:row>
    <x:row r="10" ht="23" customHeight="1">
      <x:c r="A10" s="2" t="str">
        <x:v>61091000</x:v>
      </x:c>
      <x:c r="B10" s="2" t="str">
        <x:v>Morocco</x:v>
      </x:c>
      <x:c r="C10" s="2" t="n">
        <x:f>SUMIFS('Source_Data'!$F$6:$F$125,'Source_Data'!$B$6:$B$125,"FY2025",'Source_Data'!$C$6:$C$125,B10,'Source_Data'!$D$6:$D$125,A10)</x:f>
        <x:v>1265062</x:v>
      </x:c>
      <x:c r="D10" s="7" t="n">
        <x:f>C10/SUM(C6:C15)</x:f>
        <x:v>0.016767799376074918</x:v>
      </x:c>
      <x:c r="E10" s="2" t="n">
        <x:f>IF('Assumptions'!$D$8="Reported",SUMIFS('Source_Data'!$E$6:$E$125,'Source_Data'!$B$6:$B$125,'Assumptions'!$C$8,'Source_Data'!$C$6:$C$125,B10,'Source_Data'!$D$6:$D$125,A10),SUMIFS('Source_Data'!$L$6:$L$125,'Source_Data'!$B$6:$B$125,'Assumptions'!$C$8,'Source_Data'!$C$6:$C$125,B10,'Source_Data'!$D$6:$D$125,A10))</x:f>
        <x:v>4957179</x:v>
      </x:c>
      <x:c r="F10" s="2" t="n">
        <x:f>IF('Assumptions'!$D$8="Reported",SUMIFS('Source_Data'!$F$6:$F$125,'Source_Data'!$B$6:$B$125,'Assumptions'!$C$8,'Source_Data'!$C$6:$C$125,B10,'Source_Data'!$D$6:$D$125,A10),SUMIFS('Source_Data'!$M$6:$M$125,'Source_Data'!$B$6:$B$125,'Assumptions'!$C$8,'Source_Data'!$C$6:$C$125,B10,'Source_Data'!$D$6:$D$125,A10))</x:f>
        <x:v>526732</x:v>
      </x:c>
      <x:c r="G10" s="17" t="n">
        <x:f>IF(F10&gt;0,E10/F10,"n.a.")</x:f>
        <x:v>9.411197724839198</x:v>
      </x:c>
      <x:c r="H10" s="7" t="n">
        <x:f>SUMIFS('Source_Data'!$F$131:$F$170,'Source_Data'!$B$131:$B$170,B10,'Source_Data'!$C$131:$C$170,A10)</x:f>
        <x:v>0</x:v>
      </x:c>
      <x:c r="I10" s="7" t="n">
        <x:f>SUMIFS('Source_Data'!$G$131:$G$170,'Source_Data'!$B$131:$B$170,B10,'Source_Data'!$C$131:$C$170,A10)</x:f>
        <x:v>0.12</x:v>
      </x:c>
      <x:c r="J10" s="7" t="n">
        <x:f>IF('Assumptions'!$E$8="MFN all",I10,H10)</x:f>
        <x:v>0</x:v>
      </x:c>
      <x:c r="K10" s="7" t="n">
        <x:f>IF('Assumptions'!$E$8="Eligible",H10,I10)</x:f>
        <x:v>0</x:v>
      </x:c>
      <x:c r="L10" s="17" t="n">
        <x:f>IF(ISNUMBER(G10),G10*(1+J10),0)</x:f>
        <x:v>9.411197724839198</x:v>
      </x:c>
      <x:c r="M10" s="17" t="n">
        <x:f>IF(ISNUMBER(G10),G10*(1+K10),0)</x:f>
        <x:v>9.411197724839198</x:v>
      </x:c>
      <x:c r="N10" s="7" t="n">
        <x:f>0</x:f>
        <x:v>0</x:v>
      </x:c>
      <x:c r="O10" s="7" t="n">
        <x:f>IF(B10="China",-1,N10)</x:f>
        <x:v>0</x:v>
      </x:c>
      <x:c r="P10" s="2" t="n">
        <x:f>IF(B10="China",D10,IF(N10&gt;0,MAX(0,MIN('Assumptions'!$E$5-D10,'Assumptions'!$H$5,IF('Assumptions'!$F$8=1,('Assumptions'!$G$8-1)*D10,1)))/N10,1))</x:f>
        <x:v>1</x:v>
      </x:c>
      <x:c r="Q10" s="7" t="n">
        <x:f>IF(ISNUMBER($I52),$I52*O10,0)</x:f>
        <x:v>0</x:v>
      </x:c>
      <x:c r="R10" s="7" t="n">
        <x:f>D10+Q10</x:f>
        <x:v>0.016767799376074918</x:v>
      </x:c>
      <x:c r="S10" s="17" t="n">
        <x:f>D10*L10</x:f>
        <x:v>0.15780507533867638</x:v>
      </x:c>
      <x:c r="T10" s="17" t="n">
        <x:f>R10*L10</x:f>
        <x:v>0.15780507533867638</x:v>
      </x:c>
      <x:c r="U10" s="17" t="n">
        <x:f>MAX(0,Q10)*(M10*(1+'Assumptions'!$I$8)-L10)</x:f>
        <x:v>0</x:v>
      </x:c>
      <x:c r="V10" s="17" t="n">
        <x:f>MAX(0,Q10)*'Assumptions'!$C$47</x:f>
        <x:v>0</x:v>
      </x:c>
      <x:c r="W10" s="17" t="n">
        <x:f>MAX(0,Q10)*'Assumptions'!$D$47</x:f>
        <x:v>0</x:v>
      </x:c>
      <x:c r="X10" s="17" t="n">
        <x:f>MAX(0,Q10)*M10*(1+'Assumptions'!$I$8)*'Assumptions'!$E$47*'Assumptions'!$F$47/365</x:f>
        <x:v>0</x:v>
      </x:c>
      <x:c r="Y10" s="17" t="n">
        <x:f>SUM(T10:X10)</x:f>
        <x:v>0.15780507533867638</x:v>
      </x:c>
      <x:c r="Z10" s="17" t="n">
        <x:f>D10^2*10000</x:f>
        <x:v>2.811590959162984</x:v>
      </x:c>
      <x:c r="AA10" s="17" t="n">
        <x:f>R10^2*10000</x:f>
        <x:v>2.811590959162984</x:v>
      </x:c>
      <x:c r="AB10" s="24" t="n">
        <x:f>IF(N10&gt;0,IF(D10&gt;0,R10/D10,IF(R10=0,0,"n.a.")),0)</x:f>
        <x:v>0</x:v>
      </x:c>
      <x:c r="AC10" s="2" t="str">
        <x:f>IF(AND(C10&gt;=0,E10&gt;0,F10&gt;0,COUNTIFS('Source_Data'!$B$6:$B$125,'Assumptions'!$C$8,'Source_Data'!$C$6:$C$125,B10,'Source_Data'!$D$6:$D$125,A10)=1,COUNTIFS('Source_Data'!$B$131:$B$170,B10,'Source_Data'!$C$131:$C$170,A10)=1),"Ready","Missing data")</x:f>
        <x:v>Ready</x:v>
      </x:c>
      <x:c r="AD10" s="2" t="n">
        <x:f>IF('Assumptions'!$D$8="Reported",SUMIFS('Source_Data'!$G$6:$G$125,'Source_Data'!$B$6:$B$125,'Assumptions'!$C$8,'Source_Data'!$C$6:$C$125,B10,'Source_Data'!$D$6:$D$125,A10),SUMIFS('Source_Data'!$N$6:$N$125,'Source_Data'!$B$6:$B$125,'Assumptions'!$C$8,'Source_Data'!$C$6:$C$125,B10,'Source_Data'!$D$6:$D$125,A10))</x:f>
        <x:v>6</x:v>
      </x:c>
      <x:c r="AE10" s="2"/>
      <x:c r="AF10" s="2"/>
    </x:row>
    <x:row r="11" ht="23" customHeight="1">
      <x:c r="A11" s="2" t="str">
        <x:v>61091000</x:v>
      </x:c>
      <x:c r="B11" s="2" t="str">
        <x:v>Myanmar</x:v>
      </x:c>
      <x:c r="C11" s="2" t="n">
        <x:f>SUMIFS('Source_Data'!$F$6:$F$125,'Source_Data'!$B$6:$B$125,"FY2025",'Source_Data'!$C$6:$C$125,B11,'Source_Data'!$D$6:$D$125,A11)</x:f>
        <x:v>29326</x:v>
      </x:c>
      <x:c r="D11" s="7" t="n">
        <x:f>C11/SUM(C6:C15)</x:f>
        <x:v>0.00038870228060187804</x:v>
      </x:c>
      <x:c r="E11" s="2" t="n">
        <x:f>IF('Assumptions'!$D$8="Reported",SUMIFS('Source_Data'!$E$6:$E$125,'Source_Data'!$B$6:$B$125,'Assumptions'!$C$8,'Source_Data'!$C$6:$C$125,B11,'Source_Data'!$D$6:$D$125,A11),SUMIFS('Source_Data'!$L$6:$L$125,'Source_Data'!$B$6:$B$125,'Assumptions'!$C$8,'Source_Data'!$C$6:$C$125,B11,'Source_Data'!$D$6:$D$125,A11))</x:f>
        <x:v>619607</x:v>
      </x:c>
      <x:c r="F11" s="2" t="n">
        <x:f>IF('Assumptions'!$D$8="Reported",SUMIFS('Source_Data'!$F$6:$F$125,'Source_Data'!$B$6:$B$125,'Assumptions'!$C$8,'Source_Data'!$C$6:$C$125,B11,'Source_Data'!$D$6:$D$125,A11),SUMIFS('Source_Data'!$M$6:$M$125,'Source_Data'!$B$6:$B$125,'Assumptions'!$C$8,'Source_Data'!$C$6:$C$125,B11,'Source_Data'!$D$6:$D$125,A11))</x:f>
        <x:v>58361</x:v>
      </x:c>
      <x:c r="G11" s="17" t="n">
        <x:f>IF(F11&gt;0,E11/F11,"n.a.")</x:f>
        <x:v>10.616798889669472</x:v>
      </x:c>
      <x:c r="H11" s="7" t="n">
        <x:f>SUMIFS('Source_Data'!$F$131:$F$170,'Source_Data'!$B$131:$B$170,B11,'Source_Data'!$C$131:$C$170,A11)</x:f>
        <x:v>0</x:v>
      </x:c>
      <x:c r="I11" s="7" t="n">
        <x:f>SUMIFS('Source_Data'!$G$131:$G$170,'Source_Data'!$B$131:$B$170,B11,'Source_Data'!$C$131:$C$170,A11)</x:f>
        <x:v>0.12</x:v>
      </x:c>
      <x:c r="J11" s="7" t="n">
        <x:f>IF('Assumptions'!$E$8="MFN all",I11,H11)</x:f>
        <x:v>0</x:v>
      </x:c>
      <x:c r="K11" s="7" t="n">
        <x:f>IF('Assumptions'!$E$8="Eligible",H11,I11)</x:f>
        <x:v>0</x:v>
      </x:c>
      <x:c r="L11" s="17" t="n">
        <x:f>IF(ISNUMBER(G11),G11*(1+J11),0)</x:f>
        <x:v>10.616798889669472</x:v>
      </x:c>
      <x:c r="M11" s="17" t="n">
        <x:f>IF(ISNUMBER(G11),G11*(1+K11),0)</x:f>
        <x:v>10.616798889669472</x:v>
      </x:c>
      <x:c r="N11" s="7" t="n">
        <x:f>0</x:f>
        <x:v>0</x:v>
      </x:c>
      <x:c r="O11" s="7" t="n">
        <x:f>IF(B11="China",-1,N11)</x:f>
        <x:v>0</x:v>
      </x:c>
      <x:c r="P11" s="2" t="n">
        <x:f>IF(B11="China",D11,IF(N11&gt;0,MAX(0,MIN('Assumptions'!$E$5-D11,'Assumptions'!$H$5,IF('Assumptions'!$F$8=1,('Assumptions'!$G$8-1)*D11,1)))/N11,1))</x:f>
        <x:v>1</x:v>
      </x:c>
      <x:c r="Q11" s="7" t="n">
        <x:f>IF(ISNUMBER($I52),$I52*O11,0)</x:f>
        <x:v>0</x:v>
      </x:c>
      <x:c r="R11" s="7" t="n">
        <x:f>D11+Q11</x:f>
        <x:v>0.00038870228060187804</x:v>
      </x:c>
      <x:c r="S11" s="17" t="n">
        <x:f>D11*L11</x:f>
        <x:v>0.00412677394110601</x:v>
      </x:c>
      <x:c r="T11" s="17" t="n">
        <x:f>R11*L11</x:f>
        <x:v>0.00412677394110601</x:v>
      </x:c>
      <x:c r="U11" s="17" t="n">
        <x:f>MAX(0,Q11)*(M11*(1+'Assumptions'!$I$8)-L11)</x:f>
        <x:v>0</x:v>
      </x:c>
      <x:c r="V11" s="17" t="n">
        <x:f>MAX(0,Q11)*'Assumptions'!$C$47</x:f>
        <x:v>0</x:v>
      </x:c>
      <x:c r="W11" s="17" t="n">
        <x:f>MAX(0,Q11)*'Assumptions'!$D$47</x:f>
        <x:v>0</x:v>
      </x:c>
      <x:c r="X11" s="17" t="n">
        <x:f>MAX(0,Q11)*M11*(1+'Assumptions'!$I$8)*'Assumptions'!$E$47*'Assumptions'!$F$47/365</x:f>
        <x:v>0</x:v>
      </x:c>
      <x:c r="Y11" s="17" t="n">
        <x:f>SUM(T11:X11)</x:f>
        <x:v>0.00412677394110601</x:v>
      </x:c>
      <x:c r="Z11" s="17" t="n">
        <x:f>D11^2*10000</x:f>
        <x:v>0.0015108946294510115</x:v>
      </x:c>
      <x:c r="AA11" s="17" t="n">
        <x:f>R11^2*10000</x:f>
        <x:v>0.0015108946294510115</x:v>
      </x:c>
      <x:c r="AB11" s="24" t="n">
        <x:f>IF(N11&gt;0,IF(D11&gt;0,R11/D11,IF(R11=0,0,"n.a.")),0)</x:f>
        <x:v>0</x:v>
      </x:c>
      <x:c r="AC11" s="2" t="str">
        <x:f>IF(AND(C11&gt;=0,E11&gt;0,F11&gt;0,COUNTIFS('Source_Data'!$B$6:$B$125,'Assumptions'!$C$8,'Source_Data'!$C$6:$C$125,B11,'Source_Data'!$D$6:$D$125,A11)=1,COUNTIFS('Source_Data'!$B$131:$B$170,B11,'Source_Data'!$C$131:$C$170,A11)=1),"Ready","Missing data")</x:f>
        <x:v>Ready</x:v>
      </x:c>
      <x:c r="AD11" s="2" t="n">
        <x:f>IF('Assumptions'!$D$8="Reported",SUMIFS('Source_Data'!$G$6:$G$125,'Source_Data'!$B$6:$B$125,'Assumptions'!$C$8,'Source_Data'!$C$6:$C$125,B11,'Source_Data'!$D$6:$D$125,A11),SUMIFS('Source_Data'!$N$6:$N$125,'Source_Data'!$B$6:$B$125,'Assumptions'!$C$8,'Source_Data'!$C$6:$C$125,B11,'Source_Data'!$D$6:$D$125,A11))</x:f>
        <x:v>6</x:v>
      </x:c>
      <x:c r="AE11" s="2"/>
      <x:c r="AF11" s="2"/>
    </x:row>
    <x:row r="12" ht="23" customHeight="1">
      <x:c r="A12" s="2" t="str">
        <x:v>61091000</x:v>
      </x:c>
      <x:c r="B12" s="2" t="str">
        <x:v>Pakistan</x:v>
      </x:c>
      <x:c r="C12" s="2" t="n">
        <x:f>SUMIFS('Source_Data'!$F$6:$F$125,'Source_Data'!$B$6:$B$125,"FY2025",'Source_Data'!$C$6:$C$125,B12,'Source_Data'!$D$6:$D$125,A12)</x:f>
        <x:v>10896985</x:v>
      </x:c>
      <x:c r="D12" s="7" t="n">
        <x:f>C12/SUM(C6:C15)</x:f>
        <x:v>0.14443439000151592</x:v>
      </x:c>
      <x:c r="E12" s="2" t="n">
        <x:f>IF('Assumptions'!$D$8="Reported",SUMIFS('Source_Data'!$E$6:$E$125,'Source_Data'!$B$6:$B$125,'Assumptions'!$C$8,'Source_Data'!$C$6:$C$125,B12,'Source_Data'!$D$6:$D$125,A12),SUMIFS('Source_Data'!$L$6:$L$125,'Source_Data'!$B$6:$B$125,'Assumptions'!$C$8,'Source_Data'!$C$6:$C$125,B12,'Source_Data'!$D$6:$D$125,A12))</x:f>
        <x:v>20868271</x:v>
      </x:c>
      <x:c r="F12" s="2" t="n">
        <x:f>IF('Assumptions'!$D$8="Reported",SUMIFS('Source_Data'!$F$6:$F$125,'Source_Data'!$B$6:$B$125,'Assumptions'!$C$8,'Source_Data'!$C$6:$C$125,B12,'Source_Data'!$D$6:$D$125,A12),SUMIFS('Source_Data'!$M$6:$M$125,'Source_Data'!$B$6:$B$125,'Assumptions'!$C$8,'Source_Data'!$C$6:$C$125,B12,'Source_Data'!$D$6:$D$125,A12))</x:f>
        <x:v>1714193</x:v>
      </x:c>
      <x:c r="G12" s="17" t="n">
        <x:f>IF(F12&gt;0,E12/F12,"n.a.")</x:f>
        <x:v>12.17381648390817</x:v>
      </x:c>
      <x:c r="H12" s="7" t="n">
        <x:f>SUMIFS('Source_Data'!$F$131:$F$170,'Source_Data'!$B$131:$B$170,B12,'Source_Data'!$C$131:$C$170,A12)</x:f>
        <x:v>0</x:v>
      </x:c>
      <x:c r="I12" s="7" t="n">
        <x:f>SUMIFS('Source_Data'!$G$131:$G$170,'Source_Data'!$B$131:$B$170,B12,'Source_Data'!$C$131:$C$170,A12)</x:f>
        <x:v>0.12</x:v>
      </x:c>
      <x:c r="J12" s="7" t="n">
        <x:f>IF('Assumptions'!$E$8="MFN all",I12,H12)</x:f>
        <x:v>0</x:v>
      </x:c>
      <x:c r="K12" s="7" t="n">
        <x:f>IF('Assumptions'!$E$8="Eligible",H12,I12)</x:f>
        <x:v>0</x:v>
      </x:c>
      <x:c r="L12" s="17" t="n">
        <x:f>IF(ISNUMBER(G12),G12*(1+J12),0)</x:f>
        <x:v>12.17381648390817</x:v>
      </x:c>
      <x:c r="M12" s="17" t="n">
        <x:f>IF(ISNUMBER(G12),G12*(1+K12),0)</x:f>
        <x:v>12.17381648390817</x:v>
      </x:c>
      <x:c r="N12" s="7" t="n">
        <x:f>0</x:f>
        <x:v>0</x:v>
      </x:c>
      <x:c r="O12" s="7" t="n">
        <x:f>IF(B12="China",-1,N12)</x:f>
        <x:v>0</x:v>
      </x:c>
      <x:c r="P12" s="2" t="n">
        <x:f>IF(B12="China",D12,IF(N12&gt;0,MAX(0,MIN('Assumptions'!$E$5-D12,'Assumptions'!$H$5,IF('Assumptions'!$F$8=1,('Assumptions'!$G$8-1)*D12,1)))/N12,1))</x:f>
        <x:v>1</x:v>
      </x:c>
      <x:c r="Q12" s="7" t="n">
        <x:f>IF(ISNUMBER($I52),$I52*O12,0)</x:f>
        <x:v>0</x:v>
      </x:c>
      <x:c r="R12" s="7" t="n">
        <x:f>D12+Q12</x:f>
        <x:v>0.14443439000151592</x:v>
      </x:c>
      <x:c r="S12" s="17" t="n">
        <x:f>D12*L12</x:f>
        <x:v>1.758317757843676</x:v>
      </x:c>
      <x:c r="T12" s="17" t="n">
        <x:f>R12*L12</x:f>
        <x:v>1.758317757843676</x:v>
      </x:c>
      <x:c r="U12" s="17" t="n">
        <x:f>MAX(0,Q12)*(M12*(1+'Assumptions'!$I$8)-L12)</x:f>
        <x:v>0</x:v>
      </x:c>
      <x:c r="V12" s="17" t="n">
        <x:f>MAX(0,Q12)*'Assumptions'!$C$47</x:f>
        <x:v>0</x:v>
      </x:c>
      <x:c r="W12" s="17" t="n">
        <x:f>MAX(0,Q12)*'Assumptions'!$D$47</x:f>
        <x:v>0</x:v>
      </x:c>
      <x:c r="X12" s="17" t="n">
        <x:f>MAX(0,Q12)*M12*(1+'Assumptions'!$I$8)*'Assumptions'!$E$47*'Assumptions'!$F$47/365</x:f>
        <x:v>0</x:v>
      </x:c>
      <x:c r="Y12" s="17" t="n">
        <x:f>SUM(T12:X12)</x:f>
        <x:v>1.758317757843676</x:v>
      </x:c>
      <x:c r="Z12" s="17" t="n">
        <x:f>D12^2*10000</x:f>
        <x:v>208.61293015110002</x:v>
      </x:c>
      <x:c r="AA12" s="17" t="n">
        <x:f>R12^2*10000</x:f>
        <x:v>208.61293015110002</x:v>
      </x:c>
      <x:c r="AB12" s="24" t="n">
        <x:f>IF(N12&gt;0,IF(D12&gt;0,R12/D12,IF(R12=0,0,"n.a.")),0)</x:f>
        <x:v>0</x:v>
      </x:c>
      <x:c r="AC12" s="2" t="str">
        <x:f>IF(AND(C12&gt;=0,E12&gt;0,F12&gt;0,COUNTIFS('Source_Data'!$B$6:$B$125,'Assumptions'!$C$8,'Source_Data'!$C$6:$C$125,B12,'Source_Data'!$D$6:$D$125,A12)=1,COUNTIFS('Source_Data'!$B$131:$B$170,B12,'Source_Data'!$C$131:$C$170,A12)=1),"Ready","Missing data")</x:f>
        <x:v>Ready</x:v>
      </x:c>
      <x:c r="AD12" s="2" t="n">
        <x:f>IF('Assumptions'!$D$8="Reported",SUMIFS('Source_Data'!$G$6:$G$125,'Source_Data'!$B$6:$B$125,'Assumptions'!$C$8,'Source_Data'!$C$6:$C$125,B12,'Source_Data'!$D$6:$D$125,A12),SUMIFS('Source_Data'!$N$6:$N$125,'Source_Data'!$B$6:$B$125,'Assumptions'!$C$8,'Source_Data'!$C$6:$C$125,B12,'Source_Data'!$D$6:$D$125,A12))</x:f>
        <x:v>6</x:v>
      </x:c>
      <x:c r="AE12" s="2"/>
      <x:c r="AF12" s="2"/>
    </x:row>
    <x:row r="13" ht="23" customHeight="1">
      <x:c r="A13" s="2" t="str">
        <x:v>61091000</x:v>
      </x:c>
      <x:c r="B13" s="2" t="str">
        <x:v>Sri Lanka</x:v>
      </x:c>
      <x:c r="C13" s="2" t="n">
        <x:f>SUMIFS('Source_Data'!$F$6:$F$125,'Source_Data'!$B$6:$B$125,"FY2025",'Source_Data'!$C$6:$C$125,B13,'Source_Data'!$D$6:$D$125,A13)</x:f>
        <x:v>2215013</x:v>
      </x:c>
      <x:c r="D13" s="7" t="n">
        <x:f>C13/SUM(C6:C15)</x:f>
        <x:v>0.02935895126041082</x:v>
      </x:c>
      <x:c r="E13" s="2" t="n">
        <x:f>IF('Assumptions'!$D$8="Reported",SUMIFS('Source_Data'!$E$6:$E$125,'Source_Data'!$B$6:$B$125,'Assumptions'!$C$8,'Source_Data'!$C$6:$C$125,B13,'Source_Data'!$D$6:$D$125,A13),SUMIFS('Source_Data'!$L$6:$L$125,'Source_Data'!$B$6:$B$125,'Assumptions'!$C$8,'Source_Data'!$C$6:$C$125,B13,'Source_Data'!$D$6:$D$125,A13))</x:f>
        <x:v>8791535</x:v>
      </x:c>
      <x:c r="F13" s="2" t="n">
        <x:f>IF('Assumptions'!$D$8="Reported",SUMIFS('Source_Data'!$F$6:$F$125,'Source_Data'!$B$6:$B$125,'Assumptions'!$C$8,'Source_Data'!$C$6:$C$125,B13,'Source_Data'!$D$6:$D$125,A13),SUMIFS('Source_Data'!$M$6:$M$125,'Source_Data'!$B$6:$B$125,'Assumptions'!$C$8,'Source_Data'!$C$6:$C$125,B13,'Source_Data'!$D$6:$D$125,A13))</x:f>
        <x:v>729136</x:v>
      </x:c>
      <x:c r="G13" s="17" t="n">
        <x:f>IF(F13&gt;0,E13/F13,"n.a.")</x:f>
        <x:v>12.057469388426851</x:v>
      </x:c>
      <x:c r="H13" s="7" t="n">
        <x:f>SUMIFS('Source_Data'!$F$131:$F$170,'Source_Data'!$B$131:$B$170,B13,'Source_Data'!$C$131:$C$170,A13)</x:f>
        <x:v>0</x:v>
      </x:c>
      <x:c r="I13" s="7" t="n">
        <x:f>SUMIFS('Source_Data'!$G$131:$G$170,'Source_Data'!$B$131:$B$170,B13,'Source_Data'!$C$131:$C$170,A13)</x:f>
        <x:v>0.12</x:v>
      </x:c>
      <x:c r="J13" s="7" t="n">
        <x:f>IF('Assumptions'!$E$8="MFN all",I13,H13)</x:f>
        <x:v>0</x:v>
      </x:c>
      <x:c r="K13" s="7" t="n">
        <x:f>IF('Assumptions'!$E$8="Eligible",H13,I13)</x:f>
        <x:v>0</x:v>
      </x:c>
      <x:c r="L13" s="17" t="n">
        <x:f>IF(ISNUMBER(G13),G13*(1+J13),0)</x:f>
        <x:v>12.057469388426851</x:v>
      </x:c>
      <x:c r="M13" s="17" t="n">
        <x:f>IF(ISNUMBER(G13),G13*(1+K13),0)</x:f>
        <x:v>12.057469388426851</x:v>
      </x:c>
      <x:c r="N13" s="7" t="n">
        <x:f>0</x:f>
        <x:v>0</x:v>
      </x:c>
      <x:c r="O13" s="7" t="n">
        <x:f>IF(B13="China",-1,N13)</x:f>
        <x:v>0</x:v>
      </x:c>
      <x:c r="P13" s="2" t="n">
        <x:f>IF(B13="China",D13,IF(N13&gt;0,MAX(0,MIN('Assumptions'!$E$5-D13,'Assumptions'!$H$5,IF('Assumptions'!$F$8=1,('Assumptions'!$G$8-1)*D13,1)))/N13,1))</x:f>
        <x:v>1</x:v>
      </x:c>
      <x:c r="Q13" s="7" t="n">
        <x:f>IF(ISNUMBER($I52),$I52*O13,0)</x:f>
        <x:v>0</x:v>
      </x:c>
      <x:c r="R13" s="7" t="n">
        <x:f>D13+Q13</x:f>
        <x:v>0.02935895126041082</x:v>
      </x:c>
      <x:c r="S13" s="17" t="n">
        <x:f>D13*L13</x:f>
        <x:v>0.3539946560987194</x:v>
      </x:c>
      <x:c r="T13" s="17" t="n">
        <x:f>R13*L13</x:f>
        <x:v>0.3539946560987194</x:v>
      </x:c>
      <x:c r="U13" s="17" t="n">
        <x:f>MAX(0,Q13)*(M13*(1+'Assumptions'!$I$8)-L13)</x:f>
        <x:v>0</x:v>
      </x:c>
      <x:c r="V13" s="17" t="n">
        <x:f>MAX(0,Q13)*'Assumptions'!$C$47</x:f>
        <x:v>0</x:v>
      </x:c>
      <x:c r="W13" s="17" t="n">
        <x:f>MAX(0,Q13)*'Assumptions'!$D$47</x:f>
        <x:v>0</x:v>
      </x:c>
      <x:c r="X13" s="17" t="n">
        <x:f>MAX(0,Q13)*M13*(1+'Assumptions'!$I$8)*'Assumptions'!$E$47*'Assumptions'!$F$47/365</x:f>
        <x:v>0</x:v>
      </x:c>
      <x:c r="Y13" s="17" t="n">
        <x:f>SUM(T13:X13)</x:f>
        <x:v>0.3539946560987194</x:v>
      </x:c>
      <x:c r="Z13" s="17" t="n">
        <x:f>D13^2*10000</x:f>
        <x:v>8.61948019111178</x:v>
      </x:c>
      <x:c r="AA13" s="17" t="n">
        <x:f>R13^2*10000</x:f>
        <x:v>8.61948019111178</x:v>
      </x:c>
      <x:c r="AB13" s="24" t="n">
        <x:f>IF(N13&gt;0,IF(D13&gt;0,R13/D13,IF(R13=0,0,"n.a.")),0)</x:f>
        <x:v>0</x:v>
      </x:c>
      <x:c r="AC13" s="2" t="str">
        <x:f>IF(AND(C13&gt;=0,E13&gt;0,F13&gt;0,COUNTIFS('Source_Data'!$B$6:$B$125,'Assumptions'!$C$8,'Source_Data'!$C$6:$C$125,B13,'Source_Data'!$D$6:$D$125,A13)=1,COUNTIFS('Source_Data'!$B$131:$B$170,B13,'Source_Data'!$C$131:$C$170,A13)=1),"Ready","Missing data")</x:f>
        <x:v>Ready</x:v>
      </x:c>
      <x:c r="AD13" s="2" t="n">
        <x:f>IF('Assumptions'!$D$8="Reported",SUMIFS('Source_Data'!$G$6:$G$125,'Source_Data'!$B$6:$B$125,'Assumptions'!$C$8,'Source_Data'!$C$6:$C$125,B13,'Source_Data'!$D$6:$D$125,A13),SUMIFS('Source_Data'!$N$6:$N$125,'Source_Data'!$B$6:$B$125,'Assumptions'!$C$8,'Source_Data'!$C$6:$C$125,B13,'Source_Data'!$D$6:$D$125,A13))</x:f>
        <x:v>6</x:v>
      </x:c>
      <x:c r="AE13" s="2"/>
      <x:c r="AF13" s="2"/>
    </x:row>
    <x:row r="14" ht="23" customHeight="1">
      <x:c r="A14" s="2" t="str">
        <x:v>61091000</x:v>
      </x:c>
      <x:c r="B14" s="2" t="str">
        <x:v>Turkey</x:v>
      </x:c>
      <x:c r="C14" s="2" t="n">
        <x:f>SUMIFS('Source_Data'!$F$6:$F$125,'Source_Data'!$B$6:$B$125,"FY2025",'Source_Data'!$C$6:$C$125,B14,'Source_Data'!$D$6:$D$125,A14)</x:f>
        <x:v>4927477</x:v>
      </x:c>
      <x:c r="D14" s="7" t="n">
        <x:f>C14/SUM(C6:C15)</x:f>
        <x:v>0.06531138060128555</x:v>
      </x:c>
      <x:c r="E14" s="2" t="n">
        <x:f>IF('Assumptions'!$D$8="Reported",SUMIFS('Source_Data'!$E$6:$E$125,'Source_Data'!$B$6:$B$125,'Assumptions'!$C$8,'Source_Data'!$C$6:$C$125,B14,'Source_Data'!$D$6:$D$125,A14),SUMIFS('Source_Data'!$L$6:$L$125,'Source_Data'!$B$6:$B$125,'Assumptions'!$C$8,'Source_Data'!$C$6:$C$125,B14,'Source_Data'!$D$6:$D$125,A14))</x:f>
        <x:v>58384062</x:v>
      </x:c>
      <x:c r="F14" s="2" t="n">
        <x:f>IF('Assumptions'!$D$8="Reported",SUMIFS('Source_Data'!$F$6:$F$125,'Source_Data'!$B$6:$B$125,'Assumptions'!$C$8,'Source_Data'!$C$6:$C$125,B14,'Source_Data'!$D$6:$D$125,A14),SUMIFS('Source_Data'!$M$6:$M$125,'Source_Data'!$B$6:$B$125,'Assumptions'!$C$8,'Source_Data'!$C$6:$C$125,B14,'Source_Data'!$D$6:$D$125,A14))</x:f>
        <x:v>2450042</x:v>
      </x:c>
      <x:c r="G14" s="17" t="n">
        <x:f>IF(F14&gt;0,E14/F14,"n.a.")</x:f>
        <x:v>23.829820876540076</x:v>
      </x:c>
      <x:c r="H14" s="7" t="n">
        <x:f>SUMIFS('Source_Data'!$F$131:$F$170,'Source_Data'!$B$131:$B$170,B14,'Source_Data'!$C$131:$C$170,A14)</x:f>
        <x:v>0</x:v>
      </x:c>
      <x:c r="I14" s="7" t="n">
        <x:f>SUMIFS('Source_Data'!$G$131:$G$170,'Source_Data'!$B$131:$B$170,B14,'Source_Data'!$C$131:$C$170,A14)</x:f>
        <x:v>0.12</x:v>
      </x:c>
      <x:c r="J14" s="7" t="n">
        <x:f>IF('Assumptions'!$E$8="MFN all",I14,H14)</x:f>
        <x:v>0</x:v>
      </x:c>
      <x:c r="K14" s="7" t="n">
        <x:f>IF('Assumptions'!$E$8="Eligible",H14,I14)</x:f>
        <x:v>0</x:v>
      </x:c>
      <x:c r="L14" s="17" t="n">
        <x:f>IF(ISNUMBER(G14),G14*(1+J14),0)</x:f>
        <x:v>23.829820876540076</x:v>
      </x:c>
      <x:c r="M14" s="17" t="n">
        <x:f>IF(ISNUMBER(G14),G14*(1+K14),0)</x:f>
        <x:v>23.829820876540076</x:v>
      </x:c>
      <x:c r="N14" s="7" t="n">
        <x:f>SUMIFS('Assumptions'!$D$52:$D$75,'Assumptions'!$A$52:$A$75,'Assumptions'!$J$8,'Assumptions'!$B$52:$B$75,A14)</x:f>
        <x:v>0.25</x:v>
      </x:c>
      <x:c r="O14" s="7" t="n">
        <x:f>IF(B14="China",-1,N14)</x:f>
        <x:v>0.25</x:v>
      </x:c>
      <x:c r="P14" s="2" t="n">
        <x:f>IF(B14="China",D14,IF(N14&gt;0,MAX(0,MIN('Assumptions'!$E$5-D14,'Assumptions'!$H$5,IF('Assumptions'!$F$8=1,('Assumptions'!$G$8-1)*D14,1)))/N14,1))</x:f>
        <x:v>0.4</x:v>
      </x:c>
      <x:c r="Q14" s="7" t="n">
        <x:f>IF(ISNUMBER($I52),$I52*O14,0)</x:f>
        <x:v>0.008055306690751734</x:v>
      </x:c>
      <x:c r="R14" s="7" t="n">
        <x:f>D14+Q14</x:f>
        <x:v>0.07336668729203728</x:v>
      </x:c>
      <x:c r="S14" s="17" t="n">
        <x:f>D14*L14</x:f>
        <x:v>1.5563585009281689</x:v>
      </x:c>
      <x:c r="T14" s="17" t="n">
        <x:f>R14*L14</x:f>
        <x:v>1.7483150164743775</x:v>
      </x:c>
      <x:c r="U14" s="17" t="n">
        <x:f>MAX(0,Q14)*(M14*(1+'Assumptions'!$I$8)-L14)</x:f>
        <x:v>0</x:v>
      </x:c>
      <x:c r="V14" s="17" t="n">
        <x:f>MAX(0,Q14)*'Assumptions'!$C$47</x:f>
        <x:v>0</x:v>
      </x:c>
      <x:c r="W14" s="17" t="n">
        <x:f>MAX(0,Q14)*'Assumptions'!$D$47</x:f>
        <x:v>0</x:v>
      </x:c>
      <x:c r="X14" s="17" t="n">
        <x:f>MAX(0,Q14)*M14*(1+'Assumptions'!$I$8)*'Assumptions'!$E$47*'Assumptions'!$F$47/365</x:f>
        <x:v>0</x:v>
      </x:c>
      <x:c r="Y14" s="17" t="n">
        <x:f>SUM(T14:X14)</x:f>
        <x:v>1.7483150164743775</x:v>
      </x:c>
      <x:c r="Z14" s="17" t="n">
        <x:f>D14^2*10000</x:f>
        <x:v>42.65576436045979</x:v>
      </x:c>
      <x:c r="AA14" s="17" t="n">
        <x:f>R14^2*10000</x:f>
        <x:v>53.82670804207585</x:v>
      </x:c>
      <x:c r="AB14" s="24" t="n">
        <x:f>IF(N14&gt;0,IF(D14&gt;0,R14/D14,IF(R14=0,0,"n.a.")),0)</x:f>
        <x:v>1.1233369531709636</x:v>
      </x:c>
      <x:c r="AC14" s="2" t="str">
        <x:f>IF(AND(C14&gt;=0,E14&gt;0,F14&gt;0,COUNTIFS('Source_Data'!$B$6:$B$125,'Assumptions'!$C$8,'Source_Data'!$C$6:$C$125,B14,'Source_Data'!$D$6:$D$125,A14)=1,COUNTIFS('Source_Data'!$B$131:$B$170,B14,'Source_Data'!$C$131:$C$170,A14)=1),"Ready","Missing data")</x:f>
        <x:v>Ready</x:v>
      </x:c>
      <x:c r="AD14" s="2" t="n">
        <x:f>IF('Assumptions'!$D$8="Reported",SUMIFS('Source_Data'!$G$6:$G$125,'Source_Data'!$B$6:$B$125,'Assumptions'!$C$8,'Source_Data'!$C$6:$C$125,B14,'Source_Data'!$D$6:$D$125,A14),SUMIFS('Source_Data'!$N$6:$N$125,'Source_Data'!$B$6:$B$125,'Assumptions'!$C$8,'Source_Data'!$C$6:$C$125,B14,'Source_Data'!$D$6:$D$125,A14))</x:f>
        <x:v>6</x:v>
      </x:c>
      <x:c r="AE14" s="2"/>
      <x:c r="AF14" s="2"/>
    </x:row>
    <x:row r="15" ht="23" customHeight="1">
      <x:c r="A15" s="2" t="str">
        <x:v>61091000</x:v>
      </x:c>
      <x:c r="B15" s="2" t="str">
        <x:v>Vietnam</x:v>
      </x:c>
      <x:c r="C15" s="2" t="n">
        <x:f>SUMIFS('Source_Data'!$F$6:$F$125,'Source_Data'!$B$6:$B$125,"FY2025",'Source_Data'!$C$6:$C$125,B15,'Source_Data'!$D$6:$D$125,A15)</x:f>
        <x:v>1170082</x:v>
      </x:c>
      <x:c r="D15" s="7" t="n">
        <x:f>C15/SUM(C6:C15)</x:f>
        <x:v>0.015508884331010253</x:v>
      </x:c>
      <x:c r="E15" s="2" t="n">
        <x:f>IF('Assumptions'!$D$8="Reported",SUMIFS('Source_Data'!$E$6:$E$125,'Source_Data'!$B$6:$B$125,'Assumptions'!$C$8,'Source_Data'!$C$6:$C$125,B15,'Source_Data'!$D$6:$D$125,A15),SUMIFS('Source_Data'!$L$6:$L$125,'Source_Data'!$B$6:$B$125,'Assumptions'!$C$8,'Source_Data'!$C$6:$C$125,B15,'Source_Data'!$D$6:$D$125,A15))</x:f>
        <x:v>13656174</x:v>
      </x:c>
      <x:c r="F15" s="2" t="n">
        <x:f>IF('Assumptions'!$D$8="Reported",SUMIFS('Source_Data'!$F$6:$F$125,'Source_Data'!$B$6:$B$125,'Assumptions'!$C$8,'Source_Data'!$C$6:$C$125,B15,'Source_Data'!$D$6:$D$125,A15),SUMIFS('Source_Data'!$M$6:$M$125,'Source_Data'!$B$6:$B$125,'Assumptions'!$C$8,'Source_Data'!$C$6:$C$125,B15,'Source_Data'!$D$6:$D$125,A15))</x:f>
        <x:v>532624</x:v>
      </x:c>
      <x:c r="G15" s="17" t="n">
        <x:f>IF(F15&gt;0,E15/F15,"n.a.")</x:f>
        <x:v>25.639426687494367</x:v>
      </x:c>
      <x:c r="H15" s="7" t="n">
        <x:f>SUMIFS('Source_Data'!$F$131:$F$170,'Source_Data'!$B$131:$B$170,B15,'Source_Data'!$C$131:$C$170,A15)</x:f>
        <x:v>0</x:v>
      </x:c>
      <x:c r="I15" s="7" t="n">
        <x:f>SUMIFS('Source_Data'!$G$131:$G$170,'Source_Data'!$B$131:$B$170,B15,'Source_Data'!$C$131:$C$170,A15)</x:f>
        <x:v>0.12</x:v>
      </x:c>
      <x:c r="J15" s="7" t="n">
        <x:f>IF('Assumptions'!$E$8="MFN all",I15,H15)</x:f>
        <x:v>0</x:v>
      </x:c>
      <x:c r="K15" s="7" t="n">
        <x:f>IF('Assumptions'!$E$8="Eligible",H15,I15)</x:f>
        <x:v>0</x:v>
      </x:c>
      <x:c r="L15" s="17" t="n">
        <x:f>IF(ISNUMBER(G15),G15*(1+J15),0)</x:f>
        <x:v>25.639426687494367</x:v>
      </x:c>
      <x:c r="M15" s="17" t="n">
        <x:f>IF(ISNUMBER(G15),G15*(1+K15),0)</x:f>
        <x:v>25.639426687494367</x:v>
      </x:c>
      <x:c r="N15" s="7" t="n">
        <x:f>SUMIFS('Assumptions'!$E$52:$E$75,'Assumptions'!$A$52:$A$75,'Assumptions'!$J$8,'Assumptions'!$B$52:$B$75,A15)</x:f>
        <x:v>0.25</x:v>
      </x:c>
      <x:c r="O15" s="7" t="n">
        <x:f>IF(B15="China",-1,N15)</x:f>
        <x:v>0.25</x:v>
      </x:c>
      <x:c r="P15" s="2" t="n">
        <x:f>IF(B15="China",D15,IF(N15&gt;0,MAX(0,MIN('Assumptions'!$E$5-D15,'Assumptions'!$H$5,IF('Assumptions'!$F$8=1,('Assumptions'!$G$8-1)*D15,1)))/N15,1))</x:f>
        <x:v>0.12407107464808202</x:v>
      </x:c>
      <x:c r="Q15" s="7" t="n">
        <x:f>IF(ISNUMBER($I52),$I52*O15,0)</x:f>
        <x:v>0.008055306690751734</x:v>
      </x:c>
      <x:c r="R15" s="7" t="n">
        <x:f>D15+Q15</x:f>
        <x:v>0.023564191021761986</x:v>
      </x:c>
      <x:c r="S15" s="17" t="n">
        <x:f>D15*L15</x:f>
        <x:v>0.3976389028097675</x:v>
      </x:c>
      <x:c r="T15" s="17" t="n">
        <x:f>R15*L15</x:f>
        <x:v>0.6041723481525795</x:v>
      </x:c>
      <x:c r="U15" s="17" t="n">
        <x:f>MAX(0,Q15)*(M15*(1+'Assumptions'!$I$8)-L15)</x:f>
        <x:v>0</x:v>
      </x:c>
      <x:c r="V15" s="17" t="n">
        <x:f>MAX(0,Q15)*'Assumptions'!$C$47</x:f>
        <x:v>0</x:v>
      </x:c>
      <x:c r="W15" s="17" t="n">
        <x:f>MAX(0,Q15)*'Assumptions'!$D$47</x:f>
        <x:v>0</x:v>
      </x:c>
      <x:c r="X15" s="17" t="n">
        <x:f>MAX(0,Q15)*M15*(1+'Assumptions'!$I$8)*'Assumptions'!$E$47*'Assumptions'!$F$47/365</x:f>
        <x:v>0</x:v>
      </x:c>
      <x:c r="Y15" s="17" t="n">
        <x:f>SUM(T15:X15)</x:f>
        <x:v>0.6041723481525795</x:v>
      </x:c>
      <x:c r="Z15" s="17" t="n">
        <x:f>D15^2*10000</x:f>
        <x:v>2.4052549319265535</x:v>
      </x:c>
      <x:c r="AA15" s="17" t="n">
        <x:f>R15^2*10000</x:f>
        <x:v>5.552710985100882</x:v>
      </x:c>
      <x:c r="AB15" s="24" t="n">
        <x:f>IF(N15&gt;0,IF(D15&gt;0,R15/D15,IF(R15=0,0,"n.a.")),0)</x:f>
        <x:v>1.5193994950781227</x:v>
      </x:c>
      <x:c r="AC15" s="2" t="str">
        <x:f>IF(AND(C15&gt;=0,E15&gt;0,F15&gt;0,COUNTIFS('Source_Data'!$B$6:$B$125,'Assumptions'!$C$8,'Source_Data'!$C$6:$C$125,B15,'Source_Data'!$D$6:$D$125,A15)=1,COUNTIFS('Source_Data'!$B$131:$B$170,B15,'Source_Data'!$C$131:$C$170,A15)=1),"Ready","Missing data")</x:f>
        <x:v>Ready</x:v>
      </x:c>
      <x:c r="AD15" s="2" t="n">
        <x:f>IF('Assumptions'!$D$8="Reported",SUMIFS('Source_Data'!$G$6:$G$125,'Source_Data'!$B$6:$B$125,'Assumptions'!$C$8,'Source_Data'!$C$6:$C$125,B15,'Source_Data'!$D$6:$D$125,A15),SUMIFS('Source_Data'!$N$6:$N$125,'Source_Data'!$B$6:$B$125,'Assumptions'!$C$8,'Source_Data'!$C$6:$C$125,B15,'Source_Data'!$D$6:$D$125,A15))</x:f>
        <x:v>6</x:v>
      </x:c>
      <x:c r="AE15" s="2"/>
      <x:c r="AF15" s="2"/>
    </x:row>
    <x:row r="16" ht="23" customHeight="1">
      <x:c r="A16" s="2" t="str">
        <x:v>61103099</x:v>
      </x:c>
      <x:c r="B16" s="2" t="str">
        <x:v>Bangladesh</x:v>
      </x:c>
      <x:c r="C16" s="2" t="n">
        <x:f>SUMIFS('Source_Data'!$F$6:$F$125,'Source_Data'!$B$6:$B$125,"FY2025",'Source_Data'!$C$6:$C$125,B16,'Source_Data'!$D$6:$D$125,A16)</x:f>
        <x:v>13246692</x:v>
      </x:c>
      <x:c r="D16" s="7" t="n">
        <x:f>C16/SUM(C16:C25)</x:f>
        <x:v>0.2946644518678884</x:v>
      </x:c>
      <x:c r="E16" s="2" t="n">
        <x:f>IF('Assumptions'!$D$8="Reported",SUMIFS('Source_Data'!$E$6:$E$125,'Source_Data'!$B$6:$B$125,'Assumptions'!$C$8,'Source_Data'!$C$6:$C$125,B16,'Source_Data'!$D$6:$D$125,A16),SUMIFS('Source_Data'!$L$6:$L$125,'Source_Data'!$B$6:$B$125,'Assumptions'!$C$8,'Source_Data'!$C$6:$C$125,B16,'Source_Data'!$D$6:$D$125,A16))</x:f>
        <x:v>41106466</x:v>
      </x:c>
      <x:c r="F16" s="2" t="n">
        <x:f>IF('Assumptions'!$D$8="Reported",SUMIFS('Source_Data'!$F$6:$F$125,'Source_Data'!$B$6:$B$125,'Assumptions'!$C$8,'Source_Data'!$C$6:$C$125,B16,'Source_Data'!$D$6:$D$125,A16),SUMIFS('Source_Data'!$M$6:$M$125,'Source_Data'!$B$6:$B$125,'Assumptions'!$C$8,'Source_Data'!$C$6:$C$125,B16,'Source_Data'!$D$6:$D$125,A16))</x:f>
        <x:v>3340374</x:v>
      </x:c>
      <x:c r="G16" s="17" t="n">
        <x:f>IF(F16&gt;0,E16/F16,"n.a.")</x:f>
        <x:v>12.305947178369847</x:v>
      </x:c>
      <x:c r="H16" s="7" t="n">
        <x:f>SUMIFS('Source_Data'!$F$131:$F$170,'Source_Data'!$B$131:$B$170,B16,'Source_Data'!$C$131:$C$170,A16)</x:f>
        <x:v>0</x:v>
      </x:c>
      <x:c r="I16" s="7" t="n">
        <x:f>SUMIFS('Source_Data'!$G$131:$G$170,'Source_Data'!$B$131:$B$170,B16,'Source_Data'!$C$131:$C$170,A16)</x:f>
        <x:v>0.12</x:v>
      </x:c>
      <x:c r="J16" s="7" t="n">
        <x:f>IF('Assumptions'!$E$8="MFN all",I16,H16)</x:f>
        <x:v>0</x:v>
      </x:c>
      <x:c r="K16" s="7" t="n">
        <x:f>IF('Assumptions'!$E$8="Eligible",H16,I16)</x:f>
        <x:v>0</x:v>
      </x:c>
      <x:c r="L16" s="17" t="n">
        <x:f>IF(ISNUMBER(G16),G16*(1+J16),0)</x:f>
        <x:v>12.305947178369847</x:v>
      </x:c>
      <x:c r="M16" s="17" t="n">
        <x:f>IF(ISNUMBER(G16),G16*(1+K16),0)</x:f>
        <x:v>12.305947178369847</x:v>
      </x:c>
      <x:c r="N16" s="7" t="n">
        <x:f>0</x:f>
        <x:v>0</x:v>
      </x:c>
      <x:c r="O16" s="7" t="n">
        <x:f>IF(B16="China",-1,N16)</x:f>
        <x:v>0</x:v>
      </x:c>
      <x:c r="P16" s="2" t="n">
        <x:f>IF(B16="China",D16,IF(N16&gt;0,MAX(0,MIN('Assumptions'!$E$5-D16,'Assumptions'!$H$5,IF('Assumptions'!$F$8=1,('Assumptions'!$G$8-1)*D16,1)))/N16,1))</x:f>
        <x:v>1</x:v>
      </x:c>
      <x:c r="Q16" s="7" t="n">
        <x:f>IF(ISNUMBER($I53),$I53*O16,0)</x:f>
        <x:v>0</x:v>
      </x:c>
      <x:c r="R16" s="7" t="n">
        <x:f>D16+Q16</x:f>
        <x:v>0.2946644518678884</x:v>
      </x:c>
      <x:c r="S16" s="17" t="n">
        <x:f>D16*L16</x:f>
        <x:v>3.626125180029539</x:v>
      </x:c>
      <x:c r="T16" s="17" t="n">
        <x:f>R16*L16</x:f>
        <x:v>3.626125180029539</x:v>
      </x:c>
      <x:c r="U16" s="17" t="n">
        <x:f>MAX(0,Q16)*(M16*(1+'Assumptions'!$I$8)-L16)</x:f>
        <x:v>0</x:v>
      </x:c>
      <x:c r="V16" s="17" t="n">
        <x:f>MAX(0,Q16)*'Assumptions'!$C$47</x:f>
        <x:v>0</x:v>
      </x:c>
      <x:c r="W16" s="17" t="n">
        <x:f>MAX(0,Q16)*'Assumptions'!$D$47</x:f>
        <x:v>0</x:v>
      </x:c>
      <x:c r="X16" s="17" t="n">
        <x:f>MAX(0,Q16)*M16*(1+'Assumptions'!$I$8)*'Assumptions'!$E$47*'Assumptions'!$F$47/365</x:f>
        <x:v>0</x:v>
      </x:c>
      <x:c r="Y16" s="17" t="n">
        <x:f>SUM(T16:X16)</x:f>
        <x:v>3.626125180029539</x:v>
      </x:c>
      <x:c r="Z16" s="17" t="n">
        <x:f>D16^2*10000</x:f>
        <x:v>868.2713919460314</x:v>
      </x:c>
      <x:c r="AA16" s="17" t="n">
        <x:f>R16^2*10000</x:f>
        <x:v>868.2713919460314</x:v>
      </x:c>
      <x:c r="AB16" s="24" t="n">
        <x:f>IF(N16&gt;0,IF(D16&gt;0,R16/D16,IF(R16=0,0,"n.a.")),0)</x:f>
        <x:v>0</x:v>
      </x:c>
      <x:c r="AC16" s="2" t="str">
        <x:f>IF(AND(C16&gt;=0,E16&gt;0,F16&gt;0,COUNTIFS('Source_Data'!$B$6:$B$125,'Assumptions'!$C$8,'Source_Data'!$C$6:$C$125,B16,'Source_Data'!$D$6:$D$125,A16)=1,COUNTIFS('Source_Data'!$B$131:$B$170,B16,'Source_Data'!$C$131:$C$170,A16)=1),"Ready","Missing data")</x:f>
        <x:v>Ready</x:v>
      </x:c>
      <x:c r="AD16" s="2" t="n">
        <x:f>IF('Assumptions'!$D$8="Reported",SUMIFS('Source_Data'!$G$6:$G$125,'Source_Data'!$B$6:$B$125,'Assumptions'!$C$8,'Source_Data'!$C$6:$C$125,B16,'Source_Data'!$D$6:$D$125,A16),SUMIFS('Source_Data'!$N$6:$N$125,'Source_Data'!$B$6:$B$125,'Assumptions'!$C$8,'Source_Data'!$C$6:$C$125,B16,'Source_Data'!$D$6:$D$125,A16))</x:f>
        <x:v>6</x:v>
      </x:c>
      <x:c r="AE16" s="2"/>
      <x:c r="AF16" s="2"/>
    </x:row>
    <x:row r="17" ht="23" customHeight="1">
      <x:c r="A17" s="2" t="str">
        <x:v>61103099</x:v>
      </x:c>
      <x:c r="B17" s="2" t="str">
        <x:v>Cambodia</x:v>
      </x:c>
      <x:c r="C17" s="2" t="n">
        <x:f>SUMIFS('Source_Data'!$F$6:$F$125,'Source_Data'!$B$6:$B$125,"FY2025",'Source_Data'!$C$6:$C$125,B17,'Source_Data'!$D$6:$D$125,A17)</x:f>
        <x:v>6288565</x:v>
      </x:c>
      <x:c r="D17" s="7" t="n">
        <x:f>C17/SUM(C16:C25)</x:f>
        <x:v>0.13988523012089266</x:v>
      </x:c>
      <x:c r="E17" s="2" t="n">
        <x:f>IF('Assumptions'!$D$8="Reported",SUMIFS('Source_Data'!$E$6:$E$125,'Source_Data'!$B$6:$B$125,'Assumptions'!$C$8,'Source_Data'!$C$6:$C$125,B17,'Source_Data'!$D$6:$D$125,A17),SUMIFS('Source_Data'!$L$6:$L$125,'Source_Data'!$B$6:$B$125,'Assumptions'!$C$8,'Source_Data'!$C$6:$C$125,B17,'Source_Data'!$D$6:$D$125,A17))</x:f>
        <x:v>20275618</x:v>
      </x:c>
      <x:c r="F17" s="2" t="n">
        <x:f>IF('Assumptions'!$D$8="Reported",SUMIFS('Source_Data'!$F$6:$F$125,'Source_Data'!$B$6:$B$125,'Assumptions'!$C$8,'Source_Data'!$C$6:$C$125,B17,'Source_Data'!$D$6:$D$125,A17),SUMIFS('Source_Data'!$M$6:$M$125,'Source_Data'!$B$6:$B$125,'Assumptions'!$C$8,'Source_Data'!$C$6:$C$125,B17,'Source_Data'!$D$6:$D$125,A17))</x:f>
        <x:v>1804538</x:v>
      </x:c>
      <x:c r="G17" s="17" t="n">
        <x:f>IF(F17&gt;0,E17/F17,"n.a.")</x:f>
        <x:v>11.235905256636325</x:v>
      </x:c>
      <x:c r="H17" s="7" t="n">
        <x:f>SUMIFS('Source_Data'!$F$131:$F$170,'Source_Data'!$B$131:$B$170,B17,'Source_Data'!$C$131:$C$170,A17)</x:f>
        <x:v>0</x:v>
      </x:c>
      <x:c r="I17" s="7" t="n">
        <x:f>SUMIFS('Source_Data'!$G$131:$G$170,'Source_Data'!$B$131:$B$170,B17,'Source_Data'!$C$131:$C$170,A17)</x:f>
        <x:v>0.12</x:v>
      </x:c>
      <x:c r="J17" s="7" t="n">
        <x:f>IF('Assumptions'!$E$8="MFN all",I17,H17)</x:f>
        <x:v>0</x:v>
      </x:c>
      <x:c r="K17" s="7" t="n">
        <x:f>IF('Assumptions'!$E$8="Eligible",H17,I17)</x:f>
        <x:v>0</x:v>
      </x:c>
      <x:c r="L17" s="17" t="n">
        <x:f>IF(ISNUMBER(G17),G17*(1+J17),0)</x:f>
        <x:v>11.235905256636325</x:v>
      </x:c>
      <x:c r="M17" s="17" t="n">
        <x:f>IF(ISNUMBER(G17),G17*(1+K17),0)</x:f>
        <x:v>11.235905256636325</x:v>
      </x:c>
      <x:c r="N17" s="7" t="n">
        <x:f>0</x:f>
        <x:v>0</x:v>
      </x:c>
      <x:c r="O17" s="7" t="n">
        <x:f>IF(B17="China",-1,N17)</x:f>
        <x:v>0</x:v>
      </x:c>
      <x:c r="P17" s="2" t="n">
        <x:f>IF(B17="China",D17,IF(N17&gt;0,MAX(0,MIN('Assumptions'!$E$5-D17,'Assumptions'!$H$5,IF('Assumptions'!$F$8=1,('Assumptions'!$G$8-1)*D17,1)))/N17,1))</x:f>
        <x:v>1</x:v>
      </x:c>
      <x:c r="Q17" s="7" t="n">
        <x:f>IF(ISNUMBER($I53),$I53*O17,0)</x:f>
        <x:v>0</x:v>
      </x:c>
      <x:c r="R17" s="7" t="n">
        <x:f>D17+Q17</x:f>
        <x:v>0.13988523012089266</x:v>
      </x:c>
      <x:c r="S17" s="17" t="n">
        <x:f>D17*L17</x:f>
        <x:v>1.5717371924411199</x:v>
      </x:c>
      <x:c r="T17" s="17" t="n">
        <x:f>R17*L17</x:f>
        <x:v>1.5717371924411199</x:v>
      </x:c>
      <x:c r="U17" s="17" t="n">
        <x:f>MAX(0,Q17)*(M17*(1+'Assumptions'!$I$8)-L17)</x:f>
        <x:v>0</x:v>
      </x:c>
      <x:c r="V17" s="17" t="n">
        <x:f>MAX(0,Q17)*'Assumptions'!$C$47</x:f>
        <x:v>0</x:v>
      </x:c>
      <x:c r="W17" s="17" t="n">
        <x:f>MAX(0,Q17)*'Assumptions'!$D$47</x:f>
        <x:v>0</x:v>
      </x:c>
      <x:c r="X17" s="17" t="n">
        <x:f>MAX(0,Q17)*M17*(1+'Assumptions'!$I$8)*'Assumptions'!$E$47*'Assumptions'!$F$47/365</x:f>
        <x:v>0</x:v>
      </x:c>
      <x:c r="Y17" s="17" t="n">
        <x:f>SUM(T17:X17)</x:f>
        <x:v>1.5717371924411199</x:v>
      </x:c>
      <x:c r="Z17" s="17" t="n">
        <x:f>D17^2*10000</x:f>
        <x:v>195.67877605975093</x:v>
      </x:c>
      <x:c r="AA17" s="17" t="n">
        <x:f>R17^2*10000</x:f>
        <x:v>195.67877605975093</x:v>
      </x:c>
      <x:c r="AB17" s="24" t="n">
        <x:f>IF(N17&gt;0,IF(D17&gt;0,R17/D17,IF(R17=0,0,"n.a.")),0)</x:f>
        <x:v>0</x:v>
      </x:c>
      <x:c r="AC17" s="2" t="str">
        <x:f>IF(AND(C17&gt;=0,E17&gt;0,F17&gt;0,COUNTIFS('Source_Data'!$B$6:$B$125,'Assumptions'!$C$8,'Source_Data'!$C$6:$C$125,B17,'Source_Data'!$D$6:$D$125,A17)=1,COUNTIFS('Source_Data'!$B$131:$B$170,B17,'Source_Data'!$C$131:$C$170,A17)=1),"Ready","Missing data")</x:f>
        <x:v>Ready</x:v>
      </x:c>
      <x:c r="AD17" s="2" t="n">
        <x:f>IF('Assumptions'!$D$8="Reported",SUMIFS('Source_Data'!$G$6:$G$125,'Source_Data'!$B$6:$B$125,'Assumptions'!$C$8,'Source_Data'!$C$6:$C$125,B17,'Source_Data'!$D$6:$D$125,A17),SUMIFS('Source_Data'!$N$6:$N$125,'Source_Data'!$B$6:$B$125,'Assumptions'!$C$8,'Source_Data'!$C$6:$C$125,B17,'Source_Data'!$D$6:$D$125,A17))</x:f>
        <x:v>6</x:v>
      </x:c>
      <x:c r="AE17" s="2"/>
      <x:c r="AF17" s="2"/>
    </x:row>
    <x:row r="18" ht="23" customHeight="1">
      <x:c r="A18" s="2" t="str">
        <x:v>61103099</x:v>
      </x:c>
      <x:c r="B18" s="2" t="str">
        <x:v>China</x:v>
      </x:c>
      <x:c r="C18" s="2" t="n">
        <x:f>SUMIFS('Source_Data'!$F$6:$F$125,'Source_Data'!$B$6:$B$125,"FY2025",'Source_Data'!$C$6:$C$125,B18,'Source_Data'!$D$6:$D$125,A18)</x:f>
        <x:v>16459562</x:v>
      </x:c>
      <x:c r="D18" s="7" t="n">
        <x:f>C18/SUM(C16:C25)</x:f>
        <x:v>0.3661327533481963</x:v>
      </x:c>
      <x:c r="E18" s="2" t="n">
        <x:f>IF('Assumptions'!$D$8="Reported",SUMIFS('Source_Data'!$E$6:$E$125,'Source_Data'!$B$6:$B$125,'Assumptions'!$C$8,'Source_Data'!$C$6:$C$125,B18,'Source_Data'!$D$6:$D$125,A18),SUMIFS('Source_Data'!$L$6:$L$125,'Source_Data'!$B$6:$B$125,'Assumptions'!$C$8,'Source_Data'!$C$6:$C$125,B18,'Source_Data'!$D$6:$D$125,A18))</x:f>
        <x:v>44515052</x:v>
      </x:c>
      <x:c r="F18" s="2" t="n">
        <x:f>IF('Assumptions'!$D$8="Reported",SUMIFS('Source_Data'!$F$6:$F$125,'Source_Data'!$B$6:$B$125,'Assumptions'!$C$8,'Source_Data'!$C$6:$C$125,B18,'Source_Data'!$D$6:$D$125,A18),SUMIFS('Source_Data'!$M$6:$M$125,'Source_Data'!$B$6:$B$125,'Assumptions'!$C$8,'Source_Data'!$C$6:$C$125,B18,'Source_Data'!$D$6:$D$125,A18))</x:f>
        <x:v>2608798</x:v>
      </x:c>
      <x:c r="G18" s="17" t="n">
        <x:f>IF(F18&gt;0,E18/F18,"n.a.")</x:f>
        <x:v>17.063433811280138</x:v>
      </x:c>
      <x:c r="H18" s="7" t="n">
        <x:f>SUMIFS('Source_Data'!$F$131:$F$170,'Source_Data'!$B$131:$B$170,B18,'Source_Data'!$C$131:$C$170,A18)</x:f>
        <x:v>0.12</x:v>
      </x:c>
      <x:c r="I18" s="7" t="n">
        <x:f>SUMIFS('Source_Data'!$G$131:$G$170,'Source_Data'!$B$131:$B$170,B18,'Source_Data'!$C$131:$C$170,A18)</x:f>
        <x:v>0.12</x:v>
      </x:c>
      <x:c r="J18" s="7" t="n">
        <x:f>IF('Assumptions'!$E$8="MFN all",I18,H18)</x:f>
        <x:v>0.12</x:v>
      </x:c>
      <x:c r="K18" s="7" t="n">
        <x:f>IF('Assumptions'!$E$8="Eligible",H18,I18)</x:f>
        <x:v>0.12</x:v>
      </x:c>
      <x:c r="L18" s="17" t="n">
        <x:f>IF(ISNUMBER(G18),G18*(1+J18),0)</x:f>
        <x:v>19.111045868633756</x:v>
      </x:c>
      <x:c r="M18" s="17" t="n">
        <x:f>IF(ISNUMBER(G18),G18*(1+K18),0)</x:f>
        <x:v>19.111045868633756</x:v>
      </x:c>
      <x:c r="N18" s="7" t="n">
        <x:f>0</x:f>
        <x:v>0</x:v>
      </x:c>
      <x:c r="O18" s="7" t="n">
        <x:f>IF(B18="China",-1,N18)</x:f>
        <x:v>-1</x:v>
      </x:c>
      <x:c r="P18" s="2" t="n">
        <x:f>IF(B18="China",D18,IF(N18&gt;0,MAX(0,MIN('Assumptions'!$E$5-D18,'Assumptions'!$H$5,IF('Assumptions'!$F$8=1,('Assumptions'!$G$8-1)*D18,1)))/N18,1))</x:f>
        <x:v>0.3661327533481963</x:v>
      </x:c>
      <x:c r="Q18" s="7" t="n">
        <x:f>IF(ISNUMBER($I53),$I53*O18,0)</x:f>
        <x:v>-0.014153298257653319</x:v>
      </x:c>
      <x:c r="R18" s="7" t="n">
        <x:f>D18+Q18</x:f>
        <x:v>0.35197945509054296</x:v>
      </x:c>
      <x:c r="S18" s="17" t="n">
        <x:f>D18*L18</x:f>
        <x:v>6.997179843246548</x:v>
      </x:c>
      <x:c r="T18" s="17" t="n">
        <x:f>R18*L18</x:f>
        <x:v>6.726695511052082</x:v>
      </x:c>
      <x:c r="U18" s="17" t="n">
        <x:f>MAX(0,Q18)*(M18*(1+'Assumptions'!$I$8)-L18)</x:f>
        <x:v>0</x:v>
      </x:c>
      <x:c r="V18" s="17" t="n">
        <x:f>MAX(0,Q18)*'Assumptions'!$C$47</x:f>
        <x:v>0</x:v>
      </x:c>
      <x:c r="W18" s="17" t="n">
        <x:f>MAX(0,Q18)*'Assumptions'!$D$47</x:f>
        <x:v>0</x:v>
      </x:c>
      <x:c r="X18" s="17" t="n">
        <x:f>MAX(0,Q18)*M18*(1+'Assumptions'!$I$8)*'Assumptions'!$E$47*'Assumptions'!$F$47/365</x:f>
        <x:v>0</x:v>
      </x:c>
      <x:c r="Y18" s="17" t="n">
        <x:f>SUM(T18:X18)</x:f>
        <x:v>6.726695511052082</x:v>
      </x:c>
      <x:c r="Z18" s="17" t="n">
        <x:f>D18^2*10000</x:f>
        <x:v>1340.5319307433115</x:v>
      </x:c>
      <x:c r="AA18" s="17" t="n">
        <x:f>R18^2*10000</x:f>
        <x:v>1238.8953680583554</x:v>
      </x:c>
      <x:c r="AB18" s="24" t="n">
        <x:f>IF(N18&gt;0,IF(D18&gt;0,R18/D18,IF(R18=0,0,"n.a.")),0)</x:f>
        <x:v>0</x:v>
      </x:c>
      <x:c r="AC18" s="2" t="str">
        <x:f>IF(AND(C18&gt;=0,E18&gt;0,F18&gt;0,COUNTIFS('Source_Data'!$B$6:$B$125,'Assumptions'!$C$8,'Source_Data'!$C$6:$C$125,B18,'Source_Data'!$D$6:$D$125,A18)=1,COUNTIFS('Source_Data'!$B$131:$B$170,B18,'Source_Data'!$C$131:$C$170,A18)=1),"Ready","Missing data")</x:f>
        <x:v>Ready</x:v>
      </x:c>
      <x:c r="AD18" s="2" t="n">
        <x:f>IF('Assumptions'!$D$8="Reported",SUMIFS('Source_Data'!$G$6:$G$125,'Source_Data'!$B$6:$B$125,'Assumptions'!$C$8,'Source_Data'!$C$6:$C$125,B18,'Source_Data'!$D$6:$D$125,A18),SUMIFS('Source_Data'!$N$6:$N$125,'Source_Data'!$B$6:$B$125,'Assumptions'!$C$8,'Source_Data'!$C$6:$C$125,B18,'Source_Data'!$D$6:$D$125,A18))</x:f>
        <x:v>6</x:v>
      </x:c>
      <x:c r="AE18" s="2"/>
      <x:c r="AF18" s="2"/>
    </x:row>
    <x:row r="19" ht="23" customHeight="1">
      <x:c r="A19" s="2" t="str">
        <x:v>61103099</x:v>
      </x:c>
      <x:c r="B19" s="2" t="str">
        <x:v>India</x:v>
      </x:c>
      <x:c r="C19" s="2" t="n">
        <x:f>SUMIFS('Source_Data'!$F$6:$F$125,'Source_Data'!$B$6:$B$125,"FY2025",'Source_Data'!$C$6:$C$125,B19,'Source_Data'!$D$6:$D$125,A19)</x:f>
        <x:v>159066</x:v>
      </x:c>
      <x:c r="D19" s="7" t="n">
        <x:f>C19/SUM(C16:C25)</x:f>
        <x:v>0.0035383245644133297</x:v>
      </x:c>
      <x:c r="E19" s="2" t="n">
        <x:f>IF('Assumptions'!$D$8="Reported",SUMIFS('Source_Data'!$E$6:$E$125,'Source_Data'!$B$6:$B$125,'Assumptions'!$C$8,'Source_Data'!$C$6:$C$125,B19,'Source_Data'!$D$6:$D$125,A19),SUMIFS('Source_Data'!$L$6:$L$125,'Source_Data'!$B$6:$B$125,'Assumptions'!$C$8,'Source_Data'!$C$6:$C$125,B19,'Source_Data'!$D$6:$D$125,A19))</x:f>
        <x:v>709744</x:v>
      </x:c>
      <x:c r="F19" s="2" t="n">
        <x:f>IF('Assumptions'!$D$8="Reported",SUMIFS('Source_Data'!$F$6:$F$125,'Source_Data'!$B$6:$B$125,'Assumptions'!$C$8,'Source_Data'!$C$6:$C$125,B19,'Source_Data'!$D$6:$D$125,A19),SUMIFS('Source_Data'!$M$6:$M$125,'Source_Data'!$B$6:$B$125,'Assumptions'!$C$8,'Source_Data'!$C$6:$C$125,B19,'Source_Data'!$D$6:$D$125,A19))</x:f>
        <x:v>46899</x:v>
      </x:c>
      <x:c r="G19" s="17" t="n">
        <x:f>IF(F19&gt;0,E19/F19,"n.a.")</x:f>
        <x:v>15.133457003347619</x:v>
      </x:c>
      <x:c r="H19" s="7" t="n">
        <x:f>SUMIFS('Source_Data'!$F$131:$F$170,'Source_Data'!$B$131:$B$170,B19,'Source_Data'!$C$131:$C$170,A19)</x:f>
        <x:v>0</x:v>
      </x:c>
      <x:c r="I19" s="7" t="n">
        <x:f>SUMIFS('Source_Data'!$G$131:$G$170,'Source_Data'!$B$131:$B$170,B19,'Source_Data'!$C$131:$C$170,A19)</x:f>
        <x:v>0.12</x:v>
      </x:c>
      <x:c r="J19" s="7" t="n">
        <x:f>IF('Assumptions'!$E$8="MFN all",I19,H19)</x:f>
        <x:v>0</x:v>
      </x:c>
      <x:c r="K19" s="7" t="n">
        <x:f>IF('Assumptions'!$E$8="Eligible",H19,I19)</x:f>
        <x:v>0</x:v>
      </x:c>
      <x:c r="L19" s="17" t="n">
        <x:f>IF(ISNUMBER(G19),G19*(1+J19),0)</x:f>
        <x:v>15.133457003347619</x:v>
      </x:c>
      <x:c r="M19" s="17" t="n">
        <x:f>IF(ISNUMBER(G19),G19*(1+K19),0)</x:f>
        <x:v>15.133457003347619</x:v>
      </x:c>
      <x:c r="N19" s="7" t="n">
        <x:f>SUMIFS('Assumptions'!$C$52:$C$75,'Assumptions'!$A$52:$A$75,'Assumptions'!$J$8,'Assumptions'!$B$52:$B$75,A19)</x:f>
        <x:v>0.5</x:v>
      </x:c>
      <x:c r="O19" s="7" t="n">
        <x:f>IF(B19="China",-1,N19)</x:f>
        <x:v>0.5</x:v>
      </x:c>
      <x:c r="P19" s="2" t="n">
        <x:f>IF(B19="China",D19,IF(N19&gt;0,MAX(0,MIN('Assumptions'!$E$5-D19,'Assumptions'!$H$5,IF('Assumptions'!$F$8=1,('Assumptions'!$G$8-1)*D19,1)))/N19,1))</x:f>
        <x:v>0.014153298257653319</x:v>
      </x:c>
      <x:c r="Q19" s="7" t="n">
        <x:f>IF(ISNUMBER($I53),$I53*O19,0)</x:f>
        <x:v>0.007076649128826659</x:v>
      </x:c>
      <x:c r="R19" s="7" t="n">
        <x:f>D19+Q19</x:f>
        <x:v>0.01061497369323999</x:v>
      </x:c>
      <x:c r="S19" s="17" t="n">
        <x:f>D19*L19</x:f>
        <x:v>0.05354708265943782</x:v>
      </x:c>
      <x:c r="T19" s="17" t="n">
        <x:f>R19*L19</x:f>
        <x:v>0.16064124797831347</x:v>
      </x:c>
      <x:c r="U19" s="17" t="n">
        <x:f>MAX(0,Q19)*(M19*(1+'Assumptions'!$I$8)-L19)</x:f>
        <x:v>0</x:v>
      </x:c>
      <x:c r="V19" s="17" t="n">
        <x:f>MAX(0,Q19)*'Assumptions'!$C$47</x:f>
        <x:v>0</x:v>
      </x:c>
      <x:c r="W19" s="17" t="n">
        <x:f>MAX(0,Q19)*'Assumptions'!$D$47</x:f>
        <x:v>0</x:v>
      </x:c>
      <x:c r="X19" s="17" t="n">
        <x:f>MAX(0,Q19)*M19*(1+'Assumptions'!$I$8)*'Assumptions'!$E$47*'Assumptions'!$F$47/365</x:f>
        <x:v>0</x:v>
      </x:c>
      <x:c r="Y19" s="17" t="n">
        <x:f>SUM(T19:X19)</x:f>
        <x:v>0.16064124797831347</x:v>
      </x:c>
      <x:c r="Z19" s="17" t="n">
        <x:f>D19^2*10000</x:f>
        <x:v>0.1251974072313078</x:v>
      </x:c>
      <x:c r="AA19" s="17" t="n">
        <x:f>R19^2*10000</x:f>
        <x:v>1.1267766650817703</x:v>
      </x:c>
      <x:c r="AB19" s="24" t="n">
        <x:f>IF(N19&gt;0,IF(D19&gt;0,R19/D19,IF(R19=0,0,"n.a.")),0)</x:f>
        <x:v>3</x:v>
      </x:c>
      <x:c r="AC19" s="2" t="str">
        <x:f>IF(AND(C19&gt;=0,E19&gt;0,F19&gt;0,COUNTIFS('Source_Data'!$B$6:$B$125,'Assumptions'!$C$8,'Source_Data'!$C$6:$C$125,B19,'Source_Data'!$D$6:$D$125,A19)=1,COUNTIFS('Source_Data'!$B$131:$B$170,B19,'Source_Data'!$C$131:$C$170,A19)=1),"Ready","Missing data")</x:f>
        <x:v>Ready</x:v>
      </x:c>
      <x:c r="AD19" s="2" t="n">
        <x:f>IF('Assumptions'!$D$8="Reported",SUMIFS('Source_Data'!$G$6:$G$125,'Source_Data'!$B$6:$B$125,'Assumptions'!$C$8,'Source_Data'!$C$6:$C$125,B19,'Source_Data'!$D$6:$D$125,A19),SUMIFS('Source_Data'!$N$6:$N$125,'Source_Data'!$B$6:$B$125,'Assumptions'!$C$8,'Source_Data'!$C$6:$C$125,B19,'Source_Data'!$D$6:$D$125,A19))</x:f>
        <x:v>6</x:v>
      </x:c>
      <x:c r="AE19" s="2"/>
      <x:c r="AF19" s="2"/>
    </x:row>
    <x:row r="20" ht="23" customHeight="1">
      <x:c r="A20" s="2" t="str">
        <x:v>61103099</x:v>
      </x:c>
      <x:c r="B20" s="2" t="str">
        <x:v>Morocco</x:v>
      </x:c>
      <x:c r="C20" s="2" t="n">
        <x:f>SUMIFS('Source_Data'!$F$6:$F$125,'Source_Data'!$B$6:$B$125,"FY2025",'Source_Data'!$C$6:$C$125,B20,'Source_Data'!$D$6:$D$125,A20)</x:f>
        <x:v>19704</x:v>
      </x:c>
      <x:c r="D20" s="7" t="n">
        <x:f>C20/SUM(C16:C25)</x:f>
        <x:v>0.0004383032654193872</x:v>
      </x:c>
      <x:c r="E20" s="2" t="n">
        <x:f>IF('Assumptions'!$D$8="Reported",SUMIFS('Source_Data'!$E$6:$E$125,'Source_Data'!$B$6:$B$125,'Assumptions'!$C$8,'Source_Data'!$C$6:$C$125,B20,'Source_Data'!$D$6:$D$125,A20),SUMIFS('Source_Data'!$L$6:$L$125,'Source_Data'!$B$6:$B$125,'Assumptions'!$C$8,'Source_Data'!$C$6:$C$125,B20,'Source_Data'!$D$6:$D$125,A20))</x:f>
        <x:v>94543</x:v>
      </x:c>
      <x:c r="F20" s="2" t="n">
        <x:f>IF('Assumptions'!$D$8="Reported",SUMIFS('Source_Data'!$F$6:$F$125,'Source_Data'!$B$6:$B$125,'Assumptions'!$C$8,'Source_Data'!$C$6:$C$125,B20,'Source_Data'!$D$6:$D$125,A20),SUMIFS('Source_Data'!$M$6:$M$125,'Source_Data'!$B$6:$B$125,'Assumptions'!$C$8,'Source_Data'!$C$6:$C$125,B20,'Source_Data'!$D$6:$D$125,A20))</x:f>
        <x:v>3440</x:v>
      </x:c>
      <x:c r="G20" s="17" t="n">
        <x:f>IF(F20&gt;0,E20/F20,"n.a.")</x:f>
        <x:v>27.48343023255814</x:v>
      </x:c>
      <x:c r="H20" s="7" t="n">
        <x:f>SUMIFS('Source_Data'!$F$131:$F$170,'Source_Data'!$B$131:$B$170,B20,'Source_Data'!$C$131:$C$170,A20)</x:f>
        <x:v>0</x:v>
      </x:c>
      <x:c r="I20" s="7" t="n">
        <x:f>SUMIFS('Source_Data'!$G$131:$G$170,'Source_Data'!$B$131:$B$170,B20,'Source_Data'!$C$131:$C$170,A20)</x:f>
        <x:v>0.12</x:v>
      </x:c>
      <x:c r="J20" s="7" t="n">
        <x:f>IF('Assumptions'!$E$8="MFN all",I20,H20)</x:f>
        <x:v>0</x:v>
      </x:c>
      <x:c r="K20" s="7" t="n">
        <x:f>IF('Assumptions'!$E$8="Eligible",H20,I20)</x:f>
        <x:v>0</x:v>
      </x:c>
      <x:c r="L20" s="17" t="n">
        <x:f>IF(ISNUMBER(G20),G20*(1+J20),0)</x:f>
        <x:v>27.48343023255814</x:v>
      </x:c>
      <x:c r="M20" s="17" t="n">
        <x:f>IF(ISNUMBER(G20),G20*(1+K20),0)</x:f>
        <x:v>27.48343023255814</x:v>
      </x:c>
      <x:c r="N20" s="7" t="n">
        <x:f>0</x:f>
        <x:v>0</x:v>
      </x:c>
      <x:c r="O20" s="7" t="n">
        <x:f>IF(B20="China",-1,N20)</x:f>
        <x:v>0</x:v>
      </x:c>
      <x:c r="P20" s="2" t="n">
        <x:f>IF(B20="China",D20,IF(N20&gt;0,MAX(0,MIN('Assumptions'!$E$5-D20,'Assumptions'!$H$5,IF('Assumptions'!$F$8=1,('Assumptions'!$G$8-1)*D20,1)))/N20,1))</x:f>
        <x:v>1</x:v>
      </x:c>
      <x:c r="Q20" s="7" t="n">
        <x:f>IF(ISNUMBER($I53),$I53*O20,0)</x:f>
        <x:v>0</x:v>
      </x:c>
      <x:c r="R20" s="7" t="n">
        <x:f>D20+Q20</x:f>
        <x:v>0.0004383032654193872</x:v>
      </x:c>
      <x:c r="S20" s="17" t="n">
        <x:f>D20*L20</x:f>
        <x:v>0.012046077215856139</x:v>
      </x:c>
      <x:c r="T20" s="17" t="n">
        <x:f>R20*L20</x:f>
        <x:v>0.012046077215856139</x:v>
      </x:c>
      <x:c r="U20" s="17" t="n">
        <x:f>MAX(0,Q20)*(M20*(1+'Assumptions'!$I$8)-L20)</x:f>
        <x:v>0</x:v>
      </x:c>
      <x:c r="V20" s="17" t="n">
        <x:f>MAX(0,Q20)*'Assumptions'!$C$47</x:f>
        <x:v>0</x:v>
      </x:c>
      <x:c r="W20" s="17" t="n">
        <x:f>MAX(0,Q20)*'Assumptions'!$D$47</x:f>
        <x:v>0</x:v>
      </x:c>
      <x:c r="X20" s="17" t="n">
        <x:f>MAX(0,Q20)*M20*(1+'Assumptions'!$I$8)*'Assumptions'!$E$47*'Assumptions'!$F$47/365</x:f>
        <x:v>0</x:v>
      </x:c>
      <x:c r="Y20" s="17" t="n">
        <x:f>SUM(T20:X20)</x:f>
        <x:v>0.012046077215856139</x:v>
      </x:c>
      <x:c r="Z20" s="17" t="n">
        <x:f>D20^2*10000</x:f>
        <x:v>0.0019210975247729775</x:v>
      </x:c>
      <x:c r="AA20" s="17" t="n">
        <x:f>R20^2*10000</x:f>
        <x:v>0.0019210975247729775</x:v>
      </x:c>
      <x:c r="AB20" s="24" t="n">
        <x:f>IF(N20&gt;0,IF(D20&gt;0,R20/D20,IF(R20=0,0,"n.a.")),0)</x:f>
        <x:v>0</x:v>
      </x:c>
      <x:c r="AC20" s="2" t="str">
        <x:f>IF(AND(C20&gt;=0,E20&gt;0,F20&gt;0,COUNTIFS('Source_Data'!$B$6:$B$125,'Assumptions'!$C$8,'Source_Data'!$C$6:$C$125,B20,'Source_Data'!$D$6:$D$125,A20)=1,COUNTIFS('Source_Data'!$B$131:$B$170,B20,'Source_Data'!$C$131:$C$170,A20)=1),"Ready","Missing data")</x:f>
        <x:v>Ready</x:v>
      </x:c>
      <x:c r="AD20" s="2" t="n">
        <x:f>IF('Assumptions'!$D$8="Reported",SUMIFS('Source_Data'!$G$6:$G$125,'Source_Data'!$B$6:$B$125,'Assumptions'!$C$8,'Source_Data'!$C$6:$C$125,B20,'Source_Data'!$D$6:$D$125,A20),SUMIFS('Source_Data'!$N$6:$N$125,'Source_Data'!$B$6:$B$125,'Assumptions'!$C$8,'Source_Data'!$C$6:$C$125,B20,'Source_Data'!$D$6:$D$125,A20))</x:f>
        <x:v>6</x:v>
      </x:c>
      <x:c r="AE20" s="2"/>
      <x:c r="AF20" s="2"/>
    </x:row>
    <x:row r="21" ht="23" customHeight="1">
      <x:c r="A21" s="2" t="str">
        <x:v>61103099</x:v>
      </x:c>
      <x:c r="B21" s="2" t="str">
        <x:v>Myanmar</x:v>
      </x:c>
      <x:c r="C21" s="2" t="n">
        <x:f>SUMIFS('Source_Data'!$F$6:$F$125,'Source_Data'!$B$6:$B$125,"FY2025",'Source_Data'!$C$6:$C$125,B21,'Source_Data'!$D$6:$D$125,A21)</x:f>
        <x:v>508754</x:v>
      </x:c>
      <x:c r="D21" s="7" t="n">
        <x:f>C21/SUM(C16:C25)</x:f>
        <x:v>0.011316917351561862</x:v>
      </x:c>
      <x:c r="E21" s="2" t="n">
        <x:f>IF('Assumptions'!$D$8="Reported",SUMIFS('Source_Data'!$E$6:$E$125,'Source_Data'!$B$6:$B$125,'Assumptions'!$C$8,'Source_Data'!$C$6:$C$125,B21,'Source_Data'!$D$6:$D$125,A21),SUMIFS('Source_Data'!$L$6:$L$125,'Source_Data'!$B$6:$B$125,'Assumptions'!$C$8,'Source_Data'!$C$6:$C$125,B21,'Source_Data'!$D$6:$D$125,A21))</x:f>
        <x:v>1019595</x:v>
      </x:c>
      <x:c r="F21" s="2" t="n">
        <x:f>IF('Assumptions'!$D$8="Reported",SUMIFS('Source_Data'!$F$6:$F$125,'Source_Data'!$B$6:$B$125,'Assumptions'!$C$8,'Source_Data'!$C$6:$C$125,B21,'Source_Data'!$D$6:$D$125,A21),SUMIFS('Source_Data'!$M$6:$M$125,'Source_Data'!$B$6:$B$125,'Assumptions'!$C$8,'Source_Data'!$C$6:$C$125,B21,'Source_Data'!$D$6:$D$125,A21))</x:f>
        <x:v>72000</x:v>
      </x:c>
      <x:c r="G21" s="17" t="n">
        <x:f>IF(F21&gt;0,E21/F21,"n.a.")</x:f>
        <x:v>14.161041666666666</x:v>
      </x:c>
      <x:c r="H21" s="7" t="n">
        <x:f>SUMIFS('Source_Data'!$F$131:$F$170,'Source_Data'!$B$131:$B$170,B21,'Source_Data'!$C$131:$C$170,A21)</x:f>
        <x:v>0</x:v>
      </x:c>
      <x:c r="I21" s="7" t="n">
        <x:f>SUMIFS('Source_Data'!$G$131:$G$170,'Source_Data'!$B$131:$B$170,B21,'Source_Data'!$C$131:$C$170,A21)</x:f>
        <x:v>0.12</x:v>
      </x:c>
      <x:c r="J21" s="7" t="n">
        <x:f>IF('Assumptions'!$E$8="MFN all",I21,H21)</x:f>
        <x:v>0</x:v>
      </x:c>
      <x:c r="K21" s="7" t="n">
        <x:f>IF('Assumptions'!$E$8="Eligible",H21,I21)</x:f>
        <x:v>0</x:v>
      </x:c>
      <x:c r="L21" s="17" t="n">
        <x:f>IF(ISNUMBER(G21),G21*(1+J21),0)</x:f>
        <x:v>14.161041666666666</x:v>
      </x:c>
      <x:c r="M21" s="17" t="n">
        <x:f>IF(ISNUMBER(G21),G21*(1+K21),0)</x:f>
        <x:v>14.161041666666666</x:v>
      </x:c>
      <x:c r="N21" s="7" t="n">
        <x:f>0</x:f>
        <x:v>0</x:v>
      </x:c>
      <x:c r="O21" s="7" t="n">
        <x:f>IF(B21="China",-1,N21)</x:f>
        <x:v>0</x:v>
      </x:c>
      <x:c r="P21" s="2" t="n">
        <x:f>IF(B21="China",D21,IF(N21&gt;0,MAX(0,MIN('Assumptions'!$E$5-D21,'Assumptions'!$H$5,IF('Assumptions'!$F$8=1,('Assumptions'!$G$8-1)*D21,1)))/N21,1))</x:f>
        <x:v>1</x:v>
      </x:c>
      <x:c r="Q21" s="7" t="n">
        <x:f>IF(ISNUMBER($I53),$I53*O21,0)</x:f>
        <x:v>0</x:v>
      </x:c>
      <x:c r="R21" s="7" t="n">
        <x:f>D21+Q21</x:f>
        <x:v>0.011316917351561862</x:v>
      </x:c>
      <x:c r="S21" s="17" t="n">
        <x:f>D21*L21</x:f>
        <x:v>0.1602593381536905</x:v>
      </x:c>
      <x:c r="T21" s="17" t="n">
        <x:f>R21*L21</x:f>
        <x:v>0.1602593381536905</x:v>
      </x:c>
      <x:c r="U21" s="17" t="n">
        <x:f>MAX(0,Q21)*(M21*(1+'Assumptions'!$I$8)-L21)</x:f>
        <x:v>0</x:v>
      </x:c>
      <x:c r="V21" s="17" t="n">
        <x:f>MAX(0,Q21)*'Assumptions'!$C$47</x:f>
        <x:v>0</x:v>
      </x:c>
      <x:c r="W21" s="17" t="n">
        <x:f>MAX(0,Q21)*'Assumptions'!$D$47</x:f>
        <x:v>0</x:v>
      </x:c>
      <x:c r="X21" s="17" t="n">
        <x:f>MAX(0,Q21)*M21*(1+'Assumptions'!$I$8)*'Assumptions'!$E$47*'Assumptions'!$F$47/365</x:f>
        <x:v>0</x:v>
      </x:c>
      <x:c r="Y21" s="17" t="n">
        <x:f>SUM(T21:X21)</x:f>
        <x:v>0.1602593381536905</x:v>
      </x:c>
      <x:c r="Z21" s="17" t="n">
        <x:f>D21^2*10000</x:f>
        <x:v>1.2807261834208195</x:v>
      </x:c>
      <x:c r="AA21" s="17" t="n">
        <x:f>R21^2*10000</x:f>
        <x:v>1.2807261834208195</x:v>
      </x:c>
      <x:c r="AB21" s="24" t="n">
        <x:f>IF(N21&gt;0,IF(D21&gt;0,R21/D21,IF(R21=0,0,"n.a.")),0)</x:f>
        <x:v>0</x:v>
      </x:c>
      <x:c r="AC21" s="2" t="str">
        <x:f>IF(AND(C21&gt;=0,E21&gt;0,F21&gt;0,COUNTIFS('Source_Data'!$B$6:$B$125,'Assumptions'!$C$8,'Source_Data'!$C$6:$C$125,B21,'Source_Data'!$D$6:$D$125,A21)=1,COUNTIFS('Source_Data'!$B$131:$B$170,B21,'Source_Data'!$C$131:$C$170,A21)=1),"Ready","Missing data")</x:f>
        <x:v>Ready</x:v>
      </x:c>
      <x:c r="AD21" s="2" t="n">
        <x:f>IF('Assumptions'!$D$8="Reported",SUMIFS('Source_Data'!$G$6:$G$125,'Source_Data'!$B$6:$B$125,'Assumptions'!$C$8,'Source_Data'!$C$6:$C$125,B21,'Source_Data'!$D$6:$D$125,A21),SUMIFS('Source_Data'!$N$6:$N$125,'Source_Data'!$B$6:$B$125,'Assumptions'!$C$8,'Source_Data'!$C$6:$C$125,B21,'Source_Data'!$D$6:$D$125,A21))</x:f>
        <x:v>6</x:v>
      </x:c>
      <x:c r="AE21" s="2"/>
      <x:c r="AF21" s="2"/>
    </x:row>
    <x:row r="22" ht="23" customHeight="1">
      <x:c r="A22" s="2" t="str">
        <x:v>61103099</x:v>
      </x:c>
      <x:c r="B22" s="2" t="str">
        <x:v>Pakistan</x:v>
      </x:c>
      <x:c r="C22" s="2" t="n">
        <x:f>SUMIFS('Source_Data'!$F$6:$F$125,'Source_Data'!$B$6:$B$125,"FY2025",'Source_Data'!$C$6:$C$125,B22,'Source_Data'!$D$6:$D$125,A22)</x:f>
        <x:v>427235</x:v>
      </x:c>
      <x:c r="D22" s="7" t="n">
        <x:f>C22/SUM(C16:C25)</x:f>
        <x:v>0.009503577730483754</x:v>
      </x:c>
      <x:c r="E22" s="2" t="n">
        <x:f>IF('Assumptions'!$D$8="Reported",SUMIFS('Source_Data'!$E$6:$E$125,'Source_Data'!$B$6:$B$125,'Assumptions'!$C$8,'Source_Data'!$C$6:$C$125,B22,'Source_Data'!$D$6:$D$125,A22),SUMIFS('Source_Data'!$L$6:$L$125,'Source_Data'!$B$6:$B$125,'Assumptions'!$C$8,'Source_Data'!$C$6:$C$125,B22,'Source_Data'!$D$6:$D$125,A22))</x:f>
        <x:v>2797761</x:v>
      </x:c>
      <x:c r="F22" s="2" t="n">
        <x:f>IF('Assumptions'!$D$8="Reported",SUMIFS('Source_Data'!$F$6:$F$125,'Source_Data'!$B$6:$B$125,'Assumptions'!$C$8,'Source_Data'!$C$6:$C$125,B22,'Source_Data'!$D$6:$D$125,A22),SUMIFS('Source_Data'!$M$6:$M$125,'Source_Data'!$B$6:$B$125,'Assumptions'!$C$8,'Source_Data'!$C$6:$C$125,B22,'Source_Data'!$D$6:$D$125,A22))</x:f>
        <x:v>189105</x:v>
      </x:c>
      <x:c r="G22" s="17" t="n">
        <x:f>IF(F22&gt;0,E22/F22,"n.a.")</x:f>
        <x:v>14.79474894899659</x:v>
      </x:c>
      <x:c r="H22" s="7" t="n">
        <x:f>SUMIFS('Source_Data'!$F$131:$F$170,'Source_Data'!$B$131:$B$170,B22,'Source_Data'!$C$131:$C$170,A22)</x:f>
        <x:v>0</x:v>
      </x:c>
      <x:c r="I22" s="7" t="n">
        <x:f>SUMIFS('Source_Data'!$G$131:$G$170,'Source_Data'!$B$131:$B$170,B22,'Source_Data'!$C$131:$C$170,A22)</x:f>
        <x:v>0.12</x:v>
      </x:c>
      <x:c r="J22" s="7" t="n">
        <x:f>IF('Assumptions'!$E$8="MFN all",I22,H22)</x:f>
        <x:v>0</x:v>
      </x:c>
      <x:c r="K22" s="7" t="n">
        <x:f>IF('Assumptions'!$E$8="Eligible",H22,I22)</x:f>
        <x:v>0</x:v>
      </x:c>
      <x:c r="L22" s="17" t="n">
        <x:f>IF(ISNUMBER(G22),G22*(1+J22),0)</x:f>
        <x:v>14.79474894899659</x:v>
      </x:c>
      <x:c r="M22" s="17" t="n">
        <x:f>IF(ISNUMBER(G22),G22*(1+K22),0)</x:f>
        <x:v>14.79474894899659</x:v>
      </x:c>
      <x:c r="N22" s="7" t="n">
        <x:f>0</x:f>
        <x:v>0</x:v>
      </x:c>
      <x:c r="O22" s="7" t="n">
        <x:f>IF(B22="China",-1,N22)</x:f>
        <x:v>0</x:v>
      </x:c>
      <x:c r="P22" s="2" t="n">
        <x:f>IF(B22="China",D22,IF(N22&gt;0,MAX(0,MIN('Assumptions'!$E$5-D22,'Assumptions'!$H$5,IF('Assumptions'!$F$8=1,('Assumptions'!$G$8-1)*D22,1)))/N22,1))</x:f>
        <x:v>1</x:v>
      </x:c>
      <x:c r="Q22" s="7" t="n">
        <x:f>IF(ISNUMBER($I53),$I53*O22,0)</x:f>
        <x:v>0</x:v>
      </x:c>
      <x:c r="R22" s="7" t="n">
        <x:f>D22+Q22</x:f>
        <x:v>0.009503577730483754</x:v>
      </x:c>
      <x:c r="S22" s="17" t="n">
        <x:f>D22*L22</x:f>
        <x:v>0.14060304663978193</x:v>
      </x:c>
      <x:c r="T22" s="17" t="n">
        <x:f>R22*L22</x:f>
        <x:v>0.14060304663978193</x:v>
      </x:c>
      <x:c r="U22" s="17" t="n">
        <x:f>MAX(0,Q22)*(M22*(1+'Assumptions'!$I$8)-L22)</x:f>
        <x:v>0</x:v>
      </x:c>
      <x:c r="V22" s="17" t="n">
        <x:f>MAX(0,Q22)*'Assumptions'!$C$47</x:f>
        <x:v>0</x:v>
      </x:c>
      <x:c r="W22" s="17" t="n">
        <x:f>MAX(0,Q22)*'Assumptions'!$D$47</x:f>
        <x:v>0</x:v>
      </x:c>
      <x:c r="X22" s="17" t="n">
        <x:f>MAX(0,Q22)*M22*(1+'Assumptions'!$I$8)*'Assumptions'!$E$47*'Assumptions'!$F$47/365</x:f>
        <x:v>0</x:v>
      </x:c>
      <x:c r="Y22" s="17" t="n">
        <x:f>SUM(T22:X22)</x:f>
        <x:v>0.14060304663978193</x:v>
      </x:c>
      <x:c r="Z22" s="17" t="n">
        <x:f>D22^2*10000</x:f>
        <x:v>0.9031798967934674</x:v>
      </x:c>
      <x:c r="AA22" s="17" t="n">
        <x:f>R22^2*10000</x:f>
        <x:v>0.9031798967934674</x:v>
      </x:c>
      <x:c r="AB22" s="24" t="n">
        <x:f>IF(N22&gt;0,IF(D22&gt;0,R22/D22,IF(R22=0,0,"n.a.")),0)</x:f>
        <x:v>0</x:v>
      </x:c>
      <x:c r="AC22" s="2" t="str">
        <x:f>IF(AND(C22&gt;=0,E22&gt;0,F22&gt;0,COUNTIFS('Source_Data'!$B$6:$B$125,'Assumptions'!$C$8,'Source_Data'!$C$6:$C$125,B22,'Source_Data'!$D$6:$D$125,A22)=1,COUNTIFS('Source_Data'!$B$131:$B$170,B22,'Source_Data'!$C$131:$C$170,A22)=1),"Ready","Missing data")</x:f>
        <x:v>Ready</x:v>
      </x:c>
      <x:c r="AD22" s="2" t="n">
        <x:f>IF('Assumptions'!$D$8="Reported",SUMIFS('Source_Data'!$G$6:$G$125,'Source_Data'!$B$6:$B$125,'Assumptions'!$C$8,'Source_Data'!$C$6:$C$125,B22,'Source_Data'!$D$6:$D$125,A22),SUMIFS('Source_Data'!$N$6:$N$125,'Source_Data'!$B$6:$B$125,'Assumptions'!$C$8,'Source_Data'!$C$6:$C$125,B22,'Source_Data'!$D$6:$D$125,A22))</x:f>
        <x:v>6</x:v>
      </x:c>
      <x:c r="AE22" s="2"/>
      <x:c r="AF22" s="2"/>
    </x:row>
    <x:row r="23" ht="23" customHeight="1">
      <x:c r="A23" s="2" t="str">
        <x:v>61103099</x:v>
      </x:c>
      <x:c r="B23" s="2" t="str">
        <x:v>Sri Lanka</x:v>
      </x:c>
      <x:c r="C23" s="2" t="n">
        <x:f>SUMIFS('Source_Data'!$F$6:$F$125,'Source_Data'!$B$6:$B$125,"FY2025",'Source_Data'!$C$6:$C$125,B23,'Source_Data'!$D$6:$D$125,A23)</x:f>
        <x:v>100905</x:v>
      </x:c>
      <x:c r="D23" s="7" t="n">
        <x:f>C23/SUM(C16:C25)</x:f>
        <x:v>0.0022445691736268404</x:v>
      </x:c>
      <x:c r="E23" s="2" t="n">
        <x:f>IF('Assumptions'!$D$8="Reported",SUMIFS('Source_Data'!$E$6:$E$125,'Source_Data'!$B$6:$B$125,'Assumptions'!$C$8,'Source_Data'!$C$6:$C$125,B23,'Source_Data'!$D$6:$D$125,A23),SUMIFS('Source_Data'!$L$6:$L$125,'Source_Data'!$B$6:$B$125,'Assumptions'!$C$8,'Source_Data'!$C$6:$C$125,B23,'Source_Data'!$D$6:$D$125,A23))</x:f>
        <x:v>732589</x:v>
      </x:c>
      <x:c r="F23" s="2" t="n">
        <x:f>IF('Assumptions'!$D$8="Reported",SUMIFS('Source_Data'!$F$6:$F$125,'Source_Data'!$B$6:$B$125,'Assumptions'!$C$8,'Source_Data'!$C$6:$C$125,B23,'Source_Data'!$D$6:$D$125,A23),SUMIFS('Source_Data'!$M$6:$M$125,'Source_Data'!$B$6:$B$125,'Assumptions'!$C$8,'Source_Data'!$C$6:$C$125,B23,'Source_Data'!$D$6:$D$125,A23))</x:f>
        <x:v>34757</x:v>
      </x:c>
      <x:c r="G23" s="17" t="n">
        <x:f>IF(F23&gt;0,E23/F23,"n.a.")</x:f>
        <x:v>21.077452024052707</x:v>
      </x:c>
      <x:c r="H23" s="7" t="n">
        <x:f>SUMIFS('Source_Data'!$F$131:$F$170,'Source_Data'!$B$131:$B$170,B23,'Source_Data'!$C$131:$C$170,A23)</x:f>
        <x:v>0</x:v>
      </x:c>
      <x:c r="I23" s="7" t="n">
        <x:f>SUMIFS('Source_Data'!$G$131:$G$170,'Source_Data'!$B$131:$B$170,B23,'Source_Data'!$C$131:$C$170,A23)</x:f>
        <x:v>0.12</x:v>
      </x:c>
      <x:c r="J23" s="7" t="n">
        <x:f>IF('Assumptions'!$E$8="MFN all",I23,H23)</x:f>
        <x:v>0</x:v>
      </x:c>
      <x:c r="K23" s="7" t="n">
        <x:f>IF('Assumptions'!$E$8="Eligible",H23,I23)</x:f>
        <x:v>0</x:v>
      </x:c>
      <x:c r="L23" s="17" t="n">
        <x:f>IF(ISNUMBER(G23),G23*(1+J23),0)</x:f>
        <x:v>21.077452024052707</x:v>
      </x:c>
      <x:c r="M23" s="17" t="n">
        <x:f>IF(ISNUMBER(G23),G23*(1+K23),0)</x:f>
        <x:v>21.077452024052707</x:v>
      </x:c>
      <x:c r="N23" s="7" t="n">
        <x:f>0</x:f>
        <x:v>0</x:v>
      </x:c>
      <x:c r="O23" s="7" t="n">
        <x:f>IF(B23="China",-1,N23)</x:f>
        <x:v>0</x:v>
      </x:c>
      <x:c r="P23" s="2" t="n">
        <x:f>IF(B23="China",D23,IF(N23&gt;0,MAX(0,MIN('Assumptions'!$E$5-D23,'Assumptions'!$H$5,IF('Assumptions'!$F$8=1,('Assumptions'!$G$8-1)*D23,1)))/N23,1))</x:f>
        <x:v>1</x:v>
      </x:c>
      <x:c r="Q23" s="7" t="n">
        <x:f>IF(ISNUMBER($I53),$I53*O23,0)</x:f>
        <x:v>0</x:v>
      </x:c>
      <x:c r="R23" s="7" t="n">
        <x:f>D23+Q23</x:f>
        <x:v>0.0022445691736268404</x:v>
      </x:c>
      <x:c r="S23" s="17" t="n">
        <x:f>D23*L23</x:f>
        <x:v>0.04730979907178736</x:v>
      </x:c>
      <x:c r="T23" s="17" t="n">
        <x:f>R23*L23</x:f>
        <x:v>0.04730979907178736</x:v>
      </x:c>
      <x:c r="U23" s="17" t="n">
        <x:f>MAX(0,Q23)*(M23*(1+'Assumptions'!$I$8)-L23)</x:f>
        <x:v>0</x:v>
      </x:c>
      <x:c r="V23" s="17" t="n">
        <x:f>MAX(0,Q23)*'Assumptions'!$C$47</x:f>
        <x:v>0</x:v>
      </x:c>
      <x:c r="W23" s="17" t="n">
        <x:f>MAX(0,Q23)*'Assumptions'!$D$47</x:f>
        <x:v>0</x:v>
      </x:c>
      <x:c r="X23" s="17" t="n">
        <x:f>MAX(0,Q23)*M23*(1+'Assumptions'!$I$8)*'Assumptions'!$E$47*'Assumptions'!$F$47/365</x:f>
        <x:v>0</x:v>
      </x:c>
      <x:c r="Y23" s="17" t="n">
        <x:f>SUM(T23:X23)</x:f>
        <x:v>0.04730979907178736</x:v>
      </x:c>
      <x:c r="Z23" s="17" t="n">
        <x:f>D23^2*10000</x:f>
        <x:v>0.050380907751958776</x:v>
      </x:c>
      <x:c r="AA23" s="17" t="n">
        <x:f>R23^2*10000</x:f>
        <x:v>0.050380907751958776</x:v>
      </x:c>
      <x:c r="AB23" s="24" t="n">
        <x:f>IF(N23&gt;0,IF(D23&gt;0,R23/D23,IF(R23=0,0,"n.a.")),0)</x:f>
        <x:v>0</x:v>
      </x:c>
      <x:c r="AC23" s="2" t="str">
        <x:f>IF(AND(C23&gt;=0,E23&gt;0,F23&gt;0,COUNTIFS('Source_Data'!$B$6:$B$125,'Assumptions'!$C$8,'Source_Data'!$C$6:$C$125,B23,'Source_Data'!$D$6:$D$125,A23)=1,COUNTIFS('Source_Data'!$B$131:$B$170,B23,'Source_Data'!$C$131:$C$170,A23)=1),"Ready","Missing data")</x:f>
        <x:v>Ready</x:v>
      </x:c>
      <x:c r="AD23" s="2" t="n">
        <x:f>IF('Assumptions'!$D$8="Reported",SUMIFS('Source_Data'!$G$6:$G$125,'Source_Data'!$B$6:$B$125,'Assumptions'!$C$8,'Source_Data'!$C$6:$C$125,B23,'Source_Data'!$D$6:$D$125,A23),SUMIFS('Source_Data'!$N$6:$N$125,'Source_Data'!$B$6:$B$125,'Assumptions'!$C$8,'Source_Data'!$C$6:$C$125,B23,'Source_Data'!$D$6:$D$125,A23))</x:f>
        <x:v>6</x:v>
      </x:c>
      <x:c r="AE23" s="2"/>
      <x:c r="AF23" s="2"/>
    </x:row>
    <x:row r="24" ht="23" customHeight="1">
      <x:c r="A24" s="2" t="str">
        <x:v>61103099</x:v>
      </x:c>
      <x:c r="B24" s="2" t="str">
        <x:v>Turkey</x:v>
      </x:c>
      <x:c r="C24" s="2" t="n">
        <x:f>SUMIFS('Source_Data'!$F$6:$F$125,'Source_Data'!$B$6:$B$125,"FY2025",'Source_Data'!$C$6:$C$125,B24,'Source_Data'!$D$6:$D$125,A24)</x:f>
        <x:v>7348045</x:v>
      </x:c>
      <x:c r="D24" s="7" t="n">
        <x:f>C24/SUM(C16:C25)</x:f>
        <x:v>0.1634527059454223</x:v>
      </x:c>
      <x:c r="E24" s="2" t="n">
        <x:f>IF('Assumptions'!$D$8="Reported",SUMIFS('Source_Data'!$E$6:$E$125,'Source_Data'!$B$6:$B$125,'Assumptions'!$C$8,'Source_Data'!$C$6:$C$125,B24,'Source_Data'!$D$6:$D$125,A24),SUMIFS('Source_Data'!$L$6:$L$125,'Source_Data'!$B$6:$B$125,'Assumptions'!$C$8,'Source_Data'!$C$6:$C$125,B24,'Source_Data'!$D$6:$D$125,A24))</x:f>
        <x:v>15949155</x:v>
      </x:c>
      <x:c r="F24" s="2" t="n">
        <x:f>IF('Assumptions'!$D$8="Reported",SUMIFS('Source_Data'!$F$6:$F$125,'Source_Data'!$B$6:$B$125,'Assumptions'!$C$8,'Source_Data'!$C$6:$C$125,B24,'Source_Data'!$D$6:$D$125,A24),SUMIFS('Source_Data'!$M$6:$M$125,'Source_Data'!$B$6:$B$125,'Assumptions'!$C$8,'Source_Data'!$C$6:$C$125,B24,'Source_Data'!$D$6:$D$125,A24))</x:f>
        <x:v>2413703</x:v>
      </x:c>
      <x:c r="G24" s="17" t="n">
        <x:f>IF(F24&gt;0,E24/F24,"n.a.")</x:f>
        <x:v>6.607753729435643</x:v>
      </x:c>
      <x:c r="H24" s="7" t="n">
        <x:f>SUMIFS('Source_Data'!$F$131:$F$170,'Source_Data'!$B$131:$B$170,B24,'Source_Data'!$C$131:$C$170,A24)</x:f>
        <x:v>0</x:v>
      </x:c>
      <x:c r="I24" s="7" t="n">
        <x:f>SUMIFS('Source_Data'!$G$131:$G$170,'Source_Data'!$B$131:$B$170,B24,'Source_Data'!$C$131:$C$170,A24)</x:f>
        <x:v>0.12</x:v>
      </x:c>
      <x:c r="J24" s="7" t="n">
        <x:f>IF('Assumptions'!$E$8="MFN all",I24,H24)</x:f>
        <x:v>0</x:v>
      </x:c>
      <x:c r="K24" s="7" t="n">
        <x:f>IF('Assumptions'!$E$8="Eligible",H24,I24)</x:f>
        <x:v>0</x:v>
      </x:c>
      <x:c r="L24" s="17" t="n">
        <x:f>IF(ISNUMBER(G24),G24*(1+J24),0)</x:f>
        <x:v>6.607753729435643</x:v>
      </x:c>
      <x:c r="M24" s="17" t="n">
        <x:f>IF(ISNUMBER(G24),G24*(1+K24),0)</x:f>
        <x:v>6.607753729435643</x:v>
      </x:c>
      <x:c r="N24" s="7" t="n">
        <x:f>SUMIFS('Assumptions'!$D$52:$D$75,'Assumptions'!$A$52:$A$75,'Assumptions'!$J$8,'Assumptions'!$B$52:$B$75,A24)</x:f>
        <x:v>0.25</x:v>
      </x:c>
      <x:c r="O24" s="7" t="n">
        <x:f>IF(B24="China",-1,N24)</x:f>
        <x:v>0.25</x:v>
      </x:c>
      <x:c r="P24" s="2" t="n">
        <x:f>IF(B24="China",D24,IF(N24&gt;0,MAX(0,MIN('Assumptions'!$E$5-D24,'Assumptions'!$H$5,IF('Assumptions'!$F$8=1,('Assumptions'!$G$8-1)*D24,1)))/N24,1))</x:f>
        <x:v>0.4</x:v>
      </x:c>
      <x:c r="Q24" s="7" t="n">
        <x:f>IF(ISNUMBER($I53),$I53*O24,0)</x:f>
        <x:v>0.0035383245644133297</x:v>
      </x:c>
      <x:c r="R24" s="7" t="n">
        <x:f>D24+Q24</x:f>
        <x:v>0.16699103050983563</x:v>
      </x:c>
      <x:c r="S24" s="17" t="n">
        <x:f>D24*L24</x:f>
        <x:v>1.0800552272972117</x:v>
      </x:c>
      <x:c r="T24" s="17" t="n">
        <x:f>R24*L24</x:f>
        <x:v>1.1034356046336677</x:v>
      </x:c>
      <x:c r="U24" s="17" t="n">
        <x:f>MAX(0,Q24)*(M24*(1+'Assumptions'!$I$8)-L24)</x:f>
        <x:v>0</x:v>
      </x:c>
      <x:c r="V24" s="17" t="n">
        <x:f>MAX(0,Q24)*'Assumptions'!$C$47</x:f>
        <x:v>0</x:v>
      </x:c>
      <x:c r="W24" s="17" t="n">
        <x:f>MAX(0,Q24)*'Assumptions'!$D$47</x:f>
        <x:v>0</x:v>
      </x:c>
      <x:c r="X24" s="17" t="n">
        <x:f>MAX(0,Q24)*M24*(1+'Assumptions'!$I$8)*'Assumptions'!$E$47*'Assumptions'!$F$47/365</x:f>
        <x:v>0</x:v>
      </x:c>
      <x:c r="Y24" s="17" t="n">
        <x:f>SUM(T24:X24)</x:f>
        <x:v>1.1034356046336677</x:v>
      </x:c>
      <x:c r="Z24" s="17" t="n">
        <x:f>D24^2*10000</x:f>
        <x:v>267.1678708088069</x:v>
      </x:c>
      <x:c r="AA24" s="17" t="n">
        <x:f>R24^2*10000</x:f>
        <x:v>278.86004270736856</x:v>
      </x:c>
      <x:c r="AB24" s="24" t="n">
        <x:f>IF(N24&gt;0,IF(D24&gt;0,R24/D24,IF(R24=0,0,"n.a.")),0)</x:f>
        <x:v>1.021647390564429</x:v>
      </x:c>
      <x:c r="AC24" s="2" t="str">
        <x:f>IF(AND(C24&gt;=0,E24&gt;0,F24&gt;0,COUNTIFS('Source_Data'!$B$6:$B$125,'Assumptions'!$C$8,'Source_Data'!$C$6:$C$125,B24,'Source_Data'!$D$6:$D$125,A24)=1,COUNTIFS('Source_Data'!$B$131:$B$170,B24,'Source_Data'!$C$131:$C$170,A24)=1),"Ready","Missing data")</x:f>
        <x:v>Ready</x:v>
      </x:c>
      <x:c r="AD24" s="2" t="n">
        <x:f>IF('Assumptions'!$D$8="Reported",SUMIFS('Source_Data'!$G$6:$G$125,'Source_Data'!$B$6:$B$125,'Assumptions'!$C$8,'Source_Data'!$C$6:$C$125,B24,'Source_Data'!$D$6:$D$125,A24),SUMIFS('Source_Data'!$N$6:$N$125,'Source_Data'!$B$6:$B$125,'Assumptions'!$C$8,'Source_Data'!$C$6:$C$125,B24,'Source_Data'!$D$6:$D$125,A24))</x:f>
        <x:v>6</x:v>
      </x:c>
      <x:c r="AE24" s="2"/>
      <x:c r="AF24" s="2"/>
    </x:row>
    <x:row r="25" ht="23" customHeight="1">
      <x:c r="A25" s="2" t="str">
        <x:v>61103099</x:v>
      </x:c>
      <x:c r="B25" s="2" t="str">
        <x:v>Vietnam</x:v>
      </x:c>
      <x:c r="C25" s="2" t="n">
        <x:f>SUMIFS('Source_Data'!$F$6:$F$125,'Source_Data'!$B$6:$B$125,"FY2025",'Source_Data'!$C$6:$C$125,B25,'Source_Data'!$D$6:$D$125,A25)</x:f>
        <x:v>396647</x:v>
      </x:c>
      <x:c r="D25" s="7" t="n">
        <x:f>C25/SUM(C16:C25)</x:f>
        <x:v>0.008823166632095193</x:v>
      </x:c>
      <x:c r="E25" s="2" t="n">
        <x:f>IF('Assumptions'!$D$8="Reported",SUMIFS('Source_Data'!$E$6:$E$125,'Source_Data'!$B$6:$B$125,'Assumptions'!$C$8,'Source_Data'!$C$6:$C$125,B25,'Source_Data'!$D$6:$D$125,A25),SUMIFS('Source_Data'!$L$6:$L$125,'Source_Data'!$B$6:$B$125,'Assumptions'!$C$8,'Source_Data'!$C$6:$C$125,B25,'Source_Data'!$D$6:$D$125,A25))</x:f>
        <x:v>6261277</x:v>
      </x:c>
      <x:c r="F25" s="2" t="n">
        <x:f>IF('Assumptions'!$D$8="Reported",SUMIFS('Source_Data'!$F$6:$F$125,'Source_Data'!$B$6:$B$125,'Assumptions'!$C$8,'Source_Data'!$C$6:$C$125,B25,'Source_Data'!$D$6:$D$125,A25),SUMIFS('Source_Data'!$M$6:$M$125,'Source_Data'!$B$6:$B$125,'Assumptions'!$C$8,'Source_Data'!$C$6:$C$125,B25,'Source_Data'!$D$6:$D$125,A25))</x:f>
        <x:v>292287</x:v>
      </x:c>
      <x:c r="G25" s="17" t="n">
        <x:f>IF(F25&gt;0,E25/F25,"n.a.")</x:f>
        <x:v>21.421674586964183</x:v>
      </x:c>
      <x:c r="H25" s="7" t="n">
        <x:f>SUMIFS('Source_Data'!$F$131:$F$170,'Source_Data'!$B$131:$B$170,B25,'Source_Data'!$C$131:$C$170,A25)</x:f>
        <x:v>0</x:v>
      </x:c>
      <x:c r="I25" s="7" t="n">
        <x:f>SUMIFS('Source_Data'!$G$131:$G$170,'Source_Data'!$B$131:$B$170,B25,'Source_Data'!$C$131:$C$170,A25)</x:f>
        <x:v>0.12</x:v>
      </x:c>
      <x:c r="J25" s="7" t="n">
        <x:f>IF('Assumptions'!$E$8="MFN all",I25,H25)</x:f>
        <x:v>0</x:v>
      </x:c>
      <x:c r="K25" s="7" t="n">
        <x:f>IF('Assumptions'!$E$8="Eligible",H25,I25)</x:f>
        <x:v>0</x:v>
      </x:c>
      <x:c r="L25" s="17" t="n">
        <x:f>IF(ISNUMBER(G25),G25*(1+J25),0)</x:f>
        <x:v>21.421674586964183</x:v>
      </x:c>
      <x:c r="M25" s="17" t="n">
        <x:f>IF(ISNUMBER(G25),G25*(1+K25),0)</x:f>
        <x:v>21.421674586964183</x:v>
      </x:c>
      <x:c r="N25" s="7" t="n">
        <x:f>SUMIFS('Assumptions'!$E$52:$E$75,'Assumptions'!$A$52:$A$75,'Assumptions'!$J$8,'Assumptions'!$B$52:$B$75,A25)</x:f>
        <x:v>0.25</x:v>
      </x:c>
      <x:c r="O25" s="7" t="n">
        <x:f>IF(B25="China",-1,N25)</x:f>
        <x:v>0.25</x:v>
      </x:c>
      <x:c r="P25" s="2" t="n">
        <x:f>IF(B25="China",D25,IF(N25&gt;0,MAX(0,MIN('Assumptions'!$E$5-D25,'Assumptions'!$H$5,IF('Assumptions'!$F$8=1,('Assumptions'!$G$8-1)*D25,1)))/N25,1))</x:f>
        <x:v>0.07058533305676154</x:v>
      </x:c>
      <x:c r="Q25" s="7" t="n">
        <x:f>IF(ISNUMBER($I53),$I53*O25,0)</x:f>
        <x:v>0.0035383245644133297</x:v>
      </x:c>
      <x:c r="R25" s="7" t="n">
        <x:f>D25+Q25</x:f>
        <x:v>0.012361491196508522</x:v>
      </x:c>
      <x:c r="S25" s="17" t="n">
        <x:f>D25*L25</x:f>
        <x:v>0.18900700441930396</x:v>
      </x:c>
      <x:c r="T25" s="17" t="n">
        <x:f>R25*L25</x:f>
        <x:v>0.26480384182122807</x:v>
      </x:c>
      <x:c r="U25" s="17" t="n">
        <x:f>MAX(0,Q25)*(M25*(1+'Assumptions'!$I$8)-L25)</x:f>
        <x:v>0</x:v>
      </x:c>
      <x:c r="V25" s="17" t="n">
        <x:f>MAX(0,Q25)*'Assumptions'!$C$47</x:f>
        <x:v>0</x:v>
      </x:c>
      <x:c r="W25" s="17" t="n">
        <x:f>MAX(0,Q25)*'Assumptions'!$D$47</x:f>
        <x:v>0</x:v>
      </x:c>
      <x:c r="X25" s="17" t="n">
        <x:f>MAX(0,Q25)*M25*(1+'Assumptions'!$I$8)*'Assumptions'!$E$47*'Assumptions'!$F$47/365</x:f>
        <x:v>0</x:v>
      </x:c>
      <x:c r="Y25" s="17" t="n">
        <x:f>SUM(T25:X25)</x:f>
        <x:v>0.26480384182122807</x:v>
      </x:c>
      <x:c r="Z25" s="17" t="n">
        <x:f>D25^2*10000</x:f>
        <x:v>0.7784826941771803</x:v>
      </x:c>
      <x:c r="AA25" s="17" t="n">
        <x:f>R25^2*10000</x:f>
        <x:v>1.528064646013577</x:v>
      </x:c>
      <x:c r="AB25" s="24" t="n">
        <x:f>IF(N25&gt;0,IF(D25&gt;0,R25/D25,IF(R25=0,0,"n.a.")),0)</x:f>
        <x:v>1.4010266055207778</x:v>
      </x:c>
      <x:c r="AC25" s="2" t="str">
        <x:f>IF(AND(C25&gt;=0,E25&gt;0,F25&gt;0,COUNTIFS('Source_Data'!$B$6:$B$125,'Assumptions'!$C$8,'Source_Data'!$C$6:$C$125,B25,'Source_Data'!$D$6:$D$125,A25)=1,COUNTIFS('Source_Data'!$B$131:$B$170,B25,'Source_Data'!$C$131:$C$170,A25)=1),"Ready","Missing data")</x:f>
        <x:v>Ready</x:v>
      </x:c>
      <x:c r="AD25" s="2" t="n">
        <x:f>IF('Assumptions'!$D$8="Reported",SUMIFS('Source_Data'!$G$6:$G$125,'Source_Data'!$B$6:$B$125,'Assumptions'!$C$8,'Source_Data'!$C$6:$C$125,B25,'Source_Data'!$D$6:$D$125,A25),SUMIFS('Source_Data'!$N$6:$N$125,'Source_Data'!$B$6:$B$125,'Assumptions'!$C$8,'Source_Data'!$C$6:$C$125,B25,'Source_Data'!$D$6:$D$125,A25))</x:f>
        <x:v>6</x:v>
      </x:c>
      <x:c r="AE25" s="2"/>
      <x:c r="AF25" s="2"/>
    </x:row>
    <x:row r="26" ht="23" customHeight="1">
      <x:c r="A26" s="2" t="str">
        <x:v>62044300</x:v>
      </x:c>
      <x:c r="B26" s="2" t="str">
        <x:v>Bangladesh</x:v>
      </x:c>
      <x:c r="C26" s="2" t="n">
        <x:f>SUMIFS('Source_Data'!$F$6:$F$125,'Source_Data'!$B$6:$B$125,"FY2025",'Source_Data'!$C$6:$C$125,B26,'Source_Data'!$D$6:$D$125,A26)</x:f>
        <x:v>788304</x:v>
      </x:c>
      <x:c r="D26" s="7" t="n">
        <x:f>C26/SUM(C26:C35)</x:f>
        <x:v>0.10006297220426452</x:v>
      </x:c>
      <x:c r="E26" s="2" t="n">
        <x:f>IF('Assumptions'!$D$8="Reported",SUMIFS('Source_Data'!$E$6:$E$125,'Source_Data'!$B$6:$B$125,'Assumptions'!$C$8,'Source_Data'!$C$6:$C$125,B26,'Source_Data'!$D$6:$D$125,A26),SUMIFS('Source_Data'!$L$6:$L$125,'Source_Data'!$B$6:$B$125,'Assumptions'!$C$8,'Source_Data'!$C$6:$C$125,B26,'Source_Data'!$D$6:$D$125,A26))</x:f>
        <x:v>6924029</x:v>
      </x:c>
      <x:c r="F26" s="2" t="n">
        <x:f>IF('Assumptions'!$D$8="Reported",SUMIFS('Source_Data'!$F$6:$F$125,'Source_Data'!$B$6:$B$125,'Assumptions'!$C$8,'Source_Data'!$C$6:$C$125,B26,'Source_Data'!$D$6:$D$125,A26),SUMIFS('Source_Data'!$M$6:$M$125,'Source_Data'!$B$6:$B$125,'Assumptions'!$C$8,'Source_Data'!$C$6:$C$125,B26,'Source_Data'!$D$6:$D$125,A26))</x:f>
        <x:v>450236</x:v>
      </x:c>
      <x:c r="G26" s="17" t="n">
        <x:f>IF(F26&gt;0,E26/F26,"n.a.")</x:f>
        <x:v>15.378665855240364</x:v>
      </x:c>
      <x:c r="H26" s="7" t="n">
        <x:f>SUMIFS('Source_Data'!$F$131:$F$170,'Source_Data'!$B$131:$B$170,B26,'Source_Data'!$C$131:$C$170,A26)</x:f>
        <x:v>0</x:v>
      </x:c>
      <x:c r="I26" s="7" t="n">
        <x:f>SUMIFS('Source_Data'!$G$131:$G$170,'Source_Data'!$B$131:$B$170,B26,'Source_Data'!$C$131:$C$170,A26)</x:f>
        <x:v>0.12</x:v>
      </x:c>
      <x:c r="J26" s="7" t="n">
        <x:f>IF('Assumptions'!$E$8="MFN all",I26,H26)</x:f>
        <x:v>0</x:v>
      </x:c>
      <x:c r="K26" s="7" t="n">
        <x:f>IF('Assumptions'!$E$8="Eligible",H26,I26)</x:f>
        <x:v>0</x:v>
      </x:c>
      <x:c r="L26" s="17" t="n">
        <x:f>IF(ISNUMBER(G26),G26*(1+J26),0)</x:f>
        <x:v>15.378665855240364</x:v>
      </x:c>
      <x:c r="M26" s="17" t="n">
        <x:f>IF(ISNUMBER(G26),G26*(1+K26),0)</x:f>
        <x:v>15.378665855240364</x:v>
      </x:c>
      <x:c r="N26" s="7" t="n">
        <x:f>0</x:f>
        <x:v>0</x:v>
      </x:c>
      <x:c r="O26" s="7" t="n">
        <x:f>IF(B26="China",-1,N26)</x:f>
        <x:v>0</x:v>
      </x:c>
      <x:c r="P26" s="2" t="n">
        <x:f>IF(B26="China",D26,IF(N26&gt;0,MAX(0,MIN('Assumptions'!$E$5-D26,'Assumptions'!$H$5,IF('Assumptions'!$F$8=1,('Assumptions'!$G$8-1)*D26,1)))/N26,1))</x:f>
        <x:v>1</x:v>
      </x:c>
      <x:c r="Q26" s="7" t="n">
        <x:f>IF(ISNUMBER($I54),$I54*O26,0)</x:f>
        <x:v>0</x:v>
      </x:c>
      <x:c r="R26" s="7" t="n">
        <x:f>D26+Q26</x:f>
        <x:v>0.10006297220426452</x:v>
      </x:c>
      <x:c r="S26" s="17" t="n">
        <x:f>D26*L26</x:f>
        <x:v>1.5388350140115883</x:v>
      </x:c>
      <x:c r="T26" s="17" t="n">
        <x:f>R26*L26</x:f>
        <x:v>1.5388350140115883</x:v>
      </x:c>
      <x:c r="U26" s="17" t="n">
        <x:f>MAX(0,Q26)*(M26*(1+'Assumptions'!$I$8)-L26)</x:f>
        <x:v>0</x:v>
      </x:c>
      <x:c r="V26" s="17" t="n">
        <x:f>MAX(0,Q26)*'Assumptions'!$C$47</x:f>
        <x:v>0</x:v>
      </x:c>
      <x:c r="W26" s="17" t="n">
        <x:f>MAX(0,Q26)*'Assumptions'!$D$47</x:f>
        <x:v>0</x:v>
      </x:c>
      <x:c r="X26" s="17" t="n">
        <x:f>MAX(0,Q26)*M26*(1+'Assumptions'!$I$8)*'Assumptions'!$E$47*'Assumptions'!$F$47/365</x:f>
        <x:v>0</x:v>
      </x:c>
      <x:c r="Y26" s="17" t="n">
        <x:f>SUM(T26:X26)</x:f>
        <x:v>1.5388350140115883</x:v>
      </x:c>
      <x:c r="Z26" s="17" t="n">
        <x:f>D26^2*10000</x:f>
        <x:v>100.12598406351414</x:v>
      </x:c>
      <x:c r="AA26" s="17" t="n">
        <x:f>R26^2*10000</x:f>
        <x:v>100.12598406351414</x:v>
      </x:c>
      <x:c r="AB26" s="24" t="n">
        <x:f>IF(N26&gt;0,IF(D26&gt;0,R26/D26,IF(R26=0,0,"n.a.")),0)</x:f>
        <x:v>0</x:v>
      </x:c>
      <x:c r="AC26" s="2" t="str">
        <x:f>IF(AND(C26&gt;=0,E26&gt;0,F26&gt;0,COUNTIFS('Source_Data'!$B$6:$B$125,'Assumptions'!$C$8,'Source_Data'!$C$6:$C$125,B26,'Source_Data'!$D$6:$D$125,A26)=1,COUNTIFS('Source_Data'!$B$131:$B$170,B26,'Source_Data'!$C$131:$C$170,A26)=1),"Ready","Missing data")</x:f>
        <x:v>Ready</x:v>
      </x:c>
      <x:c r="AD26" s="2" t="n">
        <x:f>IF('Assumptions'!$D$8="Reported",SUMIFS('Source_Data'!$G$6:$G$125,'Source_Data'!$B$6:$B$125,'Assumptions'!$C$8,'Source_Data'!$C$6:$C$125,B26,'Source_Data'!$D$6:$D$125,A26),SUMIFS('Source_Data'!$N$6:$N$125,'Source_Data'!$B$6:$B$125,'Assumptions'!$C$8,'Source_Data'!$C$6:$C$125,B26,'Source_Data'!$D$6:$D$125,A26))</x:f>
        <x:v>6</x:v>
      </x:c>
      <x:c r="AE26" s="2"/>
      <x:c r="AF26" s="2"/>
    </x:row>
    <x:row r="27" ht="23" customHeight="1">
      <x:c r="A27" s="2" t="str">
        <x:v>62044300</x:v>
      </x:c>
      <x:c r="B27" s="2" t="str">
        <x:v>Cambodia</x:v>
      </x:c>
      <x:c r="C27" s="2" t="n">
        <x:f>SUMIFS('Source_Data'!$F$6:$F$125,'Source_Data'!$B$6:$B$125,"FY2025",'Source_Data'!$C$6:$C$125,B27,'Source_Data'!$D$6:$D$125,A27)</x:f>
        <x:v>193821</x:v>
      </x:c>
      <x:c r="D27" s="7" t="n">
        <x:f>C27/SUM(C26:C35)</x:f>
        <x:v>0.024602571261344294</x:v>
      </x:c>
      <x:c r="E27" s="2" t="n">
        <x:f>IF('Assumptions'!$D$8="Reported",SUMIFS('Source_Data'!$E$6:$E$125,'Source_Data'!$B$6:$B$125,'Assumptions'!$C$8,'Source_Data'!$C$6:$C$125,B27,'Source_Data'!$D$6:$D$125,A27),SUMIFS('Source_Data'!$L$6:$L$125,'Source_Data'!$B$6:$B$125,'Assumptions'!$C$8,'Source_Data'!$C$6:$C$125,B27,'Source_Data'!$D$6:$D$125,A27))</x:f>
        <x:v>2808404</x:v>
      </x:c>
      <x:c r="F27" s="2" t="n">
        <x:f>IF('Assumptions'!$D$8="Reported",SUMIFS('Source_Data'!$F$6:$F$125,'Source_Data'!$B$6:$B$125,'Assumptions'!$C$8,'Source_Data'!$C$6:$C$125,B27,'Source_Data'!$D$6:$D$125,A27),SUMIFS('Source_Data'!$M$6:$M$125,'Source_Data'!$B$6:$B$125,'Assumptions'!$C$8,'Source_Data'!$C$6:$C$125,B27,'Source_Data'!$D$6:$D$125,A27))</x:f>
        <x:v>150870</x:v>
      </x:c>
      <x:c r="G27" s="17" t="n">
        <x:f>IF(F27&gt;0,E27/F27,"n.a.")</x:f>
        <x:v>18.61472791144694</x:v>
      </x:c>
      <x:c r="H27" s="7" t="n">
        <x:f>SUMIFS('Source_Data'!$F$131:$F$170,'Source_Data'!$B$131:$B$170,B27,'Source_Data'!$C$131:$C$170,A27)</x:f>
        <x:v>0</x:v>
      </x:c>
      <x:c r="I27" s="7" t="n">
        <x:f>SUMIFS('Source_Data'!$G$131:$G$170,'Source_Data'!$B$131:$B$170,B27,'Source_Data'!$C$131:$C$170,A27)</x:f>
        <x:v>0.12</x:v>
      </x:c>
      <x:c r="J27" s="7" t="n">
        <x:f>IF('Assumptions'!$E$8="MFN all",I27,H27)</x:f>
        <x:v>0</x:v>
      </x:c>
      <x:c r="K27" s="7" t="n">
        <x:f>IF('Assumptions'!$E$8="Eligible",H27,I27)</x:f>
        <x:v>0</x:v>
      </x:c>
      <x:c r="L27" s="17" t="n">
        <x:f>IF(ISNUMBER(G27),G27*(1+J27),0)</x:f>
        <x:v>18.61472791144694</x:v>
      </x:c>
      <x:c r="M27" s="17" t="n">
        <x:f>IF(ISNUMBER(G27),G27*(1+K27),0)</x:f>
        <x:v>18.61472791144694</x:v>
      </x:c>
      <x:c r="N27" s="7" t="n">
        <x:f>0</x:f>
        <x:v>0</x:v>
      </x:c>
      <x:c r="O27" s="7" t="n">
        <x:f>IF(B27="China",-1,N27)</x:f>
        <x:v>0</x:v>
      </x:c>
      <x:c r="P27" s="2" t="n">
        <x:f>IF(B27="China",D27,IF(N27&gt;0,MAX(0,MIN('Assumptions'!$E$5-D27,'Assumptions'!$H$5,IF('Assumptions'!$F$8=1,('Assumptions'!$G$8-1)*D27,1)))/N27,1))</x:f>
        <x:v>1</x:v>
      </x:c>
      <x:c r="Q27" s="7" t="n">
        <x:f>IF(ISNUMBER($I54),$I54*O27,0)</x:f>
        <x:v>0</x:v>
      </x:c>
      <x:c r="R27" s="7" t="n">
        <x:f>D27+Q27</x:f>
        <x:v>0.024602571261344294</x:v>
      </x:c>
      <x:c r="S27" s="17" t="n">
        <x:f>D27*L27</x:f>
        <x:v>0.457970169951908</x:v>
      </x:c>
      <x:c r="T27" s="17" t="n">
        <x:f>R27*L27</x:f>
        <x:v>0.457970169951908</x:v>
      </x:c>
      <x:c r="U27" s="17" t="n">
        <x:f>MAX(0,Q27)*(M27*(1+'Assumptions'!$I$8)-L27)</x:f>
        <x:v>0</x:v>
      </x:c>
      <x:c r="V27" s="17" t="n">
        <x:f>MAX(0,Q27)*'Assumptions'!$C$47</x:f>
        <x:v>0</x:v>
      </x:c>
      <x:c r="W27" s="17" t="n">
        <x:f>MAX(0,Q27)*'Assumptions'!$D$47</x:f>
        <x:v>0</x:v>
      </x:c>
      <x:c r="X27" s="17" t="n">
        <x:f>MAX(0,Q27)*M27*(1+'Assumptions'!$I$8)*'Assumptions'!$E$47*'Assumptions'!$F$47/365</x:f>
        <x:v>0</x:v>
      </x:c>
      <x:c r="Y27" s="17" t="n">
        <x:f>SUM(T27:X27)</x:f>
        <x:v>0.457970169951908</x:v>
      </x:c>
      <x:c r="Z27" s="17" t="n">
        <x:f>D27^2*10000</x:f>
        <x:v>6.052865126695242</x:v>
      </x:c>
      <x:c r="AA27" s="17" t="n">
        <x:f>R27^2*10000</x:f>
        <x:v>6.052865126695242</x:v>
      </x:c>
      <x:c r="AB27" s="24" t="n">
        <x:f>IF(N27&gt;0,IF(D27&gt;0,R27/D27,IF(R27=0,0,"n.a.")),0)</x:f>
        <x:v>0</x:v>
      </x:c>
      <x:c r="AC27" s="2" t="str">
        <x:f>IF(AND(C27&gt;=0,E27&gt;0,F27&gt;0,COUNTIFS('Source_Data'!$B$6:$B$125,'Assumptions'!$C$8,'Source_Data'!$C$6:$C$125,B27,'Source_Data'!$D$6:$D$125,A27)=1,COUNTIFS('Source_Data'!$B$131:$B$170,B27,'Source_Data'!$C$131:$C$170,A27)=1),"Ready","Missing data")</x:f>
        <x:v>Ready</x:v>
      </x:c>
      <x:c r="AD27" s="2" t="n">
        <x:f>IF('Assumptions'!$D$8="Reported",SUMIFS('Source_Data'!$G$6:$G$125,'Source_Data'!$B$6:$B$125,'Assumptions'!$C$8,'Source_Data'!$C$6:$C$125,B27,'Source_Data'!$D$6:$D$125,A27),SUMIFS('Source_Data'!$N$6:$N$125,'Source_Data'!$B$6:$B$125,'Assumptions'!$C$8,'Source_Data'!$C$6:$C$125,B27,'Source_Data'!$D$6:$D$125,A27))</x:f>
        <x:v>6</x:v>
      </x:c>
      <x:c r="AE27" s="2"/>
      <x:c r="AF27" s="2"/>
    </x:row>
    <x:row r="28" ht="23" customHeight="1">
      <x:c r="A28" s="2" t="str">
        <x:v>62044300</x:v>
      </x:c>
      <x:c r="B28" s="2" t="str">
        <x:v>China</x:v>
      </x:c>
      <x:c r="C28" s="2" t="n">
        <x:f>SUMIFS('Source_Data'!$F$6:$F$125,'Source_Data'!$B$6:$B$125,"FY2025",'Source_Data'!$C$6:$C$125,B28,'Source_Data'!$D$6:$D$125,A28)</x:f>
        <x:v>3777711</x:v>
      </x:c>
      <x:c r="D28" s="7" t="n">
        <x:f>C28/SUM(C26:C35)</x:f>
        <x:v>0.47952184790226143</x:v>
      </x:c>
      <x:c r="E28" s="2" t="n">
        <x:f>IF('Assumptions'!$D$8="Reported",SUMIFS('Source_Data'!$E$6:$E$125,'Source_Data'!$B$6:$B$125,'Assumptions'!$C$8,'Source_Data'!$C$6:$C$125,B28,'Source_Data'!$D$6:$D$125,A28),SUMIFS('Source_Data'!$L$6:$L$125,'Source_Data'!$B$6:$B$125,'Assumptions'!$C$8,'Source_Data'!$C$6:$C$125,B28,'Source_Data'!$D$6:$D$125,A28))</x:f>
        <x:v>52333750</x:v>
      </x:c>
      <x:c r="F28" s="2" t="n">
        <x:f>IF('Assumptions'!$D$8="Reported",SUMIFS('Source_Data'!$F$6:$F$125,'Source_Data'!$B$6:$B$125,'Assumptions'!$C$8,'Source_Data'!$C$6:$C$125,B28,'Source_Data'!$D$6:$D$125,A28),SUMIFS('Source_Data'!$M$6:$M$125,'Source_Data'!$B$6:$B$125,'Assumptions'!$C$8,'Source_Data'!$C$6:$C$125,B28,'Source_Data'!$D$6:$D$125,A28))</x:f>
        <x:v>1892903</x:v>
      </x:c>
      <x:c r="G28" s="17" t="n">
        <x:f>IF(F28&gt;0,E28/F28,"n.a.")</x:f>
        <x:v>27.647349071769657</x:v>
      </x:c>
      <x:c r="H28" s="7" t="n">
        <x:f>SUMIFS('Source_Data'!$F$131:$F$170,'Source_Data'!$B$131:$B$170,B28,'Source_Data'!$C$131:$C$170,A28)</x:f>
        <x:v>0.12</x:v>
      </x:c>
      <x:c r="I28" s="7" t="n">
        <x:f>SUMIFS('Source_Data'!$G$131:$G$170,'Source_Data'!$B$131:$B$170,B28,'Source_Data'!$C$131:$C$170,A28)</x:f>
        <x:v>0.12</x:v>
      </x:c>
      <x:c r="J28" s="7" t="n">
        <x:f>IF('Assumptions'!$E$8="MFN all",I28,H28)</x:f>
        <x:v>0.12</x:v>
      </x:c>
      <x:c r="K28" s="7" t="n">
        <x:f>IF('Assumptions'!$E$8="Eligible",H28,I28)</x:f>
        <x:v>0.12</x:v>
      </x:c>
      <x:c r="L28" s="17" t="n">
        <x:f>IF(ISNUMBER(G28),G28*(1+J28),0)</x:f>
        <x:v>30.96503096038202</x:v>
      </x:c>
      <x:c r="M28" s="17" t="n">
        <x:f>IF(ISNUMBER(G28),G28*(1+K28),0)</x:f>
        <x:v>30.96503096038202</x:v>
      </x:c>
      <x:c r="N28" s="7" t="n">
        <x:f>0</x:f>
        <x:v>0</x:v>
      </x:c>
      <x:c r="O28" s="7" t="n">
        <x:f>IF(B28="China",-1,N28)</x:f>
        <x:v>-1</x:v>
      </x:c>
      <x:c r="P28" s="2" t="n">
        <x:f>IF(B28="China",D28,IF(N28&gt;0,MAX(0,MIN('Assumptions'!$E$5-D28,'Assumptions'!$H$5,IF('Assumptions'!$F$8=1,('Assumptions'!$G$8-1)*D28,1)))/N28,1))</x:f>
        <x:v>0.47952184790226143</x:v>
      </x:c>
      <x:c r="Q28" s="7" t="n">
        <x:f>IF(ISNUMBER($I54),$I54*O28,0)</x:f>
        <x:v>-0.1</x:v>
      </x:c>
      <x:c r="R28" s="7" t="n">
        <x:f>D28+Q28</x:f>
        <x:v>0.3795218479022614</x:v>
      </x:c>
      <x:c r="S28" s="17" t="n">
        <x:f>D28*L28</x:f>
        <x:v>14.848408866473124</x:v>
      </x:c>
      <x:c r="T28" s="17" t="n">
        <x:f>R28*L28</x:f>
        <x:v>11.75190577043492</x:v>
      </x:c>
      <x:c r="U28" s="17" t="n">
        <x:f>MAX(0,Q28)*(M28*(1+'Assumptions'!$I$8)-L28)</x:f>
        <x:v>0</x:v>
      </x:c>
      <x:c r="V28" s="17" t="n">
        <x:f>MAX(0,Q28)*'Assumptions'!$C$47</x:f>
        <x:v>0</x:v>
      </x:c>
      <x:c r="W28" s="17" t="n">
        <x:f>MAX(0,Q28)*'Assumptions'!$D$47</x:f>
        <x:v>0</x:v>
      </x:c>
      <x:c r="X28" s="17" t="n">
        <x:f>MAX(0,Q28)*M28*(1+'Assumptions'!$I$8)*'Assumptions'!$E$47*'Assumptions'!$F$47/365</x:f>
        <x:v>0</x:v>
      </x:c>
      <x:c r="Y28" s="17" t="n">
        <x:f>SUM(T28:X28)</x:f>
        <x:v>11.75190577043492</x:v>
      </x:c>
      <x:c r="Z28" s="17" t="n">
        <x:f>D28^2*10000</x:f>
        <x:v>2299.4120261559956</x:v>
      </x:c>
      <x:c r="AA28" s="17" t="n">
        <x:f>R28^2*10000</x:f>
        <x:v>1440.3683303514724</x:v>
      </x:c>
      <x:c r="AB28" s="24" t="n">
        <x:f>IF(N28&gt;0,IF(D28&gt;0,R28/D28,IF(R28=0,0,"n.a.")),0)</x:f>
        <x:v>0</x:v>
      </x:c>
      <x:c r="AC28" s="2" t="str">
        <x:f>IF(AND(C28&gt;=0,E28&gt;0,F28&gt;0,COUNTIFS('Source_Data'!$B$6:$B$125,'Assumptions'!$C$8,'Source_Data'!$C$6:$C$125,B28,'Source_Data'!$D$6:$D$125,A28)=1,COUNTIFS('Source_Data'!$B$131:$B$170,B28,'Source_Data'!$C$131:$C$170,A28)=1),"Ready","Missing data")</x:f>
        <x:v>Ready</x:v>
      </x:c>
      <x:c r="AD28" s="2" t="n">
        <x:f>IF('Assumptions'!$D$8="Reported",SUMIFS('Source_Data'!$G$6:$G$125,'Source_Data'!$B$6:$B$125,'Assumptions'!$C$8,'Source_Data'!$C$6:$C$125,B28,'Source_Data'!$D$6:$D$125,A28),SUMIFS('Source_Data'!$N$6:$N$125,'Source_Data'!$B$6:$B$125,'Assumptions'!$C$8,'Source_Data'!$C$6:$C$125,B28,'Source_Data'!$D$6:$D$125,A28))</x:f>
        <x:v>6</x:v>
      </x:c>
      <x:c r="AE28" s="2"/>
      <x:c r="AF28" s="2"/>
    </x:row>
    <x:row r="29" ht="23" customHeight="1">
      <x:c r="A29" s="2" t="str">
        <x:v>62044300</x:v>
      </x:c>
      <x:c r="B29" s="2" t="str">
        <x:v>India</x:v>
      </x:c>
      <x:c r="C29" s="2" t="n">
        <x:f>SUMIFS('Source_Data'!$F$6:$F$125,'Source_Data'!$B$6:$B$125,"FY2025",'Source_Data'!$C$6:$C$125,B29,'Source_Data'!$D$6:$D$125,A29)</x:f>
        <x:v>1191708</x:v>
      </x:c>
      <x:c r="D29" s="7" t="n">
        <x:f>C29/SUM(C26:C35)</x:f>
        <x:v>0.15126885627828815</x:v>
      </x:c>
      <x:c r="E29" s="2" t="n">
        <x:f>IF('Assumptions'!$D$8="Reported",SUMIFS('Source_Data'!$E$6:$E$125,'Source_Data'!$B$6:$B$125,'Assumptions'!$C$8,'Source_Data'!$C$6:$C$125,B29,'Source_Data'!$D$6:$D$125,A29),SUMIFS('Source_Data'!$L$6:$L$125,'Source_Data'!$B$6:$B$125,'Assumptions'!$C$8,'Source_Data'!$C$6:$C$125,B29,'Source_Data'!$D$6:$D$125,A29))</x:f>
        <x:v>20258876</x:v>
      </x:c>
      <x:c r="F29" s="2" t="n">
        <x:f>IF('Assumptions'!$D$8="Reported",SUMIFS('Source_Data'!$F$6:$F$125,'Source_Data'!$B$6:$B$125,'Assumptions'!$C$8,'Source_Data'!$C$6:$C$125,B29,'Source_Data'!$D$6:$D$125,A29),SUMIFS('Source_Data'!$M$6:$M$125,'Source_Data'!$B$6:$B$125,'Assumptions'!$C$8,'Source_Data'!$C$6:$C$125,B29,'Source_Data'!$D$6:$D$125,A29))</x:f>
        <x:v>721170</x:v>
      </x:c>
      <x:c r="G29" s="17" t="n">
        <x:f>IF(F29&gt;0,E29/F29,"n.a.")</x:f>
        <x:v>28.091678799728218</x:v>
      </x:c>
      <x:c r="H29" s="7" t="n">
        <x:f>SUMIFS('Source_Data'!$F$131:$F$170,'Source_Data'!$B$131:$B$170,B29,'Source_Data'!$C$131:$C$170,A29)</x:f>
        <x:v>0</x:v>
      </x:c>
      <x:c r="I29" s="7" t="n">
        <x:f>SUMIFS('Source_Data'!$G$131:$G$170,'Source_Data'!$B$131:$B$170,B29,'Source_Data'!$C$131:$C$170,A29)</x:f>
        <x:v>0.12</x:v>
      </x:c>
      <x:c r="J29" s="7" t="n">
        <x:f>IF('Assumptions'!$E$8="MFN all",I29,H29)</x:f>
        <x:v>0</x:v>
      </x:c>
      <x:c r="K29" s="7" t="n">
        <x:f>IF('Assumptions'!$E$8="Eligible",H29,I29)</x:f>
        <x:v>0</x:v>
      </x:c>
      <x:c r="L29" s="17" t="n">
        <x:f>IF(ISNUMBER(G29),G29*(1+J29),0)</x:f>
        <x:v>28.091678799728218</x:v>
      </x:c>
      <x:c r="M29" s="17" t="n">
        <x:f>IF(ISNUMBER(G29),G29*(1+K29),0)</x:f>
        <x:v>28.091678799728218</x:v>
      </x:c>
      <x:c r="N29" s="7" t="n">
        <x:f>SUMIFS('Assumptions'!$C$52:$C$75,'Assumptions'!$A$52:$A$75,'Assumptions'!$J$8,'Assumptions'!$B$52:$B$75,A29)</x:f>
        <x:v>0.5</x:v>
      </x:c>
      <x:c r="O29" s="7" t="n">
        <x:f>IF(B29="China",-1,N29)</x:f>
        <x:v>0.5</x:v>
      </x:c>
      <x:c r="P29" s="2" t="n">
        <x:f>IF(B29="China",D29,IF(N29&gt;0,MAX(0,MIN('Assumptions'!$E$5-D29,'Assumptions'!$H$5,IF('Assumptions'!$F$8=1,('Assumptions'!$G$8-1)*D29,1)))/N29,1))</x:f>
        <x:v>0.2</x:v>
      </x:c>
      <x:c r="Q29" s="7" t="n">
        <x:f>IF(ISNUMBER($I54),$I54*O29,0)</x:f>
        <x:v>0.05</x:v>
      </x:c>
      <x:c r="R29" s="7" t="n">
        <x:f>D29+Q29</x:f>
        <x:v>0.20126885627828817</x:v>
      </x:c>
      <x:c r="S29" s="17" t="n">
        <x:f>D29*L29</x:f>
        <x:v>4.249396122971922</x:v>
      </x:c>
      <x:c r="T29" s="17" t="n">
        <x:f>R29*L29</x:f>
        <x:v>5.653980062958333</x:v>
      </x:c>
      <x:c r="U29" s="17" t="n">
        <x:f>MAX(0,Q29)*(M29*(1+'Assumptions'!$I$8)-L29)</x:f>
        <x:v>0</x:v>
      </x:c>
      <x:c r="V29" s="17" t="n">
        <x:f>MAX(0,Q29)*'Assumptions'!$C$47</x:f>
        <x:v>0</x:v>
      </x:c>
      <x:c r="W29" s="17" t="n">
        <x:f>MAX(0,Q29)*'Assumptions'!$D$47</x:f>
        <x:v>0</x:v>
      </x:c>
      <x:c r="X29" s="17" t="n">
        <x:f>MAX(0,Q29)*M29*(1+'Assumptions'!$I$8)*'Assumptions'!$E$47*'Assumptions'!$F$47/365</x:f>
        <x:v>0</x:v>
      </x:c>
      <x:c r="Y29" s="17" t="n">
        <x:f>SUM(T29:X29)</x:f>
        <x:v>5.653980062958333</x:v>
      </x:c>
      <x:c r="Z29" s="17" t="n">
        <x:f>D29^2*10000</x:f>
        <x:v>228.82266879741397</x:v>
      </x:c>
      <x:c r="AA29" s="17" t="n">
        <x:f>R29^2*10000</x:f>
        <x:v>405.0915250757021</x:v>
      </x:c>
      <x:c r="AB29" s="24" t="n">
        <x:f>IF(N29&gt;0,IF(D29&gt;0,R29/D29,IF(R29=0,0,"n.a.")),0)</x:f>
        <x:v>1.3305373044403497</x:v>
      </x:c>
      <x:c r="AC29" s="2" t="str">
        <x:f>IF(AND(C29&gt;=0,E29&gt;0,F29&gt;0,COUNTIFS('Source_Data'!$B$6:$B$125,'Assumptions'!$C$8,'Source_Data'!$C$6:$C$125,B29,'Source_Data'!$D$6:$D$125,A29)=1,COUNTIFS('Source_Data'!$B$131:$B$170,B29,'Source_Data'!$C$131:$C$170,A29)=1),"Ready","Missing data")</x:f>
        <x:v>Ready</x:v>
      </x:c>
      <x:c r="AD29" s="2" t="n">
        <x:f>IF('Assumptions'!$D$8="Reported",SUMIFS('Source_Data'!$G$6:$G$125,'Source_Data'!$B$6:$B$125,'Assumptions'!$C$8,'Source_Data'!$C$6:$C$125,B29,'Source_Data'!$D$6:$D$125,A29),SUMIFS('Source_Data'!$N$6:$N$125,'Source_Data'!$B$6:$B$125,'Assumptions'!$C$8,'Source_Data'!$C$6:$C$125,B29,'Source_Data'!$D$6:$D$125,A29))</x:f>
        <x:v>6</x:v>
      </x:c>
      <x:c r="AE29" s="2"/>
      <x:c r="AF29" s="2"/>
    </x:row>
    <x:row r="30" ht="23" customHeight="1">
      <x:c r="A30" s="2" t="str">
        <x:v>62044300</x:v>
      </x:c>
      <x:c r="B30" s="2" t="str">
        <x:v>Morocco</x:v>
      </x:c>
      <x:c r="C30" s="2" t="n">
        <x:f>SUMIFS('Source_Data'!$F$6:$F$125,'Source_Data'!$B$6:$B$125,"FY2025",'Source_Data'!$C$6:$C$125,B30,'Source_Data'!$D$6:$D$125,A30)</x:f>
        <x:v>483259</x:v>
      </x:c>
      <x:c r="D30" s="7" t="n">
        <x:f>C30/SUM(C26:C35)</x:f>
        <x:v>0.06134223838070169</x:v>
      </x:c>
      <x:c r="E30" s="2" t="n">
        <x:f>IF('Assumptions'!$D$8="Reported",SUMIFS('Source_Data'!$E$6:$E$125,'Source_Data'!$B$6:$B$125,'Assumptions'!$C$8,'Source_Data'!$C$6:$C$125,B30,'Source_Data'!$D$6:$D$125,A30),SUMIFS('Source_Data'!$L$6:$L$125,'Source_Data'!$B$6:$B$125,'Assumptions'!$C$8,'Source_Data'!$C$6:$C$125,B30,'Source_Data'!$D$6:$D$125,A30))</x:f>
        <x:v>5511176</x:v>
      </x:c>
      <x:c r="F30" s="2" t="n">
        <x:f>IF('Assumptions'!$D$8="Reported",SUMIFS('Source_Data'!$F$6:$F$125,'Source_Data'!$B$6:$B$125,'Assumptions'!$C$8,'Source_Data'!$C$6:$C$125,B30,'Source_Data'!$D$6:$D$125,A30),SUMIFS('Source_Data'!$M$6:$M$125,'Source_Data'!$B$6:$B$125,'Assumptions'!$C$8,'Source_Data'!$C$6:$C$125,B30,'Source_Data'!$D$6:$D$125,A30))</x:f>
        <x:v>218537</x:v>
      </x:c>
      <x:c r="G30" s="17" t="n">
        <x:f>IF(F30&gt;0,E30/F30,"n.a.")</x:f>
        <x:v>25.21850304525092</x:v>
      </x:c>
      <x:c r="H30" s="7" t="n">
        <x:f>SUMIFS('Source_Data'!$F$131:$F$170,'Source_Data'!$B$131:$B$170,B30,'Source_Data'!$C$131:$C$170,A30)</x:f>
        <x:v>0</x:v>
      </x:c>
      <x:c r="I30" s="7" t="n">
        <x:f>SUMIFS('Source_Data'!$G$131:$G$170,'Source_Data'!$B$131:$B$170,B30,'Source_Data'!$C$131:$C$170,A30)</x:f>
        <x:v>0.12</x:v>
      </x:c>
      <x:c r="J30" s="7" t="n">
        <x:f>IF('Assumptions'!$E$8="MFN all",I30,H30)</x:f>
        <x:v>0</x:v>
      </x:c>
      <x:c r="K30" s="7" t="n">
        <x:f>IF('Assumptions'!$E$8="Eligible",H30,I30)</x:f>
        <x:v>0</x:v>
      </x:c>
      <x:c r="L30" s="17" t="n">
        <x:f>IF(ISNUMBER(G30),G30*(1+J30),0)</x:f>
        <x:v>25.21850304525092</x:v>
      </x:c>
      <x:c r="M30" s="17" t="n">
        <x:f>IF(ISNUMBER(G30),G30*(1+K30),0)</x:f>
        <x:v>25.21850304525092</x:v>
      </x:c>
      <x:c r="N30" s="7" t="n">
        <x:f>0</x:f>
        <x:v>0</x:v>
      </x:c>
      <x:c r="O30" s="7" t="n">
        <x:f>IF(B30="China",-1,N30)</x:f>
        <x:v>0</x:v>
      </x:c>
      <x:c r="P30" s="2" t="n">
        <x:f>IF(B30="China",D30,IF(N30&gt;0,MAX(0,MIN('Assumptions'!$E$5-D30,'Assumptions'!$H$5,IF('Assumptions'!$F$8=1,('Assumptions'!$G$8-1)*D30,1)))/N30,1))</x:f>
        <x:v>1</x:v>
      </x:c>
      <x:c r="Q30" s="7" t="n">
        <x:f>IF(ISNUMBER($I54),$I54*O30,0)</x:f>
        <x:v>0</x:v>
      </x:c>
      <x:c r="R30" s="7" t="n">
        <x:f>D30+Q30</x:f>
        <x:v>0.06134223838070169</x:v>
      </x:c>
      <x:c r="S30" s="17" t="n">
        <x:f>D30*L30</x:f>
        <x:v>1.5469594254062335</x:v>
      </x:c>
      <x:c r="T30" s="17" t="n">
        <x:f>R30*L30</x:f>
        <x:v>1.5469594254062335</x:v>
      </x:c>
      <x:c r="U30" s="17" t="n">
        <x:f>MAX(0,Q30)*(M30*(1+'Assumptions'!$I$8)-L30)</x:f>
        <x:v>0</x:v>
      </x:c>
      <x:c r="V30" s="17" t="n">
        <x:f>MAX(0,Q30)*'Assumptions'!$C$47</x:f>
        <x:v>0</x:v>
      </x:c>
      <x:c r="W30" s="17" t="n">
        <x:f>MAX(0,Q30)*'Assumptions'!$D$47</x:f>
        <x:v>0</x:v>
      </x:c>
      <x:c r="X30" s="17" t="n">
        <x:f>MAX(0,Q30)*M30*(1+'Assumptions'!$I$8)*'Assumptions'!$E$47*'Assumptions'!$F$47/365</x:f>
        <x:v>0</x:v>
      </x:c>
      <x:c r="Y30" s="17" t="n">
        <x:f>SUM(T30:X30)</x:f>
        <x:v>1.5469594254062335</x:v>
      </x:c>
      <x:c r="Z30" s="17" t="n">
        <x:f>D30^2*10000</x:f>
        <x:v>37.62870209554832</x:v>
      </x:c>
      <x:c r="AA30" s="17" t="n">
        <x:f>R30^2*10000</x:f>
        <x:v>37.62870209554832</x:v>
      </x:c>
      <x:c r="AB30" s="24" t="n">
        <x:f>IF(N30&gt;0,IF(D30&gt;0,R30/D30,IF(R30=0,0,"n.a.")),0)</x:f>
        <x:v>0</x:v>
      </x:c>
      <x:c r="AC30" s="2" t="str">
        <x:f>IF(AND(C30&gt;=0,E30&gt;0,F30&gt;0,COUNTIFS('Source_Data'!$B$6:$B$125,'Assumptions'!$C$8,'Source_Data'!$C$6:$C$125,B30,'Source_Data'!$D$6:$D$125,A30)=1,COUNTIFS('Source_Data'!$B$131:$B$170,B30,'Source_Data'!$C$131:$C$170,A30)=1),"Ready","Missing data")</x:f>
        <x:v>Ready</x:v>
      </x:c>
      <x:c r="AD30" s="2" t="n">
        <x:f>IF('Assumptions'!$D$8="Reported",SUMIFS('Source_Data'!$G$6:$G$125,'Source_Data'!$B$6:$B$125,'Assumptions'!$C$8,'Source_Data'!$C$6:$C$125,B30,'Source_Data'!$D$6:$D$125,A30),SUMIFS('Source_Data'!$N$6:$N$125,'Source_Data'!$B$6:$B$125,'Assumptions'!$C$8,'Source_Data'!$C$6:$C$125,B30,'Source_Data'!$D$6:$D$125,A30))</x:f>
        <x:v>6</x:v>
      </x:c>
      <x:c r="AE30" s="2"/>
      <x:c r="AF30" s="2"/>
    </x:row>
    <x:row r="31" ht="23" customHeight="1">
      <x:c r="A31" s="2" t="str">
        <x:v>62044300</x:v>
      </x:c>
      <x:c r="B31" s="2" t="str">
        <x:v>Myanmar</x:v>
      </x:c>
      <x:c r="C31" s="2" t="n">
        <x:f>SUMIFS('Source_Data'!$F$6:$F$125,'Source_Data'!$B$6:$B$125,"FY2025",'Source_Data'!$C$6:$C$125,B31,'Source_Data'!$D$6:$D$125,A31)</x:f>
        <x:v>138284</x:v>
      </x:c>
      <x:c r="D31" s="7" t="n">
        <x:f>C31/SUM(C26:C35)</x:f>
        <x:v>0.01755301006755581</x:v>
      </x:c>
      <x:c r="E31" s="2" t="n">
        <x:f>IF('Assumptions'!$D$8="Reported",SUMIFS('Source_Data'!$E$6:$E$125,'Source_Data'!$B$6:$B$125,'Assumptions'!$C$8,'Source_Data'!$C$6:$C$125,B31,'Source_Data'!$D$6:$D$125,A31),SUMIFS('Source_Data'!$L$6:$L$125,'Source_Data'!$B$6:$B$125,'Assumptions'!$C$8,'Source_Data'!$C$6:$C$125,B31,'Source_Data'!$D$6:$D$125,A31))</x:f>
        <x:v>2412796</x:v>
      </x:c>
      <x:c r="F31" s="2" t="n">
        <x:f>IF('Assumptions'!$D$8="Reported",SUMIFS('Source_Data'!$F$6:$F$125,'Source_Data'!$B$6:$B$125,'Assumptions'!$C$8,'Source_Data'!$C$6:$C$125,B31,'Source_Data'!$D$6:$D$125,A31),SUMIFS('Source_Data'!$M$6:$M$125,'Source_Data'!$B$6:$B$125,'Assumptions'!$C$8,'Source_Data'!$C$6:$C$125,B31,'Source_Data'!$D$6:$D$125,A31))</x:f>
        <x:v>37986</x:v>
      </x:c>
      <x:c r="G31" s="17" t="n">
        <x:f>IF(F31&gt;0,E31/F31,"n.a.")</x:f>
        <x:v>63.5180329595114</x:v>
      </x:c>
      <x:c r="H31" s="7" t="n">
        <x:f>SUMIFS('Source_Data'!$F$131:$F$170,'Source_Data'!$B$131:$B$170,B31,'Source_Data'!$C$131:$C$170,A31)</x:f>
        <x:v>0</x:v>
      </x:c>
      <x:c r="I31" s="7" t="n">
        <x:f>SUMIFS('Source_Data'!$G$131:$G$170,'Source_Data'!$B$131:$B$170,B31,'Source_Data'!$C$131:$C$170,A31)</x:f>
        <x:v>0.12</x:v>
      </x:c>
      <x:c r="J31" s="7" t="n">
        <x:f>IF('Assumptions'!$E$8="MFN all",I31,H31)</x:f>
        <x:v>0</x:v>
      </x:c>
      <x:c r="K31" s="7" t="n">
        <x:f>IF('Assumptions'!$E$8="Eligible",H31,I31)</x:f>
        <x:v>0</x:v>
      </x:c>
      <x:c r="L31" s="17" t="n">
        <x:f>IF(ISNUMBER(G31),G31*(1+J31),0)</x:f>
        <x:v>63.5180329595114</x:v>
      </x:c>
      <x:c r="M31" s="17" t="n">
        <x:f>IF(ISNUMBER(G31),G31*(1+K31),0)</x:f>
        <x:v>63.5180329595114</x:v>
      </x:c>
      <x:c r="N31" s="7" t="n">
        <x:f>0</x:f>
        <x:v>0</x:v>
      </x:c>
      <x:c r="O31" s="7" t="n">
        <x:f>IF(B31="China",-1,N31)</x:f>
        <x:v>0</x:v>
      </x:c>
      <x:c r="P31" s="2" t="n">
        <x:f>IF(B31="China",D31,IF(N31&gt;0,MAX(0,MIN('Assumptions'!$E$5-D31,'Assumptions'!$H$5,IF('Assumptions'!$F$8=1,('Assumptions'!$G$8-1)*D31,1)))/N31,1))</x:f>
        <x:v>1</x:v>
      </x:c>
      <x:c r="Q31" s="7" t="n">
        <x:f>IF(ISNUMBER($I54),$I54*O31,0)</x:f>
        <x:v>0</x:v>
      </x:c>
      <x:c r="R31" s="7" t="n">
        <x:f>D31+Q31</x:f>
        <x:v>0.01755301006755581</x:v>
      </x:c>
      <x:c r="S31" s="17" t="n">
        <x:f>D31*L31</x:f>
        <x:v>1.1149326720096453</x:v>
      </x:c>
      <x:c r="T31" s="17" t="n">
        <x:f>R31*L31</x:f>
        <x:v>1.1149326720096453</x:v>
      </x:c>
      <x:c r="U31" s="17" t="n">
        <x:f>MAX(0,Q31)*(M31*(1+'Assumptions'!$I$8)-L31)</x:f>
        <x:v>0</x:v>
      </x:c>
      <x:c r="V31" s="17" t="n">
        <x:f>MAX(0,Q31)*'Assumptions'!$C$47</x:f>
        <x:v>0</x:v>
      </x:c>
      <x:c r="W31" s="17" t="n">
        <x:f>MAX(0,Q31)*'Assumptions'!$D$47</x:f>
        <x:v>0</x:v>
      </x:c>
      <x:c r="X31" s="17" t="n">
        <x:f>MAX(0,Q31)*M31*(1+'Assumptions'!$I$8)*'Assumptions'!$E$47*'Assumptions'!$F$47/365</x:f>
        <x:v>0</x:v>
      </x:c>
      <x:c r="Y31" s="17" t="n">
        <x:f>SUM(T31:X31)</x:f>
        <x:v>1.1149326720096453</x:v>
      </x:c>
      <x:c r="Z31" s="17" t="n">
        <x:f>D31^2*10000</x:f>
        <x:v>3.0810816243171555</x:v>
      </x:c>
      <x:c r="AA31" s="17" t="n">
        <x:f>R31^2*10000</x:f>
        <x:v>3.0810816243171555</x:v>
      </x:c>
      <x:c r="AB31" s="24" t="n">
        <x:f>IF(N31&gt;0,IF(D31&gt;0,R31/D31,IF(R31=0,0,"n.a.")),0)</x:f>
        <x:v>0</x:v>
      </x:c>
      <x:c r="AC31" s="2" t="str">
        <x:f>IF(AND(C31&gt;=0,E31&gt;0,F31&gt;0,COUNTIFS('Source_Data'!$B$6:$B$125,'Assumptions'!$C$8,'Source_Data'!$C$6:$C$125,B31,'Source_Data'!$D$6:$D$125,A31)=1,COUNTIFS('Source_Data'!$B$131:$B$170,B31,'Source_Data'!$C$131:$C$170,A31)=1),"Ready","Missing data")</x:f>
        <x:v>Ready</x:v>
      </x:c>
      <x:c r="AD31" s="2" t="n">
        <x:f>IF('Assumptions'!$D$8="Reported",SUMIFS('Source_Data'!$G$6:$G$125,'Source_Data'!$B$6:$B$125,'Assumptions'!$C$8,'Source_Data'!$C$6:$C$125,B31,'Source_Data'!$D$6:$D$125,A31),SUMIFS('Source_Data'!$N$6:$N$125,'Source_Data'!$B$6:$B$125,'Assumptions'!$C$8,'Source_Data'!$C$6:$C$125,B31,'Source_Data'!$D$6:$D$125,A31))</x:f>
        <x:v>6</x:v>
      </x:c>
      <x:c r="AE31" s="2"/>
      <x:c r="AF31" s="2"/>
    </x:row>
    <x:row r="32" ht="23" customHeight="1">
      <x:c r="A32" s="2" t="str">
        <x:v>62044300</x:v>
      </x:c>
      <x:c r="B32" s="2" t="str">
        <x:v>Pakistan</x:v>
      </x:c>
      <x:c r="C32" s="2" t="n">
        <x:f>SUMIFS('Source_Data'!$F$6:$F$125,'Source_Data'!$B$6:$B$125,"FY2025",'Source_Data'!$C$6:$C$125,B32,'Source_Data'!$D$6:$D$125,A32)</x:f>
        <x:v>78305</x:v>
      </x:c>
      <x:c r="D32" s="7" t="n">
        <x:f>C32/SUM(C26:C35)</x:f>
        <x:v>0.00993960583538195</x:v>
      </x:c>
      <x:c r="E32" s="2" t="n">
        <x:f>IF('Assumptions'!$D$8="Reported",SUMIFS('Source_Data'!$E$6:$E$125,'Source_Data'!$B$6:$B$125,'Assumptions'!$C$8,'Source_Data'!$C$6:$C$125,B32,'Source_Data'!$D$6:$D$125,A32),SUMIFS('Source_Data'!$L$6:$L$125,'Source_Data'!$B$6:$B$125,'Assumptions'!$C$8,'Source_Data'!$C$6:$C$125,B32,'Source_Data'!$D$6:$D$125,A32))</x:f>
        <x:v>496523</x:v>
      </x:c>
      <x:c r="F32" s="2" t="n">
        <x:f>IF('Assumptions'!$D$8="Reported",SUMIFS('Source_Data'!$F$6:$F$125,'Source_Data'!$B$6:$B$125,'Assumptions'!$C$8,'Source_Data'!$C$6:$C$125,B32,'Source_Data'!$D$6:$D$125,A32),SUMIFS('Source_Data'!$M$6:$M$125,'Source_Data'!$B$6:$B$125,'Assumptions'!$C$8,'Source_Data'!$C$6:$C$125,B32,'Source_Data'!$D$6:$D$125,A32))</x:f>
        <x:v>26975</x:v>
      </x:c>
      <x:c r="G32" s="17" t="n">
        <x:f>IF(F32&gt;0,E32/F32,"n.a.")</x:f>
        <x:v>18.40678405931418</x:v>
      </x:c>
      <x:c r="H32" s="7" t="n">
        <x:f>SUMIFS('Source_Data'!$F$131:$F$170,'Source_Data'!$B$131:$B$170,B32,'Source_Data'!$C$131:$C$170,A32)</x:f>
        <x:v>0</x:v>
      </x:c>
      <x:c r="I32" s="7" t="n">
        <x:f>SUMIFS('Source_Data'!$G$131:$G$170,'Source_Data'!$B$131:$B$170,B32,'Source_Data'!$C$131:$C$170,A32)</x:f>
        <x:v>0.12</x:v>
      </x:c>
      <x:c r="J32" s="7" t="n">
        <x:f>IF('Assumptions'!$E$8="MFN all",I32,H32)</x:f>
        <x:v>0</x:v>
      </x:c>
      <x:c r="K32" s="7" t="n">
        <x:f>IF('Assumptions'!$E$8="Eligible",H32,I32)</x:f>
        <x:v>0</x:v>
      </x:c>
      <x:c r="L32" s="17" t="n">
        <x:f>IF(ISNUMBER(G32),G32*(1+J32),0)</x:f>
        <x:v>18.40678405931418</x:v>
      </x:c>
      <x:c r="M32" s="17" t="n">
        <x:f>IF(ISNUMBER(G32),G32*(1+K32),0)</x:f>
        <x:v>18.40678405931418</x:v>
      </x:c>
      <x:c r="N32" s="7" t="n">
        <x:f>0</x:f>
        <x:v>0</x:v>
      </x:c>
      <x:c r="O32" s="7" t="n">
        <x:f>IF(B32="China",-1,N32)</x:f>
        <x:v>0</x:v>
      </x:c>
      <x:c r="P32" s="2" t="n">
        <x:f>IF(B32="China",D32,IF(N32&gt;0,MAX(0,MIN('Assumptions'!$E$5-D32,'Assumptions'!$H$5,IF('Assumptions'!$F$8=1,('Assumptions'!$G$8-1)*D32,1)))/N32,1))</x:f>
        <x:v>1</x:v>
      </x:c>
      <x:c r="Q32" s="7" t="n">
        <x:f>IF(ISNUMBER($I54),$I54*O32,0)</x:f>
        <x:v>0</x:v>
      </x:c>
      <x:c r="R32" s="7" t="n">
        <x:f>D32+Q32</x:f>
        <x:v>0.00993960583538195</x:v>
      </x:c>
      <x:c r="S32" s="17" t="n">
        <x:f>D32*L32</x:f>
        <x:v>0.18295617824657467</x:v>
      </x:c>
      <x:c r="T32" s="17" t="n">
        <x:f>R32*L32</x:f>
        <x:v>0.18295617824657467</x:v>
      </x:c>
      <x:c r="U32" s="17" t="n">
        <x:f>MAX(0,Q32)*(M32*(1+'Assumptions'!$I$8)-L32)</x:f>
        <x:v>0</x:v>
      </x:c>
      <x:c r="V32" s="17" t="n">
        <x:f>MAX(0,Q32)*'Assumptions'!$C$47</x:f>
        <x:v>0</x:v>
      </x:c>
      <x:c r="W32" s="17" t="n">
        <x:f>MAX(0,Q32)*'Assumptions'!$D$47</x:f>
        <x:v>0</x:v>
      </x:c>
      <x:c r="X32" s="17" t="n">
        <x:f>MAX(0,Q32)*M32*(1+'Assumptions'!$I$8)*'Assumptions'!$E$47*'Assumptions'!$F$47/365</x:f>
        <x:v>0</x:v>
      </x:c>
      <x:c r="Y32" s="17" t="n">
        <x:f>SUM(T32:X32)</x:f>
        <x:v>0.18295617824657467</x:v>
      </x:c>
      <x:c r="Z32" s="17" t="n">
        <x:f>D32^2*10000</x:f>
        <x:v>0.9879576416275891</x:v>
      </x:c>
      <x:c r="AA32" s="17" t="n">
        <x:f>R32^2*10000</x:f>
        <x:v>0.9879576416275891</x:v>
      </x:c>
      <x:c r="AB32" s="24" t="n">
        <x:f>IF(N32&gt;0,IF(D32&gt;0,R32/D32,IF(R32=0,0,"n.a.")),0)</x:f>
        <x:v>0</x:v>
      </x:c>
      <x:c r="AC32" s="2" t="str">
        <x:f>IF(AND(C32&gt;=0,E32&gt;0,F32&gt;0,COUNTIFS('Source_Data'!$B$6:$B$125,'Assumptions'!$C$8,'Source_Data'!$C$6:$C$125,B32,'Source_Data'!$D$6:$D$125,A32)=1,COUNTIFS('Source_Data'!$B$131:$B$170,B32,'Source_Data'!$C$131:$C$170,A32)=1),"Ready","Missing data")</x:f>
        <x:v>Ready</x:v>
      </x:c>
      <x:c r="AD32" s="2" t="n">
        <x:f>IF('Assumptions'!$D$8="Reported",SUMIFS('Source_Data'!$G$6:$G$125,'Source_Data'!$B$6:$B$125,'Assumptions'!$C$8,'Source_Data'!$C$6:$C$125,B32,'Source_Data'!$D$6:$D$125,A32),SUMIFS('Source_Data'!$N$6:$N$125,'Source_Data'!$B$6:$B$125,'Assumptions'!$C$8,'Source_Data'!$C$6:$C$125,B32,'Source_Data'!$D$6:$D$125,A32))</x:f>
        <x:v>6</x:v>
      </x:c>
      <x:c r="AE32" s="2"/>
      <x:c r="AF32" s="2"/>
    </x:row>
    <x:row r="33" ht="23" customHeight="1">
      <x:c r="A33" s="2" t="str">
        <x:v>62044300</x:v>
      </x:c>
      <x:c r="B33" s="2" t="str">
        <x:v>Sri Lanka</x:v>
      </x:c>
      <x:c r="C33" s="2" t="n">
        <x:f>SUMIFS('Source_Data'!$F$6:$F$125,'Source_Data'!$B$6:$B$125,"FY2025",'Source_Data'!$C$6:$C$125,B33,'Source_Data'!$D$6:$D$125,A33)</x:f>
        <x:v>683522</x:v>
      </x:c>
      <x:c r="D33" s="7" t="n">
        <x:f>C33/SUM(C26:C35)</x:f>
        <x:v>0.08676252167565215</x:v>
      </x:c>
      <x:c r="E33" s="2" t="n">
        <x:f>IF('Assumptions'!$D$8="Reported",SUMIFS('Source_Data'!$E$6:$E$125,'Source_Data'!$B$6:$B$125,'Assumptions'!$C$8,'Source_Data'!$C$6:$C$125,B33,'Source_Data'!$D$6:$D$125,A33),SUMIFS('Source_Data'!$L$6:$L$125,'Source_Data'!$B$6:$B$125,'Assumptions'!$C$8,'Source_Data'!$C$6:$C$125,B33,'Source_Data'!$D$6:$D$125,A33))</x:f>
        <x:v>7697741</x:v>
      </x:c>
      <x:c r="F33" s="2" t="n">
        <x:f>IF('Assumptions'!$D$8="Reported",SUMIFS('Source_Data'!$F$6:$F$125,'Source_Data'!$B$6:$B$125,'Assumptions'!$C$8,'Source_Data'!$C$6:$C$125,B33,'Source_Data'!$D$6:$D$125,A33),SUMIFS('Source_Data'!$M$6:$M$125,'Source_Data'!$B$6:$B$125,'Assumptions'!$C$8,'Source_Data'!$C$6:$C$125,B33,'Source_Data'!$D$6:$D$125,A33))</x:f>
        <x:v>462849</x:v>
      </x:c>
      <x:c r="G33" s="17" t="n">
        <x:f>IF(F33&gt;0,E33/F33,"n.a.")</x:f>
        <x:v>16.63121449976126</x:v>
      </x:c>
      <x:c r="H33" s="7" t="n">
        <x:f>SUMIFS('Source_Data'!$F$131:$F$170,'Source_Data'!$B$131:$B$170,B33,'Source_Data'!$C$131:$C$170,A33)</x:f>
        <x:v>0</x:v>
      </x:c>
      <x:c r="I33" s="7" t="n">
        <x:f>SUMIFS('Source_Data'!$G$131:$G$170,'Source_Data'!$B$131:$B$170,B33,'Source_Data'!$C$131:$C$170,A33)</x:f>
        <x:v>0.12</x:v>
      </x:c>
      <x:c r="J33" s="7" t="n">
        <x:f>IF('Assumptions'!$E$8="MFN all",I33,H33)</x:f>
        <x:v>0</x:v>
      </x:c>
      <x:c r="K33" s="7" t="n">
        <x:f>IF('Assumptions'!$E$8="Eligible",H33,I33)</x:f>
        <x:v>0</x:v>
      </x:c>
      <x:c r="L33" s="17" t="n">
        <x:f>IF(ISNUMBER(G33),G33*(1+J33),0)</x:f>
        <x:v>16.63121449976126</x:v>
      </x:c>
      <x:c r="M33" s="17" t="n">
        <x:f>IF(ISNUMBER(G33),G33*(1+K33),0)</x:f>
        <x:v>16.63121449976126</x:v>
      </x:c>
      <x:c r="N33" s="7" t="n">
        <x:f>0</x:f>
        <x:v>0</x:v>
      </x:c>
      <x:c r="O33" s="7" t="n">
        <x:f>IF(B33="China",-1,N33)</x:f>
        <x:v>0</x:v>
      </x:c>
      <x:c r="P33" s="2" t="n">
        <x:f>IF(B33="China",D33,IF(N33&gt;0,MAX(0,MIN('Assumptions'!$E$5-D33,'Assumptions'!$H$5,IF('Assumptions'!$F$8=1,('Assumptions'!$G$8-1)*D33,1)))/N33,1))</x:f>
        <x:v>1</x:v>
      </x:c>
      <x:c r="Q33" s="7" t="n">
        <x:f>IF(ISNUMBER($I54),$I54*O33,0)</x:f>
        <x:v>0</x:v>
      </x:c>
      <x:c r="R33" s="7" t="n">
        <x:f>D33+Q33</x:f>
        <x:v>0.08676252167565215</x:v>
      </x:c>
      <x:c r="S33" s="17" t="n">
        <x:f>D33*L33</x:f>
        <x:v>1.4429661085279568</x:v>
      </x:c>
      <x:c r="T33" s="17" t="n">
        <x:f>R33*L33</x:f>
        <x:v>1.4429661085279568</x:v>
      </x:c>
      <x:c r="U33" s="17" t="n">
        <x:f>MAX(0,Q33)*(M33*(1+'Assumptions'!$I$8)-L33)</x:f>
        <x:v>0</x:v>
      </x:c>
      <x:c r="V33" s="17" t="n">
        <x:f>MAX(0,Q33)*'Assumptions'!$C$47</x:f>
        <x:v>0</x:v>
      </x:c>
      <x:c r="W33" s="17" t="n">
        <x:f>MAX(0,Q33)*'Assumptions'!$D$47</x:f>
        <x:v>0</x:v>
      </x:c>
      <x:c r="X33" s="17" t="n">
        <x:f>MAX(0,Q33)*M33*(1+'Assumptions'!$I$8)*'Assumptions'!$E$47*'Assumptions'!$F$47/365</x:f>
        <x:v>0</x:v>
      </x:c>
      <x:c r="Y33" s="17" t="n">
        <x:f>SUM(T33:X33)</x:f>
        <x:v>1.4429661085279568</x:v>
      </x:c>
      <x:c r="Z33" s="17" t="n">
        <x:f>D33^2*10000</x:f>
        <x:v>75.2773516751801</x:v>
      </x:c>
      <x:c r="AA33" s="17" t="n">
        <x:f>R33^2*10000</x:f>
        <x:v>75.2773516751801</x:v>
      </x:c>
      <x:c r="AB33" s="24" t="n">
        <x:f>IF(N33&gt;0,IF(D33&gt;0,R33/D33,IF(R33=0,0,"n.a.")),0)</x:f>
        <x:v>0</x:v>
      </x:c>
      <x:c r="AC33" s="2" t="str">
        <x:f>IF(AND(C33&gt;=0,E33&gt;0,F33&gt;0,COUNTIFS('Source_Data'!$B$6:$B$125,'Assumptions'!$C$8,'Source_Data'!$C$6:$C$125,B33,'Source_Data'!$D$6:$D$125,A33)=1,COUNTIFS('Source_Data'!$B$131:$B$170,B33,'Source_Data'!$C$131:$C$170,A33)=1),"Ready","Missing data")</x:f>
        <x:v>Ready</x:v>
      </x:c>
      <x:c r="AD33" s="2" t="n">
        <x:f>IF('Assumptions'!$D$8="Reported",SUMIFS('Source_Data'!$G$6:$G$125,'Source_Data'!$B$6:$B$125,'Assumptions'!$C$8,'Source_Data'!$C$6:$C$125,B33,'Source_Data'!$D$6:$D$125,A33),SUMIFS('Source_Data'!$N$6:$N$125,'Source_Data'!$B$6:$B$125,'Assumptions'!$C$8,'Source_Data'!$C$6:$C$125,B33,'Source_Data'!$D$6:$D$125,A33))</x:f>
        <x:v>6</x:v>
      </x:c>
      <x:c r="AE33" s="2"/>
      <x:c r="AF33" s="2"/>
    </x:row>
    <x:row r="34" ht="23" customHeight="1">
      <x:c r="A34" s="2" t="str">
        <x:v>62044300</x:v>
      </x:c>
      <x:c r="B34" s="2" t="str">
        <x:v>Turkey</x:v>
      </x:c>
      <x:c r="C34" s="2" t="n">
        <x:f>SUMIFS('Source_Data'!$F$6:$F$125,'Source_Data'!$B$6:$B$125,"FY2025",'Source_Data'!$C$6:$C$125,B34,'Source_Data'!$D$6:$D$125,A34)</x:f>
        <x:v>268083</x:v>
      </x:c>
      <x:c r="D34" s="7" t="n">
        <x:f>C34/SUM(C26:C35)</x:f>
        <x:v>0.03402898092288742</x:v>
      </x:c>
      <x:c r="E34" s="2" t="n">
        <x:f>IF('Assumptions'!$D$8="Reported",SUMIFS('Source_Data'!$E$6:$E$125,'Source_Data'!$B$6:$B$125,'Assumptions'!$C$8,'Source_Data'!$C$6:$C$125,B34,'Source_Data'!$D$6:$D$125,A34),SUMIFS('Source_Data'!$L$6:$L$125,'Source_Data'!$B$6:$B$125,'Assumptions'!$C$8,'Source_Data'!$C$6:$C$125,B34,'Source_Data'!$D$6:$D$125,A34))</x:f>
        <x:v>2652697</x:v>
      </x:c>
      <x:c r="F34" s="2" t="n">
        <x:f>IF('Assumptions'!$D$8="Reported",SUMIFS('Source_Data'!$F$6:$F$125,'Source_Data'!$B$6:$B$125,'Assumptions'!$C$8,'Source_Data'!$C$6:$C$125,B34,'Source_Data'!$D$6:$D$125,A34),SUMIFS('Source_Data'!$M$6:$M$125,'Source_Data'!$B$6:$B$125,'Assumptions'!$C$8,'Source_Data'!$C$6:$C$125,B34,'Source_Data'!$D$6:$D$125,A34))</x:f>
        <x:v>68957</x:v>
      </x:c>
      <x:c r="G34" s="17" t="n">
        <x:f>IF(F34&gt;0,E34/F34,"n.a.")</x:f>
        <x:v>38.46885740388938</x:v>
      </x:c>
      <x:c r="H34" s="7" t="n">
        <x:f>SUMIFS('Source_Data'!$F$131:$F$170,'Source_Data'!$B$131:$B$170,B34,'Source_Data'!$C$131:$C$170,A34)</x:f>
        <x:v>0</x:v>
      </x:c>
      <x:c r="I34" s="7" t="n">
        <x:f>SUMIFS('Source_Data'!$G$131:$G$170,'Source_Data'!$B$131:$B$170,B34,'Source_Data'!$C$131:$C$170,A34)</x:f>
        <x:v>0.12</x:v>
      </x:c>
      <x:c r="J34" s="7" t="n">
        <x:f>IF('Assumptions'!$E$8="MFN all",I34,H34)</x:f>
        <x:v>0</x:v>
      </x:c>
      <x:c r="K34" s="7" t="n">
        <x:f>IF('Assumptions'!$E$8="Eligible",H34,I34)</x:f>
        <x:v>0</x:v>
      </x:c>
      <x:c r="L34" s="17" t="n">
        <x:f>IF(ISNUMBER(G34),G34*(1+J34),0)</x:f>
        <x:v>38.46885740388938</x:v>
      </x:c>
      <x:c r="M34" s="17" t="n">
        <x:f>IF(ISNUMBER(G34),G34*(1+K34),0)</x:f>
        <x:v>38.46885740388938</x:v>
      </x:c>
      <x:c r="N34" s="7" t="n">
        <x:f>SUMIFS('Assumptions'!$D$52:$D$75,'Assumptions'!$A$52:$A$75,'Assumptions'!$J$8,'Assumptions'!$B$52:$B$75,A34)</x:f>
        <x:v>0.25</x:v>
      </x:c>
      <x:c r="O34" s="7" t="n">
        <x:f>IF(B34="China",-1,N34)</x:f>
        <x:v>0.25</x:v>
      </x:c>
      <x:c r="P34" s="2" t="n">
        <x:f>IF(B34="China",D34,IF(N34&gt;0,MAX(0,MIN('Assumptions'!$E$5-D34,'Assumptions'!$H$5,IF('Assumptions'!$F$8=1,('Assumptions'!$G$8-1)*D34,1)))/N34,1))</x:f>
        <x:v>0.27223184738309936</x:v>
      </x:c>
      <x:c r="Q34" s="7" t="n">
        <x:f>IF(ISNUMBER($I54),$I54*O34,0)</x:f>
        <x:v>0.025</x:v>
      </x:c>
      <x:c r="R34" s="7" t="n">
        <x:f>D34+Q34</x:f>
        <x:v>0.05902898092288742</x:v>
      </x:c>
      <x:c r="S34" s="17" t="n">
        <x:f>D34*L34</x:f>
        <x:v>1.309056014722228</x:v>
      </x:c>
      <x:c r="T34" s="17" t="n">
        <x:f>R34*L34</x:f>
        <x:v>2.270777449819463</x:v>
      </x:c>
      <x:c r="U34" s="17" t="n">
        <x:f>MAX(0,Q34)*(M34*(1+'Assumptions'!$I$8)-L34)</x:f>
        <x:v>0</x:v>
      </x:c>
      <x:c r="V34" s="17" t="n">
        <x:f>MAX(0,Q34)*'Assumptions'!$C$47</x:f>
        <x:v>0</x:v>
      </x:c>
      <x:c r="W34" s="17" t="n">
        <x:f>MAX(0,Q34)*'Assumptions'!$D$47</x:f>
        <x:v>0</x:v>
      </x:c>
      <x:c r="X34" s="17" t="n">
        <x:f>MAX(0,Q34)*M34*(1+'Assumptions'!$I$8)*'Assumptions'!$E$47*'Assumptions'!$F$47/365</x:f>
        <x:v>0</x:v>
      </x:c>
      <x:c r="Y34" s="17" t="n">
        <x:f>SUM(T34:X34)</x:f>
        <x:v>2.270777449819463</x:v>
      </x:c>
      <x:c r="Z34" s="17" t="n">
        <x:f>D34^2*10000</x:f>
        <x:v>11.57971542650236</x:v>
      </x:c>
      <x:c r="AA34" s="17" t="n">
        <x:f>R34^2*10000</x:f>
        <x:v>34.84420588794607</x:v>
      </x:c>
      <x:c r="AB34" s="24" t="n">
        <x:f>IF(N34&gt;0,IF(D34&gt;0,R34/D34,IF(R34=0,0,"n.a.")),0)</x:f>
        <x:v>1.7346679013589075</x:v>
      </x:c>
      <x:c r="AC34" s="2" t="str">
        <x:f>IF(AND(C34&gt;=0,E34&gt;0,F34&gt;0,COUNTIFS('Source_Data'!$B$6:$B$125,'Assumptions'!$C$8,'Source_Data'!$C$6:$C$125,B34,'Source_Data'!$D$6:$D$125,A34)=1,COUNTIFS('Source_Data'!$B$131:$B$170,B34,'Source_Data'!$C$131:$C$170,A34)=1),"Ready","Missing data")</x:f>
        <x:v>Ready</x:v>
      </x:c>
      <x:c r="AD34" s="2" t="n">
        <x:f>IF('Assumptions'!$D$8="Reported",SUMIFS('Source_Data'!$G$6:$G$125,'Source_Data'!$B$6:$B$125,'Assumptions'!$C$8,'Source_Data'!$C$6:$C$125,B34,'Source_Data'!$D$6:$D$125,A34),SUMIFS('Source_Data'!$N$6:$N$125,'Source_Data'!$B$6:$B$125,'Assumptions'!$C$8,'Source_Data'!$C$6:$C$125,B34,'Source_Data'!$D$6:$D$125,A34))</x:f>
        <x:v>6</x:v>
      </x:c>
      <x:c r="AE34" s="2"/>
      <x:c r="AF34" s="2"/>
    </x:row>
    <x:row r="35" ht="23" customHeight="1">
      <x:c r="A35" s="2" t="str">
        <x:v>62044300</x:v>
      </x:c>
      <x:c r="B35" s="2" t="str">
        <x:v>Vietnam</x:v>
      </x:c>
      <x:c r="C35" s="2" t="n">
        <x:f>SUMIFS('Source_Data'!$F$6:$F$125,'Source_Data'!$B$6:$B$125,"FY2025",'Source_Data'!$C$6:$C$125,B35,'Source_Data'!$D$6:$D$125,A35)</x:f>
        <x:v>275082</x:v>
      </x:c>
      <x:c r="D35" s="7" t="n">
        <x:f>C35/SUM(C26:C35)</x:f>
        <x:v>0.034917395471662574</x:v>
      </x:c>
      <x:c r="E35" s="2" t="n">
        <x:f>IF('Assumptions'!$D$8="Reported",SUMIFS('Source_Data'!$E$6:$E$125,'Source_Data'!$B$6:$B$125,'Assumptions'!$C$8,'Source_Data'!$C$6:$C$125,B35,'Source_Data'!$D$6:$D$125,A35),SUMIFS('Source_Data'!$L$6:$L$125,'Source_Data'!$B$6:$B$125,'Assumptions'!$C$8,'Source_Data'!$C$6:$C$125,B35,'Source_Data'!$D$6:$D$125,A35))</x:f>
        <x:v>4252865</x:v>
      </x:c>
      <x:c r="F35" s="2" t="n">
        <x:f>IF('Assumptions'!$D$8="Reported",SUMIFS('Source_Data'!$F$6:$F$125,'Source_Data'!$B$6:$B$125,'Assumptions'!$C$8,'Source_Data'!$C$6:$C$125,B35,'Source_Data'!$D$6:$D$125,A35),SUMIFS('Source_Data'!$M$6:$M$125,'Source_Data'!$B$6:$B$125,'Assumptions'!$C$8,'Source_Data'!$C$6:$C$125,B35,'Source_Data'!$D$6:$D$125,A35))</x:f>
        <x:v>181343</x:v>
      </x:c>
      <x:c r="G35" s="17" t="n">
        <x:f>IF(F35&gt;0,E35/F35,"n.a.")</x:f>
        <x:v>23.45204943118841</x:v>
      </x:c>
      <x:c r="H35" s="7" t="n">
        <x:f>SUMIFS('Source_Data'!$F$131:$F$170,'Source_Data'!$B$131:$B$170,B35,'Source_Data'!$C$131:$C$170,A35)</x:f>
        <x:v>0.015</x:v>
      </x:c>
      <x:c r="I35" s="7" t="n">
        <x:f>SUMIFS('Source_Data'!$G$131:$G$170,'Source_Data'!$B$131:$B$170,B35,'Source_Data'!$C$131:$C$170,A35)</x:f>
        <x:v>0.12</x:v>
      </x:c>
      <x:c r="J35" s="7" t="n">
        <x:f>IF('Assumptions'!$E$8="MFN all",I35,H35)</x:f>
        <x:v>0.015</x:v>
      </x:c>
      <x:c r="K35" s="7" t="n">
        <x:f>IF('Assumptions'!$E$8="Eligible",H35,I35)</x:f>
        <x:v>0.015</x:v>
      </x:c>
      <x:c r="L35" s="17" t="n">
        <x:f>IF(ISNUMBER(G35),G35*(1+J35),0)</x:f>
        <x:v>23.803830172656234</x:v>
      </x:c>
      <x:c r="M35" s="17" t="n">
        <x:f>IF(ISNUMBER(G35),G35*(1+K35),0)</x:f>
        <x:v>23.803830172656234</x:v>
      </x:c>
      <x:c r="N35" s="7" t="n">
        <x:f>SUMIFS('Assumptions'!$E$52:$E$75,'Assumptions'!$A$52:$A$75,'Assumptions'!$J$8,'Assumptions'!$B$52:$B$75,A35)</x:f>
        <x:v>0.25</x:v>
      </x:c>
      <x:c r="O35" s="7" t="n">
        <x:f>IF(B35="China",-1,N35)</x:f>
        <x:v>0.25</x:v>
      </x:c>
      <x:c r="P35" s="2" t="n">
        <x:f>IF(B35="China",D35,IF(N35&gt;0,MAX(0,MIN('Assumptions'!$E$5-D35,'Assumptions'!$H$5,IF('Assumptions'!$F$8=1,('Assumptions'!$G$8-1)*D35,1)))/N35,1))</x:f>
        <x:v>0.2793391637733006</x:v>
      </x:c>
      <x:c r="Q35" s="7" t="n">
        <x:f>IF(ISNUMBER($I54),$I54*O35,0)</x:f>
        <x:v>0.025</x:v>
      </x:c>
      <x:c r="R35" s="7" t="n">
        <x:f>D35+Q35</x:f>
        <x:v>0.059917395471662575</x:v>
      </x:c>
      <x:c r="S35" s="17" t="n">
        <x:f>D35*L35</x:f>
        <x:v>0.8311677518789318</x:v>
      </x:c>
      <x:c r="T35" s="17" t="n">
        <x:f>R35*L35</x:f>
        <x:v>1.4262635061953377</x:v>
      </x:c>
      <x:c r="U35" s="17" t="n">
        <x:f>MAX(0,Q35)*(M35*(1+'Assumptions'!$I$8)-L35)</x:f>
        <x:v>0</x:v>
      </x:c>
      <x:c r="V35" s="17" t="n">
        <x:f>MAX(0,Q35)*'Assumptions'!$C$47</x:f>
        <x:v>0</x:v>
      </x:c>
      <x:c r="W35" s="17" t="n">
        <x:f>MAX(0,Q35)*'Assumptions'!$D$47</x:f>
        <x:v>0</x:v>
      </x:c>
      <x:c r="X35" s="17" t="n">
        <x:f>MAX(0,Q35)*M35*(1+'Assumptions'!$I$8)*'Assumptions'!$E$47*'Assumptions'!$F$47/365</x:f>
        <x:v>0</x:v>
      </x:c>
      <x:c r="Y35" s="17" t="n">
        <x:f>SUM(T35:X35)</x:f>
        <x:v>1.4262635061953377</x:v>
      </x:c>
      <x:c r="Z35" s="17" t="n">
        <x:f>D35^2*10000</x:f>
        <x:v>12.192245065244819</x:v>
      </x:c>
      <x:c r="AA35" s="17" t="n">
        <x:f>R35^2*10000</x:f>
        <x:v>35.90094280107611</x:v>
      </x:c>
      <x:c r="AB35" s="24" t="n">
        <x:f>IF(N35&gt;0,IF(D35&gt;0,R35/D35,IF(R35=0,0,"n.a.")),0)</x:f>
        <x:v>1.7159755091209166</x:v>
      </x:c>
      <x:c r="AC35" s="2" t="str">
        <x:f>IF(AND(C35&gt;=0,E35&gt;0,F35&gt;0,COUNTIFS('Source_Data'!$B$6:$B$125,'Assumptions'!$C$8,'Source_Data'!$C$6:$C$125,B35,'Source_Data'!$D$6:$D$125,A35)=1,COUNTIFS('Source_Data'!$B$131:$B$170,B35,'Source_Data'!$C$131:$C$170,A35)=1),"Ready","Missing data")</x:f>
        <x:v>Ready</x:v>
      </x:c>
      <x:c r="AD35" s="2" t="n">
        <x:f>IF('Assumptions'!$D$8="Reported",SUMIFS('Source_Data'!$G$6:$G$125,'Source_Data'!$B$6:$B$125,'Assumptions'!$C$8,'Source_Data'!$C$6:$C$125,B35,'Source_Data'!$D$6:$D$125,A35),SUMIFS('Source_Data'!$N$6:$N$125,'Source_Data'!$B$6:$B$125,'Assumptions'!$C$8,'Source_Data'!$C$6:$C$125,B35,'Source_Data'!$D$6:$D$125,A35))</x:f>
        <x:v>6</x:v>
      </x:c>
      <x:c r="AE35" s="2"/>
      <x:c r="AF35" s="2"/>
    </x:row>
    <x:row r="36" ht="23" customHeight="1">
      <x:c r="A36" s="2" t="str">
        <x:v>62052000</x:v>
      </x:c>
      <x:c r="B36" s="2" t="str">
        <x:v>Bangladesh</x:v>
      </x:c>
      <x:c r="C36" s="2" t="n">
        <x:f>SUMIFS('Source_Data'!$F$6:$F$125,'Source_Data'!$B$6:$B$125,"FY2025",'Source_Data'!$C$6:$C$125,B36,'Source_Data'!$D$6:$D$125,A36)</x:f>
        <x:v>4630717</x:v>
      </x:c>
      <x:c r="D36" s="7" t="n">
        <x:f>C36/SUM(C36:C45)</x:f>
        <x:v>0.5474809431056753</x:v>
      </x:c>
      <x:c r="E36" s="2" t="n">
        <x:f>IF('Assumptions'!$D$8="Reported",SUMIFS('Source_Data'!$E$6:$E$125,'Source_Data'!$B$6:$B$125,'Assumptions'!$C$8,'Source_Data'!$C$6:$C$125,B36,'Source_Data'!$D$6:$D$125,A36),SUMIFS('Source_Data'!$L$6:$L$125,'Source_Data'!$B$6:$B$125,'Assumptions'!$C$8,'Source_Data'!$C$6:$C$125,B36,'Source_Data'!$D$6:$D$125,A36))</x:f>
        <x:v>36256449</x:v>
      </x:c>
      <x:c r="F36" s="2" t="n">
        <x:f>IF('Assumptions'!$D$8="Reported",SUMIFS('Source_Data'!$F$6:$F$125,'Source_Data'!$B$6:$B$125,'Assumptions'!$C$8,'Source_Data'!$C$6:$C$125,B36,'Source_Data'!$D$6:$D$125,A36),SUMIFS('Source_Data'!$M$6:$M$125,'Source_Data'!$B$6:$B$125,'Assumptions'!$C$8,'Source_Data'!$C$6:$C$125,B36,'Source_Data'!$D$6:$D$125,A36))</x:f>
        <x:v>2116872</x:v>
      </x:c>
      <x:c r="G36" s="17" t="n">
        <x:f>IF(F36&gt;0,E36/F36,"n.a.")</x:f>
        <x:v>17.12736953391608</x:v>
      </x:c>
      <x:c r="H36" s="7" t="n">
        <x:f>SUMIFS('Source_Data'!$F$131:$F$170,'Source_Data'!$B$131:$B$170,B36,'Source_Data'!$C$131:$C$170,A36)</x:f>
        <x:v>0</x:v>
      </x:c>
      <x:c r="I36" s="7" t="n">
        <x:f>SUMIFS('Source_Data'!$G$131:$G$170,'Source_Data'!$B$131:$B$170,B36,'Source_Data'!$C$131:$C$170,A36)</x:f>
        <x:v>0.12</x:v>
      </x:c>
      <x:c r="J36" s="7" t="n">
        <x:f>IF('Assumptions'!$E$8="MFN all",I36,H36)</x:f>
        <x:v>0</x:v>
      </x:c>
      <x:c r="K36" s="7" t="n">
        <x:f>IF('Assumptions'!$E$8="Eligible",H36,I36)</x:f>
        <x:v>0</x:v>
      </x:c>
      <x:c r="L36" s="17" t="n">
        <x:f>IF(ISNUMBER(G36),G36*(1+J36),0)</x:f>
        <x:v>17.12736953391608</x:v>
      </x:c>
      <x:c r="M36" s="17" t="n">
        <x:f>IF(ISNUMBER(G36),G36*(1+K36),0)</x:f>
        <x:v>17.12736953391608</x:v>
      </x:c>
      <x:c r="N36" s="7" t="n">
        <x:f>0</x:f>
        <x:v>0</x:v>
      </x:c>
      <x:c r="O36" s="7" t="n">
        <x:f>IF(B36="China",-1,N36)</x:f>
        <x:v>0</x:v>
      </x:c>
      <x:c r="P36" s="2" t="n">
        <x:f>IF(B36="China",D36,IF(N36&gt;0,MAX(0,MIN('Assumptions'!$E$5-D36,'Assumptions'!$H$5,IF('Assumptions'!$F$8=1,('Assumptions'!$G$8-1)*D36,1)))/N36,1))</x:f>
        <x:v>1</x:v>
      </x:c>
      <x:c r="Q36" s="7" t="n">
        <x:f>IF(ISNUMBER($I55),$I55*O36,0)</x:f>
        <x:v>0</x:v>
      </x:c>
      <x:c r="R36" s="7" t="n">
        <x:f>D36+Q36</x:f>
        <x:v>0.5474809431056753</x:v>
      </x:c>
      <x:c r="S36" s="17" t="n">
        <x:f>D36*L36</x:f>
        <x:v>9.376908425347786</x:v>
      </x:c>
      <x:c r="T36" s="17" t="n">
        <x:f>R36*L36</x:f>
        <x:v>9.376908425347786</x:v>
      </x:c>
      <x:c r="U36" s="17" t="n">
        <x:f>MAX(0,Q36)*(M36*(1+'Assumptions'!$I$8)-L36)</x:f>
        <x:v>0</x:v>
      </x:c>
      <x:c r="V36" s="17" t="n">
        <x:f>MAX(0,Q36)*'Assumptions'!$C$47</x:f>
        <x:v>0</x:v>
      </x:c>
      <x:c r="W36" s="17" t="n">
        <x:f>MAX(0,Q36)*'Assumptions'!$D$47</x:f>
        <x:v>0</x:v>
      </x:c>
      <x:c r="X36" s="17" t="n">
        <x:f>MAX(0,Q36)*M36*(1+'Assumptions'!$I$8)*'Assumptions'!$E$47*'Assumptions'!$F$47/365</x:f>
        <x:v>0</x:v>
      </x:c>
      <x:c r="Y36" s="17" t="n">
        <x:f>SUM(T36:X36)</x:f>
        <x:v>9.376908425347786</x:v>
      </x:c>
      <x:c r="Z36" s="17" t="n">
        <x:f>D36^2*10000</x:f>
        <x:v>2997.353830638797</x:v>
      </x:c>
      <x:c r="AA36" s="17" t="n">
        <x:f>R36^2*10000</x:f>
        <x:v>2997.353830638797</x:v>
      </x:c>
      <x:c r="AB36" s="24" t="n">
        <x:f>IF(N36&gt;0,IF(D36&gt;0,R36/D36,IF(R36=0,0,"n.a.")),0)</x:f>
        <x:v>0</x:v>
      </x:c>
      <x:c r="AC36" s="2" t="str">
        <x:f>IF(AND(C36&gt;=0,E36&gt;0,F36&gt;0,COUNTIFS('Source_Data'!$B$6:$B$125,'Assumptions'!$C$8,'Source_Data'!$C$6:$C$125,B36,'Source_Data'!$D$6:$D$125,A36)=1,COUNTIFS('Source_Data'!$B$131:$B$170,B36,'Source_Data'!$C$131:$C$170,A36)=1),"Ready","Missing data")</x:f>
        <x:v>Ready</x:v>
      </x:c>
      <x:c r="AD36" s="2" t="n">
        <x:f>IF('Assumptions'!$D$8="Reported",SUMIFS('Source_Data'!$G$6:$G$125,'Source_Data'!$B$6:$B$125,'Assumptions'!$C$8,'Source_Data'!$C$6:$C$125,B36,'Source_Data'!$D$6:$D$125,A36),SUMIFS('Source_Data'!$N$6:$N$125,'Source_Data'!$B$6:$B$125,'Assumptions'!$C$8,'Source_Data'!$C$6:$C$125,B36,'Source_Data'!$D$6:$D$125,A36))</x:f>
        <x:v>6</x:v>
      </x:c>
      <x:c r="AE36" s="2"/>
      <x:c r="AF36" s="2"/>
    </x:row>
    <x:row r="37" ht="23" customHeight="1">
      <x:c r="A37" s="2" t="str">
        <x:v>62052000</x:v>
      </x:c>
      <x:c r="B37" s="2" t="str">
        <x:v>Cambodia</x:v>
      </x:c>
      <x:c r="C37" s="2" t="n">
        <x:f>SUMIFS('Source_Data'!$F$6:$F$125,'Source_Data'!$B$6:$B$125,"FY2025",'Source_Data'!$C$6:$C$125,B37,'Source_Data'!$D$6:$D$125,A37)</x:f>
        <x:v>674204</x:v>
      </x:c>
      <x:c r="D37" s="7" t="n">
        <x:f>C37/SUM(C36:C45)</x:f>
        <x:v>0.07970986820520853</x:v>
      </x:c>
      <x:c r="E37" s="2" t="n">
        <x:f>IF('Assumptions'!$D$8="Reported",SUMIFS('Source_Data'!$E$6:$E$125,'Source_Data'!$B$6:$B$125,'Assumptions'!$C$8,'Source_Data'!$C$6:$C$125,B37,'Source_Data'!$D$6:$D$125,A37),SUMIFS('Source_Data'!$L$6:$L$125,'Source_Data'!$B$6:$B$125,'Assumptions'!$C$8,'Source_Data'!$C$6:$C$125,B37,'Source_Data'!$D$6:$D$125,A37))</x:f>
        <x:v>6216726</x:v>
      </x:c>
      <x:c r="F37" s="2" t="n">
        <x:f>IF('Assumptions'!$D$8="Reported",SUMIFS('Source_Data'!$F$6:$F$125,'Source_Data'!$B$6:$B$125,'Assumptions'!$C$8,'Source_Data'!$C$6:$C$125,B37,'Source_Data'!$D$6:$D$125,A37),SUMIFS('Source_Data'!$M$6:$M$125,'Source_Data'!$B$6:$B$125,'Assumptions'!$C$8,'Source_Data'!$C$6:$C$125,B37,'Source_Data'!$D$6:$D$125,A37))</x:f>
        <x:v>285166</x:v>
      </x:c>
      <x:c r="G37" s="17" t="n">
        <x:f>IF(F37&gt;0,E37/F37,"n.a.")</x:f>
        <x:v>21.800375921393154</x:v>
      </x:c>
      <x:c r="H37" s="7" t="n">
        <x:f>SUMIFS('Source_Data'!$F$131:$F$170,'Source_Data'!$B$131:$B$170,B37,'Source_Data'!$C$131:$C$170,A37)</x:f>
        <x:v>0</x:v>
      </x:c>
      <x:c r="I37" s="7" t="n">
        <x:f>SUMIFS('Source_Data'!$G$131:$G$170,'Source_Data'!$B$131:$B$170,B37,'Source_Data'!$C$131:$C$170,A37)</x:f>
        <x:v>0.12</x:v>
      </x:c>
      <x:c r="J37" s="7" t="n">
        <x:f>IF('Assumptions'!$E$8="MFN all",I37,H37)</x:f>
        <x:v>0</x:v>
      </x:c>
      <x:c r="K37" s="7" t="n">
        <x:f>IF('Assumptions'!$E$8="Eligible",H37,I37)</x:f>
        <x:v>0</x:v>
      </x:c>
      <x:c r="L37" s="17" t="n">
        <x:f>IF(ISNUMBER(G37),G37*(1+J37),0)</x:f>
        <x:v>21.800375921393154</x:v>
      </x:c>
      <x:c r="M37" s="17" t="n">
        <x:f>IF(ISNUMBER(G37),G37*(1+K37),0)</x:f>
        <x:v>21.800375921393154</x:v>
      </x:c>
      <x:c r="N37" s="7" t="n">
        <x:f>0</x:f>
        <x:v>0</x:v>
      </x:c>
      <x:c r="O37" s="7" t="n">
        <x:f>IF(B37="China",-1,N37)</x:f>
        <x:v>0</x:v>
      </x:c>
      <x:c r="P37" s="2" t="n">
        <x:f>IF(B37="China",D37,IF(N37&gt;0,MAX(0,MIN('Assumptions'!$E$5-D37,'Assumptions'!$H$5,IF('Assumptions'!$F$8=1,('Assumptions'!$G$8-1)*D37,1)))/N37,1))</x:f>
        <x:v>1</x:v>
      </x:c>
      <x:c r="Q37" s="7" t="n">
        <x:f>IF(ISNUMBER($I55),$I55*O37,0)</x:f>
        <x:v>0</x:v>
      </x:c>
      <x:c r="R37" s="7" t="n">
        <x:f>D37+Q37</x:f>
        <x:v>0.07970986820520853</x:v>
      </x:c>
      <x:c r="S37" s="17" t="n">
        <x:f>D37*L37</x:f>
        <x:v>1.73770509151825</x:v>
      </x:c>
      <x:c r="T37" s="17" t="n">
        <x:f>R37*L37</x:f>
        <x:v>1.73770509151825</x:v>
      </x:c>
      <x:c r="U37" s="17" t="n">
        <x:f>MAX(0,Q37)*(M37*(1+'Assumptions'!$I$8)-L37)</x:f>
        <x:v>0</x:v>
      </x:c>
      <x:c r="V37" s="17" t="n">
        <x:f>MAX(0,Q37)*'Assumptions'!$C$47</x:f>
        <x:v>0</x:v>
      </x:c>
      <x:c r="W37" s="17" t="n">
        <x:f>MAX(0,Q37)*'Assumptions'!$D$47</x:f>
        <x:v>0</x:v>
      </x:c>
      <x:c r="X37" s="17" t="n">
        <x:f>MAX(0,Q37)*M37*(1+'Assumptions'!$I$8)*'Assumptions'!$E$47*'Assumptions'!$F$47/365</x:f>
        <x:v>0</x:v>
      </x:c>
      <x:c r="Y37" s="17" t="n">
        <x:f>SUM(T37:X37)</x:f>
        <x:v>1.73770509151825</x:v>
      </x:c>
      <x:c r="Z37" s="17" t="n">
        <x:f>D37^2*10000</x:f>
        <x:v>63.536630892917145</x:v>
      </x:c>
      <x:c r="AA37" s="17" t="n">
        <x:f>R37^2*10000</x:f>
        <x:v>63.536630892917145</x:v>
      </x:c>
      <x:c r="AB37" s="24" t="n">
        <x:f>IF(N37&gt;0,IF(D37&gt;0,R37/D37,IF(R37=0,0,"n.a.")),0)</x:f>
        <x:v>0</x:v>
      </x:c>
      <x:c r="AC37" s="2" t="str">
        <x:f>IF(AND(C37&gt;=0,E37&gt;0,F37&gt;0,COUNTIFS('Source_Data'!$B$6:$B$125,'Assumptions'!$C$8,'Source_Data'!$C$6:$C$125,B37,'Source_Data'!$D$6:$D$125,A37)=1,COUNTIFS('Source_Data'!$B$131:$B$170,B37,'Source_Data'!$C$131:$C$170,A37)=1),"Ready","Missing data")</x:f>
        <x:v>Ready</x:v>
      </x:c>
      <x:c r="AD37" s="2" t="n">
        <x:f>IF('Assumptions'!$D$8="Reported",SUMIFS('Source_Data'!$G$6:$G$125,'Source_Data'!$B$6:$B$125,'Assumptions'!$C$8,'Source_Data'!$C$6:$C$125,B37,'Source_Data'!$D$6:$D$125,A37),SUMIFS('Source_Data'!$N$6:$N$125,'Source_Data'!$B$6:$B$125,'Assumptions'!$C$8,'Source_Data'!$C$6:$C$125,B37,'Source_Data'!$D$6:$D$125,A37))</x:f>
        <x:v>6</x:v>
      </x:c>
      <x:c r="AE37" s="2"/>
      <x:c r="AF37" s="2"/>
    </x:row>
    <x:row r="38" ht="23" customHeight="1">
      <x:c r="A38" s="2" t="str">
        <x:v>62052000</x:v>
      </x:c>
      <x:c r="B38" s="2" t="str">
        <x:v>China</x:v>
      </x:c>
      <x:c r="C38" s="2" t="n">
        <x:f>SUMIFS('Source_Data'!$F$6:$F$125,'Source_Data'!$B$6:$B$125,"FY2025",'Source_Data'!$C$6:$C$125,B38,'Source_Data'!$D$6:$D$125,A38)</x:f>
        <x:v>584970</x:v>
      </x:c>
      <x:c r="D38" s="7" t="n">
        <x:f>C38/SUM(C36:C45)</x:f>
        <x:v>0.06915990057015509</x:v>
      </x:c>
      <x:c r="E38" s="2" t="n">
        <x:f>IF('Assumptions'!$D$8="Reported",SUMIFS('Source_Data'!$E$6:$E$125,'Source_Data'!$B$6:$B$125,'Assumptions'!$C$8,'Source_Data'!$C$6:$C$125,B38,'Source_Data'!$D$6:$D$125,A38),SUMIFS('Source_Data'!$L$6:$L$125,'Source_Data'!$B$6:$B$125,'Assumptions'!$C$8,'Source_Data'!$C$6:$C$125,B38,'Source_Data'!$D$6:$D$125,A38))</x:f>
        <x:v>5317772</x:v>
      </x:c>
      <x:c r="F38" s="2" t="n">
        <x:f>IF('Assumptions'!$D$8="Reported",SUMIFS('Source_Data'!$F$6:$F$125,'Source_Data'!$B$6:$B$125,'Assumptions'!$C$8,'Source_Data'!$C$6:$C$125,B38,'Source_Data'!$D$6:$D$125,A38),SUMIFS('Source_Data'!$M$6:$M$125,'Source_Data'!$B$6:$B$125,'Assumptions'!$C$8,'Source_Data'!$C$6:$C$125,B38,'Source_Data'!$D$6:$D$125,A38))</x:f>
        <x:v>245226</x:v>
      </x:c>
      <x:c r="G38" s="17" t="n">
        <x:f>IF(F38&gt;0,E38/F38,"n.a.")</x:f>
        <x:v>21.68518835686265</x:v>
      </x:c>
      <x:c r="H38" s="7" t="n">
        <x:f>SUMIFS('Source_Data'!$F$131:$F$170,'Source_Data'!$B$131:$B$170,B38,'Source_Data'!$C$131:$C$170,A38)</x:f>
        <x:v>0.12</x:v>
      </x:c>
      <x:c r="I38" s="7" t="n">
        <x:f>SUMIFS('Source_Data'!$G$131:$G$170,'Source_Data'!$B$131:$B$170,B38,'Source_Data'!$C$131:$C$170,A38)</x:f>
        <x:v>0.12</x:v>
      </x:c>
      <x:c r="J38" s="7" t="n">
        <x:f>IF('Assumptions'!$E$8="MFN all",I38,H38)</x:f>
        <x:v>0.12</x:v>
      </x:c>
      <x:c r="K38" s="7" t="n">
        <x:f>IF('Assumptions'!$E$8="Eligible",H38,I38)</x:f>
        <x:v>0.12</x:v>
      </x:c>
      <x:c r="L38" s="17" t="n">
        <x:f>IF(ISNUMBER(G38),G38*(1+J38),0)</x:f>
        <x:v>24.28741095968617</x:v>
      </x:c>
      <x:c r="M38" s="17" t="n">
        <x:f>IF(ISNUMBER(G38),G38*(1+K38),0)</x:f>
        <x:v>24.28741095968617</x:v>
      </x:c>
      <x:c r="N38" s="7" t="n">
        <x:f>0</x:f>
        <x:v>0</x:v>
      </x:c>
      <x:c r="O38" s="7" t="n">
        <x:f>IF(B38="China",-1,N38)</x:f>
        <x:v>-1</x:v>
      </x:c>
      <x:c r="P38" s="2" t="n">
        <x:f>IF(B38="China",D38,IF(N38&gt;0,MAX(0,MIN('Assumptions'!$E$5-D38,'Assumptions'!$H$5,IF('Assumptions'!$F$8=1,('Assumptions'!$G$8-1)*D38,1)))/N38,1))</x:f>
        <x:v>0.06915990057015509</x:v>
      </x:c>
      <x:c r="Q38" s="7" t="n">
        <x:f>IF(ISNUMBER($I55),$I55*O38,0)</x:f>
        <x:v>-0.06915990057015509</x:v>
      </x:c>
      <x:c r="R38" s="7" t="n">
        <x:f>D38+Q38</x:f>
        <x:v>0</x:v>
      </x:c>
      <x:c r="S38" s="17" t="n">
        <x:f>D38*L38</x:f>
        <x:v>1.6797149270783904</x:v>
      </x:c>
      <x:c r="T38" s="17" t="n">
        <x:f>R38*L38</x:f>
        <x:v>0</x:v>
      </x:c>
      <x:c r="U38" s="17" t="n">
        <x:f>MAX(0,Q38)*(M38*(1+'Assumptions'!$I$8)-L38)</x:f>
        <x:v>0</x:v>
      </x:c>
      <x:c r="V38" s="17" t="n">
        <x:f>MAX(0,Q38)*'Assumptions'!$C$47</x:f>
        <x:v>0</x:v>
      </x:c>
      <x:c r="W38" s="17" t="n">
        <x:f>MAX(0,Q38)*'Assumptions'!$D$47</x:f>
        <x:v>0</x:v>
      </x:c>
      <x:c r="X38" s="17" t="n">
        <x:f>MAX(0,Q38)*M38*(1+'Assumptions'!$I$8)*'Assumptions'!$E$47*'Assumptions'!$F$47/365</x:f>
        <x:v>0</x:v>
      </x:c>
      <x:c r="Y38" s="17" t="n">
        <x:f>SUM(T38:X38)</x:f>
        <x:v>0</x:v>
      </x:c>
      <x:c r="Z38" s="17" t="n">
        <x:f>D38^2*10000</x:f>
        <x:v>47.83091846873737</x:v>
      </x:c>
      <x:c r="AA38" s="17" t="n">
        <x:f>R38^2*10000</x:f>
        <x:v>0</x:v>
      </x:c>
      <x:c r="AB38" s="24" t="n">
        <x:f>IF(N38&gt;0,IF(D38&gt;0,R38/D38,IF(R38=0,0,"n.a.")),0)</x:f>
        <x:v>0</x:v>
      </x:c>
      <x:c r="AC38" s="2" t="str">
        <x:f>IF(AND(C38&gt;=0,E38&gt;0,F38&gt;0,COUNTIFS('Source_Data'!$B$6:$B$125,'Assumptions'!$C$8,'Source_Data'!$C$6:$C$125,B38,'Source_Data'!$D$6:$D$125,A38)=1,COUNTIFS('Source_Data'!$B$131:$B$170,B38,'Source_Data'!$C$131:$C$170,A38)=1),"Ready","Missing data")</x:f>
        <x:v>Ready</x:v>
      </x:c>
      <x:c r="AD38" s="2" t="n">
        <x:f>IF('Assumptions'!$D$8="Reported",SUMIFS('Source_Data'!$G$6:$G$125,'Source_Data'!$B$6:$B$125,'Assumptions'!$C$8,'Source_Data'!$C$6:$C$125,B38,'Source_Data'!$D$6:$D$125,A38),SUMIFS('Source_Data'!$N$6:$N$125,'Source_Data'!$B$6:$B$125,'Assumptions'!$C$8,'Source_Data'!$C$6:$C$125,B38,'Source_Data'!$D$6:$D$125,A38))</x:f>
        <x:v>6</x:v>
      </x:c>
      <x:c r="AE38" s="2"/>
      <x:c r="AF38" s="2"/>
    </x:row>
    <x:row r="39" ht="23" customHeight="1">
      <x:c r="A39" s="2" t="str">
        <x:v>62052000</x:v>
      </x:c>
      <x:c r="B39" s="2" t="str">
        <x:v>India</x:v>
      </x:c>
      <x:c r="C39" s="2" t="n">
        <x:f>SUMIFS('Source_Data'!$F$6:$F$125,'Source_Data'!$B$6:$B$125,"FY2025",'Source_Data'!$C$6:$C$125,B39,'Source_Data'!$D$6:$D$125,A39)</x:f>
        <x:v>1414140</x:v>
      </x:c>
      <x:c r="D39" s="7" t="n">
        <x:f>C39/SUM(C36:C45)</x:f>
        <x:v>0.16719110688117186</x:v>
      </x:c>
      <x:c r="E39" s="2" t="n">
        <x:f>IF('Assumptions'!$D$8="Reported",SUMIFS('Source_Data'!$E$6:$E$125,'Source_Data'!$B$6:$B$125,'Assumptions'!$C$8,'Source_Data'!$C$6:$C$125,B39,'Source_Data'!$D$6:$D$125,A39),SUMIFS('Source_Data'!$L$6:$L$125,'Source_Data'!$B$6:$B$125,'Assumptions'!$C$8,'Source_Data'!$C$6:$C$125,B39,'Source_Data'!$D$6:$D$125,A39))</x:f>
        <x:v>16147727</x:v>
      </x:c>
      <x:c r="F39" s="2" t="n">
        <x:f>IF('Assumptions'!$D$8="Reported",SUMIFS('Source_Data'!$F$6:$F$125,'Source_Data'!$B$6:$B$125,'Assumptions'!$C$8,'Source_Data'!$C$6:$C$125,B39,'Source_Data'!$D$6:$D$125,A39),SUMIFS('Source_Data'!$M$6:$M$125,'Source_Data'!$B$6:$B$125,'Assumptions'!$C$8,'Source_Data'!$C$6:$C$125,B39,'Source_Data'!$D$6:$D$125,A39))</x:f>
        <x:v>737427</x:v>
      </x:c>
      <x:c r="G39" s="17" t="n">
        <x:f>IF(F39&gt;0,E39/F39,"n.a.")</x:f>
        <x:v>21.897390521366862</x:v>
      </x:c>
      <x:c r="H39" s="7" t="n">
        <x:f>SUMIFS('Source_Data'!$F$131:$F$170,'Source_Data'!$B$131:$B$170,B39,'Source_Data'!$C$131:$C$170,A39)</x:f>
        <x:v>0</x:v>
      </x:c>
      <x:c r="I39" s="7" t="n">
        <x:f>SUMIFS('Source_Data'!$G$131:$G$170,'Source_Data'!$B$131:$B$170,B39,'Source_Data'!$C$131:$C$170,A39)</x:f>
        <x:v>0.12</x:v>
      </x:c>
      <x:c r="J39" s="7" t="n">
        <x:f>IF('Assumptions'!$E$8="MFN all",I39,H39)</x:f>
        <x:v>0</x:v>
      </x:c>
      <x:c r="K39" s="7" t="n">
        <x:f>IF('Assumptions'!$E$8="Eligible",H39,I39)</x:f>
        <x:v>0</x:v>
      </x:c>
      <x:c r="L39" s="17" t="n">
        <x:f>IF(ISNUMBER(G39),G39*(1+J39),0)</x:f>
        <x:v>21.897390521366862</x:v>
      </x:c>
      <x:c r="M39" s="17" t="n">
        <x:f>IF(ISNUMBER(G39),G39*(1+K39),0)</x:f>
        <x:v>21.897390521366862</x:v>
      </x:c>
      <x:c r="N39" s="7" t="n">
        <x:f>SUMIFS('Assumptions'!$C$52:$C$75,'Assumptions'!$A$52:$A$75,'Assumptions'!$J$8,'Assumptions'!$B$52:$B$75,A39)</x:f>
        <x:v>0.5</x:v>
      </x:c>
      <x:c r="O39" s="7" t="n">
        <x:f>IF(B39="China",-1,N39)</x:f>
        <x:v>0.5</x:v>
      </x:c>
      <x:c r="P39" s="2" t="n">
        <x:f>IF(B39="China",D39,IF(N39&gt;0,MAX(0,MIN('Assumptions'!$E$5-D39,'Assumptions'!$H$5,IF('Assumptions'!$F$8=1,('Assumptions'!$G$8-1)*D39,1)))/N39,1))</x:f>
        <x:v>0.2</x:v>
      </x:c>
      <x:c r="Q39" s="7" t="n">
        <x:f>IF(ISNUMBER($I55),$I55*O39,0)</x:f>
        <x:v>0.03457995028507754</x:v>
      </x:c>
      <x:c r="R39" s="7" t="n">
        <x:f>D39+Q39</x:f>
        <x:v>0.2017710571662494</x:v>
      </x:c>
      <x:c r="S39" s="17" t="n">
        <x:f>D39*L39</x:f>
        <x:v>3.6610489590766067</x:v>
      </x:c>
      <x:c r="T39" s="17" t="n">
        <x:f>R39*L39</x:f>
        <x:v>4.418259634678401</x:v>
      </x:c>
      <x:c r="U39" s="17" t="n">
        <x:f>MAX(0,Q39)*(M39*(1+'Assumptions'!$I$8)-L39)</x:f>
        <x:v>0</x:v>
      </x:c>
      <x:c r="V39" s="17" t="n">
        <x:f>MAX(0,Q39)*'Assumptions'!$C$47</x:f>
        <x:v>0</x:v>
      </x:c>
      <x:c r="W39" s="17" t="n">
        <x:f>MAX(0,Q39)*'Assumptions'!$D$47</x:f>
        <x:v>0</x:v>
      </x:c>
      <x:c r="X39" s="17" t="n">
        <x:f>MAX(0,Q39)*M39*(1+'Assumptions'!$I$8)*'Assumptions'!$E$47*'Assumptions'!$F$47/365</x:f>
        <x:v>0</x:v>
      </x:c>
      <x:c r="Y39" s="17" t="n">
        <x:f>SUM(T39:X39)</x:f>
        <x:v>4.418259634678401</x:v>
      </x:c>
      <x:c r="Z39" s="17" t="n">
        <x:f>D39^2*10000</x:f>
        <x:v>279.52866220151435</x:v>
      </x:c>
      <x:c r="AA39" s="17" t="n">
        <x:f>R39^2*10000</x:f>
        <x:v>407.11559509985887</x:v>
      </x:c>
      <x:c r="AB39" s="24" t="n">
        <x:f>IF(N39&gt;0,IF(D39&gt;0,R39/D39,IF(R39=0,0,"n.a.")),0)</x:f>
        <x:v>1.206828885400314</x:v>
      </x:c>
      <x:c r="AC39" s="2" t="str">
        <x:f>IF(AND(C39&gt;=0,E39&gt;0,F39&gt;0,COUNTIFS('Source_Data'!$B$6:$B$125,'Assumptions'!$C$8,'Source_Data'!$C$6:$C$125,B39,'Source_Data'!$D$6:$D$125,A39)=1,COUNTIFS('Source_Data'!$B$131:$B$170,B39,'Source_Data'!$C$131:$C$170,A39)=1),"Ready","Missing data")</x:f>
        <x:v>Ready</x:v>
      </x:c>
      <x:c r="AD39" s="2" t="n">
        <x:f>IF('Assumptions'!$D$8="Reported",SUMIFS('Source_Data'!$G$6:$G$125,'Source_Data'!$B$6:$B$125,'Assumptions'!$C$8,'Source_Data'!$C$6:$C$125,B39,'Source_Data'!$D$6:$D$125,A39),SUMIFS('Source_Data'!$N$6:$N$125,'Source_Data'!$B$6:$B$125,'Assumptions'!$C$8,'Source_Data'!$C$6:$C$125,B39,'Source_Data'!$D$6:$D$125,A39))</x:f>
        <x:v>6</x:v>
      </x:c>
      <x:c r="AE39" s="2"/>
      <x:c r="AF39" s="2"/>
    </x:row>
    <x:row r="40" ht="23" customHeight="1">
      <x:c r="A40" s="2" t="str">
        <x:v>62052000</x:v>
      </x:c>
      <x:c r="B40" s="2" t="str">
        <x:v>Morocco</x:v>
      </x:c>
      <x:c r="C40" s="2" t="n">
        <x:f>SUMIFS('Source_Data'!$F$6:$F$125,'Source_Data'!$B$6:$B$125,"FY2025",'Source_Data'!$C$6:$C$125,B40,'Source_Data'!$D$6:$D$125,A40)</x:f>
        <x:v>33234</x:v>
      </x:c>
      <x:c r="D40" s="7" t="n">
        <x:f>C40/SUM(C36:C45)</x:f>
        <x:v>0.003929193181784594</x:v>
      </x:c>
      <x:c r="E40" s="2" t="n">
        <x:f>IF('Assumptions'!$D$8="Reported",SUMIFS('Source_Data'!$E$6:$E$125,'Source_Data'!$B$6:$B$125,'Assumptions'!$C$8,'Source_Data'!$C$6:$C$125,B40,'Source_Data'!$D$6:$D$125,A40),SUMIFS('Source_Data'!$L$6:$L$125,'Source_Data'!$B$6:$B$125,'Assumptions'!$C$8,'Source_Data'!$C$6:$C$125,B40,'Source_Data'!$D$6:$D$125,A40))</x:f>
        <x:v>561115</x:v>
      </x:c>
      <x:c r="F40" s="2" t="n">
        <x:f>IF('Assumptions'!$D$8="Reported",SUMIFS('Source_Data'!$F$6:$F$125,'Source_Data'!$B$6:$B$125,'Assumptions'!$C$8,'Source_Data'!$C$6:$C$125,B40,'Source_Data'!$D$6:$D$125,A40),SUMIFS('Source_Data'!$M$6:$M$125,'Source_Data'!$B$6:$B$125,'Assumptions'!$C$8,'Source_Data'!$C$6:$C$125,B40,'Source_Data'!$D$6:$D$125,A40))</x:f>
        <x:v>15750</x:v>
      </x:c>
      <x:c r="G40" s="17" t="n">
        <x:f>IF(F40&gt;0,E40/F40,"n.a.")</x:f>
        <x:v>35.626349206349204</x:v>
      </x:c>
      <x:c r="H40" s="7" t="n">
        <x:f>SUMIFS('Source_Data'!$F$131:$F$170,'Source_Data'!$B$131:$B$170,B40,'Source_Data'!$C$131:$C$170,A40)</x:f>
        <x:v>0</x:v>
      </x:c>
      <x:c r="I40" s="7" t="n">
        <x:f>SUMIFS('Source_Data'!$G$131:$G$170,'Source_Data'!$B$131:$B$170,B40,'Source_Data'!$C$131:$C$170,A40)</x:f>
        <x:v>0.12</x:v>
      </x:c>
      <x:c r="J40" s="7" t="n">
        <x:f>IF('Assumptions'!$E$8="MFN all",I40,H40)</x:f>
        <x:v>0</x:v>
      </x:c>
      <x:c r="K40" s="7" t="n">
        <x:f>IF('Assumptions'!$E$8="Eligible",H40,I40)</x:f>
        <x:v>0</x:v>
      </x:c>
      <x:c r="L40" s="17" t="n">
        <x:f>IF(ISNUMBER(G40),G40*(1+J40),0)</x:f>
        <x:v>35.626349206349204</x:v>
      </x:c>
      <x:c r="M40" s="17" t="n">
        <x:f>IF(ISNUMBER(G40),G40*(1+K40),0)</x:f>
        <x:v>35.626349206349204</x:v>
      </x:c>
      <x:c r="N40" s="7" t="n">
        <x:f>0</x:f>
        <x:v>0</x:v>
      </x:c>
      <x:c r="O40" s="7" t="n">
        <x:f>IF(B40="China",-1,N40)</x:f>
        <x:v>0</x:v>
      </x:c>
      <x:c r="P40" s="2" t="n">
        <x:f>IF(B40="China",D40,IF(N40&gt;0,MAX(0,MIN('Assumptions'!$E$5-D40,'Assumptions'!$H$5,IF('Assumptions'!$F$8=1,('Assumptions'!$G$8-1)*D40,1)))/N40,1))</x:f>
        <x:v>1</x:v>
      </x:c>
      <x:c r="Q40" s="7" t="n">
        <x:f>IF(ISNUMBER($I55),$I55*O40,0)</x:f>
        <x:v>0</x:v>
      </x:c>
      <x:c r="R40" s="7" t="n">
        <x:f>D40+Q40</x:f>
        <x:v>0.003929193181784594</x:v>
      </x:c>
      <x:c r="S40" s="17" t="n">
        <x:f>D40*L40</x:f>
        <x:v>0.13998280839346428</x:v>
      </x:c>
      <x:c r="T40" s="17" t="n">
        <x:f>R40*L40</x:f>
        <x:v>0.13998280839346428</x:v>
      </x:c>
      <x:c r="U40" s="17" t="n">
        <x:f>MAX(0,Q40)*(M40*(1+'Assumptions'!$I$8)-L40)</x:f>
        <x:v>0</x:v>
      </x:c>
      <x:c r="V40" s="17" t="n">
        <x:f>MAX(0,Q40)*'Assumptions'!$C$47</x:f>
        <x:v>0</x:v>
      </x:c>
      <x:c r="W40" s="17" t="n">
        <x:f>MAX(0,Q40)*'Assumptions'!$D$47</x:f>
        <x:v>0</x:v>
      </x:c>
      <x:c r="X40" s="17" t="n">
        <x:f>MAX(0,Q40)*M40*(1+'Assumptions'!$I$8)*'Assumptions'!$E$47*'Assumptions'!$F$47/365</x:f>
        <x:v>0</x:v>
      </x:c>
      <x:c r="Y40" s="17" t="n">
        <x:f>SUM(T40:X40)</x:f>
        <x:v>0.13998280839346428</x:v>
      </x:c>
      <x:c r="Z40" s="17" t="n">
        <x:f>D40^2*10000</x:f>
        <x:v>0.15438559059782545</x:v>
      </x:c>
      <x:c r="AA40" s="17" t="n">
        <x:f>R40^2*10000</x:f>
        <x:v>0.15438559059782545</x:v>
      </x:c>
      <x:c r="AB40" s="24" t="n">
        <x:f>IF(N40&gt;0,IF(D40&gt;0,R40/D40,IF(R40=0,0,"n.a.")),0)</x:f>
        <x:v>0</x:v>
      </x:c>
      <x:c r="AC40" s="2" t="str">
        <x:f>IF(AND(C40&gt;=0,E40&gt;0,F40&gt;0,COUNTIFS('Source_Data'!$B$6:$B$125,'Assumptions'!$C$8,'Source_Data'!$C$6:$C$125,B40,'Source_Data'!$D$6:$D$125,A40)=1,COUNTIFS('Source_Data'!$B$131:$B$170,B40,'Source_Data'!$C$131:$C$170,A40)=1),"Ready","Missing data")</x:f>
        <x:v>Ready</x:v>
      </x:c>
      <x:c r="AD40" s="2" t="n">
        <x:f>IF('Assumptions'!$D$8="Reported",SUMIFS('Source_Data'!$G$6:$G$125,'Source_Data'!$B$6:$B$125,'Assumptions'!$C$8,'Source_Data'!$C$6:$C$125,B40,'Source_Data'!$D$6:$D$125,A40),SUMIFS('Source_Data'!$N$6:$N$125,'Source_Data'!$B$6:$B$125,'Assumptions'!$C$8,'Source_Data'!$C$6:$C$125,B40,'Source_Data'!$D$6:$D$125,A40))</x:f>
        <x:v>6</x:v>
      </x:c>
      <x:c r="AE40" s="2"/>
      <x:c r="AF40" s="2"/>
    </x:row>
    <x:row r="41" ht="23" customHeight="1">
      <x:c r="A41" s="2" t="str">
        <x:v>62052000</x:v>
      </x:c>
      <x:c r="B41" s="2" t="str">
        <x:v>Myanmar</x:v>
      </x:c>
      <x:c r="C41" s="2" t="n">
        <x:f>SUMIFS('Source_Data'!$F$6:$F$125,'Source_Data'!$B$6:$B$125,"FY2025",'Source_Data'!$C$6:$C$125,B41,'Source_Data'!$D$6:$D$125,A41)</x:f>
        <x:v>54446</x:v>
      </x:c>
      <x:c r="D41" s="7" t="n">
        <x:f>C41/SUM(C36:C45)</x:f>
        <x:v>0.006437047962190649</x:v>
      </x:c>
      <x:c r="E41" s="2" t="n">
        <x:f>IF('Assumptions'!$D$8="Reported",SUMIFS('Source_Data'!$E$6:$E$125,'Source_Data'!$B$6:$B$125,'Assumptions'!$C$8,'Source_Data'!$C$6:$C$125,B41,'Source_Data'!$D$6:$D$125,A41),SUMIFS('Source_Data'!$L$6:$L$125,'Source_Data'!$B$6:$B$125,'Assumptions'!$C$8,'Source_Data'!$C$6:$C$125,B41,'Source_Data'!$D$6:$D$125,A41))</x:f>
        <x:v>438060</x:v>
      </x:c>
      <x:c r="F41" s="2" t="n">
        <x:f>IF('Assumptions'!$D$8="Reported",SUMIFS('Source_Data'!$F$6:$F$125,'Source_Data'!$B$6:$B$125,'Assumptions'!$C$8,'Source_Data'!$C$6:$C$125,B41,'Source_Data'!$D$6:$D$125,A41),SUMIFS('Source_Data'!$M$6:$M$125,'Source_Data'!$B$6:$B$125,'Assumptions'!$C$8,'Source_Data'!$C$6:$C$125,B41,'Source_Data'!$D$6:$D$125,A41))</x:f>
        <x:v>30188</x:v>
      </x:c>
      <x:c r="G41" s="17" t="n">
        <x:f>IF(F41&gt;0,E41/F41,"n.a.")</x:f>
        <x:v>14.511063998939976</x:v>
      </x:c>
      <x:c r="H41" s="7" t="n">
        <x:f>SUMIFS('Source_Data'!$F$131:$F$170,'Source_Data'!$B$131:$B$170,B41,'Source_Data'!$C$131:$C$170,A41)</x:f>
        <x:v>0</x:v>
      </x:c>
      <x:c r="I41" s="7" t="n">
        <x:f>SUMIFS('Source_Data'!$G$131:$G$170,'Source_Data'!$B$131:$B$170,B41,'Source_Data'!$C$131:$C$170,A41)</x:f>
        <x:v>0.12</x:v>
      </x:c>
      <x:c r="J41" s="7" t="n">
        <x:f>IF('Assumptions'!$E$8="MFN all",I41,H41)</x:f>
        <x:v>0</x:v>
      </x:c>
      <x:c r="K41" s="7" t="n">
        <x:f>IF('Assumptions'!$E$8="Eligible",H41,I41)</x:f>
        <x:v>0</x:v>
      </x:c>
      <x:c r="L41" s="17" t="n">
        <x:f>IF(ISNUMBER(G41),G41*(1+J41),0)</x:f>
        <x:v>14.511063998939976</x:v>
      </x:c>
      <x:c r="M41" s="17" t="n">
        <x:f>IF(ISNUMBER(G41),G41*(1+K41),0)</x:f>
        <x:v>14.511063998939976</x:v>
      </x:c>
      <x:c r="N41" s="7" t="n">
        <x:f>0</x:f>
        <x:v>0</x:v>
      </x:c>
      <x:c r="O41" s="7" t="n">
        <x:f>IF(B41="China",-1,N41)</x:f>
        <x:v>0</x:v>
      </x:c>
      <x:c r="P41" s="2" t="n">
        <x:f>IF(B41="China",D41,IF(N41&gt;0,MAX(0,MIN('Assumptions'!$E$5-D41,'Assumptions'!$H$5,IF('Assumptions'!$F$8=1,('Assumptions'!$G$8-1)*D41,1)))/N41,1))</x:f>
        <x:v>1</x:v>
      </x:c>
      <x:c r="Q41" s="7" t="n">
        <x:f>IF(ISNUMBER($I55),$I55*O41,0)</x:f>
        <x:v>0</x:v>
      </x:c>
      <x:c r="R41" s="7" t="n">
        <x:f>D41+Q41</x:f>
        <x:v>0.006437047962190649</x:v>
      </x:c>
      <x:c r="S41" s="17" t="n">
        <x:f>D41*L41</x:f>
        <x:v>0.09340841494359466</x:v>
      </x:c>
      <x:c r="T41" s="17" t="n">
        <x:f>R41*L41</x:f>
        <x:v>0.09340841494359466</x:v>
      </x:c>
      <x:c r="U41" s="17" t="n">
        <x:f>MAX(0,Q41)*(M41*(1+'Assumptions'!$I$8)-L41)</x:f>
        <x:v>0</x:v>
      </x:c>
      <x:c r="V41" s="17" t="n">
        <x:f>MAX(0,Q41)*'Assumptions'!$C$47</x:f>
        <x:v>0</x:v>
      </x:c>
      <x:c r="W41" s="17" t="n">
        <x:f>MAX(0,Q41)*'Assumptions'!$D$47</x:f>
        <x:v>0</x:v>
      </x:c>
      <x:c r="X41" s="17" t="n">
        <x:f>MAX(0,Q41)*M41*(1+'Assumptions'!$I$8)*'Assumptions'!$E$47*'Assumptions'!$F$47/365</x:f>
        <x:v>0</x:v>
      </x:c>
      <x:c r="Y41" s="17" t="n">
        <x:f>SUM(T41:X41)</x:f>
        <x:v>0.09340841494359466</x:v>
      </x:c>
      <x:c r="Z41" s="17" t="n">
        <x:f>D41^2*10000</x:f>
        <x:v>0.41435586467542784</x:v>
      </x:c>
      <x:c r="AA41" s="17" t="n">
        <x:f>R41^2*10000</x:f>
        <x:v>0.41435586467542784</x:v>
      </x:c>
      <x:c r="AB41" s="24" t="n">
        <x:f>IF(N41&gt;0,IF(D41&gt;0,R41/D41,IF(R41=0,0,"n.a.")),0)</x:f>
        <x:v>0</x:v>
      </x:c>
      <x:c r="AC41" s="2" t="str">
        <x:f>IF(AND(C41&gt;=0,E41&gt;0,F41&gt;0,COUNTIFS('Source_Data'!$B$6:$B$125,'Assumptions'!$C$8,'Source_Data'!$C$6:$C$125,B41,'Source_Data'!$D$6:$D$125,A41)=1,COUNTIFS('Source_Data'!$B$131:$B$170,B41,'Source_Data'!$C$131:$C$170,A41)=1),"Ready","Missing data")</x:f>
        <x:v>Ready</x:v>
      </x:c>
      <x:c r="AD41" s="2" t="n">
        <x:f>IF('Assumptions'!$D$8="Reported",SUMIFS('Source_Data'!$G$6:$G$125,'Source_Data'!$B$6:$B$125,'Assumptions'!$C$8,'Source_Data'!$C$6:$C$125,B41,'Source_Data'!$D$6:$D$125,A41),SUMIFS('Source_Data'!$N$6:$N$125,'Source_Data'!$B$6:$B$125,'Assumptions'!$C$8,'Source_Data'!$C$6:$C$125,B41,'Source_Data'!$D$6:$D$125,A41))</x:f>
        <x:v>6</x:v>
      </x:c>
      <x:c r="AE41" s="2"/>
      <x:c r="AF41" s="2"/>
    </x:row>
    <x:row r="42" ht="23" customHeight="1">
      <x:c r="A42" s="2" t="str">
        <x:v>62052000</x:v>
      </x:c>
      <x:c r="B42" s="2" t="str">
        <x:v>Pakistan</x:v>
      </x:c>
      <x:c r="C42" s="2" t="n">
        <x:f>SUMIFS('Source_Data'!$F$6:$F$125,'Source_Data'!$B$6:$B$125,"FY2025",'Source_Data'!$C$6:$C$125,B42,'Source_Data'!$D$6:$D$125,A42)</x:f>
        <x:v>69348</x:v>
      </x:c>
      <x:c r="D42" s="7" t="n">
        <x:f>C42/SUM(C36:C45)</x:f>
        <x:v>0.008198883335451587</x:v>
      </x:c>
      <x:c r="E42" s="2" t="n">
        <x:f>IF('Assumptions'!$D$8="Reported",SUMIFS('Source_Data'!$E$6:$E$125,'Source_Data'!$B$6:$B$125,'Assumptions'!$C$8,'Source_Data'!$C$6:$C$125,B42,'Source_Data'!$D$6:$D$125,A42),SUMIFS('Source_Data'!$L$6:$L$125,'Source_Data'!$B$6:$B$125,'Assumptions'!$C$8,'Source_Data'!$C$6:$C$125,B42,'Source_Data'!$D$6:$D$125,A42))</x:f>
        <x:v>358538</x:v>
      </x:c>
      <x:c r="F42" s="2" t="n">
        <x:f>IF('Assumptions'!$D$8="Reported",SUMIFS('Source_Data'!$F$6:$F$125,'Source_Data'!$B$6:$B$125,'Assumptions'!$C$8,'Source_Data'!$C$6:$C$125,B42,'Source_Data'!$D$6:$D$125,A42),SUMIFS('Source_Data'!$M$6:$M$125,'Source_Data'!$B$6:$B$125,'Assumptions'!$C$8,'Source_Data'!$C$6:$C$125,B42,'Source_Data'!$D$6:$D$125,A42))</x:f>
        <x:v>25923</x:v>
      </x:c>
      <x:c r="G42" s="17" t="n">
        <x:f>IF(F42&gt;0,E42/F42,"n.a.")</x:f>
        <x:v>13.83088377116846</x:v>
      </x:c>
      <x:c r="H42" s="7" t="n">
        <x:f>SUMIFS('Source_Data'!$F$131:$F$170,'Source_Data'!$B$131:$B$170,B42,'Source_Data'!$C$131:$C$170,A42)</x:f>
        <x:v>0</x:v>
      </x:c>
      <x:c r="I42" s="7" t="n">
        <x:f>SUMIFS('Source_Data'!$G$131:$G$170,'Source_Data'!$B$131:$B$170,B42,'Source_Data'!$C$131:$C$170,A42)</x:f>
        <x:v>0.12</x:v>
      </x:c>
      <x:c r="J42" s="7" t="n">
        <x:f>IF('Assumptions'!$E$8="MFN all",I42,H42)</x:f>
        <x:v>0</x:v>
      </x:c>
      <x:c r="K42" s="7" t="n">
        <x:f>IF('Assumptions'!$E$8="Eligible",H42,I42)</x:f>
        <x:v>0</x:v>
      </x:c>
      <x:c r="L42" s="17" t="n">
        <x:f>IF(ISNUMBER(G42),G42*(1+J42),0)</x:f>
        <x:v>13.83088377116846</x:v>
      </x:c>
      <x:c r="M42" s="17" t="n">
        <x:f>IF(ISNUMBER(G42),G42*(1+K42),0)</x:f>
        <x:v>13.83088377116846</x:v>
      </x:c>
      <x:c r="N42" s="7" t="n">
        <x:f>0</x:f>
        <x:v>0</x:v>
      </x:c>
      <x:c r="O42" s="7" t="n">
        <x:f>IF(B42="China",-1,N42)</x:f>
        <x:v>0</x:v>
      </x:c>
      <x:c r="P42" s="2" t="n">
        <x:f>IF(B42="China",D42,IF(N42&gt;0,MAX(0,MIN('Assumptions'!$E$5-D42,'Assumptions'!$H$5,IF('Assumptions'!$F$8=1,('Assumptions'!$G$8-1)*D42,1)))/N42,1))</x:f>
        <x:v>1</x:v>
      </x:c>
      <x:c r="Q42" s="7" t="n">
        <x:f>IF(ISNUMBER($I55),$I55*O42,0)</x:f>
        <x:v>0</x:v>
      </x:c>
      <x:c r="R42" s="7" t="n">
        <x:f>D42+Q42</x:f>
        <x:v>0.008198883335451587</x:v>
      </x:c>
      <x:c r="S42" s="17" t="n">
        <x:f>D42*L42</x:f>
        <x:v>0.1133978024660009</x:v>
      </x:c>
      <x:c r="T42" s="17" t="n">
        <x:f>R42*L42</x:f>
        <x:v>0.1133978024660009</x:v>
      </x:c>
      <x:c r="U42" s="17" t="n">
        <x:f>MAX(0,Q42)*(M42*(1+'Assumptions'!$I$8)-L42)</x:f>
        <x:v>0</x:v>
      </x:c>
      <x:c r="V42" s="17" t="n">
        <x:f>MAX(0,Q42)*'Assumptions'!$C$47</x:f>
        <x:v>0</x:v>
      </x:c>
      <x:c r="W42" s="17" t="n">
        <x:f>MAX(0,Q42)*'Assumptions'!$D$47</x:f>
        <x:v>0</x:v>
      </x:c>
      <x:c r="X42" s="17" t="n">
        <x:f>MAX(0,Q42)*M42*(1+'Assumptions'!$I$8)*'Assumptions'!$E$47*'Assumptions'!$F$47/365</x:f>
        <x:v>0</x:v>
      </x:c>
      <x:c r="Y42" s="17" t="n">
        <x:f>SUM(T42:X42)</x:f>
        <x:v>0.1133978024660009</x:v>
      </x:c>
      <x:c r="Z42" s="17" t="n">
        <x:f>D42^2*10000</x:f>
        <x:v>0.6722168794834575</x:v>
      </x:c>
      <x:c r="AA42" s="17" t="n">
        <x:f>R42^2*10000</x:f>
        <x:v>0.6722168794834575</x:v>
      </x:c>
      <x:c r="AB42" s="24" t="n">
        <x:f>IF(N42&gt;0,IF(D42&gt;0,R42/D42,IF(R42=0,0,"n.a.")),0)</x:f>
        <x:v>0</x:v>
      </x:c>
      <x:c r="AC42" s="2" t="str">
        <x:f>IF(AND(C42&gt;=0,E42&gt;0,F42&gt;0,COUNTIFS('Source_Data'!$B$6:$B$125,'Assumptions'!$C$8,'Source_Data'!$C$6:$C$125,B42,'Source_Data'!$D$6:$D$125,A42)=1,COUNTIFS('Source_Data'!$B$131:$B$170,B42,'Source_Data'!$C$131:$C$170,A42)=1),"Ready","Missing data")</x:f>
        <x:v>Ready</x:v>
      </x:c>
      <x:c r="AD42" s="2" t="n">
        <x:f>IF('Assumptions'!$D$8="Reported",SUMIFS('Source_Data'!$G$6:$G$125,'Source_Data'!$B$6:$B$125,'Assumptions'!$C$8,'Source_Data'!$C$6:$C$125,B42,'Source_Data'!$D$6:$D$125,A42),SUMIFS('Source_Data'!$N$6:$N$125,'Source_Data'!$B$6:$B$125,'Assumptions'!$C$8,'Source_Data'!$C$6:$C$125,B42,'Source_Data'!$D$6:$D$125,A42))</x:f>
        <x:v>6</x:v>
      </x:c>
      <x:c r="AE42" s="2"/>
      <x:c r="AF42" s="2"/>
    </x:row>
    <x:row r="43" ht="23" customHeight="1">
      <x:c r="A43" s="2" t="str">
        <x:v>62052000</x:v>
      </x:c>
      <x:c r="B43" s="2" t="str">
        <x:v>Sri Lanka</x:v>
      </x:c>
      <x:c r="C43" s="2" t="n">
        <x:f>SUMIFS('Source_Data'!$F$6:$F$125,'Source_Data'!$B$6:$B$125,"FY2025",'Source_Data'!$C$6:$C$125,B43,'Source_Data'!$D$6:$D$125,A43)</x:f>
        <x:v>213562</x:v>
      </x:c>
      <x:c r="D43" s="7" t="n">
        <x:f>C43/SUM(C36:C45)</x:f>
        <x:v>0.025249032746232216</x:v>
      </x:c>
      <x:c r="E43" s="2" t="n">
        <x:f>IF('Assumptions'!$D$8="Reported",SUMIFS('Source_Data'!$E$6:$E$125,'Source_Data'!$B$6:$B$125,'Assumptions'!$C$8,'Source_Data'!$C$6:$C$125,B43,'Source_Data'!$D$6:$D$125,A43),SUMIFS('Source_Data'!$L$6:$L$125,'Source_Data'!$B$6:$B$125,'Assumptions'!$C$8,'Source_Data'!$C$6:$C$125,B43,'Source_Data'!$D$6:$D$125,A43))</x:f>
        <x:v>1556820</x:v>
      </x:c>
      <x:c r="F43" s="2" t="n">
        <x:f>IF('Assumptions'!$D$8="Reported",SUMIFS('Source_Data'!$F$6:$F$125,'Source_Data'!$B$6:$B$125,'Assumptions'!$C$8,'Source_Data'!$C$6:$C$125,B43,'Source_Data'!$D$6:$D$125,A43),SUMIFS('Source_Data'!$M$6:$M$125,'Source_Data'!$B$6:$B$125,'Assumptions'!$C$8,'Source_Data'!$C$6:$C$125,B43,'Source_Data'!$D$6:$D$125,A43))</x:f>
        <x:v>79138</x:v>
      </x:c>
      <x:c r="G43" s="17" t="n">
        <x:f>IF(F43&gt;0,E43/F43,"n.a.")</x:f>
        <x:v>19.67221815057242</x:v>
      </x:c>
      <x:c r="H43" s="7" t="n">
        <x:f>SUMIFS('Source_Data'!$F$131:$F$170,'Source_Data'!$B$131:$B$170,B43,'Source_Data'!$C$131:$C$170,A43)</x:f>
        <x:v>0</x:v>
      </x:c>
      <x:c r="I43" s="7" t="n">
        <x:f>SUMIFS('Source_Data'!$G$131:$G$170,'Source_Data'!$B$131:$B$170,B43,'Source_Data'!$C$131:$C$170,A43)</x:f>
        <x:v>0.12</x:v>
      </x:c>
      <x:c r="J43" s="7" t="n">
        <x:f>IF('Assumptions'!$E$8="MFN all",I43,H43)</x:f>
        <x:v>0</x:v>
      </x:c>
      <x:c r="K43" s="7" t="n">
        <x:f>IF('Assumptions'!$E$8="Eligible",H43,I43)</x:f>
        <x:v>0</x:v>
      </x:c>
      <x:c r="L43" s="17" t="n">
        <x:f>IF(ISNUMBER(G43),G43*(1+J43),0)</x:f>
        <x:v>19.67221815057242</x:v>
      </x:c>
      <x:c r="M43" s="17" t="n">
        <x:f>IF(ISNUMBER(G43),G43*(1+K43),0)</x:f>
        <x:v>19.67221815057242</x:v>
      </x:c>
      <x:c r="N43" s="7" t="n">
        <x:f>0</x:f>
        <x:v>0</x:v>
      </x:c>
      <x:c r="O43" s="7" t="n">
        <x:f>IF(B43="China",-1,N43)</x:f>
        <x:v>0</x:v>
      </x:c>
      <x:c r="P43" s="2" t="n">
        <x:f>IF(B43="China",D43,IF(N43&gt;0,MAX(0,MIN('Assumptions'!$E$5-D43,'Assumptions'!$H$5,IF('Assumptions'!$F$8=1,('Assumptions'!$G$8-1)*D43,1)))/N43,1))</x:f>
        <x:v>1</x:v>
      </x:c>
      <x:c r="Q43" s="7" t="n">
        <x:f>IF(ISNUMBER($I55),$I55*O43,0)</x:f>
        <x:v>0</x:v>
      </x:c>
      <x:c r="R43" s="7" t="n">
        <x:f>D43+Q43</x:f>
        <x:v>0.025249032746232216</x:v>
      </x:c>
      <x:c r="S43" s="17" t="n">
        <x:f>D43*L43</x:f>
        <x:v>0.4967044802748268</x:v>
      </x:c>
      <x:c r="T43" s="17" t="n">
        <x:f>R43*L43</x:f>
        <x:v>0.4967044802748268</x:v>
      </x:c>
      <x:c r="U43" s="17" t="n">
        <x:f>MAX(0,Q43)*(M43*(1+'Assumptions'!$I$8)-L43)</x:f>
        <x:v>0</x:v>
      </x:c>
      <x:c r="V43" s="17" t="n">
        <x:f>MAX(0,Q43)*'Assumptions'!$C$47</x:f>
        <x:v>0</x:v>
      </x:c>
      <x:c r="W43" s="17" t="n">
        <x:f>MAX(0,Q43)*'Assumptions'!$D$47</x:f>
        <x:v>0</x:v>
      </x:c>
      <x:c r="X43" s="17" t="n">
        <x:f>MAX(0,Q43)*M43*(1+'Assumptions'!$I$8)*'Assumptions'!$E$47*'Assumptions'!$F$47/365</x:f>
        <x:v>0</x:v>
      </x:c>
      <x:c r="Y43" s="17" t="n">
        <x:f>SUM(T43:X43)</x:f>
        <x:v>0.4967044802748268</x:v>
      </x:c>
      <x:c r="Z43" s="17" t="n">
        <x:f>D43^2*10000</x:f>
        <x:v>6.375136546203068</x:v>
      </x:c>
      <x:c r="AA43" s="17" t="n">
        <x:f>R43^2*10000</x:f>
        <x:v>6.375136546203068</x:v>
      </x:c>
      <x:c r="AB43" s="24" t="n">
        <x:f>IF(N43&gt;0,IF(D43&gt;0,R43/D43,IF(R43=0,0,"n.a.")),0)</x:f>
        <x:v>0</x:v>
      </x:c>
      <x:c r="AC43" s="2" t="str">
        <x:f>IF(AND(C43&gt;=0,E43&gt;0,F43&gt;0,COUNTIFS('Source_Data'!$B$6:$B$125,'Assumptions'!$C$8,'Source_Data'!$C$6:$C$125,B43,'Source_Data'!$D$6:$D$125,A43)=1,COUNTIFS('Source_Data'!$B$131:$B$170,B43,'Source_Data'!$C$131:$C$170,A43)=1),"Ready","Missing data")</x:f>
        <x:v>Ready</x:v>
      </x:c>
      <x:c r="AD43" s="2" t="n">
        <x:f>IF('Assumptions'!$D$8="Reported",SUMIFS('Source_Data'!$G$6:$G$125,'Source_Data'!$B$6:$B$125,'Assumptions'!$C$8,'Source_Data'!$C$6:$C$125,B43,'Source_Data'!$D$6:$D$125,A43),SUMIFS('Source_Data'!$N$6:$N$125,'Source_Data'!$B$6:$B$125,'Assumptions'!$C$8,'Source_Data'!$C$6:$C$125,B43,'Source_Data'!$D$6:$D$125,A43))</x:f>
        <x:v>6</x:v>
      </x:c>
      <x:c r="AE43" s="2"/>
      <x:c r="AF43" s="2"/>
    </x:row>
    <x:row r="44" ht="23" customHeight="1">
      <x:c r="A44" s="2" t="str">
        <x:v>62052000</x:v>
      </x:c>
      <x:c r="B44" s="2" t="str">
        <x:v>Turkey</x:v>
      </x:c>
      <x:c r="C44" s="2" t="n">
        <x:f>SUMIFS('Source_Data'!$F$6:$F$125,'Source_Data'!$B$6:$B$125,"FY2025",'Source_Data'!$C$6:$C$125,B44,'Source_Data'!$D$6:$D$125,A44)</x:f>
        <x:v>343310</x:v>
      </x:c>
      <x:c r="D44" s="7" t="n">
        <x:f>C44/SUM(C36:C45)</x:f>
        <x:v>0.040588894241995216</x:v>
      </x:c>
      <x:c r="E44" s="2" t="n">
        <x:f>IF('Assumptions'!$D$8="Reported",SUMIFS('Source_Data'!$E$6:$E$125,'Source_Data'!$B$6:$B$125,'Assumptions'!$C$8,'Source_Data'!$C$6:$C$125,B44,'Source_Data'!$D$6:$D$125,A44),SUMIFS('Source_Data'!$L$6:$L$125,'Source_Data'!$B$6:$B$125,'Assumptions'!$C$8,'Source_Data'!$C$6:$C$125,B44,'Source_Data'!$D$6:$D$125,A44))</x:f>
        <x:v>5825379</x:v>
      </x:c>
      <x:c r="F44" s="2" t="n">
        <x:f>IF('Assumptions'!$D$8="Reported",SUMIFS('Source_Data'!$F$6:$F$125,'Source_Data'!$B$6:$B$125,'Assumptions'!$C$8,'Source_Data'!$C$6:$C$125,B44,'Source_Data'!$D$6:$D$125,A44),SUMIFS('Source_Data'!$M$6:$M$125,'Source_Data'!$B$6:$B$125,'Assumptions'!$C$8,'Source_Data'!$C$6:$C$125,B44,'Source_Data'!$D$6:$D$125,A44))</x:f>
        <x:v>147992</x:v>
      </x:c>
      <x:c r="G44" s="17" t="n">
        <x:f>IF(F44&gt;0,E44/F44,"n.a.")</x:f>
        <x:v>39.36279663765609</x:v>
      </x:c>
      <x:c r="H44" s="7" t="n">
        <x:f>SUMIFS('Source_Data'!$F$131:$F$170,'Source_Data'!$B$131:$B$170,B44,'Source_Data'!$C$131:$C$170,A44)</x:f>
        <x:v>0</x:v>
      </x:c>
      <x:c r="I44" s="7" t="n">
        <x:f>SUMIFS('Source_Data'!$G$131:$G$170,'Source_Data'!$B$131:$B$170,B44,'Source_Data'!$C$131:$C$170,A44)</x:f>
        <x:v>0.12</x:v>
      </x:c>
      <x:c r="J44" s="7" t="n">
        <x:f>IF('Assumptions'!$E$8="MFN all",I44,H44)</x:f>
        <x:v>0</x:v>
      </x:c>
      <x:c r="K44" s="7" t="n">
        <x:f>IF('Assumptions'!$E$8="Eligible",H44,I44)</x:f>
        <x:v>0</x:v>
      </x:c>
      <x:c r="L44" s="17" t="n">
        <x:f>IF(ISNUMBER(G44),G44*(1+J44),0)</x:f>
        <x:v>39.36279663765609</x:v>
      </x:c>
      <x:c r="M44" s="17" t="n">
        <x:f>IF(ISNUMBER(G44),G44*(1+K44),0)</x:f>
        <x:v>39.36279663765609</x:v>
      </x:c>
      <x:c r="N44" s="7" t="n">
        <x:f>SUMIFS('Assumptions'!$D$52:$D$75,'Assumptions'!$A$52:$A$75,'Assumptions'!$J$8,'Assumptions'!$B$52:$B$75,A44)</x:f>
        <x:v>0.25</x:v>
      </x:c>
      <x:c r="O44" s="7" t="n">
        <x:f>IF(B44="China",-1,N44)</x:f>
        <x:v>0.25</x:v>
      </x:c>
      <x:c r="P44" s="2" t="n">
        <x:f>IF(B44="China",D44,IF(N44&gt;0,MAX(0,MIN('Assumptions'!$E$5-D44,'Assumptions'!$H$5,IF('Assumptions'!$F$8=1,('Assumptions'!$G$8-1)*D44,1)))/N44,1))</x:f>
        <x:v>0.3247111539359617</x:v>
      </x:c>
      <x:c r="Q44" s="7" t="n">
        <x:f>IF(ISNUMBER($I55),$I55*O44,0)</x:f>
        <x:v>0.01728997514253877</x:v>
      </x:c>
      <x:c r="R44" s="7" t="n">
        <x:f>D44+Q44</x:f>
        <x:v>0.05787886938453399</x:v>
      </x:c>
      <x:c r="S44" s="17" t="n">
        <x:f>D44*L44</x:f>
        <x:v>1.597692389794988</x:v>
      </x:c>
      <x:c r="T44" s="17" t="n">
        <x:f>R44*L44</x:f>
        <x:v>2.2782741652008704</x:v>
      </x:c>
      <x:c r="U44" s="17" t="n">
        <x:f>MAX(0,Q44)*(M44*(1+'Assumptions'!$I$8)-L44)</x:f>
        <x:v>0</x:v>
      </x:c>
      <x:c r="V44" s="17" t="n">
        <x:f>MAX(0,Q44)*'Assumptions'!$C$47</x:f>
        <x:v>0</x:v>
      </x:c>
      <x:c r="W44" s="17" t="n">
        <x:f>MAX(0,Q44)*'Assumptions'!$D$47</x:f>
        <x:v>0</x:v>
      </x:c>
      <x:c r="X44" s="17" t="n">
        <x:f>MAX(0,Q44)*M44*(1+'Assumptions'!$I$8)*'Assumptions'!$E$47*'Assumptions'!$F$47/365</x:f>
        <x:v>0</x:v>
      </x:c>
      <x:c r="Y44" s="17" t="n">
        <x:f>SUM(T44:X44)</x:f>
        <x:v>2.2782741652008704</x:v>
      </x:c>
      <x:c r="Z44" s="17" t="n">
        <x:f>D44^2*10000</x:f>
        <x:v>16.474583357878725</x:v>
      </x:c>
      <x:c r="AA44" s="17" t="n">
        <x:f>R44^2*10000</x:f>
        <x:v>33.499635212319454</x:v>
      </x:c>
      <x:c r="AB44" s="24" t="n">
        <x:f>IF(N44&gt;0,IF(D44&gt;0,R44/D44,IF(R44=0,0,"n.a.")),0)</x:f>
        <x:v>1.4259779790859572</x:v>
      </x:c>
      <x:c r="AC44" s="2" t="str">
        <x:f>IF(AND(C44&gt;=0,E44&gt;0,F44&gt;0,COUNTIFS('Source_Data'!$B$6:$B$125,'Assumptions'!$C$8,'Source_Data'!$C$6:$C$125,B44,'Source_Data'!$D$6:$D$125,A44)=1,COUNTIFS('Source_Data'!$B$131:$B$170,B44,'Source_Data'!$C$131:$C$170,A44)=1),"Ready","Missing data")</x:f>
        <x:v>Ready</x:v>
      </x:c>
      <x:c r="AD44" s="2" t="n">
        <x:f>IF('Assumptions'!$D$8="Reported",SUMIFS('Source_Data'!$G$6:$G$125,'Source_Data'!$B$6:$B$125,'Assumptions'!$C$8,'Source_Data'!$C$6:$C$125,B44,'Source_Data'!$D$6:$D$125,A44),SUMIFS('Source_Data'!$N$6:$N$125,'Source_Data'!$B$6:$B$125,'Assumptions'!$C$8,'Source_Data'!$C$6:$C$125,B44,'Source_Data'!$D$6:$D$125,A44))</x:f>
        <x:v>6</x:v>
      </x:c>
      <x:c r="AE44" s="2"/>
      <x:c r="AF44" s="2"/>
    </x:row>
    <x:row r="45" ht="23" customHeight="1">
      <x:c r="A45" s="2" t="str">
        <x:v>62052000</x:v>
      </x:c>
      <x:c r="B45" s="2" t="str">
        <x:v>Vietnam</x:v>
      </x:c>
      <x:c r="C45" s="2" t="n">
        <x:f>SUMIFS('Source_Data'!$F$6:$F$125,'Source_Data'!$B$6:$B$125,"FY2025",'Source_Data'!$C$6:$C$125,B45,'Source_Data'!$D$6:$D$125,A45)</x:f>
        <x:v>440294</x:v>
      </x:c>
      <x:c r="D45" s="7" t="n">
        <x:f>C45/SUM(C36:C45)</x:f>
        <x:v>0.05205512977013499</x:v>
      </x:c>
      <x:c r="E45" s="2" t="n">
        <x:f>IF('Assumptions'!$D$8="Reported",SUMIFS('Source_Data'!$E$6:$E$125,'Source_Data'!$B$6:$B$125,'Assumptions'!$C$8,'Source_Data'!$C$6:$C$125,B45,'Source_Data'!$D$6:$D$125,A45),SUMIFS('Source_Data'!$L$6:$L$125,'Source_Data'!$B$6:$B$125,'Assumptions'!$C$8,'Source_Data'!$C$6:$C$125,B45,'Source_Data'!$D$6:$D$125,A45))</x:f>
        <x:v>5885338</x:v>
      </x:c>
      <x:c r="F45" s="2" t="n">
        <x:f>IF('Assumptions'!$D$8="Reported",SUMIFS('Source_Data'!$F$6:$F$125,'Source_Data'!$B$6:$B$125,'Assumptions'!$C$8,'Source_Data'!$C$6:$C$125,B45,'Source_Data'!$D$6:$D$125,A45),SUMIFS('Source_Data'!$M$6:$M$125,'Source_Data'!$B$6:$B$125,'Assumptions'!$C$8,'Source_Data'!$C$6:$C$125,B45,'Source_Data'!$D$6:$D$125,A45))</x:f>
        <x:v>196825</x:v>
      </x:c>
      <x:c r="G45" s="17" t="n">
        <x:f>IF(F45&gt;0,E45/F45,"n.a.")</x:f>
        <x:v>29.90137431728693</x:v>
      </x:c>
      <x:c r="H45" s="7" t="n">
        <x:f>SUMIFS('Source_Data'!$F$131:$F$170,'Source_Data'!$B$131:$B$170,B45,'Source_Data'!$C$131:$C$170,A45)</x:f>
        <x:v>0</x:v>
      </x:c>
      <x:c r="I45" s="7" t="n">
        <x:f>SUMIFS('Source_Data'!$G$131:$G$170,'Source_Data'!$B$131:$B$170,B45,'Source_Data'!$C$131:$C$170,A45)</x:f>
        <x:v>0.12</x:v>
      </x:c>
      <x:c r="J45" s="7" t="n">
        <x:f>IF('Assumptions'!$E$8="MFN all",I45,H45)</x:f>
        <x:v>0</x:v>
      </x:c>
      <x:c r="K45" s="7" t="n">
        <x:f>IF('Assumptions'!$E$8="Eligible",H45,I45)</x:f>
        <x:v>0</x:v>
      </x:c>
      <x:c r="L45" s="17" t="n">
        <x:f>IF(ISNUMBER(G45),G45*(1+J45),0)</x:f>
        <x:v>29.90137431728693</x:v>
      </x:c>
      <x:c r="M45" s="17" t="n">
        <x:f>IF(ISNUMBER(G45),G45*(1+K45),0)</x:f>
        <x:v>29.90137431728693</x:v>
      </x:c>
      <x:c r="N45" s="7" t="n">
        <x:f>SUMIFS('Assumptions'!$E$52:$E$75,'Assumptions'!$A$52:$A$75,'Assumptions'!$J$8,'Assumptions'!$B$52:$B$75,A45)</x:f>
        <x:v>0.25</x:v>
      </x:c>
      <x:c r="O45" s="7" t="n">
        <x:f>IF(B45="China",-1,N45)</x:f>
        <x:v>0.25</x:v>
      </x:c>
      <x:c r="P45" s="2" t="n">
        <x:f>IF(B45="China",D45,IF(N45&gt;0,MAX(0,MIN('Assumptions'!$E$5-D45,'Assumptions'!$H$5,IF('Assumptions'!$F$8=1,('Assumptions'!$G$8-1)*D45,1)))/N45,1))</x:f>
        <x:v>0.4</x:v>
      </x:c>
      <x:c r="Q45" s="7" t="n">
        <x:f>IF(ISNUMBER($I55),$I55*O45,0)</x:f>
        <x:v>0.01728997514253877</x:v>
      </x:c>
      <x:c r="R45" s="7" t="n">
        <x:f>D45+Q45</x:f>
        <x:v>0.06934510491267376</x:v>
      </x:c>
      <x:c r="S45" s="17" t="n">
        <x:f>D45*L45</x:f>
        <x:v>1.5565199203917526</x:v>
      </x:c>
      <x:c r="T45" s="17" t="n">
        <x:f>R45*L45</x:f>
        <x:v>2.073513939065391</x:v>
      </x:c>
      <x:c r="U45" s="17" t="n">
        <x:f>MAX(0,Q45)*(M45*(1+'Assumptions'!$I$8)-L45)</x:f>
        <x:v>0</x:v>
      </x:c>
      <x:c r="V45" s="17" t="n">
        <x:f>MAX(0,Q45)*'Assumptions'!$C$47</x:f>
        <x:v>0</x:v>
      </x:c>
      <x:c r="W45" s="17" t="n">
        <x:f>MAX(0,Q45)*'Assumptions'!$D$47</x:f>
        <x:v>0</x:v>
      </x:c>
      <x:c r="X45" s="17" t="n">
        <x:f>MAX(0,Q45)*M45*(1+'Assumptions'!$I$8)*'Assumptions'!$E$47*'Assumptions'!$F$47/365</x:f>
        <x:v>0</x:v>
      </x:c>
      <x:c r="Y45" s="17" t="n">
        <x:f>SUM(T45:X45)</x:f>
        <x:v>2.073513939065391</x:v>
      </x:c>
      <x:c r="Z45" s="17" t="n">
        <x:f>D45^2*10000</x:f>
        <x:v>27.09736535385594</x:v>
      </x:c>
      <x:c r="AA45" s="17" t="n">
        <x:f>R45^2*10000</x:f>
        <x:v>48.0874357534973</x:v>
      </x:c>
      <x:c r="AB45" s="24" t="n">
        <x:f>IF(N45&gt;0,IF(D45&gt;0,R45/D45,IF(R45=0,0,"n.a.")),0)</x:f>
        <x:v>1.3321473833393143</x:v>
      </x:c>
      <x:c r="AC45" s="2" t="str">
        <x:f>IF(AND(C45&gt;=0,E45&gt;0,F45&gt;0,COUNTIFS('Source_Data'!$B$6:$B$125,'Assumptions'!$C$8,'Source_Data'!$C$6:$C$125,B45,'Source_Data'!$D$6:$D$125,A45)=1,COUNTIFS('Source_Data'!$B$131:$B$170,B45,'Source_Data'!$C$131:$C$170,A45)=1),"Ready","Missing data")</x:f>
        <x:v>Ready</x:v>
      </x:c>
      <x:c r="AD45" s="2" t="n">
        <x:f>IF('Assumptions'!$D$8="Reported",SUMIFS('Source_Data'!$G$6:$G$125,'Source_Data'!$B$6:$B$125,'Assumptions'!$C$8,'Source_Data'!$C$6:$C$125,B45,'Source_Data'!$D$6:$D$125,A45),SUMIFS('Source_Data'!$N$6:$N$125,'Source_Data'!$B$6:$B$125,'Assumptions'!$C$8,'Source_Data'!$C$6:$C$125,B45,'Source_Data'!$D$6:$D$125,A45))</x:f>
        <x:v>6</x:v>
      </x:c>
      <x:c r="AE45" s="2"/>
      <x:c r="AF45" s="2"/>
    </x:row>
    <x:row r="46" ht="23" customHeight="1">
      <x:c r="A46" s="2"/>
      <x:c r="B46" s="2"/>
      <x:c r="C46" s="2"/>
      <x:c r="D46" s="2"/>
      <x:c r="E46" s="2"/>
      <x:c r="F46" s="2"/>
      <x:c r="G46" s="2"/>
      <x:c r="H46" s="2"/>
      <x:c r="I46" s="2"/>
      <x:c r="J46" s="2"/>
      <x:c r="K46" s="2"/>
      <x:c r="L46" s="2"/>
      <x:c r="M46" s="2"/>
      <x:c r="N46" s="2"/>
      <x:c r="O46" s="2"/>
      <x:c r="P46" s="2"/>
      <x:c r="Q46" s="2"/>
      <x:c r="R46" s="2"/>
      <x:c r="S46" s="2"/>
      <x:c r="T46" s="2"/>
      <x:c r="U46" s="2"/>
      <x:c r="V46" s="2"/>
      <x:c r="W46" s="2"/>
      <x:c r="X46" s="2"/>
      <x:c r="Y46" s="2"/>
      <x:c r="Z46" s="2"/>
      <x:c r="AA46" s="2"/>
      <x:c r="AB46" s="2"/>
      <x:c r="AC46" s="2"/>
      <x:c r="AD46" s="2"/>
      <x:c r="AE46" s="2"/>
      <x:c r="AF46" s="2"/>
    </x:row>
    <x:row r="47" ht="23" customHeight="1">
      <x:c r="A47" s="2"/>
      <x:c r="B47" s="2"/>
      <x:c r="C47" s="2"/>
      <x:c r="D47" s="2"/>
      <x:c r="E47" s="2"/>
      <x:c r="F47" s="2"/>
      <x:c r="G47" s="2"/>
      <x:c r="H47" s="2"/>
      <x:c r="I47" s="2"/>
      <x:c r="J47" s="2"/>
      <x:c r="K47" s="2"/>
      <x:c r="L47" s="2"/>
      <x:c r="M47" s="2"/>
      <x:c r="N47" s="2"/>
      <x:c r="O47" s="2"/>
      <x:c r="P47" s="2"/>
      <x:c r="Q47" s="2"/>
      <x:c r="R47" s="2"/>
      <x:c r="S47" s="2"/>
      <x:c r="T47" s="2"/>
      <x:c r="U47" s="2"/>
      <x:c r="V47" s="2"/>
      <x:c r="W47" s="2"/>
      <x:c r="X47" s="2"/>
      <x:c r="Y47" s="2"/>
      <x:c r="Z47" s="2"/>
      <x:c r="AA47" s="2"/>
      <x:c r="AB47" s="2"/>
      <x:c r="AC47" s="2"/>
      <x:c r="AD47" s="2"/>
      <x:c r="AE47" s="2"/>
      <x:c r="AF47" s="2"/>
    </x:row>
    <x:row r="48" ht="23" customHeight="1">
      <x:c r="A48" s="2"/>
      <x:c r="B48" s="2"/>
      <x:c r="C48" s="2"/>
      <x:c r="D48" s="2"/>
      <x:c r="E48" s="2"/>
      <x:c r="F48" s="2"/>
      <x:c r="G48" s="2"/>
      <x:c r="H48" s="2"/>
      <x:c r="I48" s="2"/>
      <x:c r="J48" s="2"/>
      <x:c r="K48" s="2"/>
      <x:c r="L48" s="2"/>
      <x:c r="M48" s="2"/>
      <x:c r="N48" s="2"/>
      <x:c r="O48" s="2"/>
      <x:c r="P48" s="2"/>
      <x:c r="Q48" s="2"/>
      <x:c r="R48" s="2"/>
      <x:c r="S48" s="2"/>
      <x:c r="T48" s="2"/>
      <x:c r="U48" s="2"/>
      <x:c r="V48" s="2"/>
      <x:c r="W48" s="2"/>
      <x:c r="X48" s="2"/>
      <x:c r="Y48" s="2"/>
      <x:c r="Z48" s="2"/>
      <x:c r="AA48" s="2"/>
      <x:c r="AB48" s="2"/>
      <x:c r="AC48" s="2"/>
      <x:c r="AD48" s="2"/>
      <x:c r="AE48" s="2"/>
      <x:c r="AF48" s="2"/>
    </x:row>
    <x:row r="49" ht="23" customHeight="1">
      <x:c r="A49" s="2"/>
      <x:c r="B49" s="2"/>
      <x:c r="C49" s="2"/>
      <x:c r="D49" s="2"/>
      <x:c r="E49" s="2"/>
      <x:c r="F49" s="2"/>
      <x:c r="G49" s="2"/>
      <x:c r="H49" s="2"/>
      <x:c r="I49" s="2"/>
      <x:c r="J49" s="2"/>
      <x:c r="K49" s="2"/>
      <x:c r="L49" s="2"/>
      <x:c r="M49" s="2"/>
      <x:c r="N49" s="2"/>
      <x:c r="O49" s="2"/>
      <x:c r="P49" s="2"/>
      <x:c r="Q49" s="2"/>
      <x:c r="R49" s="2"/>
      <x:c r="S49" s="2"/>
      <x:c r="T49" s="2"/>
      <x:c r="U49" s="2"/>
      <x:c r="V49" s="2"/>
      <x:c r="W49" s="2"/>
      <x:c r="X49" s="2"/>
      <x:c r="Y49" s="2"/>
      <x:c r="Z49" s="2"/>
      <x:c r="AA49" s="2"/>
      <x:c r="AB49" s="2"/>
      <x:c r="AC49" s="2"/>
      <x:c r="AD49" s="2"/>
      <x:c r="AE49" s="2"/>
      <x:c r="AF49" s="2"/>
    </x:row>
    <x:row r="50" ht="23" customHeight="1">
      <x:c r="A50" s="2"/>
      <x:c r="B50" s="2"/>
      <x:c r="C50" s="2"/>
      <x:c r="D50" s="2"/>
      <x:c r="E50" s="2"/>
      <x:c r="F50" s="2"/>
      <x:c r="G50" s="2"/>
      <x:c r="H50" s="2"/>
      <x:c r="I50" s="2"/>
      <x:c r="J50" s="2"/>
      <x:c r="K50" s="2"/>
      <x:c r="L50" s="2"/>
      <x:c r="M50" s="2"/>
      <x:c r="N50" s="2"/>
      <x:c r="O50" s="2"/>
      <x:c r="P50" s="2"/>
      <x:c r="Q50" s="2"/>
      <x:c r="R50" s="2"/>
      <x:c r="S50" s="2"/>
      <x:c r="T50" s="2"/>
      <x:c r="U50" s="2"/>
      <x:c r="V50" s="2"/>
      <x:c r="W50" s="2"/>
      <x:c r="X50" s="2"/>
      <x:c r="Y50" s="2"/>
      <x:c r="Z50" s="2"/>
      <x:c r="AA50" s="2"/>
      <x:c r="AB50" s="2"/>
      <x:c r="AC50" s="2"/>
      <x:c r="AD50" s="2"/>
      <x:c r="AE50" s="2"/>
      <x:c r="AF50" s="2"/>
    </x:row>
    <x:row r="51" ht="42" customHeight="1">
      <x:c r="A51" s="11" t="str">
        <x:v>CN8</x:v>
      </x:c>
      <x:c r="B51" s="11" t="str">
        <x:v>China baseline</x:v>
      </x:c>
      <x:c r="C51" s="11" t="str">
        <x:v>Baseline £/kg</x:v>
      </x:c>
      <x:c r="D51" s="11" t="str">
        <x:v>China £/kg</x:v>
      </x:c>
      <x:c r="E51" s="11" t="str">
        <x:v>Receiver £/kg</x:v>
      </x:c>
      <x:c r="F51" s="11" t="str">
        <x:v>Receiver UV £/kg</x:v>
      </x:c>
      <x:c r="G51" s="11" t="str">
        <x:v>Shift limit</x:v>
      </x:c>
      <x:c r="H51" s="11" t="str">
        <x:v>Requested shift</x:v>
      </x:c>
      <x:c r="I51" s="11" t="str">
        <x:v>Actual shift</x:v>
      </x:c>
      <x:c r="J51" s="11" t="str">
        <x:v>New cost £/kg</x:v>
      </x:c>
      <x:c r="K51" s="11" t="str">
        <x:v>Cost change</x:v>
      </x:c>
      <x:c r="L51" s="11" t="str">
        <x:v>Baseline HHI</x:v>
      </x:c>
      <x:c r="M51" s="11" t="str">
        <x:v>HHI change</x:v>
      </x:c>
      <x:c r="N51" s="11" t="str">
        <x:v>Max receiver multiple</x:v>
      </x:c>
      <x:c r="O51" s="11" t="str">
        <x:v>Operational headroom £/kg</x:v>
      </x:c>
      <x:c r="P51" s="11" t="str">
        <x:v>Premium threshold</x:v>
      </x:c>
      <x:c r="Q51" s="11" t="str">
        <x:v>Extra duty threshold</x:v>
      </x:c>
      <x:c r="R51" s="11" t="str">
        <x:v>Extra days threshold</x:v>
      </x:c>
      <x:c r="S51" s="11" t="str">
        <x:v>Transition headroom £/kg</x:v>
      </x:c>
      <x:c r="T51" s="11" t="str">
        <x:v>Input status</x:v>
      </x:c>
      <x:c r="U51" s="11" t="str">
        <x:v>Release</x:v>
      </x:c>
      <x:c r="V51" s="2"/>
      <x:c r="W51" s="2"/>
      <x:c r="X51" s="2"/>
      <x:c r="Y51" s="2"/>
      <x:c r="Z51" s="2"/>
      <x:c r="AA51" s="2"/>
      <x:c r="AB51" s="2"/>
      <x:c r="AC51" s="2"/>
      <x:c r="AD51" s="2"/>
      <x:c r="AE51" s="2"/>
      <x:c r="AF51" s="2"/>
    </x:row>
    <x:row r="52" ht="23" customHeight="1">
      <x:c r="A52" s="2" t="str">
        <x:v>61091000</x:v>
      </x:c>
      <x:c r="B52" s="7" t="n">
        <x:f>D8</x:f>
        <x:v>0.032221226763006934</x:v>
      </x:c>
      <x:c r="C52" s="17" t="n">
        <x:f>SUM(S6:S15)</x:f>
        <x:v>12.348136087104898</x:v>
      </x:c>
      <x:c r="D52" s="17" t="n">
        <x:f>L8</x:f>
        <x:v>18.949537501993287</x:v>
      </x:c>
      <x:c r="E52" s="17" t="n">
        <x:f>SUMPRODUCT(N6:N15,M6:M15)</x:f>
        <x:v>18.62523201506167</x:v>
      </x:c>
      <x:c r="F52" s="17" t="n">
        <x:f>SUMPRODUCT(N6:N15,G6:G15)</x:f>
        <x:v>18.62523201506167</x:v>
      </x:c>
      <x:c r="G52" s="7" t="n">
        <x:f>MIN(P6:P15)</x:f>
        <x:v>0.032221226763006934</x:v>
      </x:c>
      <x:c r="H52" s="7" t="n">
        <x:f>'Assumptions'!$H$8*SUMIFS('Assumptions'!$F$52:$F$75,'Assumptions'!$A$52:$A$75,'Assumptions'!$J$8,'Assumptions'!$B$52:$B$75,A52)</x:f>
        <x:v>0.1</x:v>
      </x:c>
      <x:c r="I52" s="7" t="n">
        <x:f>IF(T52="Ready",MIN(G52,H52),"n.a.")</x:f>
        <x:v>0.032221226763006934</x:v>
      </x:c>
      <x:c r="J52" s="17" t="n">
        <x:f>IF(T52="Ready",SUM(Y6:Y15),"n.a.")</x:f>
        <x:v>12.337686566469987</x:v>
      </x:c>
      <x:c r="K52" s="7" t="n">
        <x:f>IF(T52="Ready",J52/C52-1,"n.a.")</x:f>
        <x:v>-0.0008462427496100933</x:v>
      </x:c>
      <x:c r="L52" s="17" t="n">
        <x:f>SUM(Z6:Z15)</x:f>
        <x:v>3817.683770684208</x:v>
      </x:c>
      <x:c r="M52" s="17" t="n">
        <x:f>IF(T52="Ready",SUM(AA6:AA15)-L52,"n.a.")</x:f>
        <x:v>39.567478091494195</x:v>
      </x:c>
      <x:c r="N52" s="24" t="n">
        <x:f>IF(T52="Ready",MAX(AB6:AB15),"n.a.")</x:f>
        <x:v>1.5193994950781227</x:v>
      </x:c>
      <x:c r="O52" s="17" t="n">
        <x:f>IF(T52="Ready",D52-E52*(1+'Assumptions'!$I$8),"n.a.")</x:f>
        <x:v>0.32430548693161754</x:v>
      </x:c>
      <x:c r="P52" s="7" t="n">
        <x:f>IF(T52="Ready",(D52-'Assumptions'!$C$47-'Assumptions'!$D$47)/(E52*(1+'Assumptions'!$E$47*'Assumptions'!$F$47/365))-1,"n.a.")</x:f>
        <x:v>0.0174121582308</x:v>
      </x:c>
      <x:c r="Q52" s="7" t="n">
        <x:f>IF(T52="Ready",((D52-'Assumptions'!$C$47-'Assumptions'!$D$47)/((1+'Assumptions'!$I$8)*(1+'Assumptions'!$E$47*'Assumptions'!$F$47/365))-E52)/F52,"n.a.")</x:f>
        <x:v>0.0174121582308001</x:v>
      </x:c>
      <x:c r="R52" s="17" t="n">
        <x:f>IF(T52&lt;&gt;"Ready","n.a.",IF(OR('Assumptions'!$E$47=0,D52-'Assumptions'!$C$47-'Assumptions'!$D$47&lt;E52*(1+'Assumptions'!$I$8)),"n.a.",(D52-'Assumptions'!$C$47-'Assumptions'!$D$47-E52*(1+'Assumptions'!$I$8))/(E52*(1+'Assumptions'!$I$8)*'Assumptions'!$E$47)*365))</x:f>
        <x:v>42.36958502828024</x:v>
      </x:c>
      <x:c r="S52" s="17" t="n">
        <x:f>IF(T52="Ready",D52-E52*(1+'Assumptions'!$I$8)*(1+'Assumptions'!$E$47*'Assumptions'!$F$47/365)-'Assumptions'!$C$47,"n.a.")</x:f>
        <x:v>0.32430548693161754</x:v>
      </x:c>
      <x:c r="T52" s="2" t="str">
        <x:f>IF(AND('Assumptions'!$L$8="Valid",COUNTIFS(AC6:AC15,"Ready")=10,ABS(SUM(N6:N15)-1)&lt;0.000000001,MIN(N6:N15)&gt;=0,H52&gt;=0,H52&lt;=1),"Ready","Invalid inputs")</x:f>
        <x:v>Ready</x:v>
      </x:c>
      <x:c r="U52" s="2" t="str">
        <x:v>Hold</x:v>
      </x:c>
      <x:c r="V52" s="2"/>
      <x:c r="W52" s="2"/>
      <x:c r="X52" s="2"/>
      <x:c r="Y52" s="2"/>
      <x:c r="Z52" s="2"/>
      <x:c r="AA52" s="2"/>
      <x:c r="AB52" s="2"/>
      <x:c r="AC52" s="2"/>
      <x:c r="AD52" s="2"/>
      <x:c r="AE52" s="2"/>
      <x:c r="AF52" s="2"/>
    </x:row>
    <x:row r="53" ht="23" customHeight="1">
      <x:c r="A53" s="2" t="str">
        <x:v>61103099</x:v>
      </x:c>
      <x:c r="B53" s="7" t="n">
        <x:f>D18</x:f>
        <x:v>0.3661327533481963</x:v>
      </x:c>
      <x:c r="C53" s="17" t="n">
        <x:f>SUM(S16:S25)</x:f>
        <x:v>13.877869791174277</x:v>
      </x:c>
      <x:c r="D53" s="17" t="n">
        <x:f>L18</x:f>
        <x:v>19.111045868633756</x:v>
      </x:c>
      <x:c r="E53" s="17" t="n">
        <x:f>SUMPRODUCT(N16:N25,M16:M25)</x:f>
        <x:v>14.574085580773765</x:v>
      </x:c>
      <x:c r="F53" s="17" t="n">
        <x:f>SUMPRODUCT(N16:N25,G16:G25)</x:f>
        <x:v>14.574085580773765</x:v>
      </x:c>
      <x:c r="G53" s="7" t="n">
        <x:f>MIN(P16:P25)</x:f>
        <x:v>0.014153298257653319</x:v>
      </x:c>
      <x:c r="H53" s="7" t="n">
        <x:f>'Assumptions'!$H$8*SUMIFS('Assumptions'!$F$52:$F$75,'Assumptions'!$A$52:$A$75,'Assumptions'!$J$8,'Assumptions'!$B$52:$B$75,A53)</x:f>
        <x:v>0.1</x:v>
      </x:c>
      <x:c r="I53" s="7" t="n">
        <x:f>IF(T53="Ready",MIN(G53,H53),"n.a.")</x:f>
        <x:v>0.014153298257653319</x:v>
      </x:c>
      <x:c r="J53" s="17" t="n">
        <x:f>IF(T53="Ready",SUM(Y16:Y25),"n.a.")</x:f>
        <x:v>13.813656839037067</x:v>
      </x:c>
      <x:c r="K53" s="7" t="n">
        <x:f>IF(T53="Ready",J53/C53-1,"n.a.")</x:f>
        <x:v>-0.004627003502947313</x:v>
      </x:c>
      <x:c r="L53" s="17" t="n">
        <x:f>SUM(Z16:Z25)</x:f>
        <x:v>2674.7898577448</x:v>
      </x:c>
      <x:c r="M53" s="17" t="n">
        <x:f>IF(T53="Ready",SUM(AA16:AA25)-L53,"n.a.")</x:f>
        <x:v>-88.19322957670738</x:v>
      </x:c>
      <x:c r="N53" s="24" t="n">
        <x:f>IF(T53="Ready",MAX(AB16:AB25),"n.a.")</x:f>
        <x:v>3</x:v>
      </x:c>
      <x:c r="O53" s="17" t="n">
        <x:f>IF(T53="Ready",D53-E53*(1+'Assumptions'!$I$8),"n.a.")</x:f>
        <x:v>4.536960287859991</x:v>
      </x:c>
      <x:c r="P53" s="7" t="n">
        <x:f>IF(T53="Ready",(D53-'Assumptions'!$C$47-'Assumptions'!$D$47)/(E53*(1+'Assumptions'!$E$47*'Assumptions'!$F$47/365))-1,"n.a.")</x:f>
        <x:v>0.3113032555431938</x:v>
      </x:c>
      <x:c r="Q53" s="7" t="n">
        <x:f>IF(T53="Ready",((D53-'Assumptions'!$C$47-'Assumptions'!$D$47)/((1+'Assumptions'!$I$8)*(1+'Assumptions'!$E$47*'Assumptions'!$F$47/365))-E53)/F53,"n.a.")</x:f>
        <x:v>0.31130325554319377</x:v>
      </x:c>
      <x:c r="R53" s="17" t="n">
        <x:f>IF(T53&lt;&gt;"Ready","n.a.",IF(OR('Assumptions'!$E$47=0,D53-'Assumptions'!$C$47-'Assumptions'!$D$47&lt;E53*(1+'Assumptions'!$I$8)),"n.a.",(D53-'Assumptions'!$C$47-'Assumptions'!$D$47-E53*(1+'Assumptions'!$I$8))/(E53*(1+'Assumptions'!$I$8)*'Assumptions'!$E$47)*365))</x:f>
        <x:v>757.5045884884382</x:v>
      </x:c>
      <x:c r="S53" s="17" t="n">
        <x:f>IF(T53="Ready",D53-E53*(1+'Assumptions'!$I$8)*(1+'Assumptions'!$E$47*'Assumptions'!$F$47/365)-'Assumptions'!$C$47,"n.a.")</x:f>
        <x:v>4.536960287859991</x:v>
      </x:c>
      <x:c r="T53" s="2" t="str">
        <x:f>IF(AND('Assumptions'!$L$8="Valid",COUNTIFS(AC16:AC25,"Ready")=10,ABS(SUM(N16:N25)-1)&lt;0.000000001,MIN(N16:N25)&gt;=0,H53&gt;=0,H53&lt;=1),"Ready","Invalid inputs")</x:f>
        <x:v>Ready</x:v>
      </x:c>
      <x:c r="U53" s="2" t="str">
        <x:v>Hold</x:v>
      </x:c>
      <x:c r="V53" s="2"/>
      <x:c r="W53" s="2"/>
      <x:c r="X53" s="2"/>
      <x:c r="Y53" s="2"/>
      <x:c r="Z53" s="2"/>
      <x:c r="AA53" s="2"/>
      <x:c r="AB53" s="2"/>
      <x:c r="AC53" s="2"/>
      <x:c r="AD53" s="2"/>
      <x:c r="AE53" s="2"/>
      <x:c r="AF53" s="2"/>
    </x:row>
    <x:row r="54" ht="23" customHeight="1">
      <x:c r="A54" s="2" t="str">
        <x:v>62044300</x:v>
      </x:c>
      <x:c r="B54" s="7" t="n">
        <x:f>D28</x:f>
        <x:v>0.47952184790226143</x:v>
      </x:c>
      <x:c r="C54" s="17" t="n">
        <x:f>SUM(S26:S35)</x:f>
        <x:v>27.522648324200112</x:v>
      </x:c>
      <x:c r="D54" s="17" t="n">
        <x:f>L28</x:f>
        <x:v>30.96503096038202</x:v>
      </x:c>
      <x:c r="E54" s="17" t="n">
        <x:f>SUMPRODUCT(N26:N35,M26:M35)</x:f>
        <x:v>29.614011294000512</x:v>
      </x:c>
      <x:c r="F54" s="17" t="n">
        <x:f>SUMPRODUCT(N26:N35,G26:G35)</x:f>
        <x:v>29.526066108633557</x:v>
      </x:c>
      <x:c r="G54" s="7" t="n">
        <x:f>MIN(P26:P35)</x:f>
        <x:v>0.2</x:v>
      </x:c>
      <x:c r="H54" s="7" t="n">
        <x:f>'Assumptions'!$H$8*SUMIFS('Assumptions'!$F$52:$F$75,'Assumptions'!$A$52:$A$75,'Assumptions'!$J$8,'Assumptions'!$B$52:$B$75,A54)</x:f>
        <x:v>0.1</x:v>
      </x:c>
      <x:c r="I54" s="7" t="n">
        <x:f>IF(T54="Ready",MIN(G54,H54),"n.a.")</x:f>
        <x:v>0.1</x:v>
      </x:c>
      <x:c r="J54" s="17" t="n">
        <x:f>IF(T54="Ready",SUM(Y26:Y35),"n.a.")</x:f>
        <x:v>27.387546357561956</x:v>
      </x:c>
      <x:c r="K54" s="7" t="n">
        <x:f>IF(T54="Ready",J54/C54-1,"n.a.")</x:f>
        <x:v>-0.004908756055984731</x:v>
      </x:c>
      <x:c r="L54" s="17" t="n">
        <x:f>SUM(Z26:Z35)</x:f>
        <x:v>2775.1605976720384</x:v>
      </x:c>
      <x:c r="M54" s="17" t="n">
        <x:f>IF(T54="Ready",SUM(AA26:AA35)-L54,"n.a.")</x:f>
        <x:v>-635.801651328959</x:v>
      </x:c>
      <x:c r="N54" s="24" t="n">
        <x:f>IF(T54="Ready",MAX(AB26:AB35),"n.a.")</x:f>
        <x:v>1.7346679013589075</x:v>
      </x:c>
      <x:c r="O54" s="17" t="n">
        <x:f>IF(T54="Ready",D54-E54*(1+'Assumptions'!$I$8),"n.a.")</x:f>
        <x:v>1.3510196663815073</x:v>
      </x:c>
      <x:c r="P54" s="7" t="n">
        <x:f>IF(T54="Ready",(D54-'Assumptions'!$C$47-'Assumptions'!$D$47)/(E54*(1+'Assumptions'!$E$47*'Assumptions'!$F$47/365))-1,"n.a.")</x:f>
        <x:v>0.04562096140806182</x:v>
      </x:c>
      <x:c r="Q54" s="7" t="n">
        <x:f>IF(T54="Ready",((D54-'Assumptions'!$C$47-'Assumptions'!$D$47)/((1+'Assumptions'!$I$8)*(1+'Assumptions'!$E$47*'Assumptions'!$F$47/365))-E54)/F54,"n.a.")</x:f>
        <x:v>0.04575684621888938</x:v>
      </x:c>
      <x:c r="R54" s="17" t="n">
        <x:f>IF(T54&lt;&gt;"Ready","n.a.",IF(OR('Assumptions'!$E$47=0,D54-'Assumptions'!$C$47-'Assumptions'!$D$47&lt;E54*(1+'Assumptions'!$I$8)),"n.a.",(D54-'Assumptions'!$C$47-'Assumptions'!$D$47-E54*(1+'Assumptions'!$I$8))/(E54*(1+'Assumptions'!$I$8)*'Assumptions'!$E$47)*365))</x:f>
        <x:v>111.01100609295067</x:v>
      </x:c>
      <x:c r="S54" s="17" t="n">
        <x:f>IF(T54="Ready",D54-E54*(1+'Assumptions'!$I$8)*(1+'Assumptions'!$E$47*'Assumptions'!$F$47/365)-'Assumptions'!$C$47,"n.a.")</x:f>
        <x:v>1.3510196663815073</x:v>
      </x:c>
      <x:c r="T54" s="2" t="str">
        <x:f>IF(AND('Assumptions'!$L$8="Valid",COUNTIFS(AC26:AC35,"Ready")=10,ABS(SUM(N26:N35)-1)&lt;0.000000001,MIN(N26:N35)&gt;=0,H54&gt;=0,H54&lt;=1),"Ready","Invalid inputs")</x:f>
        <x:v>Ready</x:v>
      </x:c>
      <x:c r="U54" s="2" t="str">
        <x:v>Hold</x:v>
      </x:c>
      <x:c r="V54" s="2"/>
      <x:c r="W54" s="2"/>
      <x:c r="X54" s="2"/>
      <x:c r="Y54" s="2"/>
      <x:c r="Z54" s="2"/>
      <x:c r="AA54" s="2"/>
      <x:c r="AB54" s="2"/>
      <x:c r="AC54" s="2"/>
      <x:c r="AD54" s="2"/>
      <x:c r="AE54" s="2"/>
      <x:c r="AF54" s="2"/>
    </x:row>
    <x:row r="55" ht="23" customHeight="1">
      <x:c r="A55" s="2" t="str">
        <x:v>62052000</x:v>
      </x:c>
      <x:c r="B55" s="7" t="n">
        <x:f>D38</x:f>
        <x:v>0.06915990057015509</x:v>
      </x:c>
      <x:c r="C55" s="17" t="n">
        <x:f>SUM(S36:S45)</x:f>
        <x:v>20.453083219285663</x:v>
      </x:c>
      <x:c r="D55" s="17" t="n">
        <x:f>L38</x:f>
        <x:v>24.28741095968617</x:v>
      </x:c>
      <x:c r="E55" s="17" t="n">
        <x:f>SUMPRODUCT(N36:N45,M36:M45)</x:f>
        <x:v>28.264737999419182</x:v>
      </x:c>
      <x:c r="F55" s="17" t="n">
        <x:f>SUMPRODUCT(N36:N45,G36:G45)</x:f>
        <x:v>28.264737999419182</x:v>
      </x:c>
      <x:c r="G55" s="7" t="n">
        <x:f>MIN(P36:P45)</x:f>
        <x:v>0.06915990057015509</x:v>
      </x:c>
      <x:c r="H55" s="7" t="n">
        <x:f>'Assumptions'!$H$8*SUMIFS('Assumptions'!$F$52:$F$75,'Assumptions'!$A$52:$A$75,'Assumptions'!$J$8,'Assumptions'!$B$52:$B$75,A55)</x:f>
        <x:v>0.1</x:v>
      </x:c>
      <x:c r="I55" s="7" t="n">
        <x:f>IF(T55="Ready",MIN(G55,H55),"n.a.")</x:f>
        <x:v>0.06915990057015509</x:v>
      </x:c>
      <x:c r="J55" s="17" t="n">
        <x:f>IF(T55="Ready",SUM(Y36:Y45),"n.a.")</x:f>
        <x:v>20.728154761888582</x:v>
      </x:c>
      <x:c r="K55" s="7" t="n">
        <x:f>IF(T55="Ready",J55/C55-1,"n.a.")</x:f>
        <x:v>0.01344890350534289</x:v>
      </x:c>
      <x:c r="L55" s="17" t="n">
        <x:f>SUM(Z36:Z45)</x:f>
        <x:v>3439.43808579466</x:v>
      </x:c>
      <x:c r="M55" s="17" t="n">
        <x:f>IF(T55="Ready",SUM(AA36:AA45)-L55,"n.a.")</x:f>
        <x:v>117.77113668368929</x:v>
      </x:c>
      <x:c r="N55" s="24" t="n">
        <x:f>IF(T55="Ready",MAX(AB36:AB45),"n.a.")</x:f>
        <x:v>1.4259779790859572</x:v>
      </x:c>
      <x:c r="O55" s="17" t="n">
        <x:f>IF(T55="Ready",D55-E55*(1+'Assumptions'!$I$8),"n.a.")</x:f>
        <x:v>-3.9773270397330123</x:v>
      </x:c>
      <x:c r="P55" s="7" t="n">
        <x:f>IF(T55="Ready",(D55-'Assumptions'!$C$47-'Assumptions'!$D$47)/(E55*(1+'Assumptions'!$E$47*'Assumptions'!$F$47/365))-1,"n.a.")</x:f>
        <x:v>-0.14071692579689732</x:v>
      </x:c>
      <x:c r="Q55" s="7" t="n">
        <x:f>IF(T55="Ready",((D55-'Assumptions'!$C$47-'Assumptions'!$D$47)/((1+'Assumptions'!$I$8)*(1+'Assumptions'!$E$47*'Assumptions'!$F$47/365))-E55)/F55,"n.a.")</x:f>
        <x:v>-0.1407169257968973</x:v>
      </x:c>
      <x:c r="R55" s="17" t="str">
        <x:f>IF(T55&lt;&gt;"Ready","n.a.",IF(OR('Assumptions'!$E$47=0,D55-'Assumptions'!$C$47-'Assumptions'!$D$47&lt;E55*(1+'Assumptions'!$I$8)),"n.a.",(D55-'Assumptions'!$C$47-'Assumptions'!$D$47-E55*(1+'Assumptions'!$I$8))/(E55*(1+'Assumptions'!$I$8)*'Assumptions'!$E$47)*365))</x:f>
        <x:v>n.a.</x:v>
      </x:c>
      <x:c r="S55" s="17" t="n">
        <x:f>IF(T55="Ready",D55-E55*(1+'Assumptions'!$I$8)*(1+'Assumptions'!$E$47*'Assumptions'!$F$47/365)-'Assumptions'!$C$47,"n.a.")</x:f>
        <x:v>-3.9773270397330123</x:v>
      </x:c>
      <x:c r="T55" s="2" t="str">
        <x:f>IF(AND('Assumptions'!$L$8="Valid",COUNTIFS(AC36:AC45,"Ready")=10,ABS(SUM(N36:N45)-1)&lt;0.000000001,MIN(N36:N45)&gt;=0,H55&gt;=0,H55&lt;=1),"Ready","Invalid inputs")</x:f>
        <x:v>Ready</x:v>
      </x:c>
      <x:c r="U55" s="2" t="str">
        <x:v>Hold</x:v>
      </x:c>
      <x:c r="V55" s="2"/>
      <x:c r="W55" s="2"/>
      <x:c r="X55" s="2"/>
      <x:c r="Y55" s="2"/>
      <x:c r="Z55" s="2"/>
      <x:c r="AA55" s="2"/>
      <x:c r="AB55" s="2"/>
      <x:c r="AC55" s="2"/>
      <x:c r="AD55" s="2"/>
      <x:c r="AE55" s="2"/>
      <x:c r="AF55" s="2"/>
    </x:row>
    <x:row r="56" ht="23" customHeight="1">
      <x:c r="A56" s="2"/>
      <x:c r="B56" s="2"/>
      <x:c r="C56" s="2"/>
      <x:c r="D56" s="2"/>
      <x:c r="E56" s="2"/>
      <x:c r="F56" s="2"/>
      <x:c r="G56" s="2"/>
      <x:c r="H56" s="2"/>
      <x:c r="I56" s="2"/>
      <x:c r="J56" s="2"/>
      <x:c r="K56" s="2"/>
      <x:c r="L56" s="2"/>
      <x:c r="M56" s="2"/>
      <x:c r="N56" s="2"/>
      <x:c r="O56" s="2"/>
      <x:c r="P56" s="2"/>
      <x:c r="Q56" s="2"/>
      <x:c r="R56" s="2"/>
      <x:c r="S56" s="2"/>
      <x:c r="T56" s="2"/>
      <x:c r="U56" s="2"/>
      <x:c r="V56" s="2"/>
      <x:c r="W56" s="2"/>
      <x:c r="X56" s="2"/>
      <x:c r="Y56" s="2"/>
      <x:c r="Z56" s="2"/>
      <x:c r="AA56" s="2"/>
      <x:c r="AB56" s="2"/>
      <x:c r="AC56" s="2"/>
      <x:c r="AD56" s="2"/>
      <x:c r="AE56" s="2"/>
      <x:c r="AF56" s="2"/>
    </x:row>
    <x:row r="57" ht="23" customHeight="1">
      <x:c r="A57" s="2"/>
      <x:c r="B57" s="2"/>
      <x:c r="C57" s="2"/>
      <x:c r="D57" s="2"/>
      <x:c r="E57" s="2"/>
      <x:c r="F57" s="2"/>
      <x:c r="G57" s="2"/>
      <x:c r="H57" s="2"/>
      <x:c r="I57" s="2"/>
      <x:c r="J57" s="2"/>
      <x:c r="K57" s="2"/>
      <x:c r="L57" s="2"/>
      <x:c r="M57" s="2"/>
      <x:c r="N57" s="2"/>
      <x:c r="O57" s="2"/>
      <x:c r="P57" s="2"/>
      <x:c r="Q57" s="2"/>
      <x:c r="R57" s="2"/>
      <x:c r="S57" s="2"/>
      <x:c r="T57" s="2"/>
      <x:c r="U57" s="2"/>
      <x:c r="V57" s="2"/>
      <x:c r="W57" s="2"/>
      <x:c r="X57" s="2"/>
      <x:c r="Y57" s="2"/>
      <x:c r="Z57" s="2"/>
      <x:c r="AA57" s="2"/>
      <x:c r="AB57" s="2"/>
      <x:c r="AC57" s="2"/>
      <x:c r="AD57" s="2"/>
      <x:c r="AE57" s="2"/>
      <x:c r="AF57" s="2"/>
    </x:row>
    <x:row r="58" ht="23" customHeight="1">
      <x:c r="A58" s="2"/>
      <x:c r="B58" s="2"/>
      <x:c r="C58" s="2"/>
      <x:c r="D58" s="2"/>
      <x:c r="E58" s="2"/>
      <x:c r="F58" s="2"/>
      <x:c r="G58" s="2"/>
      <x:c r="H58" s="2"/>
      <x:c r="I58" s="2"/>
      <x:c r="J58" s="2"/>
      <x:c r="K58" s="2"/>
      <x:c r="L58" s="2"/>
      <x:c r="M58" s="2"/>
      <x:c r="N58" s="2"/>
      <x:c r="O58" s="2"/>
      <x:c r="P58" s="2"/>
      <x:c r="Q58" s="2"/>
      <x:c r="R58" s="2"/>
      <x:c r="S58" s="2"/>
      <x:c r="T58" s="2"/>
      <x:c r="U58" s="2"/>
      <x:c r="V58" s="2"/>
      <x:c r="W58" s="2"/>
      <x:c r="X58" s="2"/>
      <x:c r="Y58" s="2"/>
      <x:c r="Z58" s="2"/>
      <x:c r="AA58" s="2"/>
      <x:c r="AB58" s="2"/>
      <x:c r="AC58" s="2"/>
      <x:c r="AD58" s="2"/>
      <x:c r="AE58" s="2"/>
      <x:c r="AF58" s="2"/>
    </x:row>
    <x:row r="59" ht="23" customHeight="1">
      <x:c r="A59" s="2" t="str">
        <x:v>Basket basis</x:v>
      </x:c>
      <x:c r="B59" s="2" t="str">
        <x:v>Cost change</x:v>
      </x:c>
      <x:c r="C59" s="2"/>
      <x:c r="D59" s="2"/>
      <x:c r="E59" s="2"/>
      <x:c r="F59" s="2"/>
      <x:c r="G59" s="2"/>
      <x:c r="H59" s="2"/>
      <x:c r="I59" s="2"/>
      <x:c r="J59" s="2"/>
      <x:c r="K59" s="2"/>
      <x:c r="L59" s="2"/>
      <x:c r="M59" s="2"/>
      <x:c r="N59" s="2"/>
      <x:c r="O59" s="2"/>
      <x:c r="P59" s="2"/>
      <x:c r="Q59" s="2"/>
      <x:c r="R59" s="2"/>
      <x:c r="S59" s="2"/>
      <x:c r="T59" s="2"/>
      <x:c r="U59" s="2"/>
      <x:c r="V59" s="2"/>
      <x:c r="W59" s="2"/>
      <x:c r="X59" s="2"/>
      <x:c r="Y59" s="2"/>
      <x:c r="Z59" s="2"/>
      <x:c r="AA59" s="2"/>
      <x:c r="AB59" s="2"/>
      <x:c r="AC59" s="2"/>
      <x:c r="AD59" s="2"/>
      <x:c r="AE59" s="2"/>
      <x:c r="AF59" s="2"/>
    </x:row>
    <x:row r="60" ht="23" customHeight="1">
      <x:c r="A60" s="2" t="str">
        <x:v>Equal category weights</x:v>
      </x:c>
      <x:c r="B60" s="7" t="n">
        <x:f>IF(COUNT(K52:K55)=4,SUMPRODUCT(K52:K55,'Source_Data'!C176:C179),"n.a.")</x:f>
        <x:v>0.0007667252992001883</x:v>
      </x:c>
      <x:c r="C60" s="2"/>
      <x:c r="D60" s="2"/>
      <x:c r="E60" s="2"/>
      <x:c r="F60" s="2"/>
      <x:c r="G60" s="2"/>
      <x:c r="H60" s="2"/>
      <x:c r="I60" s="2"/>
      <x:c r="J60" s="2"/>
      <x:c r="K60" s="2"/>
      <x:c r="L60" s="2"/>
      <x:c r="M60" s="2"/>
      <x:c r="N60" s="2"/>
      <x:c r="O60" s="2"/>
      <x:c r="P60" s="2"/>
      <x:c r="Q60" s="2"/>
      <x:c r="R60" s="2"/>
      <x:c r="S60" s="2"/>
      <x:c r="T60" s="2"/>
      <x:c r="U60" s="2"/>
      <x:c r="V60" s="2"/>
      <x:c r="W60" s="2"/>
      <x:c r="X60" s="2"/>
      <x:c r="Y60" s="2"/>
      <x:c r="Z60" s="2"/>
      <x:c r="AA60" s="2"/>
      <x:c r="AB60" s="2"/>
      <x:c r="AC60" s="2"/>
      <x:c r="AD60" s="2"/>
      <x:c r="AE60" s="2"/>
      <x:c r="AF60" s="2"/>
    </x:row>
    <x:row r="61" ht="23" customHeight="1">
      <x:c r="A61" s="2" t="str">
        <x:v>FY2025 UK value weights</x:v>
      </x:c>
      <x:c r="B61" s="7" t="n">
        <x:f>IF(COUNT(K52:K55)=4,SUMPRODUCT(K52:K55,'Source_Data'!E176:E179),"n.a.")</x:f>
        <x:v>-0.0009929236664520365</x:v>
      </x:c>
      <x:c r="C61" s="2"/>
      <x:c r="D61" s="2"/>
      <x:c r="E61" s="2"/>
      <x:c r="F61" s="2"/>
      <x:c r="G61" s="2"/>
      <x:c r="H61" s="2"/>
      <x:c r="I61" s="2"/>
      <x:c r="J61" s="2"/>
      <x:c r="K61" s="2"/>
      <x:c r="L61" s="2"/>
      <x:c r="M61" s="2"/>
      <x:c r="N61" s="2"/>
      <x:c r="O61" s="2"/>
      <x:c r="P61" s="2"/>
      <x:c r="Q61" s="2"/>
      <x:c r="R61" s="2"/>
      <x:c r="S61" s="2"/>
      <x:c r="T61" s="2"/>
      <x:c r="U61" s="2"/>
      <x:c r="V61" s="2"/>
      <x:c r="W61" s="2"/>
      <x:c r="X61" s="2"/>
      <x:c r="Y61" s="2"/>
      <x:c r="Z61" s="2"/>
      <x:c r="AA61" s="2"/>
      <x:c r="AB61" s="2"/>
      <x:c r="AC61" s="2"/>
      <x:c r="AD61" s="2"/>
      <x:c r="AE61" s="2"/>
      <x:c r="AF61" s="2"/>
    </x:row>
    <x:row r="62" ht="23" customHeight="1">
      <x:c r="A62" s="2"/>
      <x:c r="B62" s="2"/>
      <x:c r="C62" s="2"/>
      <x:c r="D62" s="2"/>
      <x:c r="E62" s="2"/>
      <x:c r="F62" s="2"/>
      <x:c r="G62" s="2"/>
      <x:c r="H62" s="2"/>
      <x:c r="I62" s="2"/>
      <x:c r="J62" s="2"/>
      <x:c r="K62" s="2"/>
      <x:c r="L62" s="2"/>
      <x:c r="M62" s="2"/>
      <x:c r="N62" s="2"/>
      <x:c r="O62" s="2"/>
      <x:c r="P62" s="2"/>
      <x:c r="Q62" s="2"/>
      <x:c r="R62" s="2"/>
      <x:c r="S62" s="2"/>
      <x:c r="T62" s="2"/>
      <x:c r="U62" s="2"/>
      <x:c r="V62" s="2"/>
      <x:c r="W62" s="2"/>
      <x:c r="X62" s="2"/>
      <x:c r="Y62" s="2"/>
      <x:c r="Z62" s="2"/>
      <x:c r="AA62" s="2"/>
      <x:c r="AB62" s="2"/>
      <x:c r="AC62" s="2"/>
      <x:c r="AD62" s="2"/>
      <x:c r="AE62" s="2"/>
      <x:c r="AF62" s="2"/>
    </x:row>
    <x:row r="63" ht="23" customHeight="1">
      <x:c r="A63" s="2"/>
      <x:c r="B63" s="2"/>
      <x:c r="C63" s="2"/>
      <x:c r="D63" s="2"/>
      <x:c r="E63" s="2"/>
      <x:c r="F63" s="2"/>
      <x:c r="G63" s="2"/>
      <x:c r="H63" s="2"/>
      <x:c r="I63" s="2"/>
      <x:c r="J63" s="2"/>
      <x:c r="K63" s="2"/>
      <x:c r="L63" s="2"/>
      <x:c r="M63" s="2"/>
      <x:c r="N63" s="2"/>
      <x:c r="O63" s="2"/>
      <x:c r="P63" s="2"/>
      <x:c r="Q63" s="2"/>
      <x:c r="R63" s="2"/>
      <x:c r="S63" s="2"/>
      <x:c r="T63" s="2"/>
      <x:c r="U63" s="2"/>
      <x:c r="V63" s="2"/>
      <x:c r="W63" s="2"/>
      <x:c r="X63" s="2"/>
      <x:c r="Y63" s="2"/>
      <x:c r="Z63" s="2"/>
      <x:c r="AA63" s="2"/>
      <x:c r="AB63" s="2"/>
      <x:c r="AC63" s="2"/>
      <x:c r="AD63" s="2"/>
      <x:c r="AE63" s="2"/>
      <x:c r="AF63" s="2"/>
    </x:row>
    <x:row r="64" ht="45" customHeight="1">
      <x:c r="A64" s="12" t="str">
        <x:v>Internal country calculations use zero contribution placeholders when a price is missing; Input coverage blocks all affected category and basket outputs. Operational costs and premiums apply only to added receiver volume. Baseline costs remain under the same tariff regime as the comparison.</x:v>
      </x:c>
      <x:c r="B64" s="12"/>
      <x:c r="C64" s="12"/>
      <x:c r="D64" s="12"/>
      <x:c r="E64" s="12"/>
      <x:c r="F64" s="12"/>
      <x:c r="G64" s="12"/>
      <x:c r="H64" s="12"/>
      <x:c r="I64" s="12"/>
      <x:c r="J64" s="12"/>
      <x:c r="K64" s="12"/>
      <x:c r="L64" s="12"/>
      <x:c r="M64" s="2"/>
      <x:c r="N64" s="2"/>
      <x:c r="O64" s="2"/>
      <x:c r="P64" s="2"/>
      <x:c r="Q64" s="2"/>
      <x:c r="R64" s="2"/>
      <x:c r="S64" s="2"/>
      <x:c r="T64" s="2"/>
      <x:c r="U64" s="2"/>
      <x:c r="V64" s="2"/>
      <x:c r="W64" s="2"/>
      <x:c r="X64" s="2"/>
      <x:c r="Y64" s="2"/>
      <x:c r="Z64" s="2"/>
      <x:c r="AA64" s="2"/>
      <x:c r="AB64" s="2"/>
      <x:c r="AC64" s="2"/>
      <x:c r="AD64" s="2"/>
      <x:c r="AE64" s="2"/>
      <x:c r="AF64" s="2"/>
    </x:row>
    <x:row r="65" ht="23" customHeight="1">
      <x:c r="A65" s="2"/>
      <x:c r="B65" s="2"/>
      <x:c r="C65" s="2"/>
      <x:c r="D65" s="2"/>
      <x:c r="E65" s="2"/>
      <x:c r="F65" s="2"/>
      <x:c r="G65" s="2"/>
      <x:c r="H65" s="2"/>
      <x:c r="I65" s="2"/>
      <x:c r="J65" s="2"/>
      <x:c r="K65" s="2"/>
      <x:c r="L65" s="2"/>
      <x:c r="M65" s="2"/>
      <x:c r="N65" s="2"/>
      <x:c r="O65" s="2"/>
      <x:c r="P65" s="2"/>
      <x:c r="Q65" s="2"/>
      <x:c r="R65" s="2"/>
      <x:c r="S65" s="2"/>
      <x:c r="T65" s="2"/>
      <x:c r="U65" s="2"/>
      <x:c r="V65" s="2"/>
      <x:c r="W65" s="2"/>
      <x:c r="X65" s="2"/>
      <x:c r="Y65" s="2"/>
      <x:c r="Z65" s="2"/>
      <x:c r="AA65" s="2"/>
      <x:c r="AB65" s="2"/>
      <x:c r="AC65" s="2"/>
      <x:c r="AD65" s="2"/>
      <x:c r="AE65" s="2"/>
      <x:c r="AF65" s="2"/>
    </x:row>
    <x:row r="66" ht="23" customHeight="1">
      <x:c r="A66" s="2"/>
      <x:c r="B66" s="2"/>
      <x:c r="C66" s="2"/>
      <x:c r="D66" s="2"/>
      <x:c r="E66" s="2"/>
      <x:c r="F66" s="2"/>
      <x:c r="G66" s="2"/>
      <x:c r="H66" s="2"/>
      <x:c r="I66" s="2"/>
      <x:c r="J66" s="2"/>
      <x:c r="K66" s="2"/>
      <x:c r="L66" s="2"/>
      <x:c r="M66" s="2"/>
      <x:c r="N66" s="2"/>
      <x:c r="O66" s="2"/>
      <x:c r="P66" s="2"/>
      <x:c r="Q66" s="2"/>
      <x:c r="R66" s="2"/>
      <x:c r="S66" s="2"/>
      <x:c r="T66" s="2"/>
      <x:c r="U66" s="2"/>
      <x:c r="V66" s="2"/>
      <x:c r="W66" s="2"/>
      <x:c r="X66" s="2"/>
      <x:c r="Y66" s="2"/>
      <x:c r="Z66" s="2"/>
      <x:c r="AA66" s="2"/>
      <x:c r="AB66" s="2"/>
      <x:c r="AC66" s="2"/>
      <x:c r="AD66" s="2"/>
      <x:c r="AE66" s="2"/>
      <x:c r="AF66" s="2"/>
    </x:row>
    <x:row r="67" ht="23" customHeight="1">
      <x:c r="A67" s="2"/>
      <x:c r="B67" s="2"/>
      <x:c r="C67" s="2"/>
      <x:c r="D67" s="2"/>
      <x:c r="E67" s="2"/>
      <x:c r="F67" s="2"/>
      <x:c r="G67" s="2"/>
      <x:c r="H67" s="2"/>
      <x:c r="I67" s="2"/>
      <x:c r="J67" s="2"/>
      <x:c r="K67" s="2"/>
      <x:c r="L67" s="2"/>
      <x:c r="M67" s="2"/>
      <x:c r="N67" s="2"/>
      <x:c r="O67" s="2"/>
      <x:c r="P67" s="2"/>
      <x:c r="Q67" s="2"/>
      <x:c r="R67" s="2"/>
      <x:c r="S67" s="2"/>
      <x:c r="T67" s="2"/>
      <x:c r="U67" s="2"/>
      <x:c r="V67" s="2"/>
      <x:c r="W67" s="2"/>
      <x:c r="X67" s="2"/>
      <x:c r="Y67" s="2"/>
      <x:c r="Z67" s="2"/>
      <x:c r="AA67" s="2"/>
      <x:c r="AB67" s="2"/>
      <x:c r="AC67" s="2"/>
      <x:c r="AD67" s="2"/>
      <x:c r="AE67" s="2"/>
      <x:c r="AF67" s="2"/>
    </x:row>
    <x:row r="68" ht="23" customHeight="1">
      <x:c r="A68" s="2"/>
      <x:c r="B68" s="2"/>
      <x:c r="C68" s="2"/>
      <x:c r="D68" s="2"/>
      <x:c r="E68" s="2"/>
      <x:c r="F68" s="2"/>
      <x:c r="G68" s="2"/>
      <x:c r="H68" s="2"/>
      <x:c r="I68" s="2"/>
      <x:c r="J68" s="2"/>
      <x:c r="K68" s="2"/>
      <x:c r="L68" s="2"/>
      <x:c r="M68" s="2"/>
      <x:c r="N68" s="2"/>
      <x:c r="O68" s="2"/>
      <x:c r="P68" s="2"/>
      <x:c r="Q68" s="2"/>
      <x:c r="R68" s="2"/>
      <x:c r="S68" s="2"/>
      <x:c r="T68" s="2"/>
      <x:c r="U68" s="2"/>
      <x:c r="V68" s="2"/>
      <x:c r="W68" s="2"/>
      <x:c r="X68" s="2"/>
      <x:c r="Y68" s="2"/>
      <x:c r="Z68" s="2"/>
      <x:c r="AA68" s="2"/>
      <x:c r="AB68" s="2"/>
      <x:c r="AC68" s="2"/>
      <x:c r="AD68" s="2"/>
      <x:c r="AE68" s="2"/>
      <x:c r="AF68" s="2"/>
    </x:row>
    <x:row r="69" ht="23" customHeight="1">
      <x:c r="A69" s="2"/>
      <x:c r="B69" s="2"/>
      <x:c r="C69" s="2"/>
      <x:c r="D69" s="2"/>
      <x:c r="E69" s="2"/>
      <x:c r="F69" s="2"/>
      <x:c r="G69" s="2"/>
      <x:c r="H69" s="2"/>
      <x:c r="I69" s="2"/>
      <x:c r="J69" s="2"/>
      <x:c r="K69" s="2"/>
      <x:c r="L69" s="2"/>
      <x:c r="M69" s="2"/>
      <x:c r="N69" s="2"/>
      <x:c r="O69" s="2"/>
      <x:c r="P69" s="2"/>
      <x:c r="Q69" s="2"/>
      <x:c r="R69" s="2"/>
      <x:c r="S69" s="2"/>
      <x:c r="T69" s="2"/>
      <x:c r="U69" s="2"/>
      <x:c r="V69" s="2"/>
      <x:c r="W69" s="2"/>
      <x:c r="X69" s="2"/>
      <x:c r="Y69" s="2"/>
      <x:c r="Z69" s="2"/>
      <x:c r="AA69" s="2"/>
      <x:c r="AB69" s="2"/>
      <x:c r="AC69" s="2"/>
      <x:c r="AD69" s="2"/>
      <x:c r="AE69" s="2"/>
      <x:c r="AF69" s="2"/>
    </x:row>
    <x:row r="70" ht="23" customHeight="1">
      <x:c r="A70" s="2"/>
      <x:c r="B70" s="2"/>
      <x:c r="C70" s="2"/>
      <x:c r="D70" s="2"/>
      <x:c r="E70" s="2"/>
      <x:c r="F70" s="2"/>
      <x:c r="G70" s="2"/>
      <x:c r="H70" s="2"/>
      <x:c r="I70" s="2"/>
      <x:c r="J70" s="2"/>
      <x:c r="K70" s="2"/>
      <x:c r="L70" s="2"/>
      <x:c r="M70" s="2"/>
      <x:c r="N70" s="2"/>
      <x:c r="O70" s="2"/>
      <x:c r="P70" s="2"/>
      <x:c r="Q70" s="2"/>
      <x:c r="R70" s="2"/>
      <x:c r="S70" s="2"/>
      <x:c r="T70" s="2"/>
      <x:c r="U70" s="2"/>
      <x:c r="V70" s="2"/>
      <x:c r="W70" s="2"/>
      <x:c r="X70" s="2"/>
      <x:c r="Y70" s="2"/>
      <x:c r="Z70" s="2"/>
      <x:c r="AA70" s="2"/>
      <x:c r="AB70" s="2"/>
      <x:c r="AC70" s="2"/>
      <x:c r="AD70" s="2"/>
      <x:c r="AE70" s="2"/>
      <x:c r="AF70" s="2"/>
    </x:row>
    <x:row r="71" ht="23" customHeight="1">
      <x:c r="A71" s="2"/>
      <x:c r="B71" s="2"/>
      <x:c r="C71" s="2"/>
      <x:c r="D71" s="2"/>
      <x:c r="E71" s="2"/>
      <x:c r="F71" s="2"/>
      <x:c r="G71" s="2"/>
      <x:c r="H71" s="2"/>
      <x:c r="I71" s="2"/>
      <x:c r="J71" s="2"/>
      <x:c r="K71" s="2"/>
      <x:c r="L71" s="2"/>
      <x:c r="M71" s="2"/>
      <x:c r="N71" s="2"/>
      <x:c r="O71" s="2"/>
      <x:c r="P71" s="2"/>
      <x:c r="Q71" s="2"/>
      <x:c r="R71" s="2"/>
      <x:c r="S71" s="2"/>
      <x:c r="T71" s="2"/>
      <x:c r="U71" s="2"/>
      <x:c r="V71" s="2"/>
      <x:c r="W71" s="2"/>
      <x:c r="X71" s="2"/>
      <x:c r="Y71" s="2"/>
      <x:c r="Z71" s="2"/>
      <x:c r="AA71" s="2"/>
      <x:c r="AB71" s="2"/>
      <x:c r="AC71" s="2"/>
      <x:c r="AD71" s="2"/>
      <x:c r="AE71" s="2"/>
      <x:c r="AF71" s="2"/>
    </x:row>
    <x:row r="72" ht="23" customHeight="1">
      <x:c r="A72" s="2"/>
      <x:c r="B72" s="2"/>
      <x:c r="C72" s="2"/>
      <x:c r="D72" s="2"/>
      <x:c r="E72" s="2"/>
      <x:c r="F72" s="2"/>
      <x:c r="G72" s="2"/>
      <x:c r="H72" s="2"/>
      <x:c r="I72" s="2"/>
      <x:c r="J72" s="2"/>
      <x:c r="K72" s="2"/>
      <x:c r="L72" s="2"/>
      <x:c r="M72" s="2"/>
      <x:c r="N72" s="2"/>
      <x:c r="O72" s="2"/>
      <x:c r="P72" s="2"/>
      <x:c r="Q72" s="2"/>
      <x:c r="R72" s="2"/>
      <x:c r="S72" s="2"/>
      <x:c r="T72" s="2"/>
      <x:c r="U72" s="2"/>
      <x:c r="V72" s="2"/>
      <x:c r="W72" s="2"/>
      <x:c r="X72" s="2"/>
      <x:c r="Y72" s="2"/>
      <x:c r="Z72" s="2"/>
      <x:c r="AA72" s="2"/>
      <x:c r="AB72" s="2"/>
      <x:c r="AC72" s="2"/>
      <x:c r="AD72" s="2"/>
      <x:c r="AE72" s="2"/>
      <x:c r="AF72" s="2"/>
    </x:row>
    <x:row r="73" ht="23" customHeight="1">
      <x:c r="A73" s="2"/>
      <x:c r="B73" s="2"/>
      <x:c r="C73" s="2"/>
      <x:c r="D73" s="2"/>
      <x:c r="E73" s="2"/>
      <x:c r="F73" s="2"/>
      <x:c r="G73" s="2"/>
      <x:c r="H73" s="2"/>
      <x:c r="I73" s="2"/>
      <x:c r="J73" s="2"/>
      <x:c r="K73" s="2"/>
      <x:c r="L73" s="2"/>
      <x:c r="M73" s="2"/>
      <x:c r="N73" s="2"/>
      <x:c r="O73" s="2"/>
      <x:c r="P73" s="2"/>
      <x:c r="Q73" s="2"/>
      <x:c r="R73" s="2"/>
      <x:c r="S73" s="2"/>
      <x:c r="T73" s="2"/>
      <x:c r="U73" s="2"/>
      <x:c r="V73" s="2"/>
      <x:c r="W73" s="2"/>
      <x:c r="X73" s="2"/>
      <x:c r="Y73" s="2"/>
      <x:c r="Z73" s="2"/>
      <x:c r="AA73" s="2"/>
      <x:c r="AB73" s="2"/>
      <x:c r="AC73" s="2"/>
      <x:c r="AD73" s="2"/>
      <x:c r="AE73" s="2"/>
      <x:c r="AF73" s="2"/>
    </x:row>
    <x:row r="74" ht="23" customHeight="1">
      <x:c r="A74" s="2"/>
      <x:c r="B74" s="2"/>
      <x:c r="C74" s="2"/>
      <x:c r="D74" s="2"/>
      <x:c r="E74" s="2"/>
      <x:c r="F74" s="2"/>
      <x:c r="G74" s="2"/>
      <x:c r="H74" s="2"/>
      <x:c r="I74" s="2"/>
      <x:c r="J74" s="2"/>
      <x:c r="K74" s="2"/>
      <x:c r="L74" s="2"/>
      <x:c r="M74" s="2"/>
      <x:c r="N74" s="2"/>
      <x:c r="O74" s="2"/>
      <x:c r="P74" s="2"/>
      <x:c r="Q74" s="2"/>
      <x:c r="R74" s="2"/>
      <x:c r="S74" s="2"/>
      <x:c r="T74" s="2"/>
      <x:c r="U74" s="2"/>
      <x:c r="V74" s="2"/>
      <x:c r="W74" s="2"/>
      <x:c r="X74" s="2"/>
      <x:c r="Y74" s="2"/>
      <x:c r="Z74" s="2"/>
      <x:c r="AA74" s="2"/>
      <x:c r="AB74" s="2"/>
      <x:c r="AC74" s="2"/>
      <x:c r="AD74" s="2"/>
      <x:c r="AE74" s="2"/>
      <x:c r="AF74" s="2"/>
    </x:row>
    <x:row r="75" ht="23" customHeight="1">
      <x:c r="A75" s="2"/>
      <x:c r="B75" s="2"/>
      <x:c r="C75" s="2"/>
      <x:c r="D75" s="2"/>
      <x:c r="E75" s="2"/>
      <x:c r="F75" s="2"/>
      <x:c r="G75" s="2"/>
      <x:c r="H75" s="2"/>
      <x:c r="I75" s="2"/>
      <x:c r="J75" s="2"/>
      <x:c r="K75" s="2"/>
      <x:c r="L75" s="2"/>
      <x:c r="M75" s="2"/>
      <x:c r="N75" s="2"/>
      <x:c r="O75" s="2"/>
      <x:c r="P75" s="2"/>
      <x:c r="Q75" s="2"/>
      <x:c r="R75" s="2"/>
      <x:c r="S75" s="2"/>
      <x:c r="T75" s="2"/>
      <x:c r="U75" s="2"/>
      <x:c r="V75" s="2"/>
      <x:c r="W75" s="2"/>
      <x:c r="X75" s="2"/>
      <x:c r="Y75" s="2"/>
      <x:c r="Z75" s="2"/>
      <x:c r="AA75" s="2"/>
      <x:c r="AB75" s="2"/>
      <x:c r="AC75" s="2"/>
      <x:c r="AD75" s="2"/>
      <x:c r="AE75" s="2"/>
      <x:c r="AF75" s="2"/>
    </x:row>
  </x:sheetData>
  <x:mergeCells>
    <x:mergeCell ref="B4:D4"/>
    <x:mergeCell ref="A64:L64"/>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25"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s>
  <x:sheetData>
    <x:row r="1" ht="23" customHeight="1">
      <x:c r="A1" s="2"/>
      <x:c r="B1" s="2"/>
      <x:c r="C1" s="2"/>
      <x:c r="D1" s="2"/>
      <x:c r="E1" s="2"/>
      <x:c r="F1" s="2"/>
      <x:c r="G1" s="2"/>
      <x:c r="H1" s="2"/>
      <x:c r="I1" s="2"/>
      <x:c r="J1" s="2"/>
      <x:c r="K1" s="2"/>
    </x:row>
    <x:row r="2" ht="29" customHeight="1">
      <x:c r="A2" s="3" t="str">
        <x:v>Cost, tariff and operating thresholds</x:v>
      </x:c>
      <x:c r="B2" s="2"/>
      <x:c r="C2" s="2"/>
      <x:c r="D2" s="2"/>
      <x:c r="E2" s="2"/>
      <x:c r="F2" s="2"/>
      <x:c r="G2" s="2"/>
      <x:c r="H2" s="2"/>
      <x:c r="I2" s="2"/>
      <x:c r="J2" s="2"/>
      <x:c r="K2" s="2"/>
    </x:row>
    <x:row r="3" ht="23" customHeight="1">
      <x:c r="A3" s="2"/>
      <x:c r="B3" s="2"/>
      <x:c r="C3" s="2"/>
      <x:c r="D3" s="2"/>
      <x:c r="E3" s="2"/>
      <x:c r="F3" s="2"/>
      <x:c r="G3" s="2"/>
      <x:c r="H3" s="2"/>
      <x:c r="I3" s="2"/>
      <x:c r="J3" s="2"/>
      <x:c r="K3" s="2"/>
    </x:row>
    <x:row r="4" ht="30" customHeight="1">
      <x:c r="A4" s="2" t="str">
        <x:v>Case selected:</x:v>
      </x:c>
      <x:c r="B4" s="21" t="str">
        <x:f>'Assumptions'!B8</x:f>
        <x:v>Balanced, 3x</x:v>
      </x:c>
      <x:c r="C4" s="22"/>
      <x:c r="D4" s="23"/>
      <x:c r="E4" s="2"/>
      <x:c r="F4" s="2"/>
      <x:c r="G4" s="2"/>
      <x:c r="H4" s="2"/>
      <x:c r="I4" s="2"/>
      <x:c r="J4" s="2"/>
      <x:c r="K4" s="2"/>
    </x:row>
    <x:row r="5" ht="23" customHeight="1">
      <x:c r="A5" s="2"/>
      <x:c r="B5" s="2"/>
      <x:c r="C5" s="2"/>
      <x:c r="D5" s="2"/>
      <x:c r="E5" s="2"/>
      <x:c r="F5" s="2"/>
      <x:c r="G5" s="2"/>
      <x:c r="H5" s="2"/>
      <x:c r="I5" s="2"/>
      <x:c r="J5" s="2"/>
      <x:c r="K5" s="2"/>
    </x:row>
    <x:row r="6" ht="45" customHeight="1">
      <x:c r="A6" s="12" t="str">
        <x:v>Thresholds compare the weighted receiver mix with China per transferred kg. A negative premium or duty threshold means a discount or duty reduction is needed before breaking even. Days are unavailable when there is no positive headroom or the carry rate is zero.</x:v>
      </x:c>
      <x:c r="B6" s="12"/>
      <x:c r="C6" s="12"/>
      <x:c r="D6" s="12"/>
      <x:c r="E6" s="12"/>
      <x:c r="F6" s="12"/>
      <x:c r="G6" s="12"/>
      <x:c r="H6" s="12"/>
      <x:c r="I6" s="12"/>
      <x:c r="J6" s="12"/>
      <x:c r="K6" s="12"/>
    </x:row>
    <x:row r="7" ht="23" customHeight="1">
      <x:c r="A7" s="2"/>
      <x:c r="B7" s="2"/>
      <x:c r="C7" s="2"/>
      <x:c r="D7" s="2"/>
      <x:c r="E7" s="2"/>
      <x:c r="F7" s="2"/>
      <x:c r="G7" s="2"/>
      <x:c r="H7" s="2"/>
      <x:c r="I7" s="2"/>
      <x:c r="J7" s="2"/>
      <x:c r="K7" s="2"/>
    </x:row>
    <x:row r="8" ht="42" customHeight="1">
      <x:c r="A8" s="11" t="str">
        <x:v>Product</x:v>
      </x:c>
      <x:c r="B8" s="11" t="str">
        <x:v>Receiver £/kg</x:v>
      </x:c>
      <x:c r="C8" s="11" t="str">
        <x:v>China £/kg</x:v>
      </x:c>
      <x:c r="D8" s="11" t="str">
        <x:v>Operating budget £/kg</x:v>
      </x:c>
      <x:c r="E8" s="11" t="str">
        <x:v>Max premium</x:v>
      </x:c>
      <x:c r="F8" s="11" t="str">
        <x:v>Extra duty (pp)</x:v>
      </x:c>
      <x:c r="G8" s="11" t="str">
        <x:v>Extra days</x:v>
      </x:c>
      <x:c r="H8" s="11" t="str">
        <x:v>Max transition £/kg</x:v>
      </x:c>
      <x:c r="I8" s="11" t="str">
        <x:v>Current net headroom £/kg</x:v>
      </x:c>
      <x:c r="J8" s="11" t="str">
        <x:v>Current shift</x:v>
      </x:c>
      <x:c r="K8" s="11" t="str">
        <x:v>Evidence</x:v>
      </x:c>
    </x:row>
    <x:row r="9" ht="33" customHeight="1">
      <x:c r="A9" s="2" t="str">
        <x:v>Cotton T-shirts</x:v>
      </x:c>
      <x:c r="B9" s="17" t="n">
        <x:f>'Model'!E52</x:f>
        <x:v>18.62523201506167</x:v>
      </x:c>
      <x:c r="C9" s="17" t="n">
        <x:f>'Model'!D52</x:f>
        <x:v>18.949537501993287</x:v>
      </x:c>
      <x:c r="D9" s="17" t="n">
        <x:f>'Model'!O52</x:f>
        <x:v>0.32430548693161754</x:v>
      </x:c>
      <x:c r="E9" s="7" t="n">
        <x:f>'Model'!P52</x:f>
        <x:v>0.0174121582308</x:v>
      </x:c>
      <x:c r="F9" s="17" t="n">
        <x:f>IF(ISNUMBER('Model'!Q52),'Model'!Q52*100,"n.a.")</x:f>
        <x:v>1.7412158230800099</x:v>
      </x:c>
      <x:c r="G9" s="45" t="n">
        <x:f>IF('Model'!T52&lt;&gt;"Ready","n.a. (inputs)",IF('Model'!D52-'Assumptions'!C47-'Assumptions'!D47&lt;'Model'!E52*(1+'Assumptions'!I8),"n.a. (no budget)",IF('Assumptions'!E47=0,"n.a. (zero rate)",'Model'!R52)))</x:f>
        <x:v>42.36958502828024</x:v>
      </x:c>
      <x:c r="H9" s="17" t="n">
        <x:f>'Model'!S52</x:f>
        <x:v>0.32430548693161754</x:v>
      </x:c>
      <x:c r="I9" s="17" t="n">
        <x:f>IF(ISNUMBER('Model'!S52),'Model'!S52-'Assumptions'!$D$47,"n.a.")</x:f>
        <x:v>0.32430548693161754</x:v>
      </x:c>
      <x:c r="J9" s="7" t="n">
        <x:f>'Model'!I52</x:f>
        <x:v>0.032221226763006934</x:v>
      </x:c>
      <x:c r="K9" s="29" t="str">
        <x:v>Pending</x:v>
      </x:c>
    </x:row>
    <x:row r="10" ht="33" customHeight="1">
      <x:c r="A10" s="2" t="str">
        <x:v>MMF knitwear</x:v>
      </x:c>
      <x:c r="B10" s="17" t="n">
        <x:f>'Model'!E53</x:f>
        <x:v>14.574085580773765</x:v>
      </x:c>
      <x:c r="C10" s="17" t="n">
        <x:f>'Model'!D53</x:f>
        <x:v>19.111045868633756</x:v>
      </x:c>
      <x:c r="D10" s="17" t="n">
        <x:f>'Model'!O53</x:f>
        <x:v>4.536960287859991</x:v>
      </x:c>
      <x:c r="E10" s="7" t="n">
        <x:f>'Model'!P53</x:f>
        <x:v>0.3113032555431938</x:v>
      </x:c>
      <x:c r="F10" s="17" t="n">
        <x:f>IF(ISNUMBER('Model'!Q53),'Model'!Q53*100,"n.a.")</x:f>
        <x:v>31.130325554319377</x:v>
      </x:c>
      <x:c r="G10" s="45" t="n">
        <x:f>IF('Model'!T53&lt;&gt;"Ready","n.a. (inputs)",IF('Model'!D53-'Assumptions'!C47-'Assumptions'!D47&lt;'Model'!E53*(1+'Assumptions'!I8),"n.a. (no budget)",IF('Assumptions'!E47=0,"n.a. (zero rate)",'Model'!R53)))</x:f>
        <x:v>757.5045884884382</x:v>
      </x:c>
      <x:c r="H10" s="17" t="n">
        <x:f>'Model'!S53</x:f>
        <x:v>4.536960287859991</x:v>
      </x:c>
      <x:c r="I10" s="17" t="n">
        <x:f>IF(ISNUMBER('Model'!S53),'Model'!S53-'Assumptions'!$D$47,"n.a.")</x:f>
        <x:v>4.536960287859991</x:v>
      </x:c>
      <x:c r="J10" s="7" t="n">
        <x:f>'Model'!I53</x:f>
        <x:v>0.014153298257653319</x:v>
      </x:c>
      <x:c r="K10" s="29" t="str">
        <x:v>Pending</x:v>
      </x:c>
    </x:row>
    <x:row r="11" ht="33" customHeight="1">
      <x:c r="A11" s="2" t="str">
        <x:v>Synthetic dresses</x:v>
      </x:c>
      <x:c r="B11" s="17" t="n">
        <x:f>'Model'!E54</x:f>
        <x:v>29.614011294000512</x:v>
      </x:c>
      <x:c r="C11" s="17" t="n">
        <x:f>'Model'!D54</x:f>
        <x:v>30.96503096038202</x:v>
      </x:c>
      <x:c r="D11" s="17" t="n">
        <x:f>'Model'!O54</x:f>
        <x:v>1.3510196663815073</x:v>
      </x:c>
      <x:c r="E11" s="7" t="n">
        <x:f>'Model'!P54</x:f>
        <x:v>0.04562096140806182</x:v>
      </x:c>
      <x:c r="F11" s="17" t="n">
        <x:f>IF(ISNUMBER('Model'!Q54),'Model'!Q54*100,"n.a.")</x:f>
        <x:v>4.575684621888938</x:v>
      </x:c>
      <x:c r="G11" s="45" t="n">
        <x:f>IF('Model'!T54&lt;&gt;"Ready","n.a. (inputs)",IF('Model'!D54-'Assumptions'!C47-'Assumptions'!D47&lt;'Model'!E54*(1+'Assumptions'!I8),"n.a. (no budget)",IF('Assumptions'!E47=0,"n.a. (zero rate)",'Model'!R54)))</x:f>
        <x:v>111.01100609295067</x:v>
      </x:c>
      <x:c r="H11" s="17" t="n">
        <x:f>'Model'!S54</x:f>
        <x:v>1.3510196663815073</x:v>
      </x:c>
      <x:c r="I11" s="17" t="n">
        <x:f>IF(ISNUMBER('Model'!S54),'Model'!S54-'Assumptions'!$D$47,"n.a.")</x:f>
        <x:v>1.3510196663815073</x:v>
      </x:c>
      <x:c r="J11" s="7" t="n">
        <x:f>'Model'!I54</x:f>
        <x:v>0.1</x:v>
      </x:c>
      <x:c r="K11" s="29" t="str">
        <x:v>Pending</x:v>
      </x:c>
    </x:row>
    <x:row r="12" ht="33" customHeight="1">
      <x:c r="A12" s="2" t="str">
        <x:v>Cotton shirts</x:v>
      </x:c>
      <x:c r="B12" s="17" t="n">
        <x:f>'Model'!E55</x:f>
        <x:v>28.264737999419182</x:v>
      </x:c>
      <x:c r="C12" s="17" t="n">
        <x:f>'Model'!D55</x:f>
        <x:v>24.28741095968617</x:v>
      </x:c>
      <x:c r="D12" s="17" t="n">
        <x:f>'Model'!O55</x:f>
        <x:v>-3.9773270397330123</x:v>
      </x:c>
      <x:c r="E12" s="7" t="n">
        <x:f>'Model'!P55</x:f>
        <x:v>-0.14071692579689732</x:v>
      </x:c>
      <x:c r="F12" s="17" t="n">
        <x:f>IF(ISNUMBER('Model'!Q55),'Model'!Q55*100,"n.a.")</x:f>
        <x:v>-14.07169257968973</x:v>
      </x:c>
      <x:c r="G12" s="45" t="str">
        <x:f>IF('Model'!T55&lt;&gt;"Ready","n.a. (inputs)",IF('Model'!D55-'Assumptions'!C47-'Assumptions'!D47&lt;'Model'!E55*(1+'Assumptions'!I8),"n.a. (no budget)",IF('Assumptions'!E47=0,"n.a. (zero rate)",'Model'!R55)))</x:f>
        <x:v>n.a. (no budget)</x:v>
      </x:c>
      <x:c r="H12" s="17" t="n">
        <x:f>'Model'!S55</x:f>
        <x:v>-3.9773270397330123</x:v>
      </x:c>
      <x:c r="I12" s="17" t="n">
        <x:f>IF(ISNUMBER('Model'!S55),'Model'!S55-'Assumptions'!$D$47,"n.a.")</x:f>
        <x:v>-3.9773270397330123</x:v>
      </x:c>
      <x:c r="J12" s="7" t="n">
        <x:f>'Model'!I55</x:f>
        <x:v>0.06915990057015509</x:v>
      </x:c>
      <x:c r="K12" s="29" t="str">
        <x:v>Pending</x:v>
      </x:c>
    </x:row>
    <x:row r="13" ht="23" customHeight="1">
      <x:c r="A13" s="2"/>
      <x:c r="B13" s="2"/>
      <x:c r="C13" s="2"/>
      <x:c r="D13" s="2"/>
      <x:c r="E13" s="2"/>
      <x:c r="F13" s="2"/>
      <x:c r="G13" s="2"/>
      <x:c r="H13" s="2"/>
      <x:c r="I13" s="2"/>
      <x:c r="J13" s="2"/>
      <x:c r="K13" s="2"/>
    </x:row>
    <x:row r="14" ht="48" customHeight="1">
      <x:c r="A14" s="12" t="str">
        <x:v>The operating budget is before inland/handling, transition and working capital. Max transition is after inland/handling and working capital, before the transition charge. Extra duty is a uniform addition to receiver duty rates. Max premium is the total premium relative to the receiver benchmark. These limits share one budget and must not be added together.</x:v>
      </x:c>
      <x:c r="B14" s="12"/>
      <x:c r="C14" s="12"/>
      <x:c r="D14" s="12"/>
      <x:c r="E14" s="12"/>
      <x:c r="F14" s="12"/>
      <x:c r="G14" s="12"/>
      <x:c r="H14" s="12"/>
      <x:c r="I14" s="12"/>
      <x:c r="J14" s="12"/>
      <x:c r="K14" s="12"/>
    </x:row>
    <x:row r="15" ht="23" customHeight="1">
      <x:c r="A15" s="2"/>
      <x:c r="B15" s="2"/>
      <x:c r="C15" s="2"/>
      <x:c r="D15" s="2"/>
      <x:c r="E15" s="2"/>
      <x:c r="F15" s="2"/>
      <x:c r="G15" s="2"/>
      <x:c r="H15" s="2"/>
      <x:c r="I15" s="2"/>
      <x:c r="J15" s="2"/>
      <x:c r="K15" s="2"/>
    </x:row>
    <x:row r="16" ht="23" customHeight="1">
      <x:c r="A16" s="2"/>
      <x:c r="B16" s="2"/>
      <x:c r="C16" s="2"/>
      <x:c r="D16" s="2"/>
      <x:c r="E16" s="2"/>
      <x:c r="F16" s="2"/>
      <x:c r="G16" s="2"/>
      <x:c r="H16" s="2"/>
      <x:c r="I16" s="2"/>
      <x:c r="J16" s="2"/>
      <x:c r="K16" s="2"/>
    </x:row>
    <x:row r="17" ht="42" customHeight="1">
      <x:c r="A17" s="11" t="str">
        <x:v>Product</x:v>
      </x:c>
      <x:c r="B17" s="11" t="str">
        <x:v>Receiver + premium £/kg</x:v>
      </x:c>
      <x:c r="C17" s="11" t="str">
        <x:v>Inland / handling £/kg</x:v>
      </x:c>
      <x:c r="D17" s="11" t="str">
        <x:v>Transition £/kg</x:v>
      </x:c>
      <x:c r="E17" s="11" t="str">
        <x:v>Working capital £/kg</x:v>
      </x:c>
      <x:c r="F17" s="11" t="str">
        <x:v>Total receiver £/kg</x:v>
      </x:c>
      <x:c r="G17" s="11" t="str">
        <x:v>China £/kg</x:v>
      </x:c>
      <x:c r="H17" s="11" t="str">
        <x:v>Net difference £/kg</x:v>
      </x:c>
      <x:c r="I17" s="2"/>
      <x:c r="J17" s="2"/>
      <x:c r="K17" s="2"/>
    </x:row>
    <x:row r="18" ht="23" customHeight="1">
      <x:c r="A18" s="2" t="str">
        <x:v>Cotton T-shirts</x:v>
      </x:c>
      <x:c r="B18" s="17" t="n">
        <x:f>IF('Model'!T52="Ready",'Model'!E52*(1+'Assumptions'!I8),"n.a.")</x:f>
        <x:v>18.62523201506167</x:v>
      </x:c>
      <x:c r="C18" s="17" t="n">
        <x:f>'Assumptions'!C47</x:f>
        <x:v>0</x:v>
      </x:c>
      <x:c r="D18" s="17" t="n">
        <x:f>'Assumptions'!D47</x:f>
        <x:v>0</x:v>
      </x:c>
      <x:c r="E18" s="17" t="n">
        <x:f>IF(ISNUMBER(B18),B18*'Assumptions'!E47*'Assumptions'!F47/365,"n.a.")</x:f>
        <x:v>0</x:v>
      </x:c>
      <x:c r="F18" s="17" t="n">
        <x:f>IF(COUNT(B18:E18)=4,SUM(B18:E18),"n.a.")</x:f>
        <x:v>18.62523201506167</x:v>
      </x:c>
      <x:c r="G18" s="17" t="n">
        <x:f>'Model'!D52</x:f>
        <x:v>18.949537501993287</x:v>
      </x:c>
      <x:c r="H18" s="17" t="n">
        <x:f>IF(ISNUMBER(F18),F18-G18,"n.a.")</x:f>
        <x:v>-0.32430548693161754</x:v>
      </x:c>
      <x:c r="I18" s="2"/>
      <x:c r="J18" s="2"/>
      <x:c r="K18" s="2"/>
    </x:row>
    <x:row r="19" ht="23" customHeight="1">
      <x:c r="A19" s="2" t="str">
        <x:v>MMF knitwear</x:v>
      </x:c>
      <x:c r="B19" s="17" t="n">
        <x:f>IF('Model'!T53="Ready",'Model'!E53*(1+'Assumptions'!I8),"n.a.")</x:f>
        <x:v>14.574085580773765</x:v>
      </x:c>
      <x:c r="C19" s="17" t="n">
        <x:f>'Assumptions'!C47</x:f>
        <x:v>0</x:v>
      </x:c>
      <x:c r="D19" s="17" t="n">
        <x:f>'Assumptions'!D47</x:f>
        <x:v>0</x:v>
      </x:c>
      <x:c r="E19" s="17" t="n">
        <x:f>IF(ISNUMBER(B19),B19*'Assumptions'!E47*'Assumptions'!F47/365,"n.a.")</x:f>
        <x:v>0</x:v>
      </x:c>
      <x:c r="F19" s="17" t="n">
        <x:f>IF(COUNT(B19:E19)=4,SUM(B19:E19),"n.a.")</x:f>
        <x:v>14.574085580773765</x:v>
      </x:c>
      <x:c r="G19" s="17" t="n">
        <x:f>'Model'!D53</x:f>
        <x:v>19.111045868633756</x:v>
      </x:c>
      <x:c r="H19" s="17" t="n">
        <x:f>IF(ISNUMBER(F19),F19-G19,"n.a.")</x:f>
        <x:v>-4.536960287859991</x:v>
      </x:c>
      <x:c r="I19" s="2"/>
      <x:c r="J19" s="2"/>
      <x:c r="K19" s="2"/>
    </x:row>
    <x:row r="20" ht="23" customHeight="1">
      <x:c r="A20" s="2" t="str">
        <x:v>Synthetic dresses</x:v>
      </x:c>
      <x:c r="B20" s="17" t="n">
        <x:f>IF('Model'!T54="Ready",'Model'!E54*(1+'Assumptions'!I8),"n.a.")</x:f>
        <x:v>29.614011294000512</x:v>
      </x:c>
      <x:c r="C20" s="17" t="n">
        <x:f>'Assumptions'!C47</x:f>
        <x:v>0</x:v>
      </x:c>
      <x:c r="D20" s="17" t="n">
        <x:f>'Assumptions'!D47</x:f>
        <x:v>0</x:v>
      </x:c>
      <x:c r="E20" s="17" t="n">
        <x:f>IF(ISNUMBER(B20),B20*'Assumptions'!E47*'Assumptions'!F47/365,"n.a.")</x:f>
        <x:v>0</x:v>
      </x:c>
      <x:c r="F20" s="17" t="n">
        <x:f>IF(COUNT(B20:E20)=4,SUM(B20:E20),"n.a.")</x:f>
        <x:v>29.614011294000512</x:v>
      </x:c>
      <x:c r="G20" s="17" t="n">
        <x:f>'Model'!D54</x:f>
        <x:v>30.96503096038202</x:v>
      </x:c>
      <x:c r="H20" s="17" t="n">
        <x:f>IF(ISNUMBER(F20),F20-G20,"n.a.")</x:f>
        <x:v>-1.3510196663815073</x:v>
      </x:c>
      <x:c r="I20" s="2"/>
      <x:c r="J20" s="2"/>
      <x:c r="K20" s="2"/>
    </x:row>
    <x:row r="21" ht="23" customHeight="1">
      <x:c r="A21" s="2" t="str">
        <x:v>Cotton shirts</x:v>
      </x:c>
      <x:c r="B21" s="17" t="n">
        <x:f>IF('Model'!T55="Ready",'Model'!E55*(1+'Assumptions'!I8),"n.a.")</x:f>
        <x:v>28.264737999419182</x:v>
      </x:c>
      <x:c r="C21" s="17" t="n">
        <x:f>'Assumptions'!C47</x:f>
        <x:v>0</x:v>
      </x:c>
      <x:c r="D21" s="17" t="n">
        <x:f>'Assumptions'!D47</x:f>
        <x:v>0</x:v>
      </x:c>
      <x:c r="E21" s="17" t="n">
        <x:f>IF(ISNUMBER(B21),B21*'Assumptions'!E47*'Assumptions'!F47/365,"n.a.")</x:f>
        <x:v>0</x:v>
      </x:c>
      <x:c r="F21" s="17" t="n">
        <x:f>IF(COUNT(B21:E21)=4,SUM(B21:E21),"n.a.")</x:f>
        <x:v>28.264737999419182</x:v>
      </x:c>
      <x:c r="G21" s="17" t="n">
        <x:f>'Model'!D55</x:f>
        <x:v>24.28741095968617</x:v>
      </x:c>
      <x:c r="H21" s="17" t="n">
        <x:f>IF(ISNUMBER(F21),F21-G21,"n.a.")</x:f>
        <x:v>3.9773270397330123</x:v>
      </x:c>
      <x:c r="I21" s="2"/>
      <x:c r="J21" s="2"/>
      <x:c r="K21" s="2"/>
    </x:row>
    <x:row r="22" ht="23" customHeight="1">
      <x:c r="A22" s="2"/>
      <x:c r="B22" s="2"/>
      <x:c r="C22" s="2"/>
      <x:c r="D22" s="2"/>
      <x:c r="E22" s="2"/>
      <x:c r="F22" s="2"/>
      <x:c r="G22" s="2"/>
      <x:c r="H22" s="2"/>
      <x:c r="I22" s="2"/>
      <x:c r="J22" s="2"/>
      <x:c r="K22" s="2"/>
    </x:row>
    <x:row r="23" ht="44" customHeight="1">
      <x:c r="A23" s="12" t="str">
        <x:v>This bridge names operating additions separately. Zero in the initial case means excluded from the test, not evidence of zero cost. Recoverable VAT, FX, service failures and product-quality differences are not estimated. Any evidenced additional cost consumes the same remaining headroom.</x:v>
      </x:c>
      <x:c r="B23" s="12"/>
      <x:c r="C23" s="12"/>
      <x:c r="D23" s="12"/>
      <x:c r="E23" s="12"/>
      <x:c r="F23" s="12"/>
      <x:c r="G23" s="12"/>
      <x:c r="H23" s="12"/>
      <x:c r="I23" s="12"/>
      <x:c r="J23" s="12"/>
      <x:c r="K23" s="12"/>
    </x:row>
    <x:row r="24" ht="23" customHeight="1">
      <x:c r="A24" s="2"/>
      <x:c r="B24" s="2"/>
      <x:c r="C24" s="2"/>
      <x:c r="D24" s="2"/>
      <x:c r="E24" s="2"/>
      <x:c r="F24" s="2"/>
      <x:c r="G24" s="2"/>
      <x:c r="H24" s="2"/>
      <x:c r="I24" s="2"/>
      <x:c r="J24" s="2"/>
      <x:c r="K24" s="2"/>
    </x:row>
    <x:row r="25" ht="23" customHeight="1">
      <x:c r="A25" s="2"/>
      <x:c r="B25" s="2"/>
      <x:c r="C25" s="2"/>
      <x:c r="D25" s="2"/>
      <x:c r="E25" s="2"/>
      <x:c r="F25" s="2"/>
      <x:c r="G25" s="2"/>
      <x:c r="H25" s="2"/>
      <x:c r="I25" s="2"/>
      <x:c r="J25" s="2"/>
      <x:c r="K25" s="2"/>
    </x:row>
    <x:row r="26" ht="42" customHeight="1">
      <x:c r="A26" s="11" t="str">
        <x:v>Product</x:v>
      </x:c>
      <x:c r="B26" s="11" t="str">
        <x:v>Days at 10% carry</x:v>
      </x:c>
      <x:c r="C26" s="11" t="str">
        <x:v>Days at 15% carry</x:v>
      </x:c>
      <x:c r="D26" s="11" t="str">
        <x:v>Days at 20% carry</x:v>
      </x:c>
      <x:c r="E26" s="11" t="str">
        <x:v>Transition £ per 1,000 kg</x:v>
      </x:c>
      <x:c r="F26" s="2"/>
      <x:c r="G26" s="2"/>
      <x:c r="H26" s="2"/>
      <x:c r="I26" s="2"/>
      <x:c r="J26" s="2"/>
      <x:c r="K26" s="2"/>
    </x:row>
    <x:row r="27" ht="33" customHeight="1">
      <x:c r="A27" s="2" t="str">
        <x:v>Cotton T-shirts</x:v>
      </x:c>
      <x:c r="B27" s="45" t="n">
        <x:f>IF('Model'!T52&lt;&gt;"Ready","n.a.",IF('Model'!D52-'Assumptions'!C47-'Assumptions'!D47&lt;'Model'!E52*(1+'Assumptions'!I8),"n.a. (no budget)",('Model'!D52-'Assumptions'!C47-'Assumptions'!D47-'Model'!E52*(1+'Assumptions'!I8))/('Model'!E52*(1+'Assumptions'!I8)*0.1)*365))</x:f>
        <x:v>63.55437754242036</x:v>
      </x:c>
      <x:c r="C27" s="45" t="n">
        <x:f>IF('Model'!T52&lt;&gt;"Ready","n.a.",IF('Model'!D52-'Assumptions'!C47-'Assumptions'!D47&lt;'Model'!E52*(1+'Assumptions'!I8),"n.a. (no budget)",('Model'!D52-'Assumptions'!C47-'Assumptions'!D47-'Model'!E52*(1+'Assumptions'!I8))/('Model'!E52*(1+'Assumptions'!I8)*0.15)*365))</x:f>
        <x:v>42.36958502828024</x:v>
      </x:c>
      <x:c r="D27" s="45" t="n">
        <x:f>IF('Model'!T52&lt;&gt;"Ready","n.a.",IF('Model'!D52-'Assumptions'!C47-'Assumptions'!D47&lt;'Model'!E52*(1+'Assumptions'!I8),"n.a. (no budget)",('Model'!D52-'Assumptions'!C47-'Assumptions'!D47-'Model'!E52*(1+'Assumptions'!I8))/('Model'!E52*(1+'Assumptions'!I8)*0.2)*365))</x:f>
        <x:v>31.77718877121018</x:v>
      </x:c>
      <x:c r="E27" s="17" t="n">
        <x:f>IF(ISNUMBER('Model'!S52),'Model'!S52*1000,"n.a.")</x:f>
        <x:v>324.30548693161757</x:v>
      </x:c>
      <x:c r="F27" s="2"/>
      <x:c r="G27" s="2"/>
      <x:c r="H27" s="2"/>
      <x:c r="I27" s="2"/>
      <x:c r="J27" s="2"/>
      <x:c r="K27" s="2"/>
    </x:row>
    <x:row r="28" ht="33" customHeight="1">
      <x:c r="A28" s="2" t="str">
        <x:v>MMF knitwear</x:v>
      </x:c>
      <x:c r="B28" s="45" t="n">
        <x:f>IF('Model'!T53&lt;&gt;"Ready","n.a.",IF('Model'!D53-'Assumptions'!C47-'Assumptions'!D47&lt;'Model'!E53*(1+'Assumptions'!I8),"n.a. (no budget)",('Model'!D53-'Assumptions'!C47-'Assumptions'!D47-'Model'!E53*(1+'Assumptions'!I8))/('Model'!E53*(1+'Assumptions'!I8)*0.1)*365))</x:f>
        <x:v>1136.2568827326572</x:v>
      </x:c>
      <x:c r="C28" s="45" t="n">
        <x:f>IF('Model'!T53&lt;&gt;"Ready","n.a.",IF('Model'!D53-'Assumptions'!C47-'Assumptions'!D47&lt;'Model'!E53*(1+'Assumptions'!I8),"n.a. (no budget)",('Model'!D53-'Assumptions'!C47-'Assumptions'!D47-'Model'!E53*(1+'Assumptions'!I8))/('Model'!E53*(1+'Assumptions'!I8)*0.15)*365))</x:f>
        <x:v>757.5045884884382</x:v>
      </x:c>
      <x:c r="D28" s="45" t="n">
        <x:f>IF('Model'!T53&lt;&gt;"Ready","n.a.",IF('Model'!D53-'Assumptions'!C47-'Assumptions'!D47&lt;'Model'!E53*(1+'Assumptions'!I8),"n.a. (no budget)",('Model'!D53-'Assumptions'!C47-'Assumptions'!D47-'Model'!E53*(1+'Assumptions'!I8))/('Model'!E53*(1+'Assumptions'!I8)*0.2)*365))</x:f>
        <x:v>568.1284413663286</x:v>
      </x:c>
      <x:c r="E28" s="17" t="n">
        <x:f>IF(ISNUMBER('Model'!S53),'Model'!S53*1000,"n.a.")</x:f>
        <x:v>4536.960287859991</x:v>
      </x:c>
      <x:c r="F28" s="2"/>
      <x:c r="G28" s="2"/>
      <x:c r="H28" s="2"/>
      <x:c r="I28" s="2"/>
      <x:c r="J28" s="2"/>
      <x:c r="K28" s="2"/>
    </x:row>
    <x:row r="29" ht="33" customHeight="1">
      <x:c r="A29" s="2" t="str">
        <x:v>Synthetic dresses</x:v>
      </x:c>
      <x:c r="B29" s="45" t="n">
        <x:f>IF('Model'!T54&lt;&gt;"Ready","n.a.",IF('Model'!D54-'Assumptions'!C47-'Assumptions'!D47&lt;'Model'!E54*(1+'Assumptions'!I8),"n.a. (no budget)",('Model'!D54-'Assumptions'!C47-'Assumptions'!D47-'Model'!E54*(1+'Assumptions'!I8))/('Model'!E54*(1+'Assumptions'!I8)*0.1)*365))</x:f>
        <x:v>166.516509139426</x:v>
      </x:c>
      <x:c r="C29" s="45" t="n">
        <x:f>IF('Model'!T54&lt;&gt;"Ready","n.a.",IF('Model'!D54-'Assumptions'!C47-'Assumptions'!D47&lt;'Model'!E54*(1+'Assumptions'!I8),"n.a. (no budget)",('Model'!D54-'Assumptions'!C47-'Assumptions'!D47-'Model'!E54*(1+'Assumptions'!I8))/('Model'!E54*(1+'Assumptions'!I8)*0.15)*365))</x:f>
        <x:v>111.01100609295067</x:v>
      </x:c>
      <x:c r="D29" s="45" t="n">
        <x:f>IF('Model'!T54&lt;&gt;"Ready","n.a.",IF('Model'!D54-'Assumptions'!C47-'Assumptions'!D47&lt;'Model'!E54*(1+'Assumptions'!I8),"n.a. (no budget)",('Model'!D54-'Assumptions'!C47-'Assumptions'!D47-'Model'!E54*(1+'Assumptions'!I8))/('Model'!E54*(1+'Assumptions'!I8)*0.2)*365))</x:f>
        <x:v>83.258254569713</x:v>
      </x:c>
      <x:c r="E29" s="17" t="n">
        <x:f>IF(ISNUMBER('Model'!S54),'Model'!S54*1000,"n.a.")</x:f>
        <x:v>1351.0196663815072</x:v>
      </x:c>
      <x:c r="F29" s="2"/>
      <x:c r="G29" s="2"/>
      <x:c r="H29" s="2"/>
      <x:c r="I29" s="2"/>
      <x:c r="J29" s="2"/>
      <x:c r="K29" s="2"/>
    </x:row>
    <x:row r="30" ht="33" customHeight="1">
      <x:c r="A30" s="2" t="str">
        <x:v>Cotton shirts</x:v>
      </x:c>
      <x:c r="B30" s="45" t="str">
        <x:f>IF('Model'!T55&lt;&gt;"Ready","n.a.",IF('Model'!D55-'Assumptions'!C47-'Assumptions'!D47&lt;'Model'!E55*(1+'Assumptions'!I8),"n.a. (no budget)",('Model'!D55-'Assumptions'!C47-'Assumptions'!D47-'Model'!E55*(1+'Assumptions'!I8))/('Model'!E55*(1+'Assumptions'!I8)*0.1)*365))</x:f>
        <x:v>n.a. (no budget)</x:v>
      </x:c>
      <x:c r="C30" s="45" t="str">
        <x:f>IF('Model'!T55&lt;&gt;"Ready","n.a.",IF('Model'!D55-'Assumptions'!C47-'Assumptions'!D47&lt;'Model'!E55*(1+'Assumptions'!I8),"n.a. (no budget)",('Model'!D55-'Assumptions'!C47-'Assumptions'!D47-'Model'!E55*(1+'Assumptions'!I8))/('Model'!E55*(1+'Assumptions'!I8)*0.15)*365))</x:f>
        <x:v>n.a. (no budget)</x:v>
      </x:c>
      <x:c r="D30" s="45" t="str">
        <x:f>IF('Model'!T55&lt;&gt;"Ready","n.a.",IF('Model'!D55-'Assumptions'!C47-'Assumptions'!D47&lt;'Model'!E55*(1+'Assumptions'!I8),"n.a. (no budget)",('Model'!D55-'Assumptions'!C47-'Assumptions'!D47-'Model'!E55*(1+'Assumptions'!I8))/('Model'!E55*(1+'Assumptions'!I8)*0.2)*365))</x:f>
        <x:v>n.a. (no budget)</x:v>
      </x:c>
      <x:c r="E30" s="17" t="n">
        <x:f>IF(ISNUMBER('Model'!S55),'Model'!S55*1000,"n.a.")</x:f>
        <x:v>-3977.3270397330125</x:v>
      </x:c>
      <x:c r="F30" s="2"/>
      <x:c r="G30" s="2"/>
      <x:c r="H30" s="2"/>
      <x:c r="I30" s="2"/>
      <x:c r="J30" s="2"/>
      <x:c r="K30" s="2"/>
    </x:row>
    <x:row r="31" ht="23" customHeight="1">
      <x:c r="A31" s="2"/>
      <x:c r="B31" s="2"/>
      <x:c r="C31" s="2"/>
      <x:c r="D31" s="2"/>
      <x:c r="E31" s="2"/>
      <x:c r="F31" s="2"/>
      <x:c r="G31" s="2"/>
      <x:c r="H31" s="2"/>
      <x:c r="I31" s="2"/>
      <x:c r="J31" s="2"/>
      <x:c r="K31" s="2"/>
    </x:row>
    <x:row r="32" ht="46" customHeight="1">
      <x:c r="A32" s="12" t="str">
        <x:v>Days are financing thresholds, not acceptable delivery times. Large values may reflect noncomparable product mixes. Per-1,000 kg transition budgets are a scale illustration, not a shipment forecast. Negative budgets indicate a cost gap. For inactive categories, thresholds describe a hypothetical transfer.</x:v>
      </x:c>
      <x:c r="B32" s="12"/>
      <x:c r="C32" s="12"/>
      <x:c r="D32" s="12"/>
      <x:c r="E32" s="12"/>
      <x:c r="F32" s="12"/>
      <x:c r="G32" s="12"/>
      <x:c r="H32" s="12"/>
      <x:c r="I32" s="12"/>
      <x:c r="J32" s="12"/>
      <x:c r="K32" s="12"/>
    </x:row>
    <x:row r="33" ht="23" customHeight="1">
      <x:c r="A33" s="2"/>
      <x:c r="B33" s="2"/>
      <x:c r="C33" s="2"/>
      <x:c r="D33" s="2"/>
      <x:c r="E33" s="2"/>
      <x:c r="F33" s="2"/>
      <x:c r="G33" s="2"/>
      <x:c r="H33" s="2"/>
      <x:c r="I33" s="2"/>
      <x:c r="J33" s="2"/>
      <x:c r="K33" s="2"/>
    </x:row>
    <x:row r="34" ht="23" customHeight="1">
      <x:c r="A34" s="2"/>
      <x:c r="B34" s="2"/>
      <x:c r="C34" s="2"/>
      <x:c r="D34" s="2"/>
      <x:c r="E34" s="2"/>
      <x:c r="F34" s="2"/>
      <x:c r="G34" s="2"/>
      <x:c r="H34" s="2"/>
      <x:c r="I34" s="2"/>
      <x:c r="J34" s="2"/>
      <x:c r="K34" s="2"/>
    </x:row>
    <x:row r="35" ht="23" customHeight="1">
      <x:c r="A35" s="2"/>
      <x:c r="B35" s="2"/>
      <x:c r="C35" s="2"/>
      <x:c r="D35" s="2"/>
      <x:c r="E35" s="2"/>
      <x:c r="F35" s="2"/>
      <x:c r="G35" s="2"/>
      <x:c r="H35" s="2"/>
      <x:c r="I35" s="2"/>
      <x:c r="J35" s="2"/>
      <x:c r="K35" s="2"/>
    </x:row>
    <x:row r="36" ht="23" customHeight="1">
      <x:c r="A36" s="2"/>
      <x:c r="B36" s="2"/>
      <x:c r="C36" s="2"/>
      <x:c r="D36" s="2"/>
      <x:c r="E36" s="2"/>
      <x:c r="F36" s="2"/>
      <x:c r="G36" s="2"/>
      <x:c r="H36" s="2"/>
      <x:c r="I36" s="2"/>
      <x:c r="J36" s="2"/>
      <x:c r="K36" s="2"/>
    </x:row>
    <x:row r="37" ht="23" customHeight="1">
      <x:c r="A37" s="2"/>
      <x:c r="B37" s="2"/>
      <x:c r="C37" s="2"/>
      <x:c r="D37" s="2"/>
      <x:c r="E37" s="2"/>
      <x:c r="F37" s="2"/>
      <x:c r="G37" s="2"/>
      <x:c r="H37" s="2"/>
      <x:c r="I37" s="2"/>
      <x:c r="J37" s="2"/>
      <x:c r="K37" s="2"/>
    </x:row>
    <x:row r="38" ht="23" customHeight="1">
      <x:c r="A38" s="2"/>
      <x:c r="B38" s="2"/>
      <x:c r="C38" s="2"/>
      <x:c r="D38" s="2"/>
      <x:c r="E38" s="2"/>
      <x:c r="F38" s="2"/>
      <x:c r="G38" s="2"/>
      <x:c r="H38" s="2"/>
      <x:c r="I38" s="2"/>
      <x:c r="J38" s="2"/>
      <x:c r="K38" s="2"/>
    </x:row>
    <x:row r="39" ht="23" customHeight="1">
      <x:c r="A39" s="2"/>
      <x:c r="B39" s="2"/>
      <x:c r="C39" s="2"/>
      <x:c r="D39" s="2"/>
      <x:c r="E39" s="2"/>
      <x:c r="F39" s="2"/>
      <x:c r="G39" s="2"/>
      <x:c r="H39" s="2"/>
      <x:c r="I39" s="2"/>
      <x:c r="J39" s="2"/>
      <x:c r="K39" s="2"/>
    </x:row>
    <x:row r="40" ht="23" customHeight="1">
      <x:c r="A40" s="2"/>
      <x:c r="B40" s="2"/>
      <x:c r="C40" s="2"/>
      <x:c r="D40" s="2"/>
      <x:c r="E40" s="2"/>
      <x:c r="F40" s="2"/>
      <x:c r="G40" s="2"/>
      <x:c r="H40" s="2"/>
      <x:c r="I40" s="2"/>
      <x:c r="J40" s="2"/>
      <x:c r="K40" s="2"/>
    </x:row>
    <x:row r="41" ht="23" customHeight="1">
      <x:c r="A41" s="2"/>
      <x:c r="B41" s="2"/>
      <x:c r="C41" s="2"/>
      <x:c r="D41" s="2"/>
      <x:c r="E41" s="2"/>
      <x:c r="F41" s="2"/>
      <x:c r="G41" s="2"/>
      <x:c r="H41" s="2"/>
      <x:c r="I41" s="2"/>
      <x:c r="J41" s="2"/>
      <x:c r="K41" s="2"/>
    </x:row>
    <x:row r="42" ht="23" customHeight="1">
      <x:c r="A42" s="2"/>
      <x:c r="B42" s="2"/>
      <x:c r="C42" s="2"/>
      <x:c r="D42" s="2"/>
      <x:c r="E42" s="2"/>
      <x:c r="F42" s="2"/>
      <x:c r="G42" s="2"/>
      <x:c r="H42" s="2"/>
      <x:c r="I42" s="2"/>
      <x:c r="J42" s="2"/>
      <x:c r="K42" s="2"/>
    </x:row>
    <x:row r="43" ht="23" customHeight="1">
      <x:c r="A43" s="2"/>
      <x:c r="B43" s="2"/>
      <x:c r="C43" s="2"/>
      <x:c r="D43" s="2"/>
      <x:c r="E43" s="2"/>
      <x:c r="F43" s="2"/>
      <x:c r="G43" s="2"/>
      <x:c r="H43" s="2"/>
      <x:c r="I43" s="2"/>
      <x:c r="J43" s="2"/>
      <x:c r="K43" s="2"/>
    </x:row>
  </x:sheetData>
  <x:mergeCells>
    <x:mergeCell ref="B4:D4"/>
    <x:mergeCell ref="A6:K6"/>
    <x:mergeCell ref="A14:K14"/>
    <x:mergeCell ref="A23:K23"/>
    <x:mergeCell ref="A32:K32"/>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16" hidden="0" customWidth="1"/>
    <x:col min="2" max="2" width="33"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s>
  <x:sheetData>
    <x:row r="1" ht="23" customHeight="1">
      <x:c r="A1" s="2"/>
      <x:c r="B1" s="2"/>
      <x:c r="C1" s="2"/>
      <x:c r="D1" s="2"/>
      <x:c r="E1" s="2"/>
      <x:c r="F1" s="2"/>
      <x:c r="G1" s="2"/>
      <x:c r="H1" s="2"/>
      <x:c r="I1" s="2"/>
      <x:c r="J1" s="2"/>
      <x:c r="K1" s="2"/>
      <x:c r="L1" s="2"/>
    </x:row>
    <x:row r="2" ht="29" customHeight="1">
      <x:c r="A2" s="3" t="str">
        <x:v>Saved sensitivity results, 18 September 2026</x:v>
      </x:c>
      <x:c r="B2" s="2"/>
      <x:c r="C2" s="2"/>
      <x:c r="D2" s="2"/>
      <x:c r="E2" s="2"/>
      <x:c r="F2" s="2"/>
      <x:c r="G2" s="2"/>
      <x:c r="H2" s="2"/>
      <x:c r="I2" s="2"/>
      <x:c r="J2" s="2"/>
      <x:c r="K2" s="2"/>
      <x:c r="L2" s="2"/>
    </x:row>
    <x:row r="3" ht="23" customHeight="1">
      <x:c r="A3" s="2"/>
      <x:c r="B3" s="2"/>
      <x:c r="C3" s="2"/>
      <x:c r="D3" s="2"/>
      <x:c r="E3" s="2"/>
      <x:c r="F3" s="2"/>
      <x:c r="G3" s="2"/>
      <x:c r="H3" s="2"/>
      <x:c r="I3" s="2"/>
      <x:c r="J3" s="2"/>
      <x:c r="K3" s="2"/>
      <x:c r="L3" s="2"/>
    </x:row>
    <x:row r="4" ht="50" customHeight="1">
      <x:c r="A4" s="12" t="str">
        <x:v>Each row is a saved execution of the live Model. Any change to captured source data, receiver mixes, operating sets or shared limits flags all saved cases for refresh. Case-definition changes flag the affected case. The selected case is also reconciled to its saved outputs in QC_Checks.</x:v>
      </x:c>
      <x:c r="B4" s="12"/>
      <x:c r="C4" s="12"/>
      <x:c r="D4" s="12"/>
      <x:c r="E4" s="12"/>
      <x:c r="F4" s="12"/>
      <x:c r="G4" s="12"/>
      <x:c r="H4" s="12"/>
      <x:c r="I4" s="12"/>
      <x:c r="J4" s="12"/>
      <x:c r="K4" s="12"/>
      <x:c r="L4" s="12"/>
    </x:row>
    <x:row r="5" ht="23" customHeight="1">
      <x:c r="A5" s="2"/>
      <x:c r="B5" s="2"/>
      <x:c r="C5" s="2"/>
      <x:c r="D5" s="2"/>
      <x:c r="E5" s="2"/>
      <x:c r="F5" s="2"/>
      <x:c r="G5" s="2"/>
      <x:c r="H5" s="2"/>
      <x:c r="I5" s="2"/>
      <x:c r="J5" s="2"/>
      <x:c r="K5" s="2"/>
      <x:c r="L5" s="2"/>
    </x:row>
    <x:row r="6" ht="43" customHeight="1">
      <x:c r="A6" s="11" t="str">
        <x:v>ID</x:v>
      </x:c>
      <x:c r="B6" s="11" t="str">
        <x:v>Test</x:v>
      </x:c>
      <x:c r="C6" s="11" t="str">
        <x:v>Equal-weight cost change</x:v>
      </x:c>
      <x:c r="D6" s="11" t="str">
        <x:v>Value-weight cost change</x:v>
      </x:c>
      <x:c r="E6" s="11" t="str">
        <x:v>Knitwear shift</x:v>
      </x:c>
      <x:c r="F6" s="11" t="str">
        <x:v>T-shirt HHI change</x:v>
      </x:c>
      <x:c r="G6" s="11" t="str">
        <x:v>Knitwear HHI change</x:v>
      </x:c>
      <x:c r="H6" s="11" t="str">
        <x:v>Dress HHI change</x:v>
      </x:c>
      <x:c r="I6" s="11" t="str">
        <x:v>Shirt HHI change</x:v>
      </x:c>
      <x:c r="J6" s="11" t="str">
        <x:v>Max receiver multiple</x:v>
      </x:c>
      <x:c r="K6" s="34" t="str">
        <x:v>Saved-input status</x:v>
      </x:c>
      <x:c r="L6" s="34" t="str">
        <x:v>Weightings disagree</x:v>
      </x:c>
    </x:row>
    <x:row r="7" ht="34" customHeight="1">
      <x:c r="A7" s="2" t="n">
        <x:v>1</x:v>
      </x:c>
      <x:c r="B7" s="12" t="str">
        <x:v>Balanced, 3x</x:v>
      </x:c>
      <x:c r="C7" s="7" t="n">
        <x:v>0.0007667252992001883</x:v>
      </x:c>
      <x:c r="D7" s="7" t="n">
        <x:v>-0.0009929236664520365</x:v>
      </x:c>
      <x:c r="E7" s="7" t="n">
        <x:v>0.014153298257653319</x:v>
      </x:c>
      <x:c r="F7" s="27" t="n">
        <x:v>39.567478091494195</x:v>
      </x:c>
      <x:c r="G7" s="27" t="n">
        <x:v>-88.19322957670738</x:v>
      </x:c>
      <x:c r="H7" s="27" t="n">
        <x:v>-635.801651328959</x:v>
      </x:c>
      <x:c r="I7" s="27" t="n">
        <x:v>117.77113668368929</x:v>
      </x:c>
      <x:c r="J7" s="24" t="n">
        <x:v>3</x:v>
      </x:c>
      <x:c r="K7" s="38" t="str">
        <x:f>IF(AND($C$207=0,'Assumptions'!A13=A171,'Assumptions'!B13=B171,'Assumptions'!C13=C171,'Assumptions'!D13=D171,'Assumptions'!E13=E171,'Assumptions'!F13=F171,'Assumptions'!G13=G171,'Assumptions'!H13=H171,'Assumptions'!I13=I171,'Assumptions'!J13=J171,'Assumptions'!K13=K171),"Inputs match snapshot","Refresh required")</x:f>
        <x:v>Inputs match snapshot</x:v>
      </x:c>
      <x:c r="L7" s="2" t="str">
        <x:f>IF(C7*D7&lt;0,"Yes","No")</x:f>
        <x:v>Yes</x:v>
      </x:c>
    </x:row>
    <x:row r="8" ht="34" customHeight="1">
      <x:c r="A8" s="2" t="n">
        <x:v>2</x:v>
      </x:c>
      <x:c r="B8" s="12" t="str">
        <x:v>Cautious, 3x</x:v>
      </x:c>
      <x:c r="C8" s="7" t="n">
        <x:v>0.00044885644442482775</x:v>
      </x:c>
      <x:c r="D8" s="7" t="n">
        <x:v>-0.0010414741428202208</x:v>
      </x:c>
      <x:c r="E8" s="7" t="n">
        <x:v>0.014153298257653319</x:v>
      </x:c>
      <x:c r="F8" s="27" t="n">
        <x:v>39.567478091494195</x:v>
      </x:c>
      <x:c r="G8" s="27" t="n">
        <x:v>-88.19322957670738</x:v>
      </x:c>
      <x:c r="H8" s="27" t="n">
        <x:v>-352.2758256644797</x:v>
      </x:c>
      <x:c r="I8" s="27" t="n">
        <x:v>71.97165887346364</x:v>
      </x:c>
      <x:c r="J8" s="24" t="n">
        <x:v>3</x:v>
      </x:c>
      <x:c r="K8" s="38" t="str">
        <x:f>IF(AND($C$207=0,'Assumptions'!A14=A172,'Assumptions'!B14=B172,'Assumptions'!C14=C172,'Assumptions'!D14=D172,'Assumptions'!E14=E172,'Assumptions'!F14=F172,'Assumptions'!G14=G172,'Assumptions'!H14=H172,'Assumptions'!I14=I172,'Assumptions'!J14=J172,'Assumptions'!K14=K172),"Inputs match snapshot","Refresh required")</x:f>
        <x:v>Inputs match snapshot</x:v>
      </x:c>
      <x:c r="L8" s="2" t="str">
        <x:f>IF(C8*D8&lt;0,"Yes","No")</x:f>
        <x:v>Yes</x:v>
      </x:c>
    </x:row>
    <x:row r="9" ht="34" customHeight="1">
      <x:c r="A9" s="2" t="n">
        <x:v>3</x:v>
      </x:c>
      <x:c r="B9" s="12" t="str">
        <x:v>Accelerated, 3x</x:v>
      </x:c>
      <x:c r="C9" s="7" t="n">
        <x:v>0.00015313079220213854</x:v>
      </x:c>
      <x:c r="D9" s="7" t="n">
        <x:v>-0.0013282546081557207</x:v>
      </x:c>
      <x:c r="E9" s="7" t="n">
        <x:v>0.014153298257653319</x:v>
      </x:c>
      <x:c r="F9" s="27" t="n">
        <x:v>39.567478091494195</x:v>
      </x:c>
      <x:c r="G9" s="27" t="n">
        <x:v>-88.19322957670738</x:v>
      </x:c>
      <x:c r="H9" s="27" t="n">
        <x:v>-850.5774769934385</x:v>
      </x:c>
      <x:c r="I9" s="27" t="n">
        <x:v>117.77113668368929</x:v>
      </x:c>
      <x:c r="J9" s="24" t="n">
        <x:v>3</x:v>
      </x:c>
      <x:c r="K9" s="38" t="str">
        <x:f>IF(AND($C$207=0,'Assumptions'!A15=A173,'Assumptions'!B15=B173,'Assumptions'!C15=C173,'Assumptions'!D15=D173,'Assumptions'!E15=E173,'Assumptions'!F15=F173,'Assumptions'!G15=G173,'Assumptions'!H15=H173,'Assumptions'!I15=I173,'Assumptions'!J15=J173,'Assumptions'!K15=K173),"Inputs match snapshot","Refresh required")</x:f>
        <x:v>Inputs match snapshot</x:v>
      </x:c>
      <x:c r="L9" s="2" t="str">
        <x:f>IF(C9*D9&lt;0,"Yes","No")</x:f>
        <x:v>Yes</x:v>
      </x:c>
    </x:row>
    <x:row r="10" ht="34" customHeight="1">
      <x:c r="A10" s="2" t="n">
        <x:v>4</x:v>
      </x:c>
      <x:c r="B10" s="12" t="str">
        <x:v>Share limits only</x:v>
      </x:c>
      <x:c r="C10" s="7" t="n">
        <x:v>-0.006249536607517009</x:v>
      </x:c>
      <x:c r="D10" s="7" t="n">
        <x:v>-0.008894779307680501</x:v>
      </x:c>
      <x:c r="E10" s="7" t="n">
        <x:v>0.1</x:v>
      </x:c>
      <x:c r="F10" s="27" t="n">
        <x:v>39.567478091494195</x:v>
      </x:c>
      <x:c r="G10" s="27" t="n">
        <x:v>-505.0892458432204</x:v>
      </x:c>
      <x:c r="H10" s="27" t="n">
        <x:v>-635.801651328959</x:v>
      </x:c>
      <x:c r="I10" s="27" t="n">
        <x:v>117.77113668368929</x:v>
      </x:c>
      <x:c r="J10" s="24" t="n">
        <x:v>15.130981793720846</x:v>
      </x:c>
      <x:c r="K10" s="38" t="str">
        <x:f>IF(AND($C$207=0,'Assumptions'!A16=A174,'Assumptions'!B16=B174,'Assumptions'!C16=C174,'Assumptions'!D16=D174,'Assumptions'!E16=E174,'Assumptions'!F16=F174,'Assumptions'!G16=G174,'Assumptions'!H16=H174,'Assumptions'!I16=I174,'Assumptions'!J16=J174,'Assumptions'!K16=K174),"Inputs match snapshot","Refresh required")</x:f>
        <x:v>Inputs match snapshot</x:v>
      </x:c>
      <x:c r="L10" s="2" t="str">
        <x:f>IF(C10*D10&lt;0,"Yes","No")</x:f>
        <x:v>No</x:v>
      </x:c>
    </x:row>
    <x:row r="11" ht="34" customHeight="1">
      <x:c r="A11" s="2" t="n">
        <x:v>5</x:v>
      </x:c>
      <x:c r="B11" s="12" t="str">
        <x:v>Growth cap 2x</x:v>
      </x:c>
      <x:c r="C11" s="7" t="n">
        <x:v>0.0013451007370685608</x:v>
      </x:c>
      <x:c r="D11" s="7" t="n">
        <x:v>-0.0003415455854695196</x:v>
      </x:c>
      <x:c r="E11" s="7" t="n">
        <x:v>0.007076649128826659</x:v>
      </x:c>
      <x:c r="F11" s="27" t="n">
        <x:v>39.567478091494195</x:v>
      </x:c>
      <x:c r="G11" s="27" t="n">
        <x:v>-44.7852005281261</x:v>
      </x:c>
      <x:c r="H11" s="27" t="n">
        <x:v>-635.801651328959</x:v>
      </x:c>
      <x:c r="I11" s="27" t="n">
        <x:v>117.77113668368929</x:v>
      </x:c>
      <x:c r="J11" s="24" t="n">
        <x:v>2</x:v>
      </x:c>
      <x:c r="K11" s="38" t="str">
        <x:f>IF(AND($C$207=0,'Assumptions'!A17=A175,'Assumptions'!B17=B175,'Assumptions'!C17=C175,'Assumptions'!D17=D175,'Assumptions'!E17=E175,'Assumptions'!F17=F175,'Assumptions'!G17=G175,'Assumptions'!H17=H175,'Assumptions'!I17=I175,'Assumptions'!J17=J175,'Assumptions'!K17=K175),"Inputs match snapshot","Refresh required")</x:f>
        <x:v>Inputs match snapshot</x:v>
      </x:c>
      <x:c r="L11" s="2" t="str">
        <x:f>IF(C11*D11&lt;0,"Yes","No")</x:f>
        <x:v>Yes</x:v>
      </x:c>
    </x:row>
    <x:row r="12" ht="34" customHeight="1">
      <x:c r="A12" s="2" t="n">
        <x:v>6</x:v>
      </x:c>
      <x:c r="B12" s="12" t="str">
        <x:v>Growth cap 5x</x:v>
      </x:c>
      <x:c r="C12" s="7" t="n">
        <x:v>-0.0003900255765366678</x:v>
      </x:c>
      <x:c r="D12" s="7" t="n">
        <x:v>-0.002295679828417195</x:v>
      </x:c>
      <x:c r="E12" s="7" t="n">
        <x:v>0.028306596515306637</x:v>
      </x:c>
      <x:c r="F12" s="27" t="n">
        <x:v>39.567478091494195</x:v>
      </x:c>
      <x:c r="G12" s="27" t="n">
        <x:v>-170.87777323523687</x:v>
      </x:c>
      <x:c r="H12" s="27" t="n">
        <x:v>-635.801651328959</x:v>
      </x:c>
      <x:c r="I12" s="27" t="n">
        <x:v>117.77113668368929</x:v>
      </x:c>
      <x:c r="J12" s="24" t="n">
        <x:v>5</x:v>
      </x:c>
      <x:c r="K12" s="38" t="str">
        <x:f>IF(AND($C$207=0,'Assumptions'!A18=A176,'Assumptions'!B18=B176,'Assumptions'!C18=C176,'Assumptions'!D18=D176,'Assumptions'!E18=E176,'Assumptions'!F18=F176,'Assumptions'!G18=G176,'Assumptions'!H18=H176,'Assumptions'!I18=I176,'Assumptions'!J18=J176,'Assumptions'!K18=K176),"Inputs match snapshot","Refresh required")</x:f>
        <x:v>Inputs match snapshot</x:v>
      </x:c>
      <x:c r="L12" s="2" t="str">
        <x:f>IF(C12*D12&lt;0,"Yes","No")</x:f>
        <x:v>No</x:v>
      </x:c>
    </x:row>
    <x:row r="13" ht="34" customHeight="1">
      <x:c r="A13" s="2" t="n">
        <x:v>7</x:v>
      </x:c>
      <x:c r="B13" s="12" t="str">
        <x:v>Equal receiver mix</x:v>
      </x:c>
      <x:c r="C13" s="7" t="n">
        <x:v>0.0037006696285400154</x:v>
      </x:c>
      <x:c r="D13" s="7" t="n">
        <x:v>0.0018109842816884894</x:v>
      </x:c>
      <x:c r="E13" s="7" t="n">
        <x:v>0.02122994738647998</x:v>
      </x:c>
      <x:c r="F13" s="27" t="n">
        <x:v>32.46322703714577</x:v>
      </x:c>
      <x:c r="G13" s="27" t="n">
        <x:v>-124.56659855308635</x:v>
      </x:c>
      <x:c r="H13" s="27" t="n">
        <x:v>-678.9002073559636</x:v>
      </x:c>
      <x:c r="I13" s="27" t="n">
        <x:v>87.91386646893534</x:v>
      </x:c>
      <x:c r="J13" s="24" t="n">
        <x:v>3</x:v>
      </x:c>
      <x:c r="K13" s="38" t="str">
        <x:f>IF(AND($C$207=0,'Assumptions'!A19=A177,'Assumptions'!B19=B177,'Assumptions'!C19=C177,'Assumptions'!D19=D177,'Assumptions'!E19=E177,'Assumptions'!F19=F177,'Assumptions'!G19=G177,'Assumptions'!H19=H177,'Assumptions'!I19=I177,'Assumptions'!J19=J177,'Assumptions'!K19=K177),"Inputs match snapshot","Refresh required")</x:f>
        <x:v>Inputs match snapshot</x:v>
      </x:c>
      <x:c r="L13" s="2" t="str">
        <x:f>IF(C13*D13&lt;0,"Yes","No")</x:f>
        <x:v>No</x:v>
      </x:c>
    </x:row>
    <x:row r="14" ht="34" customHeight="1">
      <x:c r="A14" s="2" t="n">
        <x:v>8</x:v>
      </x:c>
      <x:c r="B14" s="12" t="str">
        <x:v>Mix by baseline presence</x:v>
      </x:c>
      <x:c r="C14" s="7" t="n">
        <x:v>-0.021848727625710856</x:v>
      </x:c>
      <x:c r="D14" s="7" t="n">
        <x:v>-0.0254176195653385</x:v>
      </x:c>
      <x:c r="E14" s="7" t="n">
        <x:v>0.1</x:v>
      </x:c>
      <x:c r="F14" s="27" t="n">
        <x:v>47.040821783773936</x:v>
      </x:c>
      <x:c r="G14" s="27" t="n">
        <x:v>-240.5921031335697</x:v>
      </x:c>
      <x:c r="H14" s="27" t="n">
        <x:v>-577.5496439602734</x:v>
      </x:c>
      <x:c r="I14" s="27" t="n">
        <x:v>147.05768748480386</x:v>
      </x:c>
      <x:c r="J14" s="24" t="n">
        <x:v>1.5687822805303502</x:v>
      </x:c>
      <x:c r="K14" s="38" t="str">
        <x:f>IF(AND($C$207=0,'Assumptions'!A20=A178,'Assumptions'!B20=B178,'Assumptions'!C20=C178,'Assumptions'!D20=D178,'Assumptions'!E20=E178,'Assumptions'!F20=F178,'Assumptions'!G20=G178,'Assumptions'!H20=H178,'Assumptions'!I20=I178,'Assumptions'!J20=J178,'Assumptions'!K20=K178),"Inputs match snapshot","Refresh required")</x:f>
        <x:v>Inputs match snapshot</x:v>
      </x:c>
      <x:c r="L14" s="2" t="str">
        <x:f>IF(C14*D14&lt;0,"Yes","No")</x:f>
        <x:v>No</x:v>
      </x:c>
    </x:row>
    <x:row r="15" ht="34" customHeight="1">
      <x:c r="A15" s="2" t="n">
        <x:v>9</x:v>
      </x:c>
      <x:c r="B15" s="12" t="str">
        <x:v>Turkey 50% mix</x:v>
      </x:c>
      <x:c r="C15" s="7" t="n">
        <x:v>0.006415875494409251</x:v>
      </x:c>
      <x:c r="D15" s="7" t="n">
        <x:v>0.0028230831652012235</x:v>
      </x:c>
      <x:c r="E15" s="7" t="n">
        <x:v>0.028306596515306637</x:v>
      </x:c>
      <x:c r="F15" s="27" t="n">
        <x:v>33.57172498301361</x:v>
      </x:c>
      <x:c r="G15" s="27" t="n">
        <x:v>-148.2446138815012</x:v>
      </x:c>
      <x:c r="H15" s="27" t="n">
        <x:v>-694.4215890066594</x:v>
      </x:c>
      <x:c r="I15" s="27" t="n">
        <x:v>73.99215449325447</x:v>
      </x:c>
      <x:c r="J15" s="24" t="n">
        <x:v>3</x:v>
      </x:c>
      <x:c r="K15" s="38" t="str">
        <x:f>IF(AND($C$207=0,'Assumptions'!A21=A179,'Assumptions'!B21=B179,'Assumptions'!C21=C179,'Assumptions'!D21=D179,'Assumptions'!E21=E179,'Assumptions'!F21=F179,'Assumptions'!G21=G179,'Assumptions'!H21=H179,'Assumptions'!I21=I179,'Assumptions'!J21=J179,'Assumptions'!K21=K179),"Inputs match snapshot","Refresh required")</x:f>
        <x:v>Inputs match snapshot</x:v>
      </x:c>
      <x:c r="L15" s="2" t="str">
        <x:f>IF(C15*D15&lt;0,"Yes","No")</x:f>
        <x:v>No</x:v>
      </x:c>
    </x:row>
    <x:row r="16" ht="34" customHeight="1">
      <x:c r="A16" s="2" t="n">
        <x:v>10</x:v>
      </x:c>
      <x:c r="B16" s="12" t="str">
        <x:v>Synthetic pair only</x:v>
      </x:c>
      <x:c r="C16" s="7" t="n">
        <x:v>-0.002383939889733011</x:v>
      </x:c>
      <x:c r="D16" s="7" t="n">
        <x:v>-0.001973418045372542</x:v>
      </x:c>
      <x:c r="E16" s="7" t="n">
        <x:v>0.014153298257653319</x:v>
      </x:c>
      <x:c r="F16" s="27" t="n">
        <x:v>0</x:v>
      </x:c>
      <x:c r="G16" s="27" t="n">
        <x:v>-88.19322957670738</x:v>
      </x:c>
      <x:c r="H16" s="27" t="n">
        <x:v>-635.801651328959</x:v>
      </x:c>
      <x:c r="I16" s="27" t="n">
        <x:v>0</x:v>
      </x:c>
      <x:c r="J16" s="24" t="n">
        <x:v>3</x:v>
      </x:c>
      <x:c r="K16" s="38" t="str">
        <x:f>IF(AND($C$207=0,'Assumptions'!A22=A180,'Assumptions'!B22=B180,'Assumptions'!C22=C180,'Assumptions'!D22=D180,'Assumptions'!E22=E180,'Assumptions'!F22=F180,'Assumptions'!G22=G180,'Assumptions'!H22=H180,'Assumptions'!I22=I180,'Assumptions'!J22=J180,'Assumptions'!K22=K180),"Inputs match snapshot","Refresh required")</x:f>
        <x:v>Inputs match snapshot</x:v>
      </x:c>
      <x:c r="L16" s="2" t="str">
        <x:f>IF(C16*D16&lt;0,"Yes","No")</x:f>
        <x:v>No</x:v>
      </x:c>
    </x:row>
    <x:row r="17" ht="34" customHeight="1">
      <x:c r="A17" s="2" t="n">
        <x:v>11</x:v>
      </x:c>
      <x:c r="B17" s="12" t="str">
        <x:v>Synthetic, Turkey-led knitwear</x:v>
      </x:c>
      <x:c r="C17" s="7" t="n">
        <x:v>-0.012416544168938864</x:v>
      </x:c>
      <x:c r="D17" s="7" t="n">
        <x:v>-0.013272339290595517</x:v>
      </x:c>
      <x:c r="E17" s="7" t="n">
        <x:v>0.07058533305676154</x:v>
      </x:c>
      <x:c r="F17" s="27" t="n">
        <x:v>0</x:v>
      </x:c>
      <x:c r="G17" s="27" t="n">
        <x:v>-259.735460467497</x:v>
      </x:c>
      <x:c r="H17" s="27" t="n">
        <x:v>-635.801651328959</x:v>
      </x:c>
      <x:c r="I17" s="27" t="n">
        <x:v>0</x:v>
      </x:c>
      <x:c r="J17" s="24" t="n">
        <x:v>3</x:v>
      </x:c>
      <x:c r="K17" s="38" t="str">
        <x:f>IF(AND($C$207=0,'Assumptions'!A23=A181,'Assumptions'!B23=B181,'Assumptions'!C23=C181,'Assumptions'!D23=D181,'Assumptions'!E23=E181,'Assumptions'!F23=F181,'Assumptions'!G23=G181,'Assumptions'!H23=H181,'Assumptions'!I23=I181,'Assumptions'!J23=J181,'Assumptions'!K23=K181),"Inputs match snapshot","Refresh required")</x:f>
        <x:v>Inputs match snapshot</x:v>
      </x:c>
      <x:c r="L17" s="2" t="str">
        <x:f>IF(C17*D17&lt;0,"Yes","No")</x:f>
        <x:v>No</x:v>
      </x:c>
    </x:row>
    <x:row r="18" ht="34" customHeight="1">
      <x:c r="A18" s="2" t="n">
        <x:v>12</x:v>
      </x:c>
      <x:c r="B18" s="12" t="str">
        <x:v>MFN on whole benchmark</x:v>
      </x:c>
      <x:c r="C18" s="7" t="n">
        <x:v>0.007871361904966373</x:v>
      </x:c>
      <x:c r="D18" s="7" t="n">
        <x:v>0.004690030852736506</x:v>
      </x:c>
      <x:c r="E18" s="7" t="n">
        <x:v>0.014153298257653319</x:v>
      </x:c>
      <x:c r="F18" s="27" t="n">
        <x:v>39.567478091494195</x:v>
      </x:c>
      <x:c r="G18" s="27" t="n">
        <x:v>-88.19322957670738</x:v>
      </x:c>
      <x:c r="H18" s="27" t="n">
        <x:v>-635.801651328959</x:v>
      </x:c>
      <x:c r="I18" s="27" t="n">
        <x:v>117.77113668368929</x:v>
      </x:c>
      <x:c r="J18" s="24" t="n">
        <x:v>3</x:v>
      </x:c>
      <x:c r="K18" s="38" t="str">
        <x:f>IF(AND($C$207=0,'Assumptions'!A24=A182,'Assumptions'!B24=B182,'Assumptions'!C24=C182,'Assumptions'!D24=D182,'Assumptions'!E24=E182,'Assumptions'!F24=F182,'Assumptions'!G24=G182,'Assumptions'!H24=H182,'Assumptions'!I24=I182,'Assumptions'!J24=J182,'Assumptions'!K24=K182),"Inputs match snapshot","Refresh required")</x:f>
        <x:v>Inputs match snapshot</x:v>
      </x:c>
      <x:c r="L18" s="2" t="str">
        <x:f>IF(C18*D18&lt;0,"Yes","No")</x:f>
        <x:v>No</x:v>
      </x:c>
    </x:row>
    <x:row r="19" ht="34" customHeight="1">
      <x:c r="A19" s="2" t="n">
        <x:v>13</x:v>
      </x:c>
      <x:c r="B19" s="12" t="str">
        <x:v>MFN on transferred volume</x:v>
      </x:c>
      <x:c r="C19" s="7" t="n">
        <x:v>0.0086763612458787</x:v>
      </x:c>
      <x:c r="D19" s="7" t="n">
        <x:v>0.005198440283236936</x:v>
      </x:c>
      <x:c r="E19" s="7" t="n">
        <x:v>0.014153298257653319</x:v>
      </x:c>
      <x:c r="F19" s="27" t="n">
        <x:v>39.567478091494195</x:v>
      </x:c>
      <x:c r="G19" s="27" t="n">
        <x:v>-88.19322957670738</x:v>
      </x:c>
      <x:c r="H19" s="27" t="n">
        <x:v>-635.801651328959</x:v>
      </x:c>
      <x:c r="I19" s="27" t="n">
        <x:v>117.77113668368929</x:v>
      </x:c>
      <x:c r="J19" s="24" t="n">
        <x:v>3</x:v>
      </x:c>
      <x:c r="K19" s="38" t="str">
        <x:f>IF(AND($C$207=0,'Assumptions'!A25=A183,'Assumptions'!B25=B183,'Assumptions'!C25=C183,'Assumptions'!D25=D183,'Assumptions'!E25=E183,'Assumptions'!F25=F183,'Assumptions'!G25=G183,'Assumptions'!H25=H183,'Assumptions'!I25=I183,'Assumptions'!J25=J183,'Assumptions'!K25=K183),"Inputs match snapshot","Refresh required")</x:f>
        <x:v>Inputs match snapshot</x:v>
      </x:c>
      <x:c r="L19" s="2" t="str">
        <x:f>IF(C19*D19&lt;0,"Yes","No")</x:f>
        <x:v>No</x:v>
      </x:c>
    </x:row>
    <x:row r="20" ht="34" customHeight="1">
      <x:c r="A20" s="2" t="n">
        <x:v>14</x:v>
      </x:c>
      <x:c r="B20" s="12" t="str">
        <x:v>Receiver premium 2%</x:v>
      </x:c>
      <x:c r="C20" s="7" t="n">
        <x:v>0.002099909707484887</x:v>
      </x:c>
      <x:c r="D20" s="7" t="n">
        <x:v>0.00004711963432744385</x:v>
      </x:c>
      <x:c r="E20" s="7" t="n">
        <x:v>0.014153298257653319</x:v>
      </x:c>
      <x:c r="F20" s="27" t="n">
        <x:v>39.567478091494195</x:v>
      </x:c>
      <x:c r="G20" s="27" t="n">
        <x:v>-88.19322957670738</x:v>
      </x:c>
      <x:c r="H20" s="27" t="n">
        <x:v>-635.801651328959</x:v>
      </x:c>
      <x:c r="I20" s="27" t="n">
        <x:v>117.77113668368929</x:v>
      </x:c>
      <x:c r="J20" s="24" t="n">
        <x:v>3</x:v>
      </x:c>
      <x:c r="K20" s="38" t="str">
        <x:f>IF(AND($C$207=0,'Assumptions'!A26=A184,'Assumptions'!B26=B184,'Assumptions'!C26=C184,'Assumptions'!D26=D184,'Assumptions'!E26=E184,'Assumptions'!F26=F184,'Assumptions'!G26=G184,'Assumptions'!H26=H184,'Assumptions'!I26=I184,'Assumptions'!J26=J184,'Assumptions'!K26=K184),"Inputs match snapshot","Refresh required")</x:f>
        <x:v>Inputs match snapshot</x:v>
      </x:c>
      <x:c r="L20" s="2" t="str">
        <x:f>IF(C20*D20&lt;0,"Yes","No")</x:f>
        <x:v>No</x:v>
      </x:c>
    </x:row>
    <x:row r="21" ht="34" customHeight="1">
      <x:c r="A21" s="2" t="n">
        <x:v>15</x:v>
      </x:c>
      <x:c r="B21" s="12" t="str">
        <x:v>Receiver premium 5%</x:v>
      </x:c>
      <x:c r="C21" s="7" t="n">
        <x:v>0.0040996863199119216</x:v>
      </x:c>
      <x:c r="D21" s="7" t="n">
        <x:v>0.0016071845854967344</x:v>
      </x:c>
      <x:c r="E21" s="7" t="n">
        <x:v>0.014153298257653319</x:v>
      </x:c>
      <x:c r="F21" s="27" t="n">
        <x:v>39.567478091494195</x:v>
      </x:c>
      <x:c r="G21" s="27" t="n">
        <x:v>-88.19322957670738</x:v>
      </x:c>
      <x:c r="H21" s="27" t="n">
        <x:v>-635.801651328959</x:v>
      </x:c>
      <x:c r="I21" s="27" t="n">
        <x:v>117.77113668368929</x:v>
      </x:c>
      <x:c r="J21" s="24" t="n">
        <x:v>3</x:v>
      </x:c>
      <x:c r="K21" s="38" t="str">
        <x:f>IF(AND($C$207=0,'Assumptions'!A27=A185,'Assumptions'!B27=B185,'Assumptions'!C27=C185,'Assumptions'!D27=D185,'Assumptions'!E27=E185,'Assumptions'!F27=F185,'Assumptions'!G27=G185,'Assumptions'!H27=H185,'Assumptions'!I27=I185,'Assumptions'!J27=J185,'Assumptions'!K27=K185),"Inputs match snapshot","Refresh required")</x:f>
        <x:v>Inputs match snapshot</x:v>
      </x:c>
      <x:c r="L21" s="2" t="str">
        <x:f>IF(C21*D21&lt;0,"Yes","No")</x:f>
        <x:v>No</x:v>
      </x:c>
    </x:row>
    <x:row r="22" ht="34" customHeight="1">
      <x:c r="A22" s="2" t="n">
        <x:v>16</x:v>
      </x:c>
      <x:c r="B22" s="12" t="str">
        <x:v>H1 2026 common months</x:v>
      </x:c>
      <x:c r="C22" s="7" t="n">
        <x:v>0.0018929929978840077</x:v>
      </x:c>
      <x:c r="D22" s="7" t="n">
        <x:v>0.00034098768422304894</x:v>
      </x:c>
      <x:c r="E22" s="7" t="n">
        <x:v>0.014153298257653319</x:v>
      </x:c>
      <x:c r="F22" s="27" t="n">
        <x:v>39.567478091494195</x:v>
      </x:c>
      <x:c r="G22" s="27" t="n">
        <x:v>-88.19322957670738</x:v>
      </x:c>
      <x:c r="H22" s="27" t="n">
        <x:v>-635.801651328959</x:v>
      </x:c>
      <x:c r="I22" s="27" t="n">
        <x:v>117.77113668368929</x:v>
      </x:c>
      <x:c r="J22" s="24" t="n">
        <x:v>3</x:v>
      </x:c>
      <x:c r="K22" s="38" t="str">
        <x:f>IF(AND($C$207=0,'Assumptions'!A28=A186,'Assumptions'!B28=B186,'Assumptions'!C28=C186,'Assumptions'!D28=D186,'Assumptions'!E28=E186,'Assumptions'!F28=F186,'Assumptions'!G28=G186,'Assumptions'!H28=H186,'Assumptions'!I28=I186,'Assumptions'!J28=J186,'Assumptions'!K28=K186),"Inputs match snapshot","Refresh required")</x:f>
        <x:v>Inputs match snapshot</x:v>
      </x:c>
      <x:c r="L22" s="2" t="str">
        <x:f>IF(C22*D22&lt;0,"Yes","No")</x:f>
        <x:v>No</x:v>
      </x:c>
    </x:row>
    <x:row r="23" ht="34" customHeight="1">
      <x:c r="A23" s="2" t="n">
        <x:v>17</x:v>
      </x:c>
      <x:c r="B23" s="12" t="str">
        <x:v>FY2025 reported prices</x:v>
      </x:c>
      <x:c r="C23" s="7" t="n">
        <x:v>0.0010333309347499708</x:v>
      </x:c>
      <x:c r="D23" s="7" t="n">
        <x:v>-0.0034346523738861363</x:v>
      </x:c>
      <x:c r="E23" s="7" t="n">
        <x:v>0.014153298257653319</x:v>
      </x:c>
      <x:c r="F23" s="27" t="n">
        <x:v>39.567478091494195</x:v>
      </x:c>
      <x:c r="G23" s="27" t="n">
        <x:v>-88.19322957670738</x:v>
      </x:c>
      <x:c r="H23" s="27" t="n">
        <x:v>-635.801651328959</x:v>
      </x:c>
      <x:c r="I23" s="27" t="n">
        <x:v>117.77113668368929</x:v>
      </x:c>
      <x:c r="J23" s="24" t="n">
        <x:v>3</x:v>
      </x:c>
      <x:c r="K23" s="38" t="str">
        <x:f>IF(AND($C$207=0,'Assumptions'!A29=A187,'Assumptions'!B29=B187,'Assumptions'!C29=C187,'Assumptions'!D29=D187,'Assumptions'!E29=E187,'Assumptions'!F29=F187,'Assumptions'!G29=G187,'Assumptions'!H29=H187,'Assumptions'!I29=I187,'Assumptions'!J29=J187,'Assumptions'!K29=K187),"Inputs match snapshot","Refresh required")</x:f>
        <x:v>Inputs match snapshot</x:v>
      </x:c>
      <x:c r="L23" s="2" t="str">
        <x:f>IF(C23*D23&lt;0,"Yes","No")</x:f>
        <x:v>Yes</x:v>
      </x:c>
    </x:row>
    <x:row r="24" ht="34" customHeight="1">
      <x:c r="A24" s="2" t="n">
        <x:v>18</x:v>
      </x:c>
      <x:c r="B24" s="12" t="str">
        <x:v>FY2025 common months</x:v>
      </x:c>
      <x:c r="C24" s="7" t="n">
        <x:v>0.0020935971383265195</x:v>
      </x:c>
      <x:c r="D24" s="7" t="n">
        <x:v>-0.0018784380830649914</x:v>
      </x:c>
      <x:c r="E24" s="7" t="n">
        <x:v>0.014153298257653319</x:v>
      </x:c>
      <x:c r="F24" s="27" t="n">
        <x:v>39.567478091494195</x:v>
      </x:c>
      <x:c r="G24" s="27" t="n">
        <x:v>-88.19322957670738</x:v>
      </x:c>
      <x:c r="H24" s="27" t="n">
        <x:v>-635.801651328959</x:v>
      </x:c>
      <x:c r="I24" s="27" t="n">
        <x:v>117.77113668368929</x:v>
      </x:c>
      <x:c r="J24" s="24" t="n">
        <x:v>3</x:v>
      </x:c>
      <x:c r="K24" s="38" t="str">
        <x:f>IF(AND($C$207=0,'Assumptions'!A30=A188,'Assumptions'!B30=B188,'Assumptions'!C30=C188,'Assumptions'!D30=D188,'Assumptions'!E30=E188,'Assumptions'!F30=F188,'Assumptions'!G30=G188,'Assumptions'!H30=H188,'Assumptions'!I30=I188,'Assumptions'!J30=J188,'Assumptions'!K30=K188),"Inputs match snapshot","Refresh required")</x:f>
        <x:v>Inputs match snapshot</x:v>
      </x:c>
      <x:c r="L24" s="2" t="str">
        <x:f>IF(C24*D24&lt;0,"Yes","No")</x:f>
        <x:v>Yes</x:v>
      </x:c>
    </x:row>
    <x:row r="25" ht="34" customHeight="1">
      <x:c r="A25" s="2" t="n">
        <x:v>19</x:v>
      </x:c>
      <x:c r="B25" s="12" t="str">
        <x:v>H1 2025 reported prices</x:v>
      </x:c>
      <x:c r="C25" s="7" t="n">
        <x:v>-0.0014335425008842884</x:v>
      </x:c>
      <x:c r="D25" s="7" t="n">
        <x:v>-0.00488028568419368</x:v>
      </x:c>
      <x:c r="E25" s="7" t="n">
        <x:v>0.014153298257653319</x:v>
      </x:c>
      <x:c r="F25" s="27" t="n">
        <x:v>39.567478091494195</x:v>
      </x:c>
      <x:c r="G25" s="27" t="n">
        <x:v>-88.19322957670738</x:v>
      </x:c>
      <x:c r="H25" s="27" t="n">
        <x:v>-635.801651328959</x:v>
      </x:c>
      <x:c r="I25" s="27" t="n">
        <x:v>117.77113668368929</x:v>
      </x:c>
      <x:c r="J25" s="24" t="n">
        <x:v>3</x:v>
      </x:c>
      <x:c r="K25" s="38" t="str">
        <x:f>IF(AND($C$207=0,'Assumptions'!A31=A189,'Assumptions'!B31=B189,'Assumptions'!C31=C189,'Assumptions'!D31=D189,'Assumptions'!E31=E189,'Assumptions'!F31=F189,'Assumptions'!G31=G189,'Assumptions'!H31=H189,'Assumptions'!I31=I189,'Assumptions'!J31=J189,'Assumptions'!K31=K189),"Inputs match snapshot","Refresh required")</x:f>
        <x:v>Inputs match snapshot</x:v>
      </x:c>
      <x:c r="L25" s="2" t="str">
        <x:f>IF(C25*D25&lt;0,"Yes","No")</x:f>
        <x:v>No</x:v>
      </x:c>
    </x:row>
    <x:row r="26" ht="34" customHeight="1">
      <x:c r="A26" s="2" t="n">
        <x:v>20</x:v>
      </x:c>
      <x:c r="B26" s="12" t="str">
        <x:v>H1 2025 common months</x:v>
      </x:c>
      <x:c r="C26" s="7" t="n">
        <x:v>-0.0005481916509954554</x:v>
      </x:c>
      <x:c r="D26" s="7" t="n">
        <x:v>-0.003184705927642354</x:v>
      </x:c>
      <x:c r="E26" s="7" t="n">
        <x:v>0.014153298257653319</x:v>
      </x:c>
      <x:c r="F26" s="27" t="n">
        <x:v>39.567478091494195</x:v>
      </x:c>
      <x:c r="G26" s="27" t="n">
        <x:v>-88.19322957670738</x:v>
      </x:c>
      <x:c r="H26" s="27" t="n">
        <x:v>-635.801651328959</x:v>
      </x:c>
      <x:c r="I26" s="27" t="n">
        <x:v>117.77113668368929</x:v>
      </x:c>
      <x:c r="J26" s="24" t="n">
        <x:v>3</x:v>
      </x:c>
      <x:c r="K26" s="38" t="str">
        <x:f>IF(AND($C$207=0,'Assumptions'!A32=A190,'Assumptions'!B32=B190,'Assumptions'!C32=C190,'Assumptions'!D32=D190,'Assumptions'!E32=E190,'Assumptions'!F32=F190,'Assumptions'!G32=G190,'Assumptions'!H32=H190,'Assumptions'!I32=I190,'Assumptions'!J32=J190,'Assumptions'!K32=K190),"Inputs match snapshot","Refresh required")</x:f>
        <x:v>Inputs match snapshot</x:v>
      </x:c>
      <x:c r="L26" s="2" t="str">
        <x:f>IF(C26*D26&lt;0,"Yes","No")</x:f>
        <x:v>No</x:v>
      </x:c>
    </x:row>
    <x:row r="27" ht="34" customHeight="1">
      <x:c r="A27" s="2" t="n">
        <x:v>21</x:v>
      </x:c>
      <x:c r="B27" s="12" t="str">
        <x:v>Operating stress low</x:v>
      </x:c>
      <x:c r="C27" s="7" t="n">
        <x:v>0.0012937152875126257</x:v>
      </x:c>
      <x:c r="D27" s="7" t="n">
        <x:v>-0.0005359994261177419</x:v>
      </x:c>
      <x:c r="E27" s="7" t="n">
        <x:v>0.014153298257653319</x:v>
      </x:c>
      <x:c r="F27" s="27" t="n">
        <x:v>39.567478091494195</x:v>
      </x:c>
      <x:c r="G27" s="27" t="n">
        <x:v>-88.19322957670738</x:v>
      </x:c>
      <x:c r="H27" s="27" t="n">
        <x:v>-635.801651328959</x:v>
      </x:c>
      <x:c r="I27" s="27" t="n">
        <x:v>117.77113668368929</x:v>
      </x:c>
      <x:c r="J27" s="24" t="n">
        <x:v>3</x:v>
      </x:c>
      <x:c r="K27" s="38" t="str">
        <x:f>IF(AND($C$207=0,'Assumptions'!A33=A191,'Assumptions'!B33=B191,'Assumptions'!C33=C191,'Assumptions'!D33=D191,'Assumptions'!E33=E191,'Assumptions'!F33=F191,'Assumptions'!G33=G191,'Assumptions'!H33=H191,'Assumptions'!I33=I191,'Assumptions'!J33=J191,'Assumptions'!K33=K191),"Inputs match snapshot","Refresh required")</x:f>
        <x:v>Inputs match snapshot</x:v>
      </x:c>
      <x:c r="L27" s="2" t="str">
        <x:f>IF(C27*D27&lt;0,"Yes","No")</x:f>
        <x:v>Yes</x:v>
      </x:c>
    </x:row>
    <x:row r="28" ht="34" customHeight="1">
      <x:c r="A28" s="2" t="n">
        <x:v>22</x:v>
      </x:c>
      <x:c r="B28" s="12" t="str">
        <x:v>Operating stress central</x:v>
      </x:c>
      <x:c r="C28" s="7" t="n">
        <x:v>0.0020815950057921084</x:v>
      </x:c>
      <x:c r="D28" s="7" t="n">
        <x:v>0.00013971968067903523</x:v>
      </x:c>
      <x:c r="E28" s="7" t="n">
        <x:v>0.014153298257653319</x:v>
      </x:c>
      <x:c r="F28" s="27" t="n">
        <x:v>39.567478091494195</x:v>
      </x:c>
      <x:c r="G28" s="27" t="n">
        <x:v>-88.19322957670738</x:v>
      </x:c>
      <x:c r="H28" s="27" t="n">
        <x:v>-635.801651328959</x:v>
      </x:c>
      <x:c r="I28" s="27" t="n">
        <x:v>117.77113668368929</x:v>
      </x:c>
      <x:c r="J28" s="24" t="n">
        <x:v>3</x:v>
      </x:c>
      <x:c r="K28" s="38" t="str">
        <x:f>IF(AND($C$207=0,'Assumptions'!A34=A192,'Assumptions'!B34=B192,'Assumptions'!C34=C192,'Assumptions'!D34=D192,'Assumptions'!E34=E192,'Assumptions'!F34=F192,'Assumptions'!G34=G192,'Assumptions'!H34=H192,'Assumptions'!I34=I192,'Assumptions'!J34=J192,'Assumptions'!K34=K192),"Inputs match snapshot","Refresh required")</x:f>
        <x:v>Inputs match snapshot</x:v>
      </x:c>
      <x:c r="L28" s="2" t="str">
        <x:f>IF(C28*D28&lt;0,"Yes","No")</x:f>
        <x:v>No</x:v>
      </x:c>
    </x:row>
    <x:row r="29" ht="34" customHeight="1">
      <x:c r="A29" s="2" t="n">
        <x:v>23</x:v>
      </x:c>
      <x:c r="B29" s="12" t="str">
        <x:v>Operating stress high</x:v>
      </x:c>
      <x:c r="C29" s="7" t="n">
        <x:v>0.0037851940431456454</x:v>
      </x:c>
      <x:c r="D29" s="7" t="n">
        <x:v>0.0015908880737996384</x:v>
      </x:c>
      <x:c r="E29" s="7" t="n">
        <x:v>0.014153298257653319</x:v>
      </x:c>
      <x:c r="F29" s="27" t="n">
        <x:v>39.567478091494195</x:v>
      </x:c>
      <x:c r="G29" s="27" t="n">
        <x:v>-88.19322957670738</x:v>
      </x:c>
      <x:c r="H29" s="27" t="n">
        <x:v>-635.801651328959</x:v>
      </x:c>
      <x:c r="I29" s="27" t="n">
        <x:v>117.77113668368929</x:v>
      </x:c>
      <x:c r="J29" s="24" t="n">
        <x:v>3</x:v>
      </x:c>
      <x:c r="K29" s="38" t="str">
        <x:f>IF(AND($C$207=0,'Assumptions'!A35=A193,'Assumptions'!B35=B193,'Assumptions'!C35=C193,'Assumptions'!D35=D193,'Assumptions'!E35=E193,'Assumptions'!F35=F193,'Assumptions'!G35=G193,'Assumptions'!H35=H193,'Assumptions'!I35=I193,'Assumptions'!J35=J193,'Assumptions'!K35=K193),"Inputs match snapshot","Refresh required")</x:f>
        <x:v>Inputs match snapshot</x:v>
      </x:c>
      <x:c r="L29" s="2" t="str">
        <x:f>IF(C29*D29&lt;0,"Yes","No")</x:f>
        <x:v>No</x:v>
      </x:c>
    </x:row>
    <x:row r="30" ht="34" customHeight="1">
      <x:c r="A30" s="2" t="n">
        <x:v>24</x:v>
      </x:c>
      <x:c r="B30" s="12" t="str">
        <x:v>Synthetic mix, increment MFN</x:v>
      </x:c>
      <x:c r="C30" s="7" t="n">
        <x:v>-0.0077047102104721155</x:v>
      </x:c>
      <x:c r="D30" s="7" t="n">
        <x:v>-0.009785215173750013</x:v>
      </x:c>
      <x:c r="E30" s="7" t="n">
        <x:v>0.07058533305676154</x:v>
      </x:c>
      <x:c r="F30" s="27" t="n">
        <x:v>0</x:v>
      </x:c>
      <x:c r="G30" s="27" t="n">
        <x:v>-259.735460467497</x:v>
      </x:c>
      <x:c r="H30" s="27" t="n">
        <x:v>-635.801651328959</x:v>
      </x:c>
      <x:c r="I30" s="27" t="n">
        <x:v>0</x:v>
      </x:c>
      <x:c r="J30" s="24" t="n">
        <x:v>3</x:v>
      </x:c>
      <x:c r="K30" s="38" t="str">
        <x:f>IF(AND($C$207=0,'Assumptions'!A36=A194,'Assumptions'!B36=B194,'Assumptions'!C36=C194,'Assumptions'!D36=D194,'Assumptions'!E36=E194,'Assumptions'!F36=F194,'Assumptions'!G36=G194,'Assumptions'!H36=H194,'Assumptions'!I36=I194,'Assumptions'!J36=J194,'Assumptions'!K36=K194),"Inputs match snapshot","Refresh required")</x:f>
        <x:v>Inputs match snapshot</x:v>
      </x:c>
      <x:c r="L30" s="2" t="str">
        <x:f>IF(C30*D30&lt;0,"Yes","No")</x:f>
        <x:v>No</x:v>
      </x:c>
    </x:row>
    <x:row r="31" ht="34" customHeight="1">
      <x:c r="A31" s="2" t="n">
        <x:v>25</x:v>
      </x:c>
      <x:c r="B31" s="12" t="str">
        <x:v>Presence mix, common months</x:v>
      </x:c>
      <x:c r="C31" s="7" t="n">
        <x:v>-0.012366657155812089</x:v>
      </x:c>
      <x:c r="D31" s="7" t="n">
        <x:v>-0.014614900876269078</x:v>
      </x:c>
      <x:c r="E31" s="7" t="n">
        <x:v>0.1</x:v>
      </x:c>
      <x:c r="F31" s="27" t="n">
        <x:v>47.040821783773936</x:v>
      </x:c>
      <x:c r="G31" s="27" t="n">
        <x:v>-240.5921031335697</x:v>
      </x:c>
      <x:c r="H31" s="27" t="n">
        <x:v>-577.5496439602734</x:v>
      </x:c>
      <x:c r="I31" s="27" t="n">
        <x:v>147.05768748480386</x:v>
      </x:c>
      <x:c r="J31" s="24" t="n">
        <x:v>1.5687822805303502</x:v>
      </x:c>
      <x:c r="K31" s="38" t="str">
        <x:f>IF(AND($C$207=0,'Assumptions'!A37=A195,'Assumptions'!B37=B195,'Assumptions'!C37=C195,'Assumptions'!D37=D195,'Assumptions'!E37=E195,'Assumptions'!F37=F195,'Assumptions'!G37=G195,'Assumptions'!H37=H195,'Assumptions'!I37=I195,'Assumptions'!J37=J195,'Assumptions'!K37=K195),"Inputs match snapshot","Refresh required")</x:f>
        <x:v>Inputs match snapshot</x:v>
      </x:c>
      <x:c r="L31" s="2" t="str">
        <x:f>IF(C31*D31&lt;0,"Yes","No")</x:f>
        <x:v>No</x:v>
      </x:c>
    </x:row>
    <x:row r="32" ht="34" customHeight="1">
      <x:c r="A32" s="2" t="n">
        <x:v>26</x:v>
      </x:c>
      <x:c r="B32" s="12" t="str">
        <x:v>Synthetic mix, common months</x:v>
      </x:c>
      <x:c r="C32" s="7" t="n">
        <x:v>-0.0032974895368234614</x:v>
      </x:c>
      <x:c r="D32" s="7" t="n">
        <x:v>-0.003002276079519315</x:v>
      </x:c>
      <x:c r="E32" s="7" t="n">
        <x:v>0.07058533305676154</x:v>
      </x:c>
      <x:c r="F32" s="27" t="n">
        <x:v>0</x:v>
      </x:c>
      <x:c r="G32" s="27" t="n">
        <x:v>-259.735460467497</x:v>
      </x:c>
      <x:c r="H32" s="27" t="n">
        <x:v>-635.801651328959</x:v>
      </x:c>
      <x:c r="I32" s="27" t="n">
        <x:v>0</x:v>
      </x:c>
      <x:c r="J32" s="24" t="n">
        <x:v>3</x:v>
      </x:c>
      <x:c r="K32" s="38" t="str">
        <x:f>IF(AND($C$207=0,'Assumptions'!A38=A196,'Assumptions'!B38=B196,'Assumptions'!C38=C196,'Assumptions'!D38=D196,'Assumptions'!E38=E196,'Assumptions'!F38=F196,'Assumptions'!G38=G196,'Assumptions'!H38=H196,'Assumptions'!I38=I196,'Assumptions'!J38=J196,'Assumptions'!K38=K196),"Inputs match snapshot","Refresh required")</x:f>
        <x:v>Inputs match snapshot</x:v>
      </x:c>
      <x:c r="L32" s="2" t="str">
        <x:f>IF(C32*D32&lt;0,"Yes","No")</x:f>
        <x:v>No</x:v>
      </x:c>
    </x:row>
    <x:row r="33" ht="23" customHeight="1">
      <x:c r="A33" s="2"/>
      <x:c r="B33" s="2"/>
      <x:c r="C33" s="2"/>
      <x:c r="D33" s="2"/>
      <x:c r="E33" s="2"/>
      <x:c r="F33" s="2"/>
      <x:c r="G33" s="2"/>
      <x:c r="H33" s="2"/>
      <x:c r="I33" s="2"/>
      <x:c r="J33" s="2"/>
      <x:c r="K33" s="2"/>
      <x:c r="L33" s="2"/>
    </x:row>
    <x:row r="34" ht="43" customHeight="1">
      <x:c r="A34" s="12" t="str">
        <x:v>HHI uses the fixed FY2025 baseline. Price, tariff and operating assumptions alone do not change HHI. Basket weights change only basket cost. Larger China reductions are neither universally cheaper nor universally less concentrated.</x:v>
      </x:c>
      <x:c r="B34" s="12"/>
      <x:c r="C34" s="12"/>
      <x:c r="D34" s="12"/>
      <x:c r="E34" s="12"/>
      <x:c r="F34" s="12"/>
      <x:c r="G34" s="12"/>
      <x:c r="H34" s="12"/>
      <x:c r="I34" s="12"/>
      <x:c r="J34" s="12"/>
      <x:c r="K34" s="12"/>
      <x:c r="L34" s="12"/>
    </x:row>
    <x:row r="35" ht="42" customHeight="1">
      <x:c r="A35" s="11" t="str">
        <x:v>Test</x:v>
      </x:c>
      <x:c r="B35" s="11" t="str">
        <x:v>Equal-weight change</x:v>
      </x:c>
      <x:c r="C35" s="11" t="str">
        <x:v>Value-weight change</x:v>
      </x:c>
      <x:c r="D35" s="2"/>
      <x:c r="E35" s="2"/>
      <x:c r="F35" s="2"/>
      <x:c r="G35" s="2"/>
      <x:c r="H35" s="2"/>
      <x:c r="I35" s="2"/>
      <x:c r="J35" s="2"/>
      <x:c r="K35" s="2"/>
      <x:c r="L35" s="2"/>
    </x:row>
    <x:row r="36" ht="39" customHeight="1">
      <x:c r="A36" s="12" t="str">
        <x:v>1 Base (3x)</x:v>
      </x:c>
      <x:c r="B36" s="7" t="n">
        <x:f>C7</x:f>
        <x:v>0.0007667252992001883</x:v>
      </x:c>
      <x:c r="C36" s="7" t="n">
        <x:f>D7</x:f>
        <x:v>-0.0009929236664520365</x:v>
      </x:c>
      <x:c r="D36" s="2"/>
      <x:c r="E36" s="2"/>
      <x:c r="F36" s="2"/>
      <x:c r="G36" s="2"/>
      <x:c r="H36" s="2"/>
      <x:c r="I36" s="2"/>
      <x:c r="J36" s="2"/>
      <x:c r="K36" s="2"/>
      <x:c r="L36" s="2"/>
    </x:row>
    <x:row r="37" ht="39" customHeight="1">
      <x:c r="A37" s="12" t="str">
        <x:v>4 No growth cap</x:v>
      </x:c>
      <x:c r="B37" s="7" t="n">
        <x:f>C10</x:f>
        <x:v>-0.006249536607517009</x:v>
      </x:c>
      <x:c r="C37" s="7" t="n">
        <x:f>D10</x:f>
        <x:v>-0.008894779307680501</x:v>
      </x:c>
      <x:c r="D37" s="2"/>
      <x:c r="E37" s="2"/>
      <x:c r="F37" s="2"/>
      <x:c r="G37" s="2"/>
      <x:c r="H37" s="2"/>
      <x:c r="I37" s="2"/>
      <x:c r="J37" s="2"/>
      <x:c r="K37" s="2"/>
      <x:c r="L37" s="2"/>
    </x:row>
    <x:row r="38" ht="39" customHeight="1">
      <x:c r="A38" s="12" t="str">
        <x:v>8 Presence mix</x:v>
      </x:c>
      <x:c r="B38" s="7" t="n">
        <x:f>C14</x:f>
        <x:v>-0.021848727625710856</x:v>
      </x:c>
      <x:c r="C38" s="7" t="n">
        <x:f>D14</x:f>
        <x:v>-0.0254176195653385</x:v>
      </x:c>
      <x:c r="D38" s="2"/>
      <x:c r="E38" s="2"/>
      <x:c r="F38" s="2"/>
      <x:c r="G38" s="2"/>
      <x:c r="H38" s="2"/>
      <x:c r="I38" s="2"/>
      <x:c r="J38" s="2"/>
      <x:c r="K38" s="2"/>
      <x:c r="L38" s="2"/>
    </x:row>
    <x:row r="39" ht="39" customHeight="1">
      <x:c r="A39" s="12" t="str">
        <x:v>10 Synthetic only</x:v>
      </x:c>
      <x:c r="B39" s="7" t="n">
        <x:f>C16</x:f>
        <x:v>-0.002383939889733011</x:v>
      </x:c>
      <x:c r="C39" s="7" t="n">
        <x:f>D16</x:f>
        <x:v>-0.001973418045372542</x:v>
      </x:c>
      <x:c r="D39" s="2"/>
      <x:c r="E39" s="2"/>
      <x:c r="F39" s="2"/>
      <x:c r="G39" s="2"/>
      <x:c r="H39" s="2"/>
      <x:c r="I39" s="2"/>
      <x:c r="J39" s="2"/>
      <x:c r="K39" s="2"/>
      <x:c r="L39" s="2"/>
    </x:row>
    <x:row r="40" ht="39" customHeight="1">
      <x:c r="A40" s="12" t="str">
        <x:v>11 Turkey-led knit</x:v>
      </x:c>
      <x:c r="B40" s="7" t="n">
        <x:f>C17</x:f>
        <x:v>-0.012416544168938864</x:v>
      </x:c>
      <x:c r="C40" s="7" t="n">
        <x:f>D17</x:f>
        <x:v>-0.013272339290595517</x:v>
      </x:c>
      <x:c r="D40" s="2"/>
      <x:c r="E40" s="2"/>
      <x:c r="F40" s="2"/>
      <x:c r="G40" s="2"/>
      <x:c r="H40" s="2"/>
      <x:c r="I40" s="2"/>
      <x:c r="J40" s="2"/>
      <x:c r="K40" s="2"/>
      <x:c r="L40" s="2"/>
    </x:row>
    <x:row r="41" ht="39" customHeight="1">
      <x:c r="A41" s="12" t="str">
        <x:v>13 MFN increment</x:v>
      </x:c>
      <x:c r="B41" s="7" t="n">
        <x:f>C19</x:f>
        <x:v>0.0086763612458787</x:v>
      </x:c>
      <x:c r="C41" s="7" t="n">
        <x:f>D19</x:f>
        <x:v>0.005198440283236936</x:v>
      </x:c>
      <x:c r="D41" s="2"/>
      <x:c r="E41" s="2"/>
      <x:c r="F41" s="2"/>
      <x:c r="G41" s="2"/>
      <x:c r="H41" s="2"/>
      <x:c r="I41" s="2"/>
      <x:c r="J41" s="2"/>
      <x:c r="K41" s="2"/>
      <x:c r="L41" s="2"/>
    </x:row>
    <x:row r="42" ht="39" customHeight="1">
      <x:c r="A42" s="12" t="str">
        <x:v>16 Common months</x:v>
      </x:c>
      <x:c r="B42" s="7" t="n">
        <x:f>C22</x:f>
        <x:v>0.0018929929978840077</x:v>
      </x:c>
      <x:c r="C42" s="7" t="n">
        <x:f>D22</x:f>
        <x:v>0.00034098768422304894</x:v>
      </x:c>
      <x:c r="D42" s="2"/>
      <x:c r="E42" s="2"/>
      <x:c r="F42" s="2"/>
      <x:c r="G42" s="2"/>
      <x:c r="H42" s="2"/>
      <x:c r="I42" s="2"/>
      <x:c r="J42" s="2"/>
      <x:c r="K42" s="2"/>
      <x:c r="L42" s="2"/>
    </x:row>
    <x:row r="43" ht="39" customHeight="1">
      <x:c r="A43" s="12" t="str">
        <x:v>22 Operating stress</x:v>
      </x:c>
      <x:c r="B43" s="7" t="n">
        <x:f>C28</x:f>
        <x:v>0.0020815950057921084</x:v>
      </x:c>
      <x:c r="C43" s="7" t="n">
        <x:f>D28</x:f>
        <x:v>0.00013971968067903523</x:v>
      </x:c>
      <x:c r="D43" s="2"/>
      <x:c r="E43" s="2"/>
      <x:c r="F43" s="2"/>
      <x:c r="G43" s="2"/>
      <x:c r="H43" s="2"/>
      <x:c r="I43" s="2"/>
      <x:c r="J43" s="2"/>
      <x:c r="K43" s="2"/>
      <x:c r="L43" s="2"/>
    </x:row>
    <x:row r="44" ht="23" customHeight="1">
      <x:c r="A44" s="2"/>
      <x:c r="B44" s="2"/>
      <x:c r="C44" s="2"/>
      <x:c r="D44" s="2"/>
      <x:c r="E44" s="2"/>
      <x:c r="F44" s="2"/>
      <x:c r="G44" s="2"/>
      <x:c r="H44" s="2"/>
      <x:c r="I44" s="2"/>
      <x:c r="J44" s="2"/>
      <x:c r="K44" s="2"/>
      <x:c r="L44" s="2"/>
    </x:row>
    <x:row r="45" ht="23" customHeight="1">
      <x:c r="A45" s="2"/>
      <x:c r="B45" s="2"/>
      <x:c r="C45" s="2"/>
      <x:c r="D45" s="2"/>
      <x:c r="E45" s="2"/>
      <x:c r="F45" s="2"/>
      <x:c r="G45" s="2"/>
      <x:c r="H45" s="2"/>
      <x:c r="I45" s="2"/>
      <x:c r="J45" s="2"/>
      <x:c r="K45" s="2"/>
      <x:c r="L45" s="2"/>
    </x:row>
    <x:row r="46" ht="23" customHeight="1">
      <x:c r="A46" s="2"/>
      <x:c r="B46" s="2"/>
      <x:c r="C46" s="2"/>
      <x:c r="D46" s="2"/>
      <x:c r="E46" s="2"/>
      <x:c r="F46" s="2"/>
      <x:c r="G46" s="2"/>
      <x:c r="H46" s="2"/>
      <x:c r="I46" s="2"/>
      <x:c r="J46" s="2"/>
      <x:c r="K46" s="2"/>
      <x:c r="L46" s="2"/>
    </x:row>
    <x:row r="47" ht="23" customHeight="1">
      <x:c r="A47" s="2"/>
      <x:c r="B47" s="2"/>
      <x:c r="C47" s="2"/>
      <x:c r="D47" s="2"/>
      <x:c r="E47" s="2"/>
      <x:c r="F47" s="2"/>
      <x:c r="G47" s="2"/>
      <x:c r="H47" s="2"/>
      <x:c r="I47" s="2"/>
      <x:c r="J47" s="2"/>
      <x:c r="K47" s="2"/>
      <x:c r="L47" s="2"/>
    </x:row>
    <x:row r="48" ht="23" customHeight="1">
      <x:c r="A48" s="2"/>
      <x:c r="B48" s="2"/>
      <x:c r="C48" s="2"/>
      <x:c r="D48" s="2"/>
      <x:c r="E48" s="2"/>
      <x:c r="F48" s="2"/>
      <x:c r="G48" s="2"/>
      <x:c r="H48" s="2"/>
      <x:c r="I48" s="2"/>
      <x:c r="J48" s="2"/>
      <x:c r="K48" s="2"/>
      <x:c r="L48" s="2"/>
    </x:row>
    <x:row r="49" ht="23" customHeight="1">
      <x:c r="A49" s="2"/>
      <x:c r="B49" s="2"/>
      <x:c r="C49" s="2"/>
      <x:c r="D49" s="2"/>
      <x:c r="E49" s="2"/>
      <x:c r="F49" s="2"/>
      <x:c r="G49" s="2"/>
      <x:c r="H49" s="2"/>
      <x:c r="I49" s="2"/>
      <x:c r="J49" s="2"/>
      <x:c r="K49" s="2"/>
      <x:c r="L49" s="2"/>
    </x:row>
    <x:row r="50" ht="23" customHeight="1">
      <x:c r="A50" s="2"/>
      <x:c r="B50" s="2"/>
      <x:c r="C50" s="2"/>
      <x:c r="D50" s="2"/>
      <x:c r="E50" s="2"/>
      <x:c r="F50" s="2"/>
      <x:c r="G50" s="2"/>
      <x:c r="H50" s="2"/>
      <x:c r="I50" s="2"/>
      <x:c r="J50" s="2"/>
      <x:c r="K50" s="2"/>
      <x:c r="L50" s="2"/>
    </x:row>
    <x:row r="51" ht="23" customHeight="1">
      <x:c r="A51" s="2"/>
      <x:c r="B51" s="2"/>
      <x:c r="C51" s="2"/>
      <x:c r="D51" s="2"/>
      <x:c r="E51" s="2"/>
      <x:c r="F51" s="2"/>
      <x:c r="G51" s="2"/>
      <x:c r="H51" s="2"/>
      <x:c r="I51" s="2"/>
      <x:c r="J51" s="2"/>
      <x:c r="K51" s="2"/>
      <x:c r="L51" s="2"/>
    </x:row>
    <x:row r="52" ht="23" customHeight="1">
      <x:c r="A52" s="2"/>
      <x:c r="B52" s="2"/>
      <x:c r="C52" s="2"/>
      <x:c r="D52" s="2"/>
      <x:c r="E52" s="2"/>
      <x:c r="F52" s="2"/>
      <x:c r="G52" s="2"/>
      <x:c r="H52" s="2"/>
      <x:c r="I52" s="2"/>
      <x:c r="J52" s="2"/>
      <x:c r="K52" s="2"/>
      <x:c r="L52" s="2"/>
    </x:row>
    <x:row r="53" ht="23" customHeight="1">
      <x:c r="A53" s="2"/>
      <x:c r="B53" s="2"/>
      <x:c r="C53" s="2"/>
      <x:c r="D53" s="2"/>
      <x:c r="E53" s="2"/>
      <x:c r="F53" s="2"/>
      <x:c r="G53" s="2"/>
      <x:c r="H53" s="2"/>
      <x:c r="I53" s="2"/>
      <x:c r="J53" s="2"/>
      <x:c r="K53" s="2"/>
      <x:c r="L53" s="2"/>
    </x:row>
    <x:row r="54" ht="23" customHeight="1">
      <x:c r="A54" s="2"/>
      <x:c r="B54" s="2"/>
      <x:c r="C54" s="2"/>
      <x:c r="D54" s="2"/>
      <x:c r="E54" s="2"/>
      <x:c r="F54" s="2"/>
      <x:c r="G54" s="2"/>
      <x:c r="H54" s="2"/>
      <x:c r="I54" s="2"/>
      <x:c r="J54" s="2"/>
      <x:c r="K54" s="2"/>
      <x:c r="L54" s="2"/>
    </x:row>
    <x:row r="55" ht="23" customHeight="1">
      <x:c r="A55" s="2"/>
      <x:c r="B55" s="2"/>
      <x:c r="C55" s="2"/>
      <x:c r="D55" s="2"/>
      <x:c r="E55" s="2"/>
      <x:c r="F55" s="2"/>
      <x:c r="G55" s="2"/>
      <x:c r="H55" s="2"/>
      <x:c r="I55" s="2"/>
      <x:c r="J55" s="2"/>
      <x:c r="K55" s="2"/>
      <x:c r="L55" s="2"/>
    </x:row>
    <x:row r="56" ht="23" customHeight="1">
      <x:c r="A56" s="2"/>
      <x:c r="B56" s="2"/>
      <x:c r="C56" s="2"/>
      <x:c r="D56" s="2"/>
      <x:c r="E56" s="2"/>
      <x:c r="F56" s="2"/>
      <x:c r="G56" s="2"/>
      <x:c r="H56" s="2"/>
      <x:c r="I56" s="2"/>
      <x:c r="J56" s="2"/>
      <x:c r="K56" s="2"/>
      <x:c r="L56" s="2"/>
    </x:row>
    <x:row r="57" ht="42" customHeight="1">
      <x:c r="A57" s="11" t="str">
        <x:v>Case ID</x:v>
      </x:c>
      <x:c r="B57" s="11" t="str">
        <x:v>CN8</x:v>
      </x:c>
      <x:c r="C57" s="11" t="str">
        <x:v>Feasible shift</x:v>
      </x:c>
      <x:c r="D57" s="11" t="str">
        <x:v>Cost change</x:v>
      </x:c>
      <x:c r="E57" s="11" t="str">
        <x:v>HHI change</x:v>
      </x:c>
      <x:c r="F57" s="11" t="str">
        <x:v>Max receiver multiple</x:v>
      </x:c>
      <x:c r="G57" s="2"/>
      <x:c r="H57" s="2"/>
      <x:c r="I57" s="2"/>
      <x:c r="J57" s="2"/>
      <x:c r="K57" s="2"/>
      <x:c r="L57" s="2"/>
    </x:row>
    <x:row r="58" ht="23" customHeight="1">
      <x:c r="A58" s="2" t="n">
        <x:v>1</x:v>
      </x:c>
      <x:c r="B58" s="2" t="str">
        <x:v>61091000</x:v>
      </x:c>
      <x:c r="C58" s="7" t="n">
        <x:v>0.032221226763006934</x:v>
      </x:c>
      <x:c r="D58" s="7" t="n">
        <x:v>-0.0008462427496100933</x:v>
      </x:c>
      <x:c r="E58" s="27" t="n">
        <x:v>39.567478091494195</x:v>
      </x:c>
      <x:c r="F58" s="24" t="n">
        <x:v>1.5193994950781227</x:v>
      </x:c>
      <x:c r="G58" s="2"/>
      <x:c r="H58" s="2"/>
      <x:c r="I58" s="2"/>
      <x:c r="J58" s="2"/>
      <x:c r="K58" s="2"/>
      <x:c r="L58" s="2"/>
    </x:row>
    <x:row r="59" ht="23" customHeight="1">
      <x:c r="A59" s="2" t="n">
        <x:v>1</x:v>
      </x:c>
      <x:c r="B59" s="2" t="str">
        <x:v>61103099</x:v>
      </x:c>
      <x:c r="C59" s="7" t="n">
        <x:v>0.014153298257653319</x:v>
      </x:c>
      <x:c r="D59" s="7" t="n">
        <x:v>-0.004627003502947313</x:v>
      </x:c>
      <x:c r="E59" s="27" t="n">
        <x:v>-88.19322957670738</x:v>
      </x:c>
      <x:c r="F59" s="24" t="n">
        <x:v>3</x:v>
      </x:c>
      <x:c r="G59" s="2"/>
      <x:c r="H59" s="2"/>
      <x:c r="I59" s="2"/>
      <x:c r="J59" s="2"/>
      <x:c r="K59" s="2"/>
      <x:c r="L59" s="2"/>
    </x:row>
    <x:row r="60" ht="23" customHeight="1">
      <x:c r="A60" s="2" t="n">
        <x:v>1</x:v>
      </x:c>
      <x:c r="B60" s="2" t="str">
        <x:v>62044300</x:v>
      </x:c>
      <x:c r="C60" s="7" t="n">
        <x:v>0.1</x:v>
      </x:c>
      <x:c r="D60" s="7" t="n">
        <x:v>-0.004908756055984731</x:v>
      </x:c>
      <x:c r="E60" s="27" t="n">
        <x:v>-635.801651328959</x:v>
      </x:c>
      <x:c r="F60" s="24" t="n">
        <x:v>1.7346679013589075</x:v>
      </x:c>
      <x:c r="G60" s="2"/>
      <x:c r="H60" s="2"/>
      <x:c r="I60" s="2"/>
      <x:c r="J60" s="2"/>
      <x:c r="K60" s="2"/>
      <x:c r="L60" s="2"/>
    </x:row>
    <x:row r="61" ht="23" customHeight="1">
      <x:c r="A61" s="2" t="n">
        <x:v>1</x:v>
      </x:c>
      <x:c r="B61" s="2" t="str">
        <x:v>62052000</x:v>
      </x:c>
      <x:c r="C61" s="7" t="n">
        <x:v>0.06915990057015509</x:v>
      </x:c>
      <x:c r="D61" s="7" t="n">
        <x:v>0.01344890350534289</x:v>
      </x:c>
      <x:c r="E61" s="27" t="n">
        <x:v>117.77113668368929</x:v>
      </x:c>
      <x:c r="F61" s="24" t="n">
        <x:v>1.4259779790859572</x:v>
      </x:c>
      <x:c r="G61" s="2"/>
      <x:c r="H61" s="2"/>
      <x:c r="I61" s="2"/>
      <x:c r="J61" s="2"/>
      <x:c r="K61" s="2"/>
      <x:c r="L61" s="2"/>
    </x:row>
    <x:row r="62" ht="23" customHeight="1">
      <x:c r="A62" s="2" t="n">
        <x:v>2</x:v>
      </x:c>
      <x:c r="B62" s="2" t="str">
        <x:v>61091000</x:v>
      </x:c>
      <x:c r="C62" s="7" t="n">
        <x:v>0.032221226763006934</x:v>
      </x:c>
      <x:c r="D62" s="7" t="n">
        <x:v>-0.0008462427496100933</x:v>
      </x:c>
      <x:c r="E62" s="27" t="n">
        <x:v>39.567478091494195</x:v>
      </x:c>
      <x:c r="F62" s="24" t="n">
        <x:v>1.5193994950781227</x:v>
      </x:c>
      <x:c r="G62" s="2"/>
      <x:c r="H62" s="2"/>
      <x:c r="I62" s="2"/>
      <x:c r="J62" s="2"/>
      <x:c r="K62" s="2"/>
      <x:c r="L62" s="2"/>
    </x:row>
    <x:row r="63" ht="23" customHeight="1">
      <x:c r="A63" s="2" t="n">
        <x:v>2</x:v>
      </x:c>
      <x:c r="B63" s="2" t="str">
        <x:v>61103099</x:v>
      </x:c>
      <x:c r="C63" s="7" t="n">
        <x:v>0.014153298257653319</x:v>
      </x:c>
      <x:c r="D63" s="7" t="n">
        <x:v>-0.004627003502947313</x:v>
      </x:c>
      <x:c r="E63" s="27" t="n">
        <x:v>-88.19322957670738</x:v>
      </x:c>
      <x:c r="F63" s="24" t="n">
        <x:v>3</x:v>
      </x:c>
      <x:c r="G63" s="2"/>
      <x:c r="H63" s="2"/>
      <x:c r="I63" s="2"/>
      <x:c r="J63" s="2"/>
      <x:c r="K63" s="2"/>
      <x:c r="L63" s="2"/>
    </x:row>
    <x:row r="64" ht="23" customHeight="1">
      <x:c r="A64" s="2" t="n">
        <x:v>2</x:v>
      </x:c>
      <x:c r="B64" s="2" t="str">
        <x:v>62044300</x:v>
      </x:c>
      <x:c r="C64" s="7" t="n">
        <x:v>0.05</x:v>
      </x:c>
      <x:c r="D64" s="7" t="n">
        <x:v>-0.00245437802799231</x:v>
      </x:c>
      <x:c r="E64" s="27" t="n">
        <x:v>-352.2758256644797</x:v>
      </x:c>
      <x:c r="F64" s="24" t="n">
        <x:v>1.3673339506794537</x:v>
      </x:c>
      <x:c r="G64" s="2"/>
      <x:c r="H64" s="2"/>
      <x:c r="I64" s="2"/>
      <x:c r="J64" s="2"/>
      <x:c r="K64" s="2"/>
      <x:c r="L64" s="2"/>
    </x:row>
    <x:row r="65" ht="23" customHeight="1">
      <x:c r="A65" s="2" t="n">
        <x:v>2</x:v>
      </x:c>
      <x:c r="B65" s="2" t="str">
        <x:v>62052000</x:v>
      </x:c>
      <x:c r="C65" s="7" t="n">
        <x:v>0.05</x:v>
      </x:c>
      <x:c r="D65" s="7" t="n">
        <x:v>0.009723050058249028</x:v>
      </x:c>
      <x:c r="E65" s="27" t="n">
        <x:v>71.97165887346364</x:v>
      </x:c>
      <x:c r="F65" s="24" t="n">
        <x:v>1.3079660146806094</x:v>
      </x:c>
      <x:c r="G65" s="2"/>
      <x:c r="H65" s="2"/>
      <x:c r="I65" s="2"/>
      <x:c r="J65" s="2"/>
      <x:c r="K65" s="2"/>
      <x:c r="L65" s="2"/>
    </x:row>
    <x:row r="66" ht="23" customHeight="1">
      <x:c r="A66" s="2" t="n">
        <x:v>3</x:v>
      </x:c>
      <x:c r="B66" s="2" t="str">
        <x:v>61091000</x:v>
      </x:c>
      <x:c r="C66" s="7" t="n">
        <x:v>0.032221226763006934</x:v>
      </x:c>
      <x:c r="D66" s="7" t="n">
        <x:v>-0.0008462427496100933</x:v>
      </x:c>
      <x:c r="E66" s="27" t="n">
        <x:v>39.567478091494195</x:v>
      </x:c>
      <x:c r="F66" s="24" t="n">
        <x:v>1.5193994950781227</x:v>
      </x:c>
      <x:c r="G66" s="2"/>
      <x:c r="H66" s="2"/>
      <x:c r="I66" s="2"/>
      <x:c r="J66" s="2"/>
      <x:c r="K66" s="2"/>
      <x:c r="L66" s="2"/>
    </x:row>
    <x:row r="67" ht="23" customHeight="1">
      <x:c r="A67" s="2" t="n">
        <x:v>3</x:v>
      </x:c>
      <x:c r="B67" s="2" t="str">
        <x:v>61103099</x:v>
      </x:c>
      <x:c r="C67" s="7" t="n">
        <x:v>0.014153298257653319</x:v>
      </x:c>
      <x:c r="D67" s="7" t="n">
        <x:v>-0.004627003502947313</x:v>
      </x:c>
      <x:c r="E67" s="27" t="n">
        <x:v>-88.19322957670738</x:v>
      </x:c>
      <x:c r="F67" s="24" t="n">
        <x:v>3</x:v>
      </x:c>
      <x:c r="G67" s="2"/>
      <x:c r="H67" s="2"/>
      <x:c r="I67" s="2"/>
      <x:c r="J67" s="2"/>
      <x:c r="K67" s="2"/>
      <x:c r="L67" s="2"/>
    </x:row>
    <x:row r="68" ht="23" customHeight="1">
      <x:c r="A68" s="2" t="n">
        <x:v>3</x:v>
      </x:c>
      <x:c r="B68" s="2" t="str">
        <x:v>62044300</x:v>
      </x:c>
      <x:c r="C68" s="7" t="n">
        <x:v>0.15</x:v>
      </x:c>
      <x:c r="D68" s="7" t="n">
        <x:v>-0.00736313408397693</x:v>
      </x:c>
      <x:c r="E68" s="27" t="n">
        <x:v>-850.5774769934385</x:v>
      </x:c>
      <x:c r="F68" s="24" t="n">
        <x:v>2.102001852038361</x:v>
      </x:c>
      <x:c r="G68" s="2"/>
      <x:c r="H68" s="2"/>
      <x:c r="I68" s="2"/>
      <x:c r="J68" s="2"/>
      <x:c r="K68" s="2"/>
      <x:c r="L68" s="2"/>
    </x:row>
    <x:row r="69" ht="23" customHeight="1">
      <x:c r="A69" s="2" t="n">
        <x:v>3</x:v>
      </x:c>
      <x:c r="B69" s="2" t="str">
        <x:v>62052000</x:v>
      </x:c>
      <x:c r="C69" s="7" t="n">
        <x:v>0.06915990057015509</x:v>
      </x:c>
      <x:c r="D69" s="7" t="n">
        <x:v>0.01344890350534289</x:v>
      </x:c>
      <x:c r="E69" s="27" t="n">
        <x:v>117.77113668368929</x:v>
      </x:c>
      <x:c r="F69" s="24" t="n">
        <x:v>1.4259779790859572</x:v>
      </x:c>
      <x:c r="G69" s="2"/>
      <x:c r="H69" s="2"/>
      <x:c r="I69" s="2"/>
      <x:c r="J69" s="2"/>
      <x:c r="K69" s="2"/>
      <x:c r="L69" s="2"/>
    </x:row>
    <x:row r="70" ht="23" customHeight="1">
      <x:c r="A70" s="2" t="n">
        <x:v>4</x:v>
      </x:c>
      <x:c r="B70" s="2" t="str">
        <x:v>61091000</x:v>
      </x:c>
      <x:c r="C70" s="7" t="n">
        <x:v>0.032221226763006934</x:v>
      </x:c>
      <x:c r="D70" s="7" t="n">
        <x:v>-0.0008462427496100933</x:v>
      </x:c>
      <x:c r="E70" s="27" t="n">
        <x:v>39.567478091494195</x:v>
      </x:c>
      <x:c r="F70" s="24" t="n">
        <x:v>1.5193994950781227</x:v>
      </x:c>
      <x:c r="G70" s="2"/>
      <x:c r="H70" s="2"/>
      <x:c r="I70" s="2"/>
      <x:c r="J70" s="2"/>
      <x:c r="K70" s="2"/>
      <x:c r="L70" s="2"/>
    </x:row>
    <x:row r="71" ht="23" customHeight="1">
      <x:c r="A71" s="2" t="n">
        <x:v>4</x:v>
      </x:c>
      <x:c r="B71" s="2" t="str">
        <x:v>61103099</x:v>
      </x:c>
      <x:c r="C71" s="7" t="n">
        <x:v>0.1</x:v>
      </x:c>
      <x:c r="D71" s="7" t="n">
        <x:v>-0.0326920511298161</x:v>
      </x:c>
      <x:c r="E71" s="27" t="n">
        <x:v>-505.0892458432204</x:v>
      </x:c>
      <x:c r="F71" s="24" t="n">
        <x:v>15.130981793720846</x:v>
      </x:c>
      <x:c r="G71" s="2"/>
      <x:c r="H71" s="2"/>
      <x:c r="I71" s="2"/>
      <x:c r="J71" s="2"/>
      <x:c r="K71" s="2"/>
      <x:c r="L71" s="2"/>
    </x:row>
    <x:row r="72" ht="23" customHeight="1">
      <x:c r="A72" s="2" t="n">
        <x:v>4</x:v>
      </x:c>
      <x:c r="B72" s="2" t="str">
        <x:v>62044300</x:v>
      </x:c>
      <x:c r="C72" s="7" t="n">
        <x:v>0.1</x:v>
      </x:c>
      <x:c r="D72" s="7" t="n">
        <x:v>-0.004908756055984731</x:v>
      </x:c>
      <x:c r="E72" s="27" t="n">
        <x:v>-635.801651328959</x:v>
      </x:c>
      <x:c r="F72" s="24" t="n">
        <x:v>1.7346679013589075</x:v>
      </x:c>
      <x:c r="G72" s="2"/>
      <x:c r="H72" s="2"/>
      <x:c r="I72" s="2"/>
      <x:c r="J72" s="2"/>
      <x:c r="K72" s="2"/>
      <x:c r="L72" s="2"/>
    </x:row>
    <x:row r="73" ht="23" customHeight="1">
      <x:c r="A73" s="2" t="n">
        <x:v>4</x:v>
      </x:c>
      <x:c r="B73" s="2" t="str">
        <x:v>62052000</x:v>
      </x:c>
      <x:c r="C73" s="7" t="n">
        <x:v>0.06915990057015509</x:v>
      </x:c>
      <x:c r="D73" s="7" t="n">
        <x:v>0.01344890350534289</x:v>
      </x:c>
      <x:c r="E73" s="27" t="n">
        <x:v>117.77113668368929</x:v>
      </x:c>
      <x:c r="F73" s="24" t="n">
        <x:v>1.4259779790859572</x:v>
      </x:c>
      <x:c r="G73" s="2"/>
      <x:c r="H73" s="2"/>
      <x:c r="I73" s="2"/>
      <x:c r="J73" s="2"/>
      <x:c r="K73" s="2"/>
      <x:c r="L73" s="2"/>
    </x:row>
    <x:row r="74" ht="23" customHeight="1">
      <x:c r="A74" s="2" t="n">
        <x:v>5</x:v>
      </x:c>
      <x:c r="B74" s="2" t="str">
        <x:v>61091000</x:v>
      </x:c>
      <x:c r="C74" s="7" t="n">
        <x:v>0.032221226763006934</x:v>
      </x:c>
      <x:c r="D74" s="7" t="n">
        <x:v>-0.0008462427496100933</x:v>
      </x:c>
      <x:c r="E74" s="27" t="n">
        <x:v>39.567478091494195</x:v>
      </x:c>
      <x:c r="F74" s="24" t="n">
        <x:v>1.5193994950781227</x:v>
      </x:c>
      <x:c r="G74" s="2"/>
      <x:c r="H74" s="2"/>
      <x:c r="I74" s="2"/>
      <x:c r="J74" s="2"/>
      <x:c r="K74" s="2"/>
      <x:c r="L74" s="2"/>
    </x:row>
    <x:row r="75" ht="23" customHeight="1">
      <x:c r="A75" s="2" t="n">
        <x:v>5</x:v>
      </x:c>
      <x:c r="B75" s="2" t="str">
        <x:v>61103099</x:v>
      </x:c>
      <x:c r="C75" s="7" t="n">
        <x:v>0.007076649128826659</x:v>
      </x:c>
      <x:c r="D75" s="7" t="n">
        <x:v>-0.002313501751473823</x:v>
      </x:c>
      <x:c r="E75" s="27" t="n">
        <x:v>-44.7852005281261</x:v>
      </x:c>
      <x:c r="F75" s="24" t="n">
        <x:v>2</x:v>
      </x:c>
      <x:c r="G75" s="2"/>
      <x:c r="H75" s="2"/>
      <x:c r="I75" s="2"/>
      <x:c r="J75" s="2"/>
      <x:c r="K75" s="2"/>
      <x:c r="L75" s="2"/>
    </x:row>
    <x:row r="76" ht="23" customHeight="1">
      <x:c r="A76" s="2" t="n">
        <x:v>5</x:v>
      </x:c>
      <x:c r="B76" s="2" t="str">
        <x:v>62044300</x:v>
      </x:c>
      <x:c r="C76" s="7" t="n">
        <x:v>0.1</x:v>
      </x:c>
      <x:c r="D76" s="7" t="n">
        <x:v>-0.004908756055984731</x:v>
      </x:c>
      <x:c r="E76" s="27" t="n">
        <x:v>-635.801651328959</x:v>
      </x:c>
      <x:c r="F76" s="24" t="n">
        <x:v>1.7346679013589075</x:v>
      </x:c>
      <x:c r="G76" s="2"/>
      <x:c r="H76" s="2"/>
      <x:c r="I76" s="2"/>
      <x:c r="J76" s="2"/>
      <x:c r="K76" s="2"/>
      <x:c r="L76" s="2"/>
    </x:row>
    <x:row r="77" ht="23" customHeight="1">
      <x:c r="A77" s="2" t="n">
        <x:v>5</x:v>
      </x:c>
      <x:c r="B77" s="2" t="str">
        <x:v>62052000</x:v>
      </x:c>
      <x:c r="C77" s="7" t="n">
        <x:v>0.06915990057015509</x:v>
      </x:c>
      <x:c r="D77" s="7" t="n">
        <x:v>0.01344890350534289</x:v>
      </x:c>
      <x:c r="E77" s="27" t="n">
        <x:v>117.77113668368929</x:v>
      </x:c>
      <x:c r="F77" s="24" t="n">
        <x:v>1.4259779790859572</x:v>
      </x:c>
      <x:c r="G77" s="2"/>
      <x:c r="H77" s="2"/>
      <x:c r="I77" s="2"/>
      <x:c r="J77" s="2"/>
      <x:c r="K77" s="2"/>
      <x:c r="L77" s="2"/>
    </x:row>
    <x:row r="78" ht="23" customHeight="1">
      <x:c r="A78" s="2" t="n">
        <x:v>6</x:v>
      </x:c>
      <x:c r="B78" s="2" t="str">
        <x:v>61091000</x:v>
      </x:c>
      <x:c r="C78" s="7" t="n">
        <x:v>0.032221226763006934</x:v>
      </x:c>
      <x:c r="D78" s="7" t="n">
        <x:v>-0.0008462427496100933</x:v>
      </x:c>
      <x:c r="E78" s="27" t="n">
        <x:v>39.567478091494195</x:v>
      </x:c>
      <x:c r="F78" s="24" t="n">
        <x:v>1.5193994950781227</x:v>
      </x:c>
      <x:c r="G78" s="2"/>
      <x:c r="H78" s="2"/>
      <x:c r="I78" s="2"/>
      <x:c r="J78" s="2"/>
      <x:c r="K78" s="2"/>
      <x:c r="L78" s="2"/>
    </x:row>
    <x:row r="79" ht="23" customHeight="1">
      <x:c r="A79" s="2" t="n">
        <x:v>6</x:v>
      </x:c>
      <x:c r="B79" s="2" t="str">
        <x:v>61103099</x:v>
      </x:c>
      <x:c r="C79" s="7" t="n">
        <x:v>0.028306596515306637</x:v>
      </x:c>
      <x:c r="D79" s="7" t="n">
        <x:v>-0.009254007005894738</x:v>
      </x:c>
      <x:c r="E79" s="27" t="n">
        <x:v>-170.87777323523687</x:v>
      </x:c>
      <x:c r="F79" s="24" t="n">
        <x:v>5</x:v>
      </x:c>
      <x:c r="G79" s="2"/>
      <x:c r="H79" s="2"/>
      <x:c r="I79" s="2"/>
      <x:c r="J79" s="2"/>
      <x:c r="K79" s="2"/>
      <x:c r="L79" s="2"/>
    </x:row>
    <x:row r="80" ht="23" customHeight="1">
      <x:c r="A80" s="2" t="n">
        <x:v>6</x:v>
      </x:c>
      <x:c r="B80" s="2" t="str">
        <x:v>62044300</x:v>
      </x:c>
      <x:c r="C80" s="7" t="n">
        <x:v>0.1</x:v>
      </x:c>
      <x:c r="D80" s="7" t="n">
        <x:v>-0.004908756055984731</x:v>
      </x:c>
      <x:c r="E80" s="27" t="n">
        <x:v>-635.801651328959</x:v>
      </x:c>
      <x:c r="F80" s="24" t="n">
        <x:v>1.7346679013589075</x:v>
      </x:c>
      <x:c r="G80" s="2"/>
      <x:c r="H80" s="2"/>
      <x:c r="I80" s="2"/>
      <x:c r="J80" s="2"/>
      <x:c r="K80" s="2"/>
      <x:c r="L80" s="2"/>
    </x:row>
    <x:row r="81" ht="23" customHeight="1">
      <x:c r="A81" s="2" t="n">
        <x:v>6</x:v>
      </x:c>
      <x:c r="B81" s="2" t="str">
        <x:v>62052000</x:v>
      </x:c>
      <x:c r="C81" s="7" t="n">
        <x:v>0.06915990057015509</x:v>
      </x:c>
      <x:c r="D81" s="7" t="n">
        <x:v>0.01344890350534289</x:v>
      </x:c>
      <x:c r="E81" s="27" t="n">
        <x:v>117.77113668368929</x:v>
      </x:c>
      <x:c r="F81" s="24" t="n">
        <x:v>1.4259779790859572</x:v>
      </x:c>
      <x:c r="G81" s="2"/>
      <x:c r="H81" s="2"/>
      <x:c r="I81" s="2"/>
      <x:c r="J81" s="2"/>
      <x:c r="K81" s="2"/>
      <x:c r="L81" s="2"/>
    </x:row>
    <x:row r="82" ht="23" customHeight="1">
      <x:c r="A82" s="2" t="n">
        <x:v>7</x:v>
      </x:c>
      <x:c r="B82" s="2" t="str">
        <x:v>61091000</x:v>
      </x:c>
      <x:c r="C82" s="7" t="n">
        <x:v>0.032221226763006934</x:v>
      </x:c>
      <x:c r="D82" s="7" t="n">
        <x:v>0.004467706284708495</x:v>
      </x:c>
      <x:c r="E82" s="27" t="n">
        <x:v>32.46322703714577</x:v>
      </x:c>
      <x:c r="F82" s="24" t="n">
        <x:v>1.6925326601041635</x:v>
      </x:c>
      <x:c r="G82" s="2"/>
      <x:c r="H82" s="2"/>
      <x:c r="I82" s="2"/>
      <x:c r="J82" s="2"/>
      <x:c r="K82" s="2"/>
      <x:c r="L82" s="2"/>
    </x:row>
    <x:row r="83" ht="23" customHeight="1">
      <x:c r="A83" s="2" t="n">
        <x:v>7</x:v>
      </x:c>
      <x:c r="B83" s="2" t="str">
        <x:v>61103099</x:v>
      </x:c>
      <x:c r="C83" s="7" t="n">
        <x:v>0.02122994738647998</x:v>
      </x:c>
      <x:c r="D83" s="7" t="n">
        <x:v>-0.007225741774853467</x:v>
      </x:c>
      <x:c r="E83" s="27" t="n">
        <x:v>-124.56659855308635</x:v>
      </x:c>
      <x:c r="F83" s="24" t="n">
        <x:v>3</x:v>
      </x:c>
      <x:c r="G83" s="2"/>
      <x:c r="H83" s="2"/>
      <x:c r="I83" s="2"/>
      <x:c r="J83" s="2"/>
      <x:c r="K83" s="2"/>
      <x:c r="L83" s="2"/>
    </x:row>
    <x:row r="84" ht="23" customHeight="1">
      <x:c r="A84" s="2" t="n">
        <x:v>7</x:v>
      </x:c>
      <x:c r="B84" s="2" t="str">
        <x:v>62044300</x:v>
      </x:c>
      <x:c r="C84" s="7" t="n">
        <x:v>0.1</x:v>
      </x:c>
      <x:c r="D84" s="7" t="n">
        <x:v>-0.003065023001011191</x:v>
      </x:c>
      <x:c r="E84" s="27" t="n">
        <x:v>-678.9002073559636</x:v>
      </x:c>
      <x:c r="F84" s="24" t="n">
        <x:v>1.9795572018118766</x:v>
      </x:c>
      <x:c r="G84" s="2"/>
      <x:c r="H84" s="2"/>
      <x:c r="I84" s="2"/>
      <x:c r="J84" s="2"/>
      <x:c r="K84" s="2"/>
      <x:c r="L84" s="2"/>
    </x:row>
    <x:row r="85" ht="23" customHeight="1">
      <x:c r="A85" s="2" t="n">
        <x:v>7</x:v>
      </x:c>
      <x:c r="B85" s="2" t="str">
        <x:v>62052000</x:v>
      </x:c>
      <x:c r="C85" s="7" t="n">
        <x:v>0.06915990057015509</x:v>
      </x:c>
      <x:c r="D85" s="7" t="n">
        <x:v>0.020625737005316225</x:v>
      </x:c>
      <x:c r="E85" s="27" t="n">
        <x:v>87.91386646893534</x:v>
      </x:c>
      <x:c r="F85" s="24" t="n">
        <x:v>1.5679706387812764</x:v>
      </x:c>
      <x:c r="G85" s="2"/>
      <x:c r="H85" s="2"/>
      <x:c r="I85" s="2"/>
      <x:c r="J85" s="2"/>
      <x:c r="K85" s="2"/>
      <x:c r="L85" s="2"/>
    </x:row>
    <x:row r="86" ht="23" customHeight="1">
      <x:c r="A86" s="2" t="n">
        <x:v>8</x:v>
      </x:c>
      <x:c r="B86" s="2" t="str">
        <x:v>61091000</x:v>
      </x:c>
      <x:c r="C86" s="7" t="n">
        <x:v>0.032221226763006934</x:v>
      </x:c>
      <x:c r="D86" s="7" t="n">
        <x:v>-0.003374975075825404</x:v>
      </x:c>
      <x:c r="E86" s="27" t="n">
        <x:v>47.040821783773936</x:v>
      </x:c>
      <x:c r="F86" s="24" t="n">
        <x:v>1.1757382646692178</x:v>
      </x:c>
      <x:c r="G86" s="2"/>
      <x:c r="H86" s="2"/>
      <x:c r="I86" s="2"/>
      <x:c r="J86" s="2"/>
      <x:c r="K86" s="2"/>
      <x:c r="L86" s="2"/>
    </x:row>
    <x:row r="87" ht="23" customHeight="1">
      <x:c r="A87" s="2" t="n">
        <x:v>8</x:v>
      </x:c>
      <x:c r="B87" s="2" t="str">
        <x:v>61103099</x:v>
      </x:c>
      <x:c r="C87" s="7" t="n">
        <x:v>0.1</x:v>
      </x:c>
      <x:c r="D87" s="7" t="n">
        <x:v>-0.08350185310997105</x:v>
      </x:c>
      <x:c r="E87" s="27" t="n">
        <x:v>-240.5921031335697</x:v>
      </x:c>
      <x:c r="F87" s="24" t="n">
        <x:v>1.5687822805303502</x:v>
      </x:c>
      <x:c r="G87" s="2"/>
      <x:c r="H87" s="2"/>
      <x:c r="I87" s="2"/>
      <x:c r="J87" s="2"/>
      <x:c r="K87" s="2"/>
      <x:c r="L87" s="2"/>
    </x:row>
    <x:row r="88" ht="23" customHeight="1">
      <x:c r="A88" s="2" t="n">
        <x:v>8</x:v>
      </x:c>
      <x:c r="B88" s="2" t="str">
        <x:v>62044300</x:v>
      </x:c>
      <x:c r="C88" s="7" t="n">
        <x:v>0.1</x:v>
      </x:c>
      <x:c r="D88" s="7" t="n">
        <x:v>-0.0070839504759763194</x:v>
      </x:c>
      <x:c r="E88" s="27" t="n">
        <x:v>-577.5496439602734</x:v>
      </x:c>
      <x:c r="F88" s="24" t="n">
        <x:v>1.4541011935744</x:v>
      </x:c>
      <x:c r="G88" s="2"/>
      <x:c r="H88" s="2"/>
      <x:c r="I88" s="2"/>
      <x:c r="J88" s="2"/>
      <x:c r="K88" s="2"/>
      <x:c r="L88" s="2"/>
    </x:row>
    <x:row r="89" ht="23" customHeight="1">
      <x:c r="A89" s="2" t="n">
        <x:v>8</x:v>
      </x:c>
      <x:c r="B89" s="2" t="str">
        <x:v>62052000</x:v>
      </x:c>
      <x:c r="C89" s="7" t="n">
        <x:v>0.06915990057015509</x:v>
      </x:c>
      <x:c r="D89" s="7" t="n">
        <x:v>0.006565868158929344</x:v>
      </x:c>
      <x:c r="E89" s="27" t="n">
        <x:v>147.05768748480386</x:v>
      </x:c>
      <x:c r="F89" s="24" t="n">
        <x:v>1.266168398139183</x:v>
      </x:c>
      <x:c r="G89" s="2"/>
      <x:c r="H89" s="2"/>
      <x:c r="I89" s="2"/>
      <x:c r="J89" s="2"/>
      <x:c r="K89" s="2"/>
      <x:c r="L89" s="2"/>
    </x:row>
    <x:row r="90" ht="23" customHeight="1">
      <x:c r="A90" s="2" t="n">
        <x:v>9</x:v>
      </x:c>
      <x:c r="B90" s="2" t="str">
        <x:v>61091000</x:v>
      </x:c>
      <x:c r="C90" s="7" t="n">
        <x:v>0.032221226763006934</x:v>
      </x:c>
      <x:c r="D90" s="7" t="n">
        <x:v>0.006534432618102715</x:v>
      </x:c>
      <x:c r="E90" s="27" t="n">
        <x:v>33.57172498301361</x:v>
      </x:c>
      <x:c r="F90" s="24" t="n">
        <x:v>1.5193994950781227</x:v>
      </x:c>
      <x:c r="G90" s="2"/>
      <x:c r="H90" s="2"/>
      <x:c r="I90" s="2"/>
      <x:c r="J90" s="2"/>
      <x:c r="K90" s="2"/>
      <x:c r="L90" s="2"/>
    </x:row>
    <x:row r="91" ht="23" customHeight="1">
      <x:c r="A91" s="2" t="n">
        <x:v>9</x:v>
      </x:c>
      <x:c r="B91" s="2" t="str">
        <x:v>61103099</x:v>
      </x:c>
      <x:c r="C91" s="7" t="n">
        <x:v>0.028306596515306637</x:v>
      </x:c>
      <x:c r="D91" s="7" t="n">
        <x:v>-0.013601461734453535</x:v>
      </x:c>
      <x:c r="E91" s="27" t="n">
        <x:v>-148.2446138815012</x:v>
      </x:c>
      <x:c r="F91" s="24" t="n">
        <x:v>3</x:v>
      </x:c>
      <x:c r="G91" s="2"/>
      <x:c r="H91" s="2"/>
      <x:c r="I91" s="2"/>
      <x:c r="J91" s="2"/>
      <x:c r="K91" s="2"/>
      <x:c r="L91" s="2"/>
    </x:row>
    <x:row r="92" ht="23" customHeight="1">
      <x:c r="A92" s="2" t="n">
        <x:v>9</x:v>
      </x:c>
      <x:c r="B92" s="2" t="str">
        <x:v>62044300</x:v>
      </x:c>
      <x:c r="C92" s="7" t="n">
        <x:v>0.1</x:v>
      </x:c>
      <x:c r="D92" s="7" t="n">
        <x:v>0.004517279623725612</x:v>
      </x:c>
      <x:c r="E92" s="27" t="n">
        <x:v>-694.4215890066594</x:v>
      </x:c>
      <x:c r="F92" s="24" t="n">
        <x:v>2.469335802717815</x:v>
      </x:c>
      <x:c r="G92" s="2"/>
      <x:c r="H92" s="2"/>
      <x:c r="I92" s="2"/>
      <x:c r="J92" s="2"/>
      <x:c r="K92" s="2"/>
      <x:c r="L92" s="2"/>
    </x:row>
    <x:row r="93" ht="23" customHeight="1">
      <x:c r="A93" s="2" t="n">
        <x:v>9</x:v>
      </x:c>
      <x:c r="B93" s="2" t="str">
        <x:v>62052000</x:v>
      </x:c>
      <x:c r="C93" s="7" t="n">
        <x:v>0.06915990057015509</x:v>
      </x:c>
      <x:c r="D93" s="7" t="n">
        <x:v>0.028213251470262213</x:v>
      </x:c>
      <x:c r="E93" s="27" t="n">
        <x:v>73.99215449325447</x:v>
      </x:c>
      <x:c r="F93" s="24" t="n">
        <x:v>1.8519559581719147</x:v>
      </x:c>
      <x:c r="G93" s="2"/>
      <x:c r="H93" s="2"/>
      <x:c r="I93" s="2"/>
      <x:c r="J93" s="2"/>
      <x:c r="K93" s="2"/>
      <x:c r="L93" s="2"/>
    </x:row>
    <x:row r="94" ht="23" customHeight="1">
      <x:c r="A94" s="2" t="n">
        <x:v>10</x:v>
      </x:c>
      <x:c r="B94" s="2" t="str">
        <x:v>61091000</x:v>
      </x:c>
      <x:c r="C94" s="7" t="n">
        <x:v>0</x:v>
      </x:c>
      <x:c r="D94" s="7" t="n">
        <x:v>0</x:v>
      </x:c>
      <x:c r="E94" s="27" t="n">
        <x:v>0</x:v>
      </x:c>
      <x:c r="F94" s="24" t="n">
        <x:v>1</x:v>
      </x:c>
      <x:c r="G94" s="2"/>
      <x:c r="H94" s="2"/>
      <x:c r="I94" s="2"/>
      <x:c r="J94" s="2"/>
      <x:c r="K94" s="2"/>
      <x:c r="L94" s="2"/>
    </x:row>
    <x:row r="95" ht="23" customHeight="1">
      <x:c r="A95" s="2" t="n">
        <x:v>10</x:v>
      </x:c>
      <x:c r="B95" s="2" t="str">
        <x:v>61103099</x:v>
      </x:c>
      <x:c r="C95" s="7" t="n">
        <x:v>0.014153298257653319</x:v>
      </x:c>
      <x:c r="D95" s="7" t="n">
        <x:v>-0.004627003502947313</x:v>
      </x:c>
      <x:c r="E95" s="27" t="n">
        <x:v>-88.19322957670738</x:v>
      </x:c>
      <x:c r="F95" s="24" t="n">
        <x:v>3</x:v>
      </x:c>
      <x:c r="G95" s="2"/>
      <x:c r="H95" s="2"/>
      <x:c r="I95" s="2"/>
      <x:c r="J95" s="2"/>
      <x:c r="K95" s="2"/>
      <x:c r="L95" s="2"/>
    </x:row>
    <x:row r="96" ht="23" customHeight="1">
      <x:c r="A96" s="2" t="n">
        <x:v>10</x:v>
      </x:c>
      <x:c r="B96" s="2" t="str">
        <x:v>62044300</x:v>
      </x:c>
      <x:c r="C96" s="7" t="n">
        <x:v>0.1</x:v>
      </x:c>
      <x:c r="D96" s="7" t="n">
        <x:v>-0.004908756055984731</x:v>
      </x:c>
      <x:c r="E96" s="27" t="n">
        <x:v>-635.801651328959</x:v>
      </x:c>
      <x:c r="F96" s="24" t="n">
        <x:v>1.7346679013589075</x:v>
      </x:c>
      <x:c r="G96" s="2"/>
      <x:c r="H96" s="2"/>
      <x:c r="I96" s="2"/>
      <x:c r="J96" s="2"/>
      <x:c r="K96" s="2"/>
      <x:c r="L96" s="2"/>
    </x:row>
    <x:row r="97" ht="23" customHeight="1">
      <x:c r="A97" s="2" t="n">
        <x:v>10</x:v>
      </x:c>
      <x:c r="B97" s="2" t="str">
        <x:v>62052000</x:v>
      </x:c>
      <x:c r="C97" s="7" t="n">
        <x:v>0</x:v>
      </x:c>
      <x:c r="D97" s="7" t="n">
        <x:v>0</x:v>
      </x:c>
      <x:c r="E97" s="27" t="n">
        <x:v>0</x:v>
      </x:c>
      <x:c r="F97" s="24" t="n">
        <x:v>1</x:v>
      </x:c>
      <x:c r="G97" s="2"/>
      <x:c r="H97" s="2"/>
      <x:c r="I97" s="2"/>
      <x:c r="J97" s="2"/>
      <x:c r="K97" s="2"/>
      <x:c r="L97" s="2"/>
    </x:row>
    <x:row r="98" ht="23" customHeight="1">
      <x:c r="A98" s="2" t="n">
        <x:v>11</x:v>
      </x:c>
      <x:c r="B98" s="2" t="str">
        <x:v>61091000</x:v>
      </x:c>
      <x:c r="C98" s="7" t="n">
        <x:v>0</x:v>
      </x:c>
      <x:c r="D98" s="7" t="n">
        <x:v>0</x:v>
      </x:c>
      <x:c r="E98" s="27" t="n">
        <x:v>0</x:v>
      </x:c>
      <x:c r="F98" s="24" t="n">
        <x:v>1</x:v>
      </x:c>
      <x:c r="G98" s="2"/>
      <x:c r="H98" s="2"/>
      <x:c r="I98" s="2"/>
      <x:c r="J98" s="2"/>
      <x:c r="K98" s="2"/>
      <x:c r="L98" s="2"/>
    </x:row>
    <x:row r="99" ht="23" customHeight="1">
      <x:c r="A99" s="2" t="n">
        <x:v>11</x:v>
      </x:c>
      <x:c r="B99" s="2" t="str">
        <x:v>61103099</x:v>
      </x:c>
      <x:c r="C99" s="7" t="n">
        <x:v>0.07058533305676154</x:v>
      </x:c>
      <x:c r="D99" s="7" t="n">
        <x:v>-0.04475742061977073</x:v>
      </x:c>
      <x:c r="E99" s="27" t="n">
        <x:v>-259.735460467497</x:v>
      </x:c>
      <x:c r="F99" s="24" t="n">
        <x:v>3</x:v>
      </x:c>
      <x:c r="G99" s="2"/>
      <x:c r="H99" s="2"/>
      <x:c r="I99" s="2"/>
      <x:c r="J99" s="2"/>
      <x:c r="K99" s="2"/>
      <x:c r="L99" s="2"/>
    </x:row>
    <x:row r="100" ht="23" customHeight="1">
      <x:c r="A100" s="2" t="n">
        <x:v>11</x:v>
      </x:c>
      <x:c r="B100" s="2" t="str">
        <x:v>62044300</x:v>
      </x:c>
      <x:c r="C100" s="7" t="n">
        <x:v>0.1</x:v>
      </x:c>
      <x:c r="D100" s="7" t="n">
        <x:v>-0.004908756055984731</x:v>
      </x:c>
      <x:c r="E100" s="27" t="n">
        <x:v>-635.801651328959</x:v>
      </x:c>
      <x:c r="F100" s="24" t="n">
        <x:v>1.7346679013589075</x:v>
      </x:c>
      <x:c r="G100" s="2"/>
      <x:c r="H100" s="2"/>
      <x:c r="I100" s="2"/>
      <x:c r="J100" s="2"/>
      <x:c r="K100" s="2"/>
      <x:c r="L100" s="2"/>
    </x:row>
    <x:row r="101" ht="23" customHeight="1">
      <x:c r="A101" s="2" t="n">
        <x:v>11</x:v>
      </x:c>
      <x:c r="B101" s="2" t="str">
        <x:v>62052000</x:v>
      </x:c>
      <x:c r="C101" s="7" t="n">
        <x:v>0</x:v>
      </x:c>
      <x:c r="D101" s="7" t="n">
        <x:v>0</x:v>
      </x:c>
      <x:c r="E101" s="27" t="n">
        <x:v>0</x:v>
      </x:c>
      <x:c r="F101" s="24" t="n">
        <x:v>1</x:v>
      </x:c>
      <x:c r="G101" s="2"/>
      <x:c r="H101" s="2"/>
      <x:c r="I101" s="2"/>
      <x:c r="J101" s="2"/>
      <x:c r="K101" s="2"/>
      <x:c r="L101" s="2"/>
    </x:row>
    <x:row r="102" ht="23" customHeight="1">
      <x:c r="A102" s="2" t="n">
        <x:v>12</x:v>
      </x:c>
      <x:c r="B102" s="2" t="str">
        <x:v>61091000</x:v>
      </x:c>
      <x:c r="C102" s="7" t="n">
        <x:v>0.032221226763006934</x:v>
      </x:c>
      <x:c r="D102" s="7" t="n">
        <x:v>0.004475351847699871</x:v>
      </x:c>
      <x:c r="E102" s="27" t="n">
        <x:v>39.567478091494195</x:v>
      </x:c>
      <x:c r="F102" s="24" t="n">
        <x:v>1.5193994950781227</x:v>
      </x:c>
      <x:c r="G102" s="2"/>
      <x:c r="H102" s="2"/>
      <x:c r="I102" s="2"/>
      <x:c r="J102" s="2"/>
      <x:c r="K102" s="2"/>
      <x:c r="L102" s="2"/>
    </x:row>
    <x:row r="103" ht="23" customHeight="1">
      <x:c r="A103" s="2" t="n">
        <x:v>12</x:v>
      </x:c>
      <x:c r="B103" s="2" t="str">
        <x:v>61103099</x:v>
      </x:c>
      <x:c r="C103" s="7" t="n">
        <x:v>0.014153298257653319</x:v>
      </x:c>
      <x:c r="D103" s="7" t="n">
        <x:v>-0.002683731452138738</x:v>
      </x:c>
      <x:c r="E103" s="27" t="n">
        <x:v>-88.19322957670738</x:v>
      </x:c>
      <x:c r="F103" s="24" t="n">
        <x:v>3</x:v>
      </x:c>
      <x:c r="G103" s="2"/>
      <x:c r="H103" s="2"/>
      <x:c r="I103" s="2"/>
      <x:c r="J103" s="2"/>
      <x:c r="K103" s="2"/>
      <x:c r="L103" s="2"/>
    </x:row>
    <x:row r="104" ht="23" customHeight="1">
      <x:c r="A104" s="2" t="n">
        <x:v>12</x:v>
      </x:c>
      <x:c r="B104" s="2" t="str">
        <x:v>62044300</x:v>
      </x:c>
      <x:c r="C104" s="7" t="n">
        <x:v>0.1</x:v>
      </x:c>
      <x:c r="D104" s="7" t="n">
        <x:v>0.007248286573795504</x:v>
      </x:c>
      <x:c r="E104" s="27" t="n">
        <x:v>-635.801651328959</x:v>
      </x:c>
      <x:c r="F104" s="24" t="n">
        <x:v>1.7346679013589075</x:v>
      </x:c>
      <x:c r="G104" s="2"/>
      <x:c r="H104" s="2"/>
      <x:c r="I104" s="2"/>
      <x:c r="J104" s="2"/>
      <x:c r="K104" s="2"/>
      <x:c r="L104" s="2"/>
    </x:row>
    <x:row r="105" ht="23" customHeight="1">
      <x:c r="A105" s="2" t="n">
        <x:v>12</x:v>
      </x:c>
      <x:c r="B105" s="2" t="str">
        <x:v>62052000</x:v>
      </x:c>
      <x:c r="C105" s="7" t="n">
        <x:v>0.06915990057015509</x:v>
      </x:c>
      <x:c r="D105" s="7" t="n">
        <x:v>0.022445540650508855</x:v>
      </x:c>
      <x:c r="E105" s="27" t="n">
        <x:v>117.77113668368929</x:v>
      </x:c>
      <x:c r="F105" s="24" t="n">
        <x:v>1.4259779790859572</x:v>
      </x:c>
      <x:c r="G105" s="2"/>
      <x:c r="H105" s="2"/>
      <x:c r="I105" s="2"/>
      <x:c r="J105" s="2"/>
      <x:c r="K105" s="2"/>
      <x:c r="L105" s="2"/>
    </x:row>
    <x:row r="106" ht="23" customHeight="1">
      <x:c r="A106" s="2" t="n">
        <x:v>13</x:v>
      </x:c>
      <x:c r="B106" s="2" t="str">
        <x:v>61091000</x:v>
      </x:c>
      <x:c r="C106" s="7" t="n">
        <x:v>0.032221226763006934</x:v>
      </x:c>
      <x:c r="D106" s="7" t="n">
        <x:v>0.004985838983576851</x:v>
      </x:c>
      <x:c r="E106" s="27" t="n">
        <x:v>39.567478091494195</x:v>
      </x:c>
      <x:c r="F106" s="24" t="n">
        <x:v>1.5193994950781227</x:v>
      </x:c>
      <x:c r="G106" s="2"/>
      <x:c r="H106" s="2"/>
      <x:c r="I106" s="2"/>
      <x:c r="J106" s="2"/>
      <x:c r="K106" s="2"/>
      <x:c r="L106" s="2"/>
    </x:row>
    <x:row r="107" ht="23" customHeight="1">
      <x:c r="A107" s="2" t="n">
        <x:v>13</x:v>
      </x:c>
      <x:c r="B107" s="2" t="str">
        <x:v>61103099</x:v>
      </x:c>
      <x:c r="C107" s="7" t="n">
        <x:v>0.014153298257653319</x:v>
      </x:c>
      <x:c r="D107" s="7" t="n">
        <x:v>-0.002843403715708237</x:v>
      </x:c>
      <x:c r="E107" s="27" t="n">
        <x:v>-88.19322957670738</x:v>
      </x:c>
      <x:c r="F107" s="24" t="n">
        <x:v>3</x:v>
      </x:c>
      <x:c r="G107" s="2"/>
      <x:c r="H107" s="2"/>
      <x:c r="I107" s="2"/>
      <x:c r="J107" s="2"/>
      <x:c r="K107" s="2"/>
      <x:c r="L107" s="2"/>
    </x:row>
    <x:row r="108" ht="23" customHeight="1">
      <x:c r="A108" s="2" t="n">
        <x:v>13</x:v>
      </x:c>
      <x:c r="B108" s="2" t="str">
        <x:v>62044300</x:v>
      </x:c>
      <x:c r="C108" s="7" t="n">
        <x:v>0.1</x:v>
      </x:c>
      <x:c r="D108" s="7" t="n">
        <x:v>0.007645205710227421</x:v>
      </x:c>
      <x:c r="E108" s="27" t="n">
        <x:v>-635.801651328959</x:v>
      </x:c>
      <x:c r="F108" s="24" t="n">
        <x:v>1.7346679013589075</x:v>
      </x:c>
      <x:c r="G108" s="2"/>
      <x:c r="H108" s="2"/>
      <x:c r="I108" s="2"/>
      <x:c r="J108" s="2"/>
      <x:c r="K108" s="2"/>
      <x:c r="L108" s="2"/>
    </x:row>
    <x:row r="109" ht="23" customHeight="1">
      <x:c r="A109" s="2" t="n">
        <x:v>13</x:v>
      </x:c>
      <x:c r="B109" s="2" t="str">
        <x:v>62052000</x:v>
      </x:c>
      <x:c r="C109" s="7" t="n">
        <x:v>0.06915990057015509</x:v>
      </x:c>
      <x:c r="D109" s="7" t="n">
        <x:v>0.024917804005418764</x:v>
      </x:c>
      <x:c r="E109" s="27" t="n">
        <x:v>117.77113668368929</x:v>
      </x:c>
      <x:c r="F109" s="24" t="n">
        <x:v>1.4259779790859572</x:v>
      </x:c>
      <x:c r="G109" s="2"/>
      <x:c r="H109" s="2"/>
      <x:c r="I109" s="2"/>
      <x:c r="J109" s="2"/>
      <x:c r="K109" s="2"/>
      <x:c r="L109" s="2"/>
    </x:row>
    <x:row r="110" ht="23" customHeight="1">
      <x:c r="A110" s="2" t="n">
        <x:v>14</x:v>
      </x:c>
      <x:c r="B110" s="2" t="str">
        <x:v>61091000</x:v>
      </x:c>
      <x:c r="C110" s="7" t="n">
        <x:v>0.032221226763006934</x:v>
      </x:c>
      <x:c r="D110" s="7" t="n">
        <x:v>0.00012577087258769382</x:v>
      </x:c>
      <x:c r="E110" s="27" t="n">
        <x:v>39.567478091494195</x:v>
      </x:c>
      <x:c r="F110" s="24" t="n">
        <x:v>1.5193994950781227</x:v>
      </x:c>
      <x:c r="G110" s="2"/>
      <x:c r="H110" s="2"/>
      <x:c r="I110" s="2"/>
      <x:c r="J110" s="2"/>
      <x:c r="K110" s="2"/>
      <x:c r="L110" s="2"/>
    </x:row>
    <x:row r="111" ht="23" customHeight="1">
      <x:c r="A111" s="2" t="n">
        <x:v>14</x:v>
      </x:c>
      <x:c r="B111" s="2" t="str">
        <x:v>61103099</x:v>
      </x:c>
      <x:c r="C111" s="7" t="n">
        <x:v>0.014153298257653319</x:v>
      </x:c>
      <x:c r="D111" s="7" t="n">
        <x:v>-0.004329736871740875</x:v>
      </x:c>
      <x:c r="E111" s="27" t="n">
        <x:v>-88.19322957670738</x:v>
      </x:c>
      <x:c r="F111" s="24" t="n">
        <x:v>3</x:v>
      </x:c>
      <x:c r="G111" s="2"/>
      <x:c r="H111" s="2"/>
      <x:c r="I111" s="2"/>
      <x:c r="J111" s="2"/>
      <x:c r="K111" s="2"/>
      <x:c r="L111" s="2"/>
    </x:row>
    <x:row r="112" ht="23" customHeight="1">
      <x:c r="A112" s="2" t="n">
        <x:v>14</x:v>
      </x:c>
      <x:c r="B112" s="2" t="str">
        <x:v>62044300</x:v>
      </x:c>
      <x:c r="C112" s="7" t="n">
        <x:v>0.1</x:v>
      </x:c>
      <x:c r="D112" s="7" t="n">
        <x:v>-0.0027567820929295106</x:v>
      </x:c>
      <x:c r="E112" s="27" t="n">
        <x:v>-635.801651328959</x:v>
      </x:c>
      <x:c r="F112" s="24" t="n">
        <x:v>1.7346679013589075</x:v>
      </x:c>
      <x:c r="G112" s="2"/>
      <x:c r="H112" s="2"/>
      <x:c r="I112" s="2"/>
      <x:c r="J112" s="2"/>
      <x:c r="K112" s="2"/>
      <x:c r="L112" s="2"/>
    </x:row>
    <x:row r="113" ht="23" customHeight="1">
      <x:c r="A113" s="2" t="n">
        <x:v>14</x:v>
      </x:c>
      <x:c r="B113" s="2" t="str">
        <x:v>62052000</x:v>
      </x:c>
      <x:c r="C113" s="7" t="n">
        <x:v>0.06915990057015509</x:v>
      </x:c>
      <x:c r="D113" s="7" t="n">
        <x:v>0.01536038692202224</x:v>
      </x:c>
      <x:c r="E113" s="27" t="n">
        <x:v>117.77113668368929</x:v>
      </x:c>
      <x:c r="F113" s="24" t="n">
        <x:v>1.4259779790859572</x:v>
      </x:c>
      <x:c r="G113" s="2"/>
      <x:c r="H113" s="2"/>
      <x:c r="I113" s="2"/>
      <x:c r="J113" s="2"/>
      <x:c r="K113" s="2"/>
      <x:c r="L113" s="2"/>
    </x:row>
    <x:row r="114" ht="23" customHeight="1">
      <x:c r="A114" s="2" t="n">
        <x:v>15</x:v>
      </x:c>
      <x:c r="B114" s="2" t="str">
        <x:v>61091000</x:v>
      </x:c>
      <x:c r="C114" s="7" t="n">
        <x:v>0.032221226763006934</x:v>
      </x:c>
      <x:c r="D114" s="7" t="n">
        <x:v>0.0015837913058844855</x:v>
      </x:c>
      <x:c r="E114" s="27" t="n">
        <x:v>39.567478091494195</x:v>
      </x:c>
      <x:c r="F114" s="24" t="n">
        <x:v>1.5193994950781227</x:v>
      </x:c>
      <x:c r="G114" s="2"/>
      <x:c r="H114" s="2"/>
      <x:c r="I114" s="2"/>
      <x:c r="J114" s="2"/>
      <x:c r="K114" s="2"/>
      <x:c r="L114" s="2"/>
    </x:row>
    <x:row r="115" ht="23" customHeight="1">
      <x:c r="A115" s="2" t="n">
        <x:v>15</x:v>
      </x:c>
      <x:c r="B115" s="2" t="str">
        <x:v>61103099</x:v>
      </x:c>
      <x:c r="C115" s="7" t="n">
        <x:v>0.014153298257653319</x:v>
      </x:c>
      <x:c r="D115" s="7" t="n">
        <x:v>-0.0038838369249309945</x:v>
      </x:c>
      <x:c r="E115" s="27" t="n">
        <x:v>-88.19322957670738</x:v>
      </x:c>
      <x:c r="F115" s="24" t="n">
        <x:v>3</x:v>
      </x:c>
      <x:c r="G115" s="2"/>
      <x:c r="H115" s="2"/>
      <x:c r="I115" s="2"/>
      <x:c r="J115" s="2"/>
      <x:c r="K115" s="2"/>
      <x:c r="L115" s="2"/>
    </x:row>
    <x:row r="116" ht="23" customHeight="1">
      <x:c r="A116" s="2" t="n">
        <x:v>15</x:v>
      </x:c>
      <x:c r="B116" s="2" t="str">
        <x:v>62044300</x:v>
      </x:c>
      <x:c r="C116" s="7" t="n">
        <x:v>0.1</x:v>
      </x:c>
      <x:c r="D116" s="7" t="n">
        <x:v>0.00047117885165315343</x:v>
      </x:c>
      <x:c r="E116" s="27" t="n">
        <x:v>-635.801651328959</x:v>
      </x:c>
      <x:c r="F116" s="24" t="n">
        <x:v>1.7346679013589075</x:v>
      </x:c>
      <x:c r="G116" s="2"/>
      <x:c r="H116" s="2"/>
      <x:c r="I116" s="2"/>
      <x:c r="J116" s="2"/>
      <x:c r="K116" s="2"/>
      <x:c r="L116" s="2"/>
    </x:row>
    <x:row r="117" ht="23" customHeight="1">
      <x:c r="A117" s="2" t="n">
        <x:v>15</x:v>
      </x:c>
      <x:c r="B117" s="2" t="str">
        <x:v>62052000</x:v>
      </x:c>
      <x:c r="C117" s="7" t="n">
        <x:v>0.06915990057015509</x:v>
      </x:c>
      <x:c r="D117" s="7" t="n">
        <x:v>0.018227612047041042</x:v>
      </x:c>
      <x:c r="E117" s="27" t="n">
        <x:v>117.77113668368929</x:v>
      </x:c>
      <x:c r="F117" s="24" t="n">
        <x:v>1.4259779790859572</x:v>
      </x:c>
      <x:c r="G117" s="2"/>
      <x:c r="H117" s="2"/>
      <x:c r="I117" s="2"/>
      <x:c r="J117" s="2"/>
      <x:c r="K117" s="2"/>
      <x:c r="L117" s="2"/>
    </x:row>
    <x:row r="118" ht="23" customHeight="1">
      <x:c r="A118" s="2" t="n">
        <x:v>16</x:v>
      </x:c>
      <x:c r="B118" s="2" t="str">
        <x:v>61091000</x:v>
      </x:c>
      <x:c r="C118" s="7" t="n">
        <x:v>0.032221226763006934</x:v>
      </x:c>
      <x:c r="D118" s="7" t="n">
        <x:v>-0.0008462427496100933</x:v>
      </x:c>
      <x:c r="E118" s="27" t="n">
        <x:v>39.567478091494195</x:v>
      </x:c>
      <x:c r="F118" s="24" t="n">
        <x:v>1.5193994950781227</x:v>
      </x:c>
      <x:c r="G118" s="2"/>
      <x:c r="H118" s="2"/>
      <x:c r="I118" s="2"/>
      <x:c r="J118" s="2"/>
      <x:c r="K118" s="2"/>
      <x:c r="L118" s="2"/>
    </x:row>
    <x:row r="119" ht="23" customHeight="1">
      <x:c r="A119" s="2" t="n">
        <x:v>16</x:v>
      </x:c>
      <x:c r="B119" s="2" t="str">
        <x:v>61103099</x:v>
      </x:c>
      <x:c r="C119" s="7" t="n">
        <x:v>0.014153298257653319</x:v>
      </x:c>
      <x:c r="D119" s="7" t="n">
        <x:v>0.0002448876564151714</x:v>
      </x:c>
      <x:c r="E119" s="27" t="n">
        <x:v>-88.19322957670738</x:v>
      </x:c>
      <x:c r="F119" s="24" t="n">
        <x:v>3</x:v>
      </x:c>
      <x:c r="G119" s="2"/>
      <x:c r="H119" s="2"/>
      <x:c r="I119" s="2"/>
      <x:c r="J119" s="2"/>
      <x:c r="K119" s="2"/>
      <x:c r="L119" s="2"/>
    </x:row>
    <x:row r="120" ht="23" customHeight="1">
      <x:c r="A120" s="2" t="n">
        <x:v>16</x:v>
      </x:c>
      <x:c r="B120" s="2" t="str">
        <x:v>62044300</x:v>
      </x:c>
      <x:c r="C120" s="7" t="n">
        <x:v>0.1</x:v>
      </x:c>
      <x:c r="D120" s="7" t="n">
        <x:v>-0.004908756055984731</x:v>
      </x:c>
      <x:c r="E120" s="27" t="n">
        <x:v>-635.801651328959</x:v>
      </x:c>
      <x:c r="F120" s="24" t="n">
        <x:v>1.7346679013589075</x:v>
      </x:c>
      <x:c r="G120" s="2"/>
      <x:c r="H120" s="2"/>
      <x:c r="I120" s="2"/>
      <x:c r="J120" s="2"/>
      <x:c r="K120" s="2"/>
      <x:c r="L120" s="2"/>
    </x:row>
    <x:row r="121" ht="23" customHeight="1">
      <x:c r="A121" s="2" t="n">
        <x:v>16</x:v>
      </x:c>
      <x:c r="B121" s="2" t="str">
        <x:v>62052000</x:v>
      </x:c>
      <x:c r="C121" s="7" t="n">
        <x:v>0.06915990057015509</x:v>
      </x:c>
      <x:c r="D121" s="7" t="n">
        <x:v>0.013082083140715683</x:v>
      </x:c>
      <x:c r="E121" s="27" t="n">
        <x:v>117.77113668368929</x:v>
      </x:c>
      <x:c r="F121" s="24" t="n">
        <x:v>1.4259779790859572</x:v>
      </x:c>
      <x:c r="G121" s="2"/>
      <x:c r="H121" s="2"/>
      <x:c r="I121" s="2"/>
      <x:c r="J121" s="2"/>
      <x:c r="K121" s="2"/>
      <x:c r="L121" s="2"/>
    </x:row>
    <x:row r="122" ht="23" customHeight="1">
      <x:c r="A122" s="2" t="n">
        <x:v>17</x:v>
      </x:c>
      <x:c r="B122" s="2" t="str">
        <x:v>61091000</x:v>
      </x:c>
      <x:c r="C122" s="7" t="n">
        <x:v>0.032221226763006934</x:v>
      </x:c>
      <x:c r="D122" s="7" t="n">
        <x:v>-0.010037545206144971</x:v>
      </x:c>
      <x:c r="E122" s="27" t="n">
        <x:v>39.567478091494195</x:v>
      </x:c>
      <x:c r="F122" s="24" t="n">
        <x:v>1.5193994950781227</x:v>
      </x:c>
      <x:c r="G122" s="2"/>
      <x:c r="H122" s="2"/>
      <x:c r="I122" s="2"/>
      <x:c r="J122" s="2"/>
      <x:c r="K122" s="2"/>
      <x:c r="L122" s="2"/>
    </x:row>
    <x:row r="123" ht="23" customHeight="1">
      <x:c r="A123" s="2" t="n">
        <x:v>17</x:v>
      </x:c>
      <x:c r="B123" s="2" t="str">
        <x:v>61103099</x:v>
      </x:c>
      <x:c r="C123" s="7" t="n">
        <x:v>0.014153298257653319</x:v>
      </x:c>
      <x:c r="D123" s="7" t="n">
        <x:v>-0.00043726465497351263</x:v>
      </x:c>
      <x:c r="E123" s="27" t="n">
        <x:v>-88.19322957670738</x:v>
      </x:c>
      <x:c r="F123" s="24" t="n">
        <x:v>3</x:v>
      </x:c>
      <x:c r="G123" s="2"/>
      <x:c r="H123" s="2"/>
      <x:c r="I123" s="2"/>
      <x:c r="J123" s="2"/>
      <x:c r="K123" s="2"/>
      <x:c r="L123" s="2"/>
    </x:row>
    <x:row r="124" ht="23" customHeight="1">
      <x:c r="A124" s="2" t="n">
        <x:v>17</x:v>
      </x:c>
      <x:c r="B124" s="2" t="str">
        <x:v>62044300</x:v>
      </x:c>
      <x:c r="C124" s="7" t="n">
        <x:v>0.1</x:v>
      </x:c>
      <x:c r="D124" s="7" t="n">
        <x:v>-0.000321170214489519</x:v>
      </x:c>
      <x:c r="E124" s="27" t="n">
        <x:v>-635.801651328959</x:v>
      </x:c>
      <x:c r="F124" s="24" t="n">
        <x:v>1.7346679013589075</x:v>
      </x:c>
      <x:c r="G124" s="2"/>
      <x:c r="H124" s="2"/>
      <x:c r="I124" s="2"/>
      <x:c r="J124" s="2"/>
      <x:c r="K124" s="2"/>
      <x:c r="L124" s="2"/>
    </x:row>
    <x:row r="125" ht="23" customHeight="1">
      <x:c r="A125" s="2" t="n">
        <x:v>17</x:v>
      </x:c>
      <x:c r="B125" s="2" t="str">
        <x:v>62052000</x:v>
      </x:c>
      <x:c r="C125" s="7" t="n">
        <x:v>0.06915990057015509</x:v>
      </x:c>
      <x:c r="D125" s="7" t="n">
        <x:v>0.014929303814607886</x:v>
      </x:c>
      <x:c r="E125" s="27" t="n">
        <x:v>117.77113668368929</x:v>
      </x:c>
      <x:c r="F125" s="24" t="n">
        <x:v>1.4259779790859572</x:v>
      </x:c>
      <x:c r="G125" s="2"/>
      <x:c r="H125" s="2"/>
      <x:c r="I125" s="2"/>
      <x:c r="J125" s="2"/>
      <x:c r="K125" s="2"/>
      <x:c r="L125" s="2"/>
    </x:row>
    <x:row r="126" ht="23" customHeight="1">
      <x:c r="A126" s="2" t="n">
        <x:v>18</x:v>
      </x:c>
      <x:c r="B126" s="2" t="str">
        <x:v>61091000</x:v>
      </x:c>
      <x:c r="C126" s="7" t="n">
        <x:v>0.032221226763006934</x:v>
      </x:c>
      <x:c r="D126" s="7" t="n">
        <x:v>-0.008093957289082021</x:v>
      </x:c>
      <x:c r="E126" s="27" t="n">
        <x:v>39.567478091494195</x:v>
      </x:c>
      <x:c r="F126" s="24" t="n">
        <x:v>1.5193994950781227</x:v>
      </x:c>
      <x:c r="G126" s="2"/>
      <x:c r="H126" s="2"/>
      <x:c r="I126" s="2"/>
      <x:c r="J126" s="2"/>
      <x:c r="K126" s="2"/>
      <x:c r="L126" s="2"/>
    </x:row>
    <x:row r="127" ht="23" customHeight="1">
      <x:c r="A127" s="2" t="n">
        <x:v>18</x:v>
      </x:c>
      <x:c r="B127" s="2" t="str">
        <x:v>61103099</x:v>
      </x:c>
      <x:c r="C127" s="7" t="n">
        <x:v>0.014153298257653319</x:v>
      </x:c>
      <x:c r="D127" s="7" t="n">
        <x:v>0.0017413618658577157</x:v>
      </x:c>
      <x:c r="E127" s="27" t="n">
        <x:v>-88.19322957670738</x:v>
      </x:c>
      <x:c r="F127" s="24" t="n">
        <x:v>3</x:v>
      </x:c>
      <x:c r="G127" s="2"/>
      <x:c r="H127" s="2"/>
      <x:c r="I127" s="2"/>
      <x:c r="J127" s="2"/>
      <x:c r="K127" s="2"/>
      <x:c r="L127" s="2"/>
    </x:row>
    <x:row r="128" ht="23" customHeight="1">
      <x:c r="A128" s="2" t="n">
        <x:v>18</x:v>
      </x:c>
      <x:c r="B128" s="2" t="str">
        <x:v>62044300</x:v>
      </x:c>
      <x:c r="C128" s="7" t="n">
        <x:v>0.1</x:v>
      </x:c>
      <x:c r="D128" s="7" t="n">
        <x:v>-0.000321170214489519</x:v>
      </x:c>
      <x:c r="E128" s="27" t="n">
        <x:v>-635.801651328959</x:v>
      </x:c>
      <x:c r="F128" s="24" t="n">
        <x:v>1.7346679013589075</x:v>
      </x:c>
      <x:c r="G128" s="2"/>
      <x:c r="H128" s="2"/>
      <x:c r="I128" s="2"/>
      <x:c r="J128" s="2"/>
      <x:c r="K128" s="2"/>
      <x:c r="L128" s="2"/>
    </x:row>
    <x:row r="129" ht="23" customHeight="1">
      <x:c r="A129" s="2" t="n">
        <x:v>18</x:v>
      </x:c>
      <x:c r="B129" s="2" t="str">
        <x:v>62052000</x:v>
      </x:c>
      <x:c r="C129" s="7" t="n">
        <x:v>0.06915990057015509</x:v>
      </x:c>
      <x:c r="D129" s="7" t="n">
        <x:v>0.015048154191019902</x:v>
      </x:c>
      <x:c r="E129" s="27" t="n">
        <x:v>117.77113668368929</x:v>
      </x:c>
      <x:c r="F129" s="24" t="n">
        <x:v>1.4259779790859572</x:v>
      </x:c>
      <x:c r="G129" s="2"/>
      <x:c r="H129" s="2"/>
      <x:c r="I129" s="2"/>
      <x:c r="J129" s="2"/>
      <x:c r="K129" s="2"/>
      <x:c r="L129" s="2"/>
    </x:row>
    <x:row r="130" ht="23" customHeight="1">
      <x:c r="A130" s="2" t="n">
        <x:v>19</x:v>
      </x:c>
      <x:c r="B130" s="2" t="str">
        <x:v>61091000</x:v>
      </x:c>
      <x:c r="C130" s="7" t="n">
        <x:v>0.032221226763006934</x:v>
      </x:c>
      <x:c r="D130" s="7" t="n">
        <x:v>-0.01055059946821213</x:v>
      </x:c>
      <x:c r="E130" s="27" t="n">
        <x:v>39.567478091494195</x:v>
      </x:c>
      <x:c r="F130" s="24" t="n">
        <x:v>1.5193994950781227</x:v>
      </x:c>
      <x:c r="G130" s="2"/>
      <x:c r="H130" s="2"/>
      <x:c r="I130" s="2"/>
      <x:c r="J130" s="2"/>
      <x:c r="K130" s="2"/>
      <x:c r="L130" s="2"/>
    </x:row>
    <x:row r="131" ht="23" customHeight="1">
      <x:c r="A131" s="2" t="n">
        <x:v>19</x:v>
      </x:c>
      <x:c r="B131" s="2" t="str">
        <x:v>61103099</x:v>
      </x:c>
      <x:c r="C131" s="7" t="n">
        <x:v>0.014153298257653319</x:v>
      </x:c>
      <x:c r="D131" s="7" t="n">
        <x:v>-0.0002770245774997848</x:v>
      </x:c>
      <x:c r="E131" s="27" t="n">
        <x:v>-88.19322957670738</x:v>
      </x:c>
      <x:c r="F131" s="24" t="n">
        <x:v>3</x:v>
      </x:c>
      <x:c r="G131" s="2"/>
      <x:c r="H131" s="2"/>
      <x:c r="I131" s="2"/>
      <x:c r="J131" s="2"/>
      <x:c r="K131" s="2"/>
      <x:c r="L131" s="2"/>
    </x:row>
    <x:row r="132" ht="23" customHeight="1">
      <x:c r="A132" s="2" t="n">
        <x:v>19</x:v>
      </x:c>
      <x:c r="B132" s="2" t="str">
        <x:v>62044300</x:v>
      </x:c>
      <x:c r="C132" s="7" t="n">
        <x:v>0.1</x:v>
      </x:c>
      <x:c r="D132" s="7" t="n">
        <x:v>-0.008203307112604197</x:v>
      </x:c>
      <x:c r="E132" s="27" t="n">
        <x:v>-635.801651328959</x:v>
      </x:c>
      <x:c r="F132" s="24" t="n">
        <x:v>1.7346679013589075</x:v>
      </x:c>
      <x:c r="G132" s="2"/>
      <x:c r="H132" s="2"/>
      <x:c r="I132" s="2"/>
      <x:c r="J132" s="2"/>
      <x:c r="K132" s="2"/>
      <x:c r="L132" s="2"/>
    </x:row>
    <x:row r="133" ht="23" customHeight="1">
      <x:c r="A133" s="2" t="n">
        <x:v>19</x:v>
      </x:c>
      <x:c r="B133" s="2" t="str">
        <x:v>62052000</x:v>
      </x:c>
      <x:c r="C133" s="7" t="n">
        <x:v>0.06915990057015509</x:v>
      </x:c>
      <x:c r="D133" s="7" t="n">
        <x:v>0.013296761154778958</x:v>
      </x:c>
      <x:c r="E133" s="27" t="n">
        <x:v>117.77113668368929</x:v>
      </x:c>
      <x:c r="F133" s="24" t="n">
        <x:v>1.4259779790859572</x:v>
      </x:c>
      <x:c r="G133" s="2"/>
      <x:c r="H133" s="2"/>
      <x:c r="I133" s="2"/>
      <x:c r="J133" s="2"/>
      <x:c r="K133" s="2"/>
      <x:c r="L133" s="2"/>
    </x:row>
    <x:row r="134" ht="23" customHeight="1">
      <x:c r="A134" s="2" t="n">
        <x:v>20</x:v>
      </x:c>
      <x:c r="B134" s="2" t="str">
        <x:v>61091000</x:v>
      </x:c>
      <x:c r="C134" s="7" t="n">
        <x:v>0.032221226763006934</x:v>
      </x:c>
      <x:c r="D134" s="7" t="n">
        <x:v>-0.007009196068656798</x:v>
      </x:c>
      <x:c r="E134" s="27" t="n">
        <x:v>39.567478091494195</x:v>
      </x:c>
      <x:c r="F134" s="24" t="n">
        <x:v>1.5193994950781227</x:v>
      </x:c>
      <x:c r="G134" s="2"/>
      <x:c r="H134" s="2"/>
      <x:c r="I134" s="2"/>
      <x:c r="J134" s="2"/>
      <x:c r="K134" s="2"/>
      <x:c r="L134" s="2"/>
    </x:row>
    <x:row r="135" ht="23" customHeight="1">
      <x:c r="A135" s="2" t="n">
        <x:v>20</x:v>
      </x:c>
      <x:c r="B135" s="2" t="str">
        <x:v>61103099</x:v>
      </x:c>
      <x:c r="C135" s="7" t="n">
        <x:v>0.014153298257653319</x:v>
      </x:c>
      <x:c r="D135" s="7" t="n">
        <x:v>-0.0002770245774997848</x:v>
      </x:c>
      <x:c r="E135" s="27" t="n">
        <x:v>-88.19322957670738</x:v>
      </x:c>
      <x:c r="F135" s="24" t="n">
        <x:v>3</x:v>
      </x:c>
      <x:c r="G135" s="2"/>
      <x:c r="H135" s="2"/>
      <x:c r="I135" s="2"/>
      <x:c r="J135" s="2"/>
      <x:c r="K135" s="2"/>
      <x:c r="L135" s="2"/>
    </x:row>
    <x:row r="136" ht="23" customHeight="1">
      <x:c r="A136" s="2" t="n">
        <x:v>20</x:v>
      </x:c>
      <x:c r="B136" s="2" t="str">
        <x:v>62044300</x:v>
      </x:c>
      <x:c r="C136" s="7" t="n">
        <x:v>0.1</x:v>
      </x:c>
      <x:c r="D136" s="7" t="n">
        <x:v>-0.008203307112604197</x:v>
      </x:c>
      <x:c r="E136" s="27" t="n">
        <x:v>-635.801651328959</x:v>
      </x:c>
      <x:c r="F136" s="24" t="n">
        <x:v>1.7346679013589075</x:v>
      </x:c>
      <x:c r="G136" s="2"/>
      <x:c r="H136" s="2"/>
      <x:c r="I136" s="2"/>
      <x:c r="J136" s="2"/>
      <x:c r="K136" s="2"/>
      <x:c r="L136" s="2"/>
    </x:row>
    <x:row r="137" ht="23" customHeight="1">
      <x:c r="A137" s="2" t="n">
        <x:v>20</x:v>
      </x:c>
      <x:c r="B137" s="2" t="str">
        <x:v>62052000</x:v>
      </x:c>
      <x:c r="C137" s="7" t="n">
        <x:v>0.06915990057015509</x:v>
      </x:c>
      <x:c r="D137" s="7" t="n">
        <x:v>0.013296761154778958</x:v>
      </x:c>
      <x:c r="E137" s="27" t="n">
        <x:v>117.77113668368929</x:v>
      </x:c>
      <x:c r="F137" s="24" t="n">
        <x:v>1.4259779790859572</x:v>
      </x:c>
      <x:c r="G137" s="2"/>
      <x:c r="H137" s="2"/>
      <x:c r="I137" s="2"/>
      <x:c r="J137" s="2"/>
      <x:c r="K137" s="2"/>
      <x:c r="L137" s="2"/>
    </x:row>
    <x:row r="138" ht="23" customHeight="1">
      <x:c r="A138" s="2" t="n">
        <x:v>21</x:v>
      </x:c>
      <x:c r="B138" s="2" t="str">
        <x:v>61091000</x:v>
      </x:c>
      <x:c r="C138" s="7" t="n">
        <x:v>0.032221226763006934</x:v>
      </x:c>
      <x:c r="D138" s="7" t="n">
        <x:v>-0.00036162595836453093</x:v>
      </x:c>
      <x:c r="E138" s="27" t="n">
        <x:v>39.567478091494195</x:v>
      </x:c>
      <x:c r="F138" s="24" t="n">
        <x:v>1.5193994950781227</x:v>
      </x:c>
      <x:c r="G138" s="2"/>
      <x:c r="H138" s="2"/>
      <x:c r="I138" s="2"/>
      <x:c r="J138" s="2"/>
      <x:c r="K138" s="2"/>
      <x:c r="L138" s="2"/>
    </x:row>
    <x:row r="139" ht="23" customHeight="1">
      <x:c r="A139" s="2" t="n">
        <x:v>21</x:v>
      </x:c>
      <x:c r="B139" s="2" t="str">
        <x:v>61103099</x:v>
      </x:c>
      <x:c r="C139" s="7" t="n">
        <x:v>0.014153298257653319</x:v>
      </x:c>
      <x:c r="D139" s="7" t="n">
        <x:v>-0.0044455214942096255</x:v>
      </x:c>
      <x:c r="E139" s="27" t="n">
        <x:v>-88.19322957670738</x:v>
      </x:c>
      <x:c r="F139" s="24" t="n">
        <x:v>3</x:v>
      </x:c>
      <x:c r="G139" s="2"/>
      <x:c r="H139" s="2"/>
      <x:c r="I139" s="2"/>
      <x:c r="J139" s="2"/>
      <x:c r="K139" s="2"/>
      <x:c r="L139" s="2"/>
    </x:row>
    <x:row r="140" ht="23" customHeight="1">
      <x:c r="A140" s="2" t="n">
        <x:v>21</x:v>
      </x:c>
      <x:c r="B140" s="2" t="str">
        <x:v>62044300</x:v>
      </x:c>
      <x:c r="C140" s="7" t="n">
        <x:v>0.1</x:v>
      </x:c>
      <x:c r="D140" s="7" t="n">
        <x:v>-0.004157396696134685</x:v>
      </x:c>
      <x:c r="E140" s="27" t="n">
        <x:v>-635.801651328959</x:v>
      </x:c>
      <x:c r="F140" s="24" t="n">
        <x:v>1.7346679013589075</x:v>
      </x:c>
      <x:c r="G140" s="2"/>
      <x:c r="H140" s="2"/>
      <x:c r="I140" s="2"/>
      <x:c r="J140" s="2"/>
      <x:c r="K140" s="2"/>
      <x:c r="L140" s="2"/>
    </x:row>
    <x:row r="141" ht="23" customHeight="1">
      <x:c r="A141" s="2" t="n">
        <x:v>21</x:v>
      </x:c>
      <x:c r="B141" s="2" t="str">
        <x:v>62052000</x:v>
      </x:c>
      <x:c r="C141" s="7" t="n">
        <x:v>0.06915990057015509</x:v>
      </x:c>
      <x:c r="D141" s="7" t="n">
        <x:v>0.014139405298759344</x:v>
      </x:c>
      <x:c r="E141" s="27" t="n">
        <x:v>117.77113668368929</x:v>
      </x:c>
      <x:c r="F141" s="24" t="n">
        <x:v>1.4259779790859572</x:v>
      </x:c>
      <x:c r="G141" s="2"/>
      <x:c r="H141" s="2"/>
      <x:c r="I141" s="2"/>
      <x:c r="J141" s="2"/>
      <x:c r="K141" s="2"/>
      <x:c r="L141" s="2"/>
    </x:row>
    <x:row r="142" ht="23" customHeight="1">
      <x:c r="A142" s="2" t="n">
        <x:v>22</x:v>
      </x:c>
      <x:c r="B142" s="2" t="str">
        <x:v>61091000</x:v>
      </x:c>
      <x:c r="C142" s="7" t="n">
        <x:v>0.032221226763006934</x:v>
      </x:c>
      <x:c r="D142" s="7" t="n">
        <x:v>0.0003466676204226804</x:v>
      </x:c>
      <x:c r="E142" s="27" t="n">
        <x:v>39.567478091494195</x:v>
      </x:c>
      <x:c r="F142" s="24" t="n">
        <x:v>1.5193994950781227</x:v>
      </x:c>
      <x:c r="G142" s="2"/>
      <x:c r="H142" s="2"/>
      <x:c r="I142" s="2"/>
      <x:c r="J142" s="2"/>
      <x:c r="K142" s="2"/>
      <x:c r="L142" s="2"/>
    </x:row>
    <x:row r="143" ht="23" customHeight="1">
      <x:c r="A143" s="2" t="n">
        <x:v>22</x:v>
      </x:c>
      <x:c r="B143" s="2" t="str">
        <x:v>61103099</x:v>
      </x:c>
      <x:c r="C143" s="7" t="n">
        <x:v>0.014153298257653319</x:v>
      </x:c>
      <x:c r="D143" s="7" t="n">
        <x:v>-0.0041845421362721735</x:v>
      </x:c>
      <x:c r="E143" s="27" t="n">
        <x:v>-88.19322957670738</x:v>
      </x:c>
      <x:c r="F143" s="24" t="n">
        <x:v>3</x:v>
      </x:c>
      <x:c r="G143" s="2"/>
      <x:c r="H143" s="2"/>
      <x:c r="I143" s="2"/>
      <x:c r="J143" s="2"/>
      <x:c r="K143" s="2"/>
      <x:c r="L143" s="2"/>
    </x:row>
    <x:row r="144" ht="23" customHeight="1">
      <x:c r="A144" s="2" t="n">
        <x:v>22</x:v>
      </x:c>
      <x:c r="B144" s="2" t="str">
        <x:v>62044300</x:v>
      </x:c>
      <x:c r="C144" s="7" t="n">
        <x:v>0.1</x:v>
      </x:c>
      <x:c r="D144" s="7" t="n">
        <x:v>-0.0030180151045413606</x:v>
      </x:c>
      <x:c r="E144" s="27" t="n">
        <x:v>-635.801651328959</x:v>
      </x:c>
      <x:c r="F144" s="24" t="n">
        <x:v>1.7346679013589075</x:v>
      </x:c>
      <x:c r="G144" s="2"/>
      <x:c r="H144" s="2"/>
      <x:c r="I144" s="2"/>
      <x:c r="J144" s="2"/>
      <x:c r="K144" s="2"/>
      <x:c r="L144" s="2"/>
    </x:row>
    <x:row r="145" ht="23" customHeight="1">
      <x:c r="A145" s="2" t="n">
        <x:v>22</x:v>
      </x:c>
      <x:c r="B145" s="2" t="str">
        <x:v>62052000</x:v>
      </x:c>
      <x:c r="C145" s="7" t="n">
        <x:v>0.06915990057015509</x:v>
      </x:c>
      <x:c r="D145" s="7" t="n">
        <x:v>0.015182269643559287</x:v>
      </x:c>
      <x:c r="E145" s="27" t="n">
        <x:v>117.77113668368929</x:v>
      </x:c>
      <x:c r="F145" s="24" t="n">
        <x:v>1.4259779790859572</x:v>
      </x:c>
      <x:c r="G145" s="2"/>
      <x:c r="H145" s="2"/>
      <x:c r="I145" s="2"/>
      <x:c r="J145" s="2"/>
      <x:c r="K145" s="2"/>
      <x:c r="L145" s="2"/>
    </x:row>
    <x:row r="146" ht="23" customHeight="1">
      <x:c r="A146" s="2" t="n">
        <x:v>23</x:v>
      </x:c>
      <x:c r="B146" s="2" t="str">
        <x:v>61091000</x:v>
      </x:c>
      <x:c r="C146" s="7" t="n">
        <x:v>0.032221226763006934</x:v>
      </x:c>
      <x:c r="D146" s="7" t="n">
        <x:v>0.0018564615636877946</x:v>
      </x:c>
      <x:c r="E146" s="27" t="n">
        <x:v>39.567478091494195</x:v>
      </x:c>
      <x:c r="F146" s="24" t="n">
        <x:v>1.5193994950781227</x:v>
      </x:c>
      <x:c r="G146" s="2"/>
      <x:c r="H146" s="2"/>
      <x:c r="I146" s="2"/>
      <x:c r="J146" s="2"/>
      <x:c r="K146" s="2"/>
      <x:c r="L146" s="2"/>
    </x:row>
    <x:row r="147" ht="23" customHeight="1">
      <x:c r="A147" s="2" t="n">
        <x:v>23</x:v>
      </x:c>
      <x:c r="B147" s="2" t="str">
        <x:v>61103099</x:v>
      </x:c>
      <x:c r="C147" s="7" t="n">
        <x:v>0.014153298257653319</x:v>
      </x:c>
      <x:c r="D147" s="7" t="n">
        <x:v>-0.003634078400966523</x:v>
      </x:c>
      <x:c r="E147" s="27" t="n">
        <x:v>-88.19322957670738</x:v>
      </x:c>
      <x:c r="F147" s="24" t="n">
        <x:v>3</x:v>
      </x:c>
      <x:c r="G147" s="2"/>
      <x:c r="H147" s="2"/>
      <x:c r="I147" s="2"/>
      <x:c r="J147" s="2"/>
      <x:c r="K147" s="2"/>
      <x:c r="L147" s="2"/>
    </x:row>
    <x:row r="148" ht="23" customHeight="1">
      <x:c r="A148" s="2" t="n">
        <x:v>23</x:v>
      </x:c>
      <x:c r="B148" s="2" t="str">
        <x:v>62044300</x:v>
      </x:c>
      <x:c r="C148" s="7" t="n">
        <x:v>0.1</x:v>
      </x:c>
      <x:c r="D148" s="7" t="n">
        <x:v>-0.0005328982536643156</x:v>
      </x:c>
      <x:c r="E148" s="27" t="n">
        <x:v>-635.801651328959</x:v>
      </x:c>
      <x:c r="F148" s="24" t="n">
        <x:v>1.7346679013589075</x:v>
      </x:c>
      <x:c r="G148" s="2"/>
      <x:c r="H148" s="2"/>
      <x:c r="I148" s="2"/>
      <x:c r="J148" s="2"/>
      <x:c r="K148" s="2"/>
      <x:c r="L148" s="2"/>
    </x:row>
    <x:row r="149" ht="23" customHeight="1">
      <x:c r="A149" s="2" t="n">
        <x:v>23</x:v>
      </x:c>
      <x:c r="B149" s="2" t="str">
        <x:v>62052000</x:v>
      </x:c>
      <x:c r="C149" s="7" t="n">
        <x:v>0.06915990057015509</x:v>
      </x:c>
      <x:c r="D149" s="7" t="n">
        <x:v>0.017451291263525626</x:v>
      </x:c>
      <x:c r="E149" s="27" t="n">
        <x:v>117.77113668368929</x:v>
      </x:c>
      <x:c r="F149" s="24" t="n">
        <x:v>1.4259779790859572</x:v>
      </x:c>
      <x:c r="G149" s="2"/>
      <x:c r="H149" s="2"/>
      <x:c r="I149" s="2"/>
      <x:c r="J149" s="2"/>
      <x:c r="K149" s="2"/>
      <x:c r="L149" s="2"/>
    </x:row>
    <x:row r="150" ht="23" customHeight="1">
      <x:c r="A150" s="2" t="n">
        <x:v>24</x:v>
      </x:c>
      <x:c r="B150" s="2" t="str">
        <x:v>61091000</x:v>
      </x:c>
      <x:c r="C150" s="7" t="n">
        <x:v>0</x:v>
      </x:c>
      <x:c r="D150" s="7" t="n">
        <x:v>0</x:v>
      </x:c>
      <x:c r="E150" s="27" t="n">
        <x:v>0</x:v>
      </x:c>
      <x:c r="F150" s="24" t="n">
        <x:v>1</x:v>
      </x:c>
      <x:c r="G150" s="2"/>
      <x:c r="H150" s="2"/>
      <x:c r="I150" s="2"/>
      <x:c r="J150" s="2"/>
      <x:c r="K150" s="2"/>
      <x:c r="L150" s="2"/>
    </x:row>
    <x:row r="151" ht="23" customHeight="1">
      <x:c r="A151" s="2" t="n">
        <x:v>24</x:v>
      </x:c>
      <x:c r="B151" s="2" t="str">
        <x:v>61103099</x:v>
      </x:c>
      <x:c r="C151" s="7" t="n">
        <x:v>0.07058533305676154</x:v>
      </x:c>
      <x:c r="D151" s="7" t="n">
        <x:v>-0.03846404655211588</x:v>
      </x:c>
      <x:c r="E151" s="27" t="n">
        <x:v>-259.735460467497</x:v>
      </x:c>
      <x:c r="F151" s="24" t="n">
        <x:v>3</x:v>
      </x:c>
      <x:c r="G151" s="2"/>
      <x:c r="H151" s="2"/>
      <x:c r="I151" s="2"/>
      <x:c r="J151" s="2"/>
      <x:c r="K151" s="2"/>
      <x:c r="L151" s="2"/>
    </x:row>
    <x:row r="152" ht="23" customHeight="1">
      <x:c r="A152" s="2" t="n">
        <x:v>24</x:v>
      </x:c>
      <x:c r="B152" s="2" t="str">
        <x:v>62044300</x:v>
      </x:c>
      <x:c r="C152" s="7" t="n">
        <x:v>0.1</x:v>
      </x:c>
      <x:c r="D152" s="7" t="n">
        <x:v>0.007645205710227421</x:v>
      </x:c>
      <x:c r="E152" s="27" t="n">
        <x:v>-635.801651328959</x:v>
      </x:c>
      <x:c r="F152" s="24" t="n">
        <x:v>1.7346679013589075</x:v>
      </x:c>
      <x:c r="G152" s="2"/>
      <x:c r="H152" s="2"/>
      <x:c r="I152" s="2"/>
      <x:c r="J152" s="2"/>
      <x:c r="K152" s="2"/>
      <x:c r="L152" s="2"/>
    </x:row>
    <x:row r="153" ht="23" customHeight="1">
      <x:c r="A153" s="2" t="n">
        <x:v>24</x:v>
      </x:c>
      <x:c r="B153" s="2" t="str">
        <x:v>62052000</x:v>
      </x:c>
      <x:c r="C153" s="7" t="n">
        <x:v>0</x:v>
      </x:c>
      <x:c r="D153" s="7" t="n">
        <x:v>0</x:v>
      </x:c>
      <x:c r="E153" s="27" t="n">
        <x:v>0</x:v>
      </x:c>
      <x:c r="F153" s="24" t="n">
        <x:v>1</x:v>
      </x:c>
      <x:c r="G153" s="2"/>
      <x:c r="H153" s="2"/>
      <x:c r="I153" s="2"/>
      <x:c r="J153" s="2"/>
      <x:c r="K153" s="2"/>
      <x:c r="L153" s="2"/>
    </x:row>
    <x:row r="154" ht="23" customHeight="1">
      <x:c r="A154" s="2" t="n">
        <x:v>25</x:v>
      </x:c>
      <x:c r="B154" s="2" t="str">
        <x:v>61091000</x:v>
      </x:c>
      <x:c r="C154" s="7" t="n">
        <x:v>0.032221226763006934</x:v>
      </x:c>
      <x:c r="D154" s="7" t="n">
        <x:v>-0.003374975075825404</x:v>
      </x:c>
      <x:c r="E154" s="27" t="n">
        <x:v>47.040821783773936</x:v>
      </x:c>
      <x:c r="F154" s="24" t="n">
        <x:v>1.1757382646692178</x:v>
      </x:c>
      <x:c r="G154" s="2"/>
      <x:c r="H154" s="2"/>
      <x:c r="I154" s="2"/>
      <x:c r="J154" s="2"/>
      <x:c r="K154" s="2"/>
      <x:c r="L154" s="2"/>
    </x:row>
    <x:row r="155" ht="23" customHeight="1">
      <x:c r="A155" s="2" t="n">
        <x:v>25</x:v>
      </x:c>
      <x:c r="B155" s="2" t="str">
        <x:v>61103099</x:v>
      </x:c>
      <x:c r="C155" s="7" t="n">
        <x:v>0.1</x:v>
      </x:c>
      <x:c r="D155" s="7" t="n">
        <x:v>-0.044879993597411794</x:v>
      </x:c>
      <x:c r="E155" s="27" t="n">
        <x:v>-240.5921031335697</x:v>
      </x:c>
      <x:c r="F155" s="24" t="n">
        <x:v>1.5687822805303502</x:v>
      </x:c>
      <x:c r="G155" s="2"/>
      <x:c r="H155" s="2"/>
      <x:c r="I155" s="2"/>
      <x:c r="J155" s="2"/>
      <x:c r="K155" s="2"/>
      <x:c r="L155" s="2"/>
    </x:row>
    <x:row r="156" ht="23" customHeight="1">
      <x:c r="A156" s="2" t="n">
        <x:v>25</x:v>
      </x:c>
      <x:c r="B156" s="2" t="str">
        <x:v>62044300</x:v>
      </x:c>
      <x:c r="C156" s="7" t="n">
        <x:v>0.1</x:v>
      </x:c>
      <x:c r="D156" s="7" t="n">
        <x:v>-0.0070839504759763194</x:v>
      </x:c>
      <x:c r="E156" s="27" t="n">
        <x:v>-577.5496439602734</x:v>
      </x:c>
      <x:c r="F156" s="24" t="n">
        <x:v>1.4541011935744</x:v>
      </x:c>
      <x:c r="G156" s="2"/>
      <x:c r="H156" s="2"/>
      <x:c r="I156" s="2"/>
      <x:c r="J156" s="2"/>
      <x:c r="K156" s="2"/>
      <x:c r="L156" s="2"/>
    </x:row>
    <x:row r="157" ht="23" customHeight="1">
      <x:c r="A157" s="2" t="n">
        <x:v>25</x:v>
      </x:c>
      <x:c r="B157" s="2" t="str">
        <x:v>62052000</x:v>
      </x:c>
      <x:c r="C157" s="7" t="n">
        <x:v>0.06915990057015509</x:v>
      </x:c>
      <x:c r="D157" s="7" t="n">
        <x:v>0.0058722905259651625</x:v>
      </x:c>
      <x:c r="E157" s="27" t="n">
        <x:v>147.05768748480386</x:v>
      </x:c>
      <x:c r="F157" s="24" t="n">
        <x:v>1.266168398139183</x:v>
      </x:c>
      <x:c r="G157" s="2"/>
      <x:c r="H157" s="2"/>
      <x:c r="I157" s="2"/>
      <x:c r="J157" s="2"/>
      <x:c r="K157" s="2"/>
      <x:c r="L157" s="2"/>
    </x:row>
    <x:row r="158" ht="23" customHeight="1">
      <x:c r="A158" s="2" t="n">
        <x:v>26</x:v>
      </x:c>
      <x:c r="B158" s="2" t="str">
        <x:v>61091000</x:v>
      </x:c>
      <x:c r="C158" s="7" t="n">
        <x:v>0</x:v>
      </x:c>
      <x:c r="D158" s="7" t="n">
        <x:v>0</x:v>
      </x:c>
      <x:c r="E158" s="27" t="n">
        <x:v>0</x:v>
      </x:c>
      <x:c r="F158" s="24" t="n">
        <x:v>1</x:v>
      </x:c>
      <x:c r="G158" s="2"/>
      <x:c r="H158" s="2"/>
      <x:c r="I158" s="2"/>
      <x:c r="J158" s="2"/>
      <x:c r="K158" s="2"/>
      <x:c r="L158" s="2"/>
    </x:row>
    <x:row r="159" ht="23" customHeight="1">
      <x:c r="A159" s="2" t="n">
        <x:v>26</x:v>
      </x:c>
      <x:c r="B159" s="2" t="str">
        <x:v>61103099</x:v>
      </x:c>
      <x:c r="C159" s="7" t="n">
        <x:v>0.07058533305676154</x:v>
      </x:c>
      <x:c r="D159" s="7" t="n">
        <x:v>-0.008281202091309114</x:v>
      </x:c>
      <x:c r="E159" s="27" t="n">
        <x:v>-259.735460467497</x:v>
      </x:c>
      <x:c r="F159" s="24" t="n">
        <x:v>3</x:v>
      </x:c>
      <x:c r="G159" s="2"/>
      <x:c r="H159" s="2"/>
      <x:c r="I159" s="2"/>
      <x:c r="J159" s="2"/>
      <x:c r="K159" s="2"/>
      <x:c r="L159" s="2"/>
    </x:row>
    <x:row r="160" ht="23" customHeight="1">
      <x:c r="A160" s="2" t="n">
        <x:v>26</x:v>
      </x:c>
      <x:c r="B160" s="2" t="str">
        <x:v>62044300</x:v>
      </x:c>
      <x:c r="C160" s="7" t="n">
        <x:v>0.1</x:v>
      </x:c>
      <x:c r="D160" s="7" t="n">
        <x:v>-0.004908756055984731</x:v>
      </x:c>
      <x:c r="E160" s="27" t="n">
        <x:v>-635.801651328959</x:v>
      </x:c>
      <x:c r="F160" s="24" t="n">
        <x:v>1.7346679013589075</x:v>
      </x:c>
      <x:c r="G160" s="2"/>
      <x:c r="H160" s="2"/>
      <x:c r="I160" s="2"/>
      <x:c r="J160" s="2"/>
      <x:c r="K160" s="2"/>
      <x:c r="L160" s="2"/>
    </x:row>
    <x:row r="161" ht="23" customHeight="1">
      <x:c r="A161" s="2" t="n">
        <x:v>26</x:v>
      </x:c>
      <x:c r="B161" s="2" t="str">
        <x:v>62052000</x:v>
      </x:c>
      <x:c r="C161" s="7" t="n">
        <x:v>0</x:v>
      </x:c>
      <x:c r="D161" s="7" t="n">
        <x:v>0</x:v>
      </x:c>
      <x:c r="E161" s="27" t="n">
        <x:v>0</x:v>
      </x:c>
      <x:c r="F161" s="24" t="n">
        <x:v>1</x:v>
      </x:c>
      <x:c r="G161" s="2"/>
      <x:c r="H161" s="2"/>
      <x:c r="I161" s="2"/>
      <x:c r="J161" s="2"/>
      <x:c r="K161" s="2"/>
      <x:c r="L161" s="2"/>
    </x:row>
    <x:row r="162" ht="23" customHeight="1">
      <x:c r="A162" s="2"/>
      <x:c r="B162" s="2"/>
      <x:c r="C162" s="2"/>
      <x:c r="D162" s="2"/>
      <x:c r="E162" s="2"/>
      <x:c r="F162" s="2"/>
      <x:c r="G162" s="2"/>
      <x:c r="H162" s="2"/>
      <x:c r="I162" s="2"/>
      <x:c r="J162" s="2"/>
      <x:c r="K162" s="2"/>
      <x:c r="L162" s="2"/>
    </x:row>
    <x:row r="163" ht="23" customHeight="1">
      <x:c r="A163" s="2"/>
      <x:c r="B163" s="2"/>
      <x:c r="C163" s="2"/>
      <x:c r="D163" s="2"/>
      <x:c r="E163" s="2"/>
      <x:c r="F163" s="2"/>
      <x:c r="G163" s="2"/>
      <x:c r="H163" s="2"/>
      <x:c r="I163" s="2"/>
      <x:c r="J163" s="2"/>
      <x:c r="K163" s="2"/>
      <x:c r="L163" s="2"/>
    </x:row>
    <x:row r="164" ht="23" customHeight="1">
      <x:c r="A164" s="2"/>
      <x:c r="B164" s="2"/>
      <x:c r="C164" s="2"/>
      <x:c r="D164" s="2"/>
      <x:c r="E164" s="2"/>
      <x:c r="F164" s="2"/>
      <x:c r="G164" s="2"/>
      <x:c r="H164" s="2"/>
      <x:c r="I164" s="2"/>
      <x:c r="J164" s="2"/>
      <x:c r="K164" s="2"/>
      <x:c r="L164" s="2"/>
    </x:row>
    <x:row r="165" ht="23" customHeight="1">
      <x:c r="A165" s="2"/>
      <x:c r="B165" s="2"/>
      <x:c r="C165" s="2"/>
      <x:c r="D165" s="2"/>
      <x:c r="E165" s="2"/>
      <x:c r="F165" s="2"/>
      <x:c r="G165" s="2"/>
      <x:c r="H165" s="2"/>
      <x:c r="I165" s="2"/>
      <x:c r="J165" s="2"/>
      <x:c r="K165" s="2"/>
      <x:c r="L165" s="2"/>
    </x:row>
    <x:row r="166" ht="23" customHeight="1">
      <x:c r="A166" s="2"/>
      <x:c r="B166" s="2"/>
      <x:c r="C166" s="2"/>
      <x:c r="D166" s="2"/>
      <x:c r="E166" s="2"/>
      <x:c r="F166" s="2"/>
      <x:c r="G166" s="2"/>
      <x:c r="H166" s="2"/>
      <x:c r="I166" s="2"/>
      <x:c r="J166" s="2"/>
      <x:c r="K166" s="2"/>
      <x:c r="L166" s="2"/>
    </x:row>
    <x:row r="167" ht="23" customHeight="1">
      <x:c r="A167" s="2"/>
      <x:c r="B167" s="2"/>
      <x:c r="C167" s="2"/>
      <x:c r="D167" s="2"/>
      <x:c r="E167" s="2"/>
      <x:c r="F167" s="2"/>
      <x:c r="G167" s="2"/>
      <x:c r="H167" s="2"/>
      <x:c r="I167" s="2"/>
      <x:c r="J167" s="2"/>
      <x:c r="K167" s="2"/>
      <x:c r="L167" s="2"/>
    </x:row>
    <x:row r="168" ht="23" customHeight="1">
      <x:c r="A168" s="2"/>
      <x:c r="B168" s="2"/>
      <x:c r="C168" s="2"/>
      <x:c r="D168" s="2"/>
      <x:c r="E168" s="2"/>
      <x:c r="F168" s="2"/>
      <x:c r="G168" s="2"/>
      <x:c r="H168" s="2"/>
      <x:c r="I168" s="2"/>
      <x:c r="J168" s="2"/>
      <x:c r="K168" s="2"/>
      <x:c r="L168" s="2"/>
    </x:row>
    <x:row r="169" ht="23" customHeight="1">
      <x:c r="A169" s="2"/>
      <x:c r="B169" s="2"/>
      <x:c r="C169" s="2"/>
      <x:c r="D169" s="2"/>
      <x:c r="E169" s="2"/>
      <x:c r="F169" s="2"/>
      <x:c r="G169" s="2"/>
      <x:c r="H169" s="2"/>
      <x:c r="I169" s="2"/>
      <x:c r="J169" s="2"/>
      <x:c r="K169" s="2"/>
      <x:c r="L169" s="2"/>
    </x:row>
    <x:row r="170" ht="42" customHeight="1">
      <x:c r="A170" s="11" t="str">
        <x:v>ID</x:v>
      </x:c>
      <x:c r="B170" s="11" t="str">
        <x:v>Case</x:v>
      </x:c>
      <x:c r="C170" s="11" t="str">
        <x:v>Price period</x:v>
      </x:c>
      <x:c r="D170" s="11" t="str">
        <x:v>Data basis</x:v>
      </x:c>
      <x:c r="E170" s="11" t="str">
        <x:v>Tariff test</x:v>
      </x:c>
      <x:c r="F170" s="11" t="str">
        <x:v>Use growth cap</x:v>
      </x:c>
      <x:c r="G170" s="11" t="str">
        <x:v>Max multiple</x:v>
      </x:c>
      <x:c r="H170" s="11" t="str">
        <x:v>Requested shift</x:v>
      </x:c>
      <x:c r="I170" s="11" t="str">
        <x:v>Premium</x:v>
      </x:c>
      <x:c r="J170" s="11" t="str">
        <x:v>Mix ID</x:v>
      </x:c>
      <x:c r="K170" s="11" t="str">
        <x:v>Operating set</x:v>
      </x:c>
      <x:c r="L170" s="2"/>
    </x:row>
    <x:row r="171" ht="23" customHeight="1">
      <x:c r="A171" s="2" t="n">
        <x:v>1</x:v>
      </x:c>
      <x:c r="B171" s="2" t="str">
        <x:v>Balanced, 3x</x:v>
      </x:c>
      <x:c r="C171" s="2" t="str">
        <x:v>H1 2026</x:v>
      </x:c>
      <x:c r="D171" s="2" t="str">
        <x:v>Reported</x:v>
      </x:c>
      <x:c r="E171" s="2" t="str">
        <x:v>Eligible</x:v>
      </x:c>
      <x:c r="F171" s="2" t="n">
        <x:v>1</x:v>
      </x:c>
      <x:c r="G171" s="2" t="n">
        <x:v>3</x:v>
      </x:c>
      <x:c r="H171" s="2" t="n">
        <x:v>0.1</x:v>
      </x:c>
      <x:c r="I171" s="2" t="n">
        <x:v>0</x:v>
      </x:c>
      <x:c r="J171" s="2" t="n">
        <x:v>1</x:v>
      </x:c>
      <x:c r="K171" s="2" t="n">
        <x:v>0</x:v>
      </x:c>
      <x:c r="L171" s="2"/>
    </x:row>
    <x:row r="172" ht="23" customHeight="1">
      <x:c r="A172" s="2" t="n">
        <x:v>2</x:v>
      </x:c>
      <x:c r="B172" s="2" t="str">
        <x:v>Cautious, 3x</x:v>
      </x:c>
      <x:c r="C172" s="2" t="str">
        <x:v>H1 2026</x:v>
      </x:c>
      <x:c r="D172" s="2" t="str">
        <x:v>Reported</x:v>
      </x:c>
      <x:c r="E172" s="2" t="str">
        <x:v>Eligible</x:v>
      </x:c>
      <x:c r="F172" s="2" t="n">
        <x:v>1</x:v>
      </x:c>
      <x:c r="G172" s="2" t="n">
        <x:v>3</x:v>
      </x:c>
      <x:c r="H172" s="2" t="n">
        <x:v>0.05</x:v>
      </x:c>
      <x:c r="I172" s="2" t="n">
        <x:v>0</x:v>
      </x:c>
      <x:c r="J172" s="2" t="n">
        <x:v>1</x:v>
      </x:c>
      <x:c r="K172" s="2" t="n">
        <x:v>0</x:v>
      </x:c>
      <x:c r="L172" s="2"/>
    </x:row>
    <x:row r="173" ht="23" customHeight="1">
      <x:c r="A173" s="2" t="n">
        <x:v>3</x:v>
      </x:c>
      <x:c r="B173" s="2" t="str">
        <x:v>Accelerated, 3x</x:v>
      </x:c>
      <x:c r="C173" s="2" t="str">
        <x:v>H1 2026</x:v>
      </x:c>
      <x:c r="D173" s="2" t="str">
        <x:v>Reported</x:v>
      </x:c>
      <x:c r="E173" s="2" t="str">
        <x:v>Eligible</x:v>
      </x:c>
      <x:c r="F173" s="2" t="n">
        <x:v>1</x:v>
      </x:c>
      <x:c r="G173" s="2" t="n">
        <x:v>3</x:v>
      </x:c>
      <x:c r="H173" s="2" t="n">
        <x:v>0.15</x:v>
      </x:c>
      <x:c r="I173" s="2" t="n">
        <x:v>0</x:v>
      </x:c>
      <x:c r="J173" s="2" t="n">
        <x:v>1</x:v>
      </x:c>
      <x:c r="K173" s="2" t="n">
        <x:v>0</x:v>
      </x:c>
      <x:c r="L173" s="2"/>
    </x:row>
    <x:row r="174" ht="23" customHeight="1">
      <x:c r="A174" s="2" t="n">
        <x:v>4</x:v>
      </x:c>
      <x:c r="B174" s="2" t="str">
        <x:v>Share limits only</x:v>
      </x:c>
      <x:c r="C174" s="2" t="str">
        <x:v>H1 2026</x:v>
      </x:c>
      <x:c r="D174" s="2" t="str">
        <x:v>Reported</x:v>
      </x:c>
      <x:c r="E174" s="2" t="str">
        <x:v>Eligible</x:v>
      </x:c>
      <x:c r="F174" s="2" t="n">
        <x:v>0</x:v>
      </x:c>
      <x:c r="G174" s="2" t="n">
        <x:v>3</x:v>
      </x:c>
      <x:c r="H174" s="2" t="n">
        <x:v>0.1</x:v>
      </x:c>
      <x:c r="I174" s="2" t="n">
        <x:v>0</x:v>
      </x:c>
      <x:c r="J174" s="2" t="n">
        <x:v>1</x:v>
      </x:c>
      <x:c r="K174" s="2" t="n">
        <x:v>0</x:v>
      </x:c>
      <x:c r="L174" s="2"/>
    </x:row>
    <x:row r="175" ht="23" customHeight="1">
      <x:c r="A175" s="2" t="n">
        <x:v>5</x:v>
      </x:c>
      <x:c r="B175" s="2" t="str">
        <x:v>Growth cap 2x</x:v>
      </x:c>
      <x:c r="C175" s="2" t="str">
        <x:v>H1 2026</x:v>
      </x:c>
      <x:c r="D175" s="2" t="str">
        <x:v>Reported</x:v>
      </x:c>
      <x:c r="E175" s="2" t="str">
        <x:v>Eligible</x:v>
      </x:c>
      <x:c r="F175" s="2" t="n">
        <x:v>1</x:v>
      </x:c>
      <x:c r="G175" s="2" t="n">
        <x:v>2</x:v>
      </x:c>
      <x:c r="H175" s="2" t="n">
        <x:v>0.1</x:v>
      </x:c>
      <x:c r="I175" s="2" t="n">
        <x:v>0</x:v>
      </x:c>
      <x:c r="J175" s="2" t="n">
        <x:v>1</x:v>
      </x:c>
      <x:c r="K175" s="2" t="n">
        <x:v>0</x:v>
      </x:c>
      <x:c r="L175" s="2"/>
    </x:row>
    <x:row r="176" ht="23" customHeight="1">
      <x:c r="A176" s="2" t="n">
        <x:v>6</x:v>
      </x:c>
      <x:c r="B176" s="2" t="str">
        <x:v>Growth cap 5x</x:v>
      </x:c>
      <x:c r="C176" s="2" t="str">
        <x:v>H1 2026</x:v>
      </x:c>
      <x:c r="D176" s="2" t="str">
        <x:v>Reported</x:v>
      </x:c>
      <x:c r="E176" s="2" t="str">
        <x:v>Eligible</x:v>
      </x:c>
      <x:c r="F176" s="2" t="n">
        <x:v>1</x:v>
      </x:c>
      <x:c r="G176" s="2" t="n">
        <x:v>5</x:v>
      </x:c>
      <x:c r="H176" s="2" t="n">
        <x:v>0.1</x:v>
      </x:c>
      <x:c r="I176" s="2" t="n">
        <x:v>0</x:v>
      </x:c>
      <x:c r="J176" s="2" t="n">
        <x:v>1</x:v>
      </x:c>
      <x:c r="K176" s="2" t="n">
        <x:v>0</x:v>
      </x:c>
      <x:c r="L176" s="2"/>
    </x:row>
    <x:row r="177" ht="23" customHeight="1">
      <x:c r="A177" s="2" t="n">
        <x:v>7</x:v>
      </x:c>
      <x:c r="B177" s="2" t="str">
        <x:v>Equal receiver mix</x:v>
      </x:c>
      <x:c r="C177" s="2" t="str">
        <x:v>H1 2026</x:v>
      </x:c>
      <x:c r="D177" s="2" t="str">
        <x:v>Reported</x:v>
      </x:c>
      <x:c r="E177" s="2" t="str">
        <x:v>Eligible</x:v>
      </x:c>
      <x:c r="F177" s="2" t="n">
        <x:v>1</x:v>
      </x:c>
      <x:c r="G177" s="2" t="n">
        <x:v>3</x:v>
      </x:c>
      <x:c r="H177" s="2" t="n">
        <x:v>0.1</x:v>
      </x:c>
      <x:c r="I177" s="2" t="n">
        <x:v>0</x:v>
      </x:c>
      <x:c r="J177" s="2" t="n">
        <x:v>2</x:v>
      </x:c>
      <x:c r="K177" s="2" t="n">
        <x:v>0</x:v>
      </x:c>
      <x:c r="L177" s="2"/>
    </x:row>
    <x:row r="178" ht="23" customHeight="1">
      <x:c r="A178" s="2" t="n">
        <x:v>8</x:v>
      </x:c>
      <x:c r="B178" s="2" t="str">
        <x:v>Mix by baseline presence</x:v>
      </x:c>
      <x:c r="C178" s="2" t="str">
        <x:v>H1 2026</x:v>
      </x:c>
      <x:c r="D178" s="2" t="str">
        <x:v>Reported</x:v>
      </x:c>
      <x:c r="E178" s="2" t="str">
        <x:v>Eligible</x:v>
      </x:c>
      <x:c r="F178" s="2" t="n">
        <x:v>1</x:v>
      </x:c>
      <x:c r="G178" s="2" t="n">
        <x:v>3</x:v>
      </x:c>
      <x:c r="H178" s="2" t="n">
        <x:v>0.1</x:v>
      </x:c>
      <x:c r="I178" s="2" t="n">
        <x:v>0</x:v>
      </x:c>
      <x:c r="J178" s="2" t="n">
        <x:v>3</x:v>
      </x:c>
      <x:c r="K178" s="2" t="n">
        <x:v>0</x:v>
      </x:c>
      <x:c r="L178" s="2"/>
    </x:row>
    <x:row r="179" ht="23" customHeight="1">
      <x:c r="A179" s="2" t="n">
        <x:v>9</x:v>
      </x:c>
      <x:c r="B179" s="2" t="str">
        <x:v>Turkey 50% mix</x:v>
      </x:c>
      <x:c r="C179" s="2" t="str">
        <x:v>H1 2026</x:v>
      </x:c>
      <x:c r="D179" s="2" t="str">
        <x:v>Reported</x:v>
      </x:c>
      <x:c r="E179" s="2" t="str">
        <x:v>Eligible</x:v>
      </x:c>
      <x:c r="F179" s="2" t="n">
        <x:v>1</x:v>
      </x:c>
      <x:c r="G179" s="2" t="n">
        <x:v>3</x:v>
      </x:c>
      <x:c r="H179" s="2" t="n">
        <x:v>0.1</x:v>
      </x:c>
      <x:c r="I179" s="2" t="n">
        <x:v>0</x:v>
      </x:c>
      <x:c r="J179" s="2" t="n">
        <x:v>4</x:v>
      </x:c>
      <x:c r="K179" s="2" t="n">
        <x:v>0</x:v>
      </x:c>
      <x:c r="L179" s="2"/>
    </x:row>
    <x:row r="180" ht="23" customHeight="1">
      <x:c r="A180" s="2" t="n">
        <x:v>10</x:v>
      </x:c>
      <x:c r="B180" s="2" t="str">
        <x:v>Synthetic pair only</x:v>
      </x:c>
      <x:c r="C180" s="2" t="str">
        <x:v>H1 2026</x:v>
      </x:c>
      <x:c r="D180" s="2" t="str">
        <x:v>Reported</x:v>
      </x:c>
      <x:c r="E180" s="2" t="str">
        <x:v>Eligible</x:v>
      </x:c>
      <x:c r="F180" s="2" t="n">
        <x:v>1</x:v>
      </x:c>
      <x:c r="G180" s="2" t="n">
        <x:v>3</x:v>
      </x:c>
      <x:c r="H180" s="2" t="n">
        <x:v>0.1</x:v>
      </x:c>
      <x:c r="I180" s="2" t="n">
        <x:v>0</x:v>
      </x:c>
      <x:c r="J180" s="2" t="n">
        <x:v>5</x:v>
      </x:c>
      <x:c r="K180" s="2" t="n">
        <x:v>0</x:v>
      </x:c>
      <x:c r="L180" s="2"/>
    </x:row>
    <x:row r="181" ht="23" customHeight="1">
      <x:c r="A181" s="2" t="n">
        <x:v>11</x:v>
      </x:c>
      <x:c r="B181" s="2" t="str">
        <x:v>Synthetic, Turkey-led knitwear</x:v>
      </x:c>
      <x:c r="C181" s="2" t="str">
        <x:v>H1 2026</x:v>
      </x:c>
      <x:c r="D181" s="2" t="str">
        <x:v>Reported</x:v>
      </x:c>
      <x:c r="E181" s="2" t="str">
        <x:v>Eligible</x:v>
      </x:c>
      <x:c r="F181" s="2" t="n">
        <x:v>1</x:v>
      </x:c>
      <x:c r="G181" s="2" t="n">
        <x:v>3</x:v>
      </x:c>
      <x:c r="H181" s="2" t="n">
        <x:v>0.1</x:v>
      </x:c>
      <x:c r="I181" s="2" t="n">
        <x:v>0</x:v>
      </x:c>
      <x:c r="J181" s="2" t="n">
        <x:v>6</x:v>
      </x:c>
      <x:c r="K181" s="2" t="n">
        <x:v>0</x:v>
      </x:c>
      <x:c r="L181" s="2"/>
    </x:row>
    <x:row r="182" ht="23" customHeight="1">
      <x:c r="A182" s="2" t="n">
        <x:v>12</x:v>
      </x:c>
      <x:c r="B182" s="2" t="str">
        <x:v>MFN on whole benchmark</x:v>
      </x:c>
      <x:c r="C182" s="2" t="str">
        <x:v>H1 2026</x:v>
      </x:c>
      <x:c r="D182" s="2" t="str">
        <x:v>Reported</x:v>
      </x:c>
      <x:c r="E182" s="2" t="str">
        <x:v>MFN all</x:v>
      </x:c>
      <x:c r="F182" s="2" t="n">
        <x:v>1</x:v>
      </x:c>
      <x:c r="G182" s="2" t="n">
        <x:v>3</x:v>
      </x:c>
      <x:c r="H182" s="2" t="n">
        <x:v>0.1</x:v>
      </x:c>
      <x:c r="I182" s="2" t="n">
        <x:v>0</x:v>
      </x:c>
      <x:c r="J182" s="2" t="n">
        <x:v>1</x:v>
      </x:c>
      <x:c r="K182" s="2" t="n">
        <x:v>0</x:v>
      </x:c>
      <x:c r="L182" s="2"/>
    </x:row>
    <x:row r="183" ht="23" customHeight="1">
      <x:c r="A183" s="2" t="n">
        <x:v>13</x:v>
      </x:c>
      <x:c r="B183" s="2" t="str">
        <x:v>MFN on transferred volume</x:v>
      </x:c>
      <x:c r="C183" s="2" t="str">
        <x:v>H1 2026</x:v>
      </x:c>
      <x:c r="D183" s="2" t="str">
        <x:v>Reported</x:v>
      </x:c>
      <x:c r="E183" s="2" t="str">
        <x:v>MFN increment</x:v>
      </x:c>
      <x:c r="F183" s="2" t="n">
        <x:v>1</x:v>
      </x:c>
      <x:c r="G183" s="2" t="n">
        <x:v>3</x:v>
      </x:c>
      <x:c r="H183" s="2" t="n">
        <x:v>0.1</x:v>
      </x:c>
      <x:c r="I183" s="2" t="n">
        <x:v>0</x:v>
      </x:c>
      <x:c r="J183" s="2" t="n">
        <x:v>1</x:v>
      </x:c>
      <x:c r="K183" s="2" t="n">
        <x:v>0</x:v>
      </x:c>
      <x:c r="L183" s="2"/>
    </x:row>
    <x:row r="184" ht="23" customHeight="1">
      <x:c r="A184" s="2" t="n">
        <x:v>14</x:v>
      </x:c>
      <x:c r="B184" s="2" t="str">
        <x:v>Receiver premium 2%</x:v>
      </x:c>
      <x:c r="C184" s="2" t="str">
        <x:v>H1 2026</x:v>
      </x:c>
      <x:c r="D184" s="2" t="str">
        <x:v>Reported</x:v>
      </x:c>
      <x:c r="E184" s="2" t="str">
        <x:v>Eligible</x:v>
      </x:c>
      <x:c r="F184" s="2" t="n">
        <x:v>1</x:v>
      </x:c>
      <x:c r="G184" s="2" t="n">
        <x:v>3</x:v>
      </x:c>
      <x:c r="H184" s="2" t="n">
        <x:v>0.1</x:v>
      </x:c>
      <x:c r="I184" s="2" t="n">
        <x:v>0.02</x:v>
      </x:c>
      <x:c r="J184" s="2" t="n">
        <x:v>1</x:v>
      </x:c>
      <x:c r="K184" s="2" t="n">
        <x:v>0</x:v>
      </x:c>
      <x:c r="L184" s="2"/>
    </x:row>
    <x:row r="185" ht="23" customHeight="1">
      <x:c r="A185" s="2" t="n">
        <x:v>15</x:v>
      </x:c>
      <x:c r="B185" s="2" t="str">
        <x:v>Receiver premium 5%</x:v>
      </x:c>
      <x:c r="C185" s="2" t="str">
        <x:v>H1 2026</x:v>
      </x:c>
      <x:c r="D185" s="2" t="str">
        <x:v>Reported</x:v>
      </x:c>
      <x:c r="E185" s="2" t="str">
        <x:v>Eligible</x:v>
      </x:c>
      <x:c r="F185" s="2" t="n">
        <x:v>1</x:v>
      </x:c>
      <x:c r="G185" s="2" t="n">
        <x:v>3</x:v>
      </x:c>
      <x:c r="H185" s="2" t="n">
        <x:v>0.1</x:v>
      </x:c>
      <x:c r="I185" s="2" t="n">
        <x:v>0.05</x:v>
      </x:c>
      <x:c r="J185" s="2" t="n">
        <x:v>1</x:v>
      </x:c>
      <x:c r="K185" s="2" t="n">
        <x:v>0</x:v>
      </x:c>
      <x:c r="L185" s="2"/>
    </x:row>
    <x:row r="186" ht="23" customHeight="1">
      <x:c r="A186" s="2" t="n">
        <x:v>16</x:v>
      </x:c>
      <x:c r="B186" s="2" t="str">
        <x:v>H1 2026 common months</x:v>
      </x:c>
      <x:c r="C186" s="2" t="str">
        <x:v>H1 2026</x:v>
      </x:c>
      <x:c r="D186" s="2" t="str">
        <x:v>Common</x:v>
      </x:c>
      <x:c r="E186" s="2" t="str">
        <x:v>Eligible</x:v>
      </x:c>
      <x:c r="F186" s="2" t="n">
        <x:v>1</x:v>
      </x:c>
      <x:c r="G186" s="2" t="n">
        <x:v>3</x:v>
      </x:c>
      <x:c r="H186" s="2" t="n">
        <x:v>0.1</x:v>
      </x:c>
      <x:c r="I186" s="2" t="n">
        <x:v>0</x:v>
      </x:c>
      <x:c r="J186" s="2" t="n">
        <x:v>1</x:v>
      </x:c>
      <x:c r="K186" s="2" t="n">
        <x:v>0</x:v>
      </x:c>
      <x:c r="L186" s="2"/>
    </x:row>
    <x:row r="187" ht="23" customHeight="1">
      <x:c r="A187" s="2" t="n">
        <x:v>17</x:v>
      </x:c>
      <x:c r="B187" s="2" t="str">
        <x:v>FY2025 reported prices</x:v>
      </x:c>
      <x:c r="C187" s="2" t="str">
        <x:v>FY2025</x:v>
      </x:c>
      <x:c r="D187" s="2" t="str">
        <x:v>Reported</x:v>
      </x:c>
      <x:c r="E187" s="2" t="str">
        <x:v>Eligible</x:v>
      </x:c>
      <x:c r="F187" s="2" t="n">
        <x:v>1</x:v>
      </x:c>
      <x:c r="G187" s="2" t="n">
        <x:v>3</x:v>
      </x:c>
      <x:c r="H187" s="2" t="n">
        <x:v>0.1</x:v>
      </x:c>
      <x:c r="I187" s="2" t="n">
        <x:v>0</x:v>
      </x:c>
      <x:c r="J187" s="2" t="n">
        <x:v>1</x:v>
      </x:c>
      <x:c r="K187" s="2" t="n">
        <x:v>0</x:v>
      </x:c>
      <x:c r="L187" s="2"/>
    </x:row>
    <x:row r="188" ht="23" customHeight="1">
      <x:c r="A188" s="2" t="n">
        <x:v>18</x:v>
      </x:c>
      <x:c r="B188" s="2" t="str">
        <x:v>FY2025 common months</x:v>
      </x:c>
      <x:c r="C188" s="2" t="str">
        <x:v>FY2025</x:v>
      </x:c>
      <x:c r="D188" s="2" t="str">
        <x:v>Common</x:v>
      </x:c>
      <x:c r="E188" s="2" t="str">
        <x:v>Eligible</x:v>
      </x:c>
      <x:c r="F188" s="2" t="n">
        <x:v>1</x:v>
      </x:c>
      <x:c r="G188" s="2" t="n">
        <x:v>3</x:v>
      </x:c>
      <x:c r="H188" s="2" t="n">
        <x:v>0.1</x:v>
      </x:c>
      <x:c r="I188" s="2" t="n">
        <x:v>0</x:v>
      </x:c>
      <x:c r="J188" s="2" t="n">
        <x:v>1</x:v>
      </x:c>
      <x:c r="K188" s="2" t="n">
        <x:v>0</x:v>
      </x:c>
      <x:c r="L188" s="2"/>
    </x:row>
    <x:row r="189" ht="23" customHeight="1">
      <x:c r="A189" s="2" t="n">
        <x:v>19</x:v>
      </x:c>
      <x:c r="B189" s="2" t="str">
        <x:v>H1 2025 reported prices</x:v>
      </x:c>
      <x:c r="C189" s="2" t="str">
        <x:v>H1 2025</x:v>
      </x:c>
      <x:c r="D189" s="2" t="str">
        <x:v>Reported</x:v>
      </x:c>
      <x:c r="E189" s="2" t="str">
        <x:v>Eligible</x:v>
      </x:c>
      <x:c r="F189" s="2" t="n">
        <x:v>1</x:v>
      </x:c>
      <x:c r="G189" s="2" t="n">
        <x:v>3</x:v>
      </x:c>
      <x:c r="H189" s="2" t="n">
        <x:v>0.1</x:v>
      </x:c>
      <x:c r="I189" s="2" t="n">
        <x:v>0</x:v>
      </x:c>
      <x:c r="J189" s="2" t="n">
        <x:v>1</x:v>
      </x:c>
      <x:c r="K189" s="2" t="n">
        <x:v>0</x:v>
      </x:c>
      <x:c r="L189" s="2"/>
    </x:row>
    <x:row r="190" ht="23" customHeight="1">
      <x:c r="A190" s="2" t="n">
        <x:v>20</x:v>
      </x:c>
      <x:c r="B190" s="2" t="str">
        <x:v>H1 2025 common months</x:v>
      </x:c>
      <x:c r="C190" s="2" t="str">
        <x:v>H1 2025</x:v>
      </x:c>
      <x:c r="D190" s="2" t="str">
        <x:v>Common</x:v>
      </x:c>
      <x:c r="E190" s="2" t="str">
        <x:v>Eligible</x:v>
      </x:c>
      <x:c r="F190" s="2" t="n">
        <x:v>1</x:v>
      </x:c>
      <x:c r="G190" s="2" t="n">
        <x:v>3</x:v>
      </x:c>
      <x:c r="H190" s="2" t="n">
        <x:v>0.1</x:v>
      </x:c>
      <x:c r="I190" s="2" t="n">
        <x:v>0</x:v>
      </x:c>
      <x:c r="J190" s="2" t="n">
        <x:v>1</x:v>
      </x:c>
      <x:c r="K190" s="2" t="n">
        <x:v>0</x:v>
      </x:c>
      <x:c r="L190" s="2"/>
    </x:row>
    <x:row r="191" ht="23" customHeight="1">
      <x:c r="A191" s="2" t="n">
        <x:v>21</x:v>
      </x:c>
      <x:c r="B191" s="2" t="str">
        <x:v>Operating stress low</x:v>
      </x:c>
      <x:c r="C191" s="2" t="str">
        <x:v>H1 2026</x:v>
      </x:c>
      <x:c r="D191" s="2" t="str">
        <x:v>Reported</x:v>
      </x:c>
      <x:c r="E191" s="2" t="str">
        <x:v>Eligible</x:v>
      </x:c>
      <x:c r="F191" s="2" t="n">
        <x:v>1</x:v>
      </x:c>
      <x:c r="G191" s="2" t="n">
        <x:v>3</x:v>
      </x:c>
      <x:c r="H191" s="2" t="n">
        <x:v>0.1</x:v>
      </x:c>
      <x:c r="I191" s="2" t="n">
        <x:v>0</x:v>
      </x:c>
      <x:c r="J191" s="2" t="n">
        <x:v>1</x:v>
      </x:c>
      <x:c r="K191" s="2" t="n">
        <x:v>1</x:v>
      </x:c>
      <x:c r="L191" s="2"/>
    </x:row>
    <x:row r="192" ht="23" customHeight="1">
      <x:c r="A192" s="2" t="n">
        <x:v>22</x:v>
      </x:c>
      <x:c r="B192" s="2" t="str">
        <x:v>Operating stress central</x:v>
      </x:c>
      <x:c r="C192" s="2" t="str">
        <x:v>H1 2026</x:v>
      </x:c>
      <x:c r="D192" s="2" t="str">
        <x:v>Reported</x:v>
      </x:c>
      <x:c r="E192" s="2" t="str">
        <x:v>Eligible</x:v>
      </x:c>
      <x:c r="F192" s="2" t="n">
        <x:v>1</x:v>
      </x:c>
      <x:c r="G192" s="2" t="n">
        <x:v>3</x:v>
      </x:c>
      <x:c r="H192" s="2" t="n">
        <x:v>0.1</x:v>
      </x:c>
      <x:c r="I192" s="2" t="n">
        <x:v>0</x:v>
      </x:c>
      <x:c r="J192" s="2" t="n">
        <x:v>1</x:v>
      </x:c>
      <x:c r="K192" s="2" t="n">
        <x:v>2</x:v>
      </x:c>
      <x:c r="L192" s="2"/>
    </x:row>
    <x:row r="193" ht="23" customHeight="1">
      <x:c r="A193" s="2" t="n">
        <x:v>23</x:v>
      </x:c>
      <x:c r="B193" s="2" t="str">
        <x:v>Operating stress high</x:v>
      </x:c>
      <x:c r="C193" s="2" t="str">
        <x:v>H1 2026</x:v>
      </x:c>
      <x:c r="D193" s="2" t="str">
        <x:v>Reported</x:v>
      </x:c>
      <x:c r="E193" s="2" t="str">
        <x:v>Eligible</x:v>
      </x:c>
      <x:c r="F193" s="2" t="n">
        <x:v>1</x:v>
      </x:c>
      <x:c r="G193" s="2" t="n">
        <x:v>3</x:v>
      </x:c>
      <x:c r="H193" s="2" t="n">
        <x:v>0.1</x:v>
      </x:c>
      <x:c r="I193" s="2" t="n">
        <x:v>0</x:v>
      </x:c>
      <x:c r="J193" s="2" t="n">
        <x:v>1</x:v>
      </x:c>
      <x:c r="K193" s="2" t="n">
        <x:v>3</x:v>
      </x:c>
      <x:c r="L193" s="2"/>
    </x:row>
    <x:row r="194" ht="23" customHeight="1">
      <x:c r="A194" s="2" t="n">
        <x:v>24</x:v>
      </x:c>
      <x:c r="B194" s="2" t="str">
        <x:v>Synthetic mix, increment MFN</x:v>
      </x:c>
      <x:c r="C194" s="2" t="str">
        <x:v>H1 2026</x:v>
      </x:c>
      <x:c r="D194" s="2" t="str">
        <x:v>Reported</x:v>
      </x:c>
      <x:c r="E194" s="2" t="str">
        <x:v>MFN increment</x:v>
      </x:c>
      <x:c r="F194" s="2" t="n">
        <x:v>1</x:v>
      </x:c>
      <x:c r="G194" s="2" t="n">
        <x:v>3</x:v>
      </x:c>
      <x:c r="H194" s="2" t="n">
        <x:v>0.1</x:v>
      </x:c>
      <x:c r="I194" s="2" t="n">
        <x:v>0</x:v>
      </x:c>
      <x:c r="J194" s="2" t="n">
        <x:v>6</x:v>
      </x:c>
      <x:c r="K194" s="2" t="n">
        <x:v>0</x:v>
      </x:c>
      <x:c r="L194" s="2"/>
    </x:row>
    <x:row r="195" ht="23" customHeight="1">
      <x:c r="A195" s="2" t="n">
        <x:v>25</x:v>
      </x:c>
      <x:c r="B195" s="2" t="str">
        <x:v>Presence mix, common months</x:v>
      </x:c>
      <x:c r="C195" s="2" t="str">
        <x:v>H1 2026</x:v>
      </x:c>
      <x:c r="D195" s="2" t="str">
        <x:v>Common</x:v>
      </x:c>
      <x:c r="E195" s="2" t="str">
        <x:v>Eligible</x:v>
      </x:c>
      <x:c r="F195" s="2" t="n">
        <x:v>1</x:v>
      </x:c>
      <x:c r="G195" s="2" t="n">
        <x:v>3</x:v>
      </x:c>
      <x:c r="H195" s="2" t="n">
        <x:v>0.1</x:v>
      </x:c>
      <x:c r="I195" s="2" t="n">
        <x:v>0</x:v>
      </x:c>
      <x:c r="J195" s="2" t="n">
        <x:v>3</x:v>
      </x:c>
      <x:c r="K195" s="2" t="n">
        <x:v>0</x:v>
      </x:c>
      <x:c r="L195" s="2"/>
    </x:row>
    <x:row r="196" ht="23" customHeight="1">
      <x:c r="A196" s="2" t="n">
        <x:v>26</x:v>
      </x:c>
      <x:c r="B196" s="2" t="str">
        <x:v>Synthetic mix, common months</x:v>
      </x:c>
      <x:c r="C196" s="2" t="str">
        <x:v>H1 2026</x:v>
      </x:c>
      <x:c r="D196" s="2" t="str">
        <x:v>Common</x:v>
      </x:c>
      <x:c r="E196" s="2" t="str">
        <x:v>Eligible</x:v>
      </x:c>
      <x:c r="F196" s="2" t="n">
        <x:v>1</x:v>
      </x:c>
      <x:c r="G196" s="2" t="n">
        <x:v>3</x:v>
      </x:c>
      <x:c r="H196" s="2" t="n">
        <x:v>0.1</x:v>
      </x:c>
      <x:c r="I196" s="2" t="n">
        <x:v>0</x:v>
      </x:c>
      <x:c r="J196" s="2" t="n">
        <x:v>6</x:v>
      </x:c>
      <x:c r="K196" s="2" t="n">
        <x:v>0</x:v>
      </x:c>
      <x:c r="L196" s="2"/>
    </x:row>
    <x:row r="197" ht="23" customHeight="1">
      <x:c r="A197" s="2"/>
      <x:c r="B197" s="2"/>
      <x:c r="C197" s="2"/>
      <x:c r="D197" s="2"/>
      <x:c r="E197" s="2"/>
      <x:c r="F197" s="2"/>
      <x:c r="G197" s="2"/>
      <x:c r="H197" s="2"/>
      <x:c r="I197" s="2"/>
      <x:c r="J197" s="2"/>
      <x:c r="K197" s="2"/>
      <x:c r="L197" s="2"/>
    </x:row>
    <x:row r="198" ht="23" customHeight="1">
      <x:c r="A198" s="2"/>
      <x:c r="B198" s="2"/>
      <x:c r="C198" s="2"/>
      <x:c r="D198" s="2"/>
      <x:c r="E198" s="2"/>
      <x:c r="F198" s="2"/>
      <x:c r="G198" s="2"/>
      <x:c r="H198" s="2"/>
      <x:c r="I198" s="2"/>
      <x:c r="J198" s="2"/>
      <x:c r="K198" s="2"/>
      <x:c r="L198" s="2"/>
    </x:row>
    <x:row r="199" ht="23" customHeight="1">
      <x:c r="A199" s="2"/>
      <x:c r="B199" s="2"/>
      <x:c r="C199" s="2"/>
      <x:c r="D199" s="2"/>
      <x:c r="E199" s="2"/>
      <x:c r="F199" s="2"/>
      <x:c r="G199" s="2"/>
      <x:c r="H199" s="2"/>
      <x:c r="I199" s="2"/>
      <x:c r="J199" s="2"/>
      <x:c r="K199" s="2"/>
      <x:c r="L199" s="2"/>
    </x:row>
    <x:row r="205" ht="42" customHeight="1">
      <x:c r="A205" s="12" t="str">
        <x:v>Saved shared-input snapshot. This audit record preserves the inputs used for the 26 saved cases. Column L counts changed cells in each row. Do not refresh the snapshot until every affected result has been recalculated.</x:v>
      </x:c>
      <x:c r="B205" s="12"/>
      <x:c r="C205" s="12"/>
      <x:c r="D205" s="12"/>
      <x:c r="E205" s="12"/>
      <x:c r="F205" s="12"/>
      <x:c r="G205" s="12"/>
      <x:c r="H205" s="12"/>
      <x:c r="I205" s="12"/>
      <x:c r="J205" s="12"/>
      <x:c r="K205" s="12"/>
      <x:c r="L205" s="12"/>
    </x:row>
    <x:row r="206" ht="23" customHeight="1">
      <x:c r="A206" s="2"/>
      <x:c r="B206" s="2"/>
      <x:c r="C206" s="2"/>
      <x:c r="D206" s="2"/>
      <x:c r="E206" s="2"/>
      <x:c r="F206" s="2"/>
      <x:c r="G206" s="2"/>
      <x:c r="H206" s="2"/>
      <x:c r="I206" s="2"/>
      <x:c r="J206" s="2"/>
      <x:c r="K206" s="2"/>
      <x:c r="L206" s="2"/>
    </x:row>
    <x:row r="207" ht="23" customHeight="1">
      <x:c r="A207" s="2"/>
      <x:c r="B207" s="2" t="str">
        <x:v>Changed shared inputs</x:v>
      </x:c>
      <x:c r="C207" s="2" t="n">
        <x:f>SUM(L220:L1251)</x:f>
        <x:v>0</x:v>
      </x:c>
      <x:c r="D207" s="2"/>
      <x:c r="E207" s="2"/>
      <x:c r="F207" s="2"/>
      <x:c r="G207" s="2"/>
      <x:c r="H207" s="2"/>
      <x:c r="I207" s="2"/>
      <x:c r="J207" s="2"/>
      <x:c r="K207" s="2"/>
      <x:c r="L207" s="2"/>
    </x:row>
    <x:row r="208" ht="23" customHeight="1">
      <x:c r="A208" s="2"/>
      <x:c r="B208" s="2"/>
      <x:c r="C208" s="2"/>
      <x:c r="D208" s="2"/>
      <x:c r="E208" s="2"/>
      <x:c r="F208" s="2"/>
      <x:c r="G208" s="2"/>
      <x:c r="H208" s="2"/>
      <x:c r="I208" s="2"/>
      <x:c r="J208" s="2"/>
      <x:c r="K208" s="2"/>
      <x:c r="L208" s="2"/>
    </x:row>
    <x:row r="209" ht="23" customHeight="1">
      <x:c r="A209" s="2"/>
      <x:c r="B209" s="2"/>
      <x:c r="C209" s="2"/>
      <x:c r="D209" s="2"/>
      <x:c r="E209" s="2"/>
      <x:c r="F209" s="2"/>
      <x:c r="G209" s="2"/>
      <x:c r="H209" s="2"/>
      <x:c r="I209" s="2"/>
      <x:c r="J209" s="2"/>
      <x:c r="K209" s="2"/>
      <x:c r="L209" s="2"/>
    </x:row>
    <x:row r="210" ht="23" customHeight="1">
      <x:c r="A210" s="2"/>
      <x:c r="B210" s="2"/>
      <x:c r="C210" s="2"/>
      <x:c r="D210" s="2"/>
      <x:c r="E210" s="2"/>
      <x:c r="F210" s="2"/>
      <x:c r="G210" s="2"/>
      <x:c r="H210" s="2"/>
      <x:c r="I210" s="2"/>
      <x:c r="J210" s="2"/>
      <x:c r="K210" s="2"/>
      <x:c r="L210" s="2"/>
    </x:row>
    <x:row r="211" ht="23" customHeight="1">
      <x:c r="A211" s="2"/>
      <x:c r="B211" s="2"/>
      <x:c r="C211" s="2"/>
      <x:c r="D211" s="2"/>
      <x:c r="E211" s="2"/>
      <x:c r="F211" s="2"/>
      <x:c r="G211" s="2"/>
      <x:c r="H211" s="2"/>
      <x:c r="I211" s="2"/>
      <x:c r="J211" s="2"/>
      <x:c r="K211" s="2"/>
      <x:c r="L211" s="2"/>
    </x:row>
    <x:row r="212" ht="23" customHeight="1">
      <x:c r="A212" s="2"/>
      <x:c r="B212" s="2"/>
      <x:c r="C212" s="2"/>
      <x:c r="D212" s="2"/>
      <x:c r="E212" s="2"/>
      <x:c r="F212" s="2"/>
      <x:c r="G212" s="2"/>
      <x:c r="H212" s="2"/>
      <x:c r="I212" s="2"/>
      <x:c r="J212" s="2"/>
      <x:c r="K212" s="2"/>
      <x:c r="L212" s="2"/>
    </x:row>
    <x:row r="213" ht="23" customHeight="1">
      <x:c r="A213" s="2"/>
      <x:c r="B213" s="2"/>
      <x:c r="C213" s="2"/>
      <x:c r="D213" s="2"/>
      <x:c r="E213" s="2"/>
      <x:c r="F213" s="2"/>
      <x:c r="G213" s="2"/>
      <x:c r="H213" s="2"/>
      <x:c r="I213" s="2"/>
      <x:c r="J213" s="2"/>
      <x:c r="K213" s="2"/>
      <x:c r="L213" s="2"/>
    </x:row>
    <x:row r="214" ht="23" customHeight="1">
      <x:c r="A214" s="2"/>
      <x:c r="B214" s="2"/>
      <x:c r="C214" s="2"/>
      <x:c r="D214" s="2"/>
      <x:c r="E214" s="2"/>
      <x:c r="F214" s="2"/>
      <x:c r="G214" s="2"/>
      <x:c r="H214" s="2"/>
      <x:c r="I214" s="2"/>
      <x:c r="J214" s="2"/>
      <x:c r="K214" s="2"/>
      <x:c r="L214" s="2"/>
    </x:row>
    <x:row r="215" ht="23" customHeight="1">
      <x:c r="A215" s="2"/>
      <x:c r="B215" s="2"/>
      <x:c r="C215" s="2"/>
      <x:c r="D215" s="2"/>
      <x:c r="E215" s="2"/>
      <x:c r="F215" s="2"/>
      <x:c r="G215" s="2"/>
      <x:c r="H215" s="2"/>
      <x:c r="I215" s="2"/>
      <x:c r="J215" s="2"/>
      <x:c r="K215" s="2"/>
      <x:c r="L215" s="2"/>
    </x:row>
    <x:row r="216" ht="23" customHeight="1">
      <x:c r="A216" s="2"/>
      <x:c r="B216" s="2"/>
      <x:c r="C216" s="2"/>
      <x:c r="D216" s="2"/>
      <x:c r="E216" s="2"/>
      <x:c r="F216" s="2"/>
      <x:c r="G216" s="2"/>
      <x:c r="H216" s="2"/>
      <x:c r="I216" s="2"/>
      <x:c r="J216" s="2"/>
      <x:c r="K216" s="2"/>
      <x:c r="L216" s="2"/>
    </x:row>
    <x:row r="217" ht="23" customHeight="1">
      <x:c r="A217" s="2"/>
      <x:c r="B217" s="2"/>
      <x:c r="C217" s="2"/>
      <x:c r="D217" s="2"/>
      <x:c r="E217" s="2"/>
      <x:c r="F217" s="2"/>
      <x:c r="G217" s="2"/>
      <x:c r="H217" s="2"/>
      <x:c r="I217" s="2"/>
      <x:c r="J217" s="2"/>
      <x:c r="K217" s="2"/>
      <x:c r="L217" s="2"/>
    </x:row>
    <x:row r="218" ht="23" customHeight="1">
      <x:c r="A218" s="2"/>
      <x:c r="B218" s="2"/>
      <x:c r="C218" s="2"/>
      <x:c r="D218" s="2"/>
      <x:c r="E218" s="2"/>
      <x:c r="F218" s="2"/>
      <x:c r="G218" s="2"/>
      <x:c r="H218" s="2"/>
      <x:c r="I218" s="2"/>
      <x:c r="J218" s="2"/>
      <x:c r="K218" s="2"/>
      <x:c r="L218" s="2" t="str">
        <x:v>Changed cells</x:v>
      </x:c>
    </x:row>
    <x:row r="219" ht="26" customHeight="1">
      <x:c r="A219" s="12" t="str">
        <x:v>Reported period inputs: Source_Data!A6:K125</x:v>
      </x:c>
      <x:c r="B219" s="12"/>
      <x:c r="C219" s="12"/>
      <x:c r="D219" s="12"/>
      <x:c r="E219" s="12"/>
      <x:c r="F219" s="12"/>
      <x:c r="G219" s="12"/>
      <x:c r="H219" s="12"/>
      <x:c r="I219" s="12"/>
      <x:c r="J219" s="12"/>
      <x:c r="K219" s="12"/>
      <x:c r="L219" s="2"/>
    </x:row>
    <x:row r="220" ht="23" customHeight="1">
      <x:c r="A220" s="2" t="str">
        <x:v>FY2025|Bangladesh|61091000</x:v>
      </x:c>
      <x:c r="B220" s="2" t="str">
        <x:v>FY2025</x:v>
      </x:c>
      <x:c r="C220" s="2" t="str">
        <x:v>Bangladesh</x:v>
      </x:c>
      <x:c r="D220" s="2" t="str">
        <x:v>61091000</x:v>
      </x:c>
      <x:c r="E220" s="2" t="n">
        <x:v>455361217</x:v>
      </x:c>
      <x:c r="F220" s="2" t="n">
        <x:v>44227971</x:v>
      </x:c>
      <x:c r="G220" s="2" t="n">
        <x:v>12</x:v>
      </x:c>
      <x:c r="H220" s="2" t="n">
        <x:v>0</x:v>
      </x:c>
      <x:c r="I220" s="2" t="n">
        <x:v>10.295774522417046</x:v>
      </x:c>
      <x:c r="J220" s="2" t="n">
        <x:v>202501</x:v>
      </x:c>
      <x:c r="K220" s="2" t="n">
        <x:v>202512</x:v>
      </x:c>
      <x:c r="L220" s="2" t="n">
        <x:f>SUM(IF('Source_Data'!A6=A220,IF(ISBLANK('Source_Data'!A6)=ISBLANK(A220),0,1),1),IF('Source_Data'!B6=B220,IF(ISBLANK('Source_Data'!B6)=ISBLANK(B220),0,1),1),IF('Source_Data'!C6=C220,IF(ISBLANK('Source_Data'!C6)=ISBLANK(C220),0,1),1),IF('Source_Data'!D6=D220,IF(ISBLANK('Source_Data'!D6)=ISBLANK(D220),0,1),1),IF('Source_Data'!E6=E220,IF(ISBLANK('Source_Data'!E6)=ISBLANK(E220),0,1),1),IF('Source_Data'!F6=F220,IF(ISBLANK('Source_Data'!F6)=ISBLANK(F220),0,1),1),IF('Source_Data'!G6=G220,IF(ISBLANK('Source_Data'!G6)=ISBLANK(G220),0,1),1),IF('Source_Data'!H6=H220,IF(ISBLANK('Source_Data'!H6)=ISBLANK(H220),0,1),1),IF('Source_Data'!I6=I220,IF(ISBLANK('Source_Data'!I6)=ISBLANK(I220),0,1),1),IF('Source_Data'!J6=J220,IF(ISBLANK('Source_Data'!J6)=ISBLANK(J220),0,1),1),IF('Source_Data'!K6=K220,IF(ISBLANK('Source_Data'!K6)=ISBLANK(K220),0,1),1))</x:f>
        <x:v>0</x:v>
      </x:c>
    </x:row>
    <x:row r="221" ht="23" customHeight="1">
      <x:c r="A221" s="2" t="str">
        <x:v>FY2025|Cambodia|61091000</x:v>
      </x:c>
      <x:c r="B221" s="2" t="str">
        <x:v>FY2025</x:v>
      </x:c>
      <x:c r="C221" s="2" t="str">
        <x:v>Cambodia</x:v>
      </x:c>
      <x:c r="D221" s="2" t="str">
        <x:v>61091000</x:v>
      </x:c>
      <x:c r="E221" s="2" t="n">
        <x:v>10485143</x:v>
      </x:c>
      <x:c r="F221" s="2" t="n">
        <x:v>547756</x:v>
      </x:c>
      <x:c r="G221" s="2" t="n">
        <x:v>12</x:v>
      </x:c>
      <x:c r="H221" s="2" t="n">
        <x:v>0</x:v>
      </x:c>
      <x:c r="I221" s="2" t="n">
        <x:v>19.14199570611732</x:v>
      </x:c>
      <x:c r="J221" s="2" t="n">
        <x:v>202501</x:v>
      </x:c>
      <x:c r="K221" s="2" t="n">
        <x:v>202512</x:v>
      </x:c>
      <x:c r="L221" s="2" t="n">
        <x:f>SUM(IF('Source_Data'!A7=A221,IF(ISBLANK('Source_Data'!A7)=ISBLANK(A221),0,1),1),IF('Source_Data'!B7=B221,IF(ISBLANK('Source_Data'!B7)=ISBLANK(B221),0,1),1),IF('Source_Data'!C7=C221,IF(ISBLANK('Source_Data'!C7)=ISBLANK(C221),0,1),1),IF('Source_Data'!D7=D221,IF(ISBLANK('Source_Data'!D7)=ISBLANK(D221),0,1),1),IF('Source_Data'!E7=E221,IF(ISBLANK('Source_Data'!E7)=ISBLANK(E221),0,1),1),IF('Source_Data'!F7=F221,IF(ISBLANK('Source_Data'!F7)=ISBLANK(F221),0,1),1),IF('Source_Data'!G7=G221,IF(ISBLANK('Source_Data'!G7)=ISBLANK(G221),0,1),1),IF('Source_Data'!H7=H221,IF(ISBLANK('Source_Data'!H7)=ISBLANK(H221),0,1),1),IF('Source_Data'!I7=I221,IF(ISBLANK('Source_Data'!I7)=ISBLANK(I221),0,1),1),IF('Source_Data'!J7=J221,IF(ISBLANK('Source_Data'!J7)=ISBLANK(J221),0,1),1),IF('Source_Data'!K7=K221,IF(ISBLANK('Source_Data'!K7)=ISBLANK(K221),0,1),1))</x:f>
        <x:v>0</x:v>
      </x:c>
    </x:row>
    <x:row r="222" ht="23" customHeight="1">
      <x:c r="A222" s="2" t="str">
        <x:v>FY2025|China|61091000</x:v>
      </x:c>
      <x:c r="B222" s="2" t="str">
        <x:v>FY2025</x:v>
      </x:c>
      <x:c r="C222" s="2" t="str">
        <x:v>China</x:v>
      </x:c>
      <x:c r="D222" s="2" t="str">
        <x:v>61091000</x:v>
      </x:c>
      <x:c r="E222" s="2" t="n">
        <x:v>44790747</x:v>
      </x:c>
      <x:c r="F222" s="2" t="n">
        <x:v>2430960</x:v>
      </x:c>
      <x:c r="G222" s="2" t="n">
        <x:v>12</x:v>
      </x:c>
      <x:c r="H222" s="2" t="n">
        <x:v>0</x:v>
      </x:c>
      <x:c r="I222" s="2" t="n">
        <x:v>18.425127110277423</x:v>
      </x:c>
      <x:c r="J222" s="2" t="n">
        <x:v>202501</x:v>
      </x:c>
      <x:c r="K222" s="2" t="n">
        <x:v>202512</x:v>
      </x:c>
      <x:c r="L222" s="2" t="n">
        <x:f>SUM(IF('Source_Data'!A8=A222,IF(ISBLANK('Source_Data'!A8)=ISBLANK(A222),0,1),1),IF('Source_Data'!B8=B222,IF(ISBLANK('Source_Data'!B8)=ISBLANK(B222),0,1),1),IF('Source_Data'!C8=C222,IF(ISBLANK('Source_Data'!C8)=ISBLANK(C222),0,1),1),IF('Source_Data'!D8=D222,IF(ISBLANK('Source_Data'!D8)=ISBLANK(D222),0,1),1),IF('Source_Data'!E8=E222,IF(ISBLANK('Source_Data'!E8)=ISBLANK(E222),0,1),1),IF('Source_Data'!F8=F222,IF(ISBLANK('Source_Data'!F8)=ISBLANK(F222),0,1),1),IF('Source_Data'!G8=G222,IF(ISBLANK('Source_Data'!G8)=ISBLANK(G222),0,1),1),IF('Source_Data'!H8=H222,IF(ISBLANK('Source_Data'!H8)=ISBLANK(H222),0,1),1),IF('Source_Data'!I8=I222,IF(ISBLANK('Source_Data'!I8)=ISBLANK(I222),0,1),1),IF('Source_Data'!J8=J222,IF(ISBLANK('Source_Data'!J8)=ISBLANK(J222),0,1),1),IF('Source_Data'!K8=K222,IF(ISBLANK('Source_Data'!K8)=ISBLANK(K222),0,1),1))</x:f>
        <x:v>0</x:v>
      </x:c>
    </x:row>
    <x:row r="223" ht="23" customHeight="1">
      <x:c r="A223" s="2" t="str">
        <x:v>FY2025|India|61091000</x:v>
      </x:c>
      <x:c r="B223" s="2" t="str">
        <x:v>FY2025</x:v>
      </x:c>
      <x:c r="C223" s="2" t="str">
        <x:v>India</x:v>
      </x:c>
      <x:c r="D223" s="2" t="str">
        <x:v>61091000</x:v>
      </x:c>
      <x:c r="E223" s="2" t="n">
        <x:v>100902224</x:v>
      </x:c>
      <x:c r="F223" s="2" t="n">
        <x:v>7735285</x:v>
      </x:c>
      <x:c r="G223" s="2" t="n">
        <x:v>12</x:v>
      </x:c>
      <x:c r="H223" s="2" t="n">
        <x:v>0</x:v>
      </x:c>
      <x:c r="I223" s="2" t="n">
        <x:v>13.044409352725854</x:v>
      </x:c>
      <x:c r="J223" s="2" t="n">
        <x:v>202501</x:v>
      </x:c>
      <x:c r="K223" s="2" t="n">
        <x:v>202512</x:v>
      </x:c>
      <x:c r="L223" s="2" t="n">
        <x:f>SUM(IF('Source_Data'!A9=A223,IF(ISBLANK('Source_Data'!A9)=ISBLANK(A223),0,1),1),IF('Source_Data'!B9=B223,IF(ISBLANK('Source_Data'!B9)=ISBLANK(B223),0,1),1),IF('Source_Data'!C9=C223,IF(ISBLANK('Source_Data'!C9)=ISBLANK(C223),0,1),1),IF('Source_Data'!D9=D223,IF(ISBLANK('Source_Data'!D9)=ISBLANK(D223),0,1),1),IF('Source_Data'!E9=E223,IF(ISBLANK('Source_Data'!E9)=ISBLANK(E223),0,1),1),IF('Source_Data'!F9=F223,IF(ISBLANK('Source_Data'!F9)=ISBLANK(F223),0,1),1),IF('Source_Data'!G9=G223,IF(ISBLANK('Source_Data'!G9)=ISBLANK(G223),0,1),1),IF('Source_Data'!H9=H223,IF(ISBLANK('Source_Data'!H9)=ISBLANK(H223),0,1),1),IF('Source_Data'!I9=I223,IF(ISBLANK('Source_Data'!I9)=ISBLANK(I223),0,1),1),IF('Source_Data'!J9=J223,IF(ISBLANK('Source_Data'!J9)=ISBLANK(J223),0,1),1),IF('Source_Data'!K9=K223,IF(ISBLANK('Source_Data'!K9)=ISBLANK(K223),0,1),1))</x:f>
        <x:v>0</x:v>
      </x:c>
    </x:row>
    <x:row r="224" ht="23" customHeight="1">
      <x:c r="A224" s="2" t="str">
        <x:v>FY2025|Morocco|61091000</x:v>
      </x:c>
      <x:c r="B224" s="2" t="str">
        <x:v>FY2025</x:v>
      </x:c>
      <x:c r="C224" s="2" t="str">
        <x:v>Morocco</x:v>
      </x:c>
      <x:c r="D224" s="2" t="str">
        <x:v>61091000</x:v>
      </x:c>
      <x:c r="E224" s="2" t="n">
        <x:v>11996927</x:v>
      </x:c>
      <x:c r="F224" s="2" t="n">
        <x:v>1265062</x:v>
      </x:c>
      <x:c r="G224" s="2" t="n">
        <x:v>12</x:v>
      </x:c>
      <x:c r="H224" s="2" t="n">
        <x:v>1</x:v>
      </x:c>
      <x:c r="I224" s="2" t="n">
        <x:v>9.483271966117076</x:v>
      </x:c>
      <x:c r="J224" s="2" t="n">
        <x:v>202501</x:v>
      </x:c>
      <x:c r="K224" s="2" t="n">
        <x:v>202512</x:v>
      </x:c>
      <x:c r="L224" s="2" t="n">
        <x:f>SUM(IF('Source_Data'!A10=A224,IF(ISBLANK('Source_Data'!A10)=ISBLANK(A224),0,1),1),IF('Source_Data'!B10=B224,IF(ISBLANK('Source_Data'!B10)=ISBLANK(B224),0,1),1),IF('Source_Data'!C10=C224,IF(ISBLANK('Source_Data'!C10)=ISBLANK(C224),0,1),1),IF('Source_Data'!D10=D224,IF(ISBLANK('Source_Data'!D10)=ISBLANK(D224),0,1),1),IF('Source_Data'!E10=E224,IF(ISBLANK('Source_Data'!E10)=ISBLANK(E224),0,1),1),IF('Source_Data'!F10=F224,IF(ISBLANK('Source_Data'!F10)=ISBLANK(F224),0,1),1),IF('Source_Data'!G10=G224,IF(ISBLANK('Source_Data'!G10)=ISBLANK(G224),0,1),1),IF('Source_Data'!H10=H224,IF(ISBLANK('Source_Data'!H10)=ISBLANK(H224),0,1),1),IF('Source_Data'!I10=I224,IF(ISBLANK('Source_Data'!I10)=ISBLANK(I224),0,1),1),IF('Source_Data'!J10=J224,IF(ISBLANK('Source_Data'!J10)=ISBLANK(J224),0,1),1),IF('Source_Data'!K10=K224,IF(ISBLANK('Source_Data'!K10)=ISBLANK(K224),0,1),1))</x:f>
        <x:v>0</x:v>
      </x:c>
    </x:row>
    <x:row r="225" ht="23" customHeight="1">
      <x:c r="A225" s="2" t="str">
        <x:v>FY2025|Myanmar|61091000</x:v>
      </x:c>
      <x:c r="B225" s="2" t="str">
        <x:v>FY2025</x:v>
      </x:c>
      <x:c r="C225" s="2" t="str">
        <x:v>Myanmar</x:v>
      </x:c>
      <x:c r="D225" s="2" t="str">
        <x:v>61091000</x:v>
      </x:c>
      <x:c r="E225" s="2" t="n">
        <x:v>377935</x:v>
      </x:c>
      <x:c r="F225" s="2" t="n">
        <x:v>29326</x:v>
      </x:c>
      <x:c r="G225" s="2" t="n">
        <x:v>12</x:v>
      </x:c>
      <x:c r="H225" s="2" t="n">
        <x:v>0</x:v>
      </x:c>
      <x:c r="I225" s="2" t="n">
        <x:v>12.887369569665143</x:v>
      </x:c>
      <x:c r="J225" s="2" t="n">
        <x:v>202501</x:v>
      </x:c>
      <x:c r="K225" s="2" t="n">
        <x:v>202512</x:v>
      </x:c>
      <x:c r="L225" s="2" t="n">
        <x:f>SUM(IF('Source_Data'!A11=A225,IF(ISBLANK('Source_Data'!A11)=ISBLANK(A225),0,1),1),IF('Source_Data'!B11=B225,IF(ISBLANK('Source_Data'!B11)=ISBLANK(B225),0,1),1),IF('Source_Data'!C11=C225,IF(ISBLANK('Source_Data'!C11)=ISBLANK(C225),0,1),1),IF('Source_Data'!D11=D225,IF(ISBLANK('Source_Data'!D11)=ISBLANK(D225),0,1),1),IF('Source_Data'!E11=E225,IF(ISBLANK('Source_Data'!E11)=ISBLANK(E225),0,1),1),IF('Source_Data'!F11=F225,IF(ISBLANK('Source_Data'!F11)=ISBLANK(F225),0,1),1),IF('Source_Data'!G11=G225,IF(ISBLANK('Source_Data'!G11)=ISBLANK(G225),0,1),1),IF('Source_Data'!H11=H225,IF(ISBLANK('Source_Data'!H11)=ISBLANK(H225),0,1),1),IF('Source_Data'!I11=I225,IF(ISBLANK('Source_Data'!I11)=ISBLANK(I225),0,1),1),IF('Source_Data'!J11=J225,IF(ISBLANK('Source_Data'!J11)=ISBLANK(J225),0,1),1),IF('Source_Data'!K11=K225,IF(ISBLANK('Source_Data'!K11)=ISBLANK(K225),0,1),1))</x:f>
        <x:v>0</x:v>
      </x:c>
    </x:row>
    <x:row r="226" ht="23" customHeight="1">
      <x:c r="A226" s="2" t="str">
        <x:v>FY2025|Pakistan|61091000</x:v>
      </x:c>
      <x:c r="B226" s="2" t="str">
        <x:v>FY2025</x:v>
      </x:c>
      <x:c r="C226" s="2" t="str">
        <x:v>Pakistan</x:v>
      </x:c>
      <x:c r="D226" s="2" t="str">
        <x:v>61091000</x:v>
      </x:c>
      <x:c r="E226" s="2" t="n">
        <x:v>50802167</x:v>
      </x:c>
      <x:c r="F226" s="2" t="n">
        <x:v>10896985</x:v>
      </x:c>
      <x:c r="G226" s="2" t="n">
        <x:v>12</x:v>
      </x:c>
      <x:c r="H226" s="2" t="n">
        <x:v>4</x:v>
      </x:c>
      <x:c r="I226" s="2" t="n">
        <x:v>4.662038811652948</x:v>
      </x:c>
      <x:c r="J226" s="2" t="n">
        <x:v>202501</x:v>
      </x:c>
      <x:c r="K226" s="2" t="n">
        <x:v>202512</x:v>
      </x:c>
      <x:c r="L226" s="2" t="n">
        <x:f>SUM(IF('Source_Data'!A12=A226,IF(ISBLANK('Source_Data'!A12)=ISBLANK(A226),0,1),1),IF('Source_Data'!B12=B226,IF(ISBLANK('Source_Data'!B12)=ISBLANK(B226),0,1),1),IF('Source_Data'!C12=C226,IF(ISBLANK('Source_Data'!C12)=ISBLANK(C226),0,1),1),IF('Source_Data'!D12=D226,IF(ISBLANK('Source_Data'!D12)=ISBLANK(D226),0,1),1),IF('Source_Data'!E12=E226,IF(ISBLANK('Source_Data'!E12)=ISBLANK(E226),0,1),1),IF('Source_Data'!F12=F226,IF(ISBLANK('Source_Data'!F12)=ISBLANK(F226),0,1),1),IF('Source_Data'!G12=G226,IF(ISBLANK('Source_Data'!G12)=ISBLANK(G226),0,1),1),IF('Source_Data'!H12=H226,IF(ISBLANK('Source_Data'!H12)=ISBLANK(H226),0,1),1),IF('Source_Data'!I12=I226,IF(ISBLANK('Source_Data'!I12)=ISBLANK(I226),0,1),1),IF('Source_Data'!J12=J226,IF(ISBLANK('Source_Data'!J12)=ISBLANK(J226),0,1),1),IF('Source_Data'!K12=K226,IF(ISBLANK('Source_Data'!K12)=ISBLANK(K226),0,1),1))</x:f>
        <x:v>0</x:v>
      </x:c>
    </x:row>
    <x:row r="227" ht="23" customHeight="1">
      <x:c r="A227" s="2" t="str">
        <x:v>FY2025|Sri Lanka|61091000</x:v>
      </x:c>
      <x:c r="B227" s="2" t="str">
        <x:v>FY2025</x:v>
      </x:c>
      <x:c r="C227" s="2" t="str">
        <x:v>Sri Lanka</x:v>
      </x:c>
      <x:c r="D227" s="2" t="str">
        <x:v>61091000</x:v>
      </x:c>
      <x:c r="E227" s="2" t="n">
        <x:v>22682066</x:v>
      </x:c>
      <x:c r="F227" s="2" t="n">
        <x:v>2215013</x:v>
      </x:c>
      <x:c r="G227" s="2" t="n">
        <x:v>12</x:v>
      </x:c>
      <x:c r="H227" s="2" t="n">
        <x:v>0</x:v>
      </x:c>
      <x:c r="I227" s="2" t="n">
        <x:v>10.240150283542354</x:v>
      </x:c>
      <x:c r="J227" s="2" t="n">
        <x:v>202501</x:v>
      </x:c>
      <x:c r="K227" s="2" t="n">
        <x:v>202512</x:v>
      </x:c>
      <x:c r="L227" s="2" t="n">
        <x:f>SUM(IF('Source_Data'!A13=A227,IF(ISBLANK('Source_Data'!A13)=ISBLANK(A227),0,1),1),IF('Source_Data'!B13=B227,IF(ISBLANK('Source_Data'!B13)=ISBLANK(B227),0,1),1),IF('Source_Data'!C13=C227,IF(ISBLANK('Source_Data'!C13)=ISBLANK(C227),0,1),1),IF('Source_Data'!D13=D227,IF(ISBLANK('Source_Data'!D13)=ISBLANK(D227),0,1),1),IF('Source_Data'!E13=E227,IF(ISBLANK('Source_Data'!E13)=ISBLANK(E227),0,1),1),IF('Source_Data'!F13=F227,IF(ISBLANK('Source_Data'!F13)=ISBLANK(F227),0,1),1),IF('Source_Data'!G13=G227,IF(ISBLANK('Source_Data'!G13)=ISBLANK(G227),0,1),1),IF('Source_Data'!H13=H227,IF(ISBLANK('Source_Data'!H13)=ISBLANK(H227),0,1),1),IF('Source_Data'!I13=I227,IF(ISBLANK('Source_Data'!I13)=ISBLANK(I227),0,1),1),IF('Source_Data'!J13=J227,IF(ISBLANK('Source_Data'!J13)=ISBLANK(J227),0,1),1),IF('Source_Data'!K13=K227,IF(ISBLANK('Source_Data'!K13)=ISBLANK(K227),0,1),1))</x:f>
        <x:v>0</x:v>
      </x:c>
    </x:row>
    <x:row r="228" ht="23" customHeight="1">
      <x:c r="A228" s="2" t="str">
        <x:v>FY2025|Turkey|61091000</x:v>
      </x:c>
      <x:c r="B228" s="2" t="str">
        <x:v>FY2025</x:v>
      </x:c>
      <x:c r="C228" s="2" t="str">
        <x:v>Turkey</x:v>
      </x:c>
      <x:c r="D228" s="2" t="str">
        <x:v>61091000</x:v>
      </x:c>
      <x:c r="E228" s="2" t="n">
        <x:v>109167119</x:v>
      </x:c>
      <x:c r="F228" s="2" t="n">
        <x:v>4927477</x:v>
      </x:c>
      <x:c r="G228" s="2" t="n">
        <x:v>12</x:v>
      </x:c>
      <x:c r="H228" s="2" t="n">
        <x:v>0</x:v>
      </x:c>
      <x:c r="I228" s="2" t="n">
        <x:v>22.15476987513082</x:v>
      </x:c>
      <x:c r="J228" s="2" t="n">
        <x:v>202501</x:v>
      </x:c>
      <x:c r="K228" s="2" t="n">
        <x:v>202512</x:v>
      </x:c>
      <x:c r="L228" s="2" t="n">
        <x:f>SUM(IF('Source_Data'!A14=A228,IF(ISBLANK('Source_Data'!A14)=ISBLANK(A228),0,1),1),IF('Source_Data'!B14=B228,IF(ISBLANK('Source_Data'!B14)=ISBLANK(B228),0,1),1),IF('Source_Data'!C14=C228,IF(ISBLANK('Source_Data'!C14)=ISBLANK(C228),0,1),1),IF('Source_Data'!D14=D228,IF(ISBLANK('Source_Data'!D14)=ISBLANK(D228),0,1),1),IF('Source_Data'!E14=E228,IF(ISBLANK('Source_Data'!E14)=ISBLANK(E228),0,1),1),IF('Source_Data'!F14=F228,IF(ISBLANK('Source_Data'!F14)=ISBLANK(F228),0,1),1),IF('Source_Data'!G14=G228,IF(ISBLANK('Source_Data'!G14)=ISBLANK(G228),0,1),1),IF('Source_Data'!H14=H228,IF(ISBLANK('Source_Data'!H14)=ISBLANK(H228),0,1),1),IF('Source_Data'!I14=I228,IF(ISBLANK('Source_Data'!I14)=ISBLANK(I228),0,1),1),IF('Source_Data'!J14=J228,IF(ISBLANK('Source_Data'!J14)=ISBLANK(J228),0,1),1),IF('Source_Data'!K14=K228,IF(ISBLANK('Source_Data'!K14)=ISBLANK(K228),0,1),1))</x:f>
        <x:v>0</x:v>
      </x:c>
    </x:row>
    <x:row r="229" ht="23" customHeight="1">
      <x:c r="A229" s="2" t="str">
        <x:v>FY2025|Vietnam|61091000</x:v>
      </x:c>
      <x:c r="B229" s="2" t="str">
        <x:v>FY2025</x:v>
      </x:c>
      <x:c r="C229" s="2" t="str">
        <x:v>Vietnam</x:v>
      </x:c>
      <x:c r="D229" s="2" t="str">
        <x:v>61091000</x:v>
      </x:c>
      <x:c r="E229" s="2" t="n">
        <x:v>23980546</x:v>
      </x:c>
      <x:c r="F229" s="2" t="n">
        <x:v>1170082</x:v>
      </x:c>
      <x:c r="G229" s="2" t="n">
        <x:v>12</x:v>
      </x:c>
      <x:c r="H229" s="2" t="n">
        <x:v>0</x:v>
      </x:c>
      <x:c r="I229" s="2" t="n">
        <x:v>20.494756777730107</x:v>
      </x:c>
      <x:c r="J229" s="2" t="n">
        <x:v>202501</x:v>
      </x:c>
      <x:c r="K229" s="2" t="n">
        <x:v>202512</x:v>
      </x:c>
      <x:c r="L229" s="2" t="n">
        <x:f>SUM(IF('Source_Data'!A15=A229,IF(ISBLANK('Source_Data'!A15)=ISBLANK(A229),0,1),1),IF('Source_Data'!B15=B229,IF(ISBLANK('Source_Data'!B15)=ISBLANK(B229),0,1),1),IF('Source_Data'!C15=C229,IF(ISBLANK('Source_Data'!C15)=ISBLANK(C229),0,1),1),IF('Source_Data'!D15=D229,IF(ISBLANK('Source_Data'!D15)=ISBLANK(D229),0,1),1),IF('Source_Data'!E15=E229,IF(ISBLANK('Source_Data'!E15)=ISBLANK(E229),0,1),1),IF('Source_Data'!F15=F229,IF(ISBLANK('Source_Data'!F15)=ISBLANK(F229),0,1),1),IF('Source_Data'!G15=G229,IF(ISBLANK('Source_Data'!G15)=ISBLANK(G229),0,1),1),IF('Source_Data'!H15=H229,IF(ISBLANK('Source_Data'!H15)=ISBLANK(H229),0,1),1),IF('Source_Data'!I15=I229,IF(ISBLANK('Source_Data'!I15)=ISBLANK(I229),0,1),1),IF('Source_Data'!J15=J229,IF(ISBLANK('Source_Data'!J15)=ISBLANK(J229),0,1),1),IF('Source_Data'!K15=K229,IF(ISBLANK('Source_Data'!K15)=ISBLANK(K229),0,1),1))</x:f>
        <x:v>0</x:v>
      </x:c>
    </x:row>
    <x:row r="230" ht="23" customHeight="1">
      <x:c r="A230" s="2" t="str">
        <x:v>FY2025|Bangladesh|61103099</x:v>
      </x:c>
      <x:c r="B230" s="2" t="str">
        <x:v>FY2025</x:v>
      </x:c>
      <x:c r="C230" s="2" t="str">
        <x:v>Bangladesh</x:v>
      </x:c>
      <x:c r="D230" s="2" t="str">
        <x:v>61103099</x:v>
      </x:c>
      <x:c r="E230" s="2" t="n">
        <x:v>164836619</x:v>
      </x:c>
      <x:c r="F230" s="2" t="n">
        <x:v>13246692</x:v>
      </x:c>
      <x:c r="G230" s="2" t="n">
        <x:v>12</x:v>
      </x:c>
      <x:c r="H230" s="2" t="n">
        <x:v>0</x:v>
      </x:c>
      <x:c r="I230" s="2" t="n">
        <x:v>12.443606222595045</x:v>
      </x:c>
      <x:c r="J230" s="2" t="n">
        <x:v>202501</x:v>
      </x:c>
      <x:c r="K230" s="2" t="n">
        <x:v>202512</x:v>
      </x:c>
      <x:c r="L230" s="2" t="n">
        <x:f>SUM(IF('Source_Data'!A16=A230,IF(ISBLANK('Source_Data'!A16)=ISBLANK(A230),0,1),1),IF('Source_Data'!B16=B230,IF(ISBLANK('Source_Data'!B16)=ISBLANK(B230),0,1),1),IF('Source_Data'!C16=C230,IF(ISBLANK('Source_Data'!C16)=ISBLANK(C230),0,1),1),IF('Source_Data'!D16=D230,IF(ISBLANK('Source_Data'!D16)=ISBLANK(D230),0,1),1),IF('Source_Data'!E16=E230,IF(ISBLANK('Source_Data'!E16)=ISBLANK(E230),0,1),1),IF('Source_Data'!F16=F230,IF(ISBLANK('Source_Data'!F16)=ISBLANK(F230),0,1),1),IF('Source_Data'!G16=G230,IF(ISBLANK('Source_Data'!G16)=ISBLANK(G230),0,1),1),IF('Source_Data'!H16=H230,IF(ISBLANK('Source_Data'!H16)=ISBLANK(H230),0,1),1),IF('Source_Data'!I16=I230,IF(ISBLANK('Source_Data'!I16)=ISBLANK(I230),0,1),1),IF('Source_Data'!J16=J230,IF(ISBLANK('Source_Data'!J16)=ISBLANK(J230),0,1),1),IF('Source_Data'!K16=K230,IF(ISBLANK('Source_Data'!K16)=ISBLANK(K230),0,1),1))</x:f>
        <x:v>0</x:v>
      </x:c>
    </x:row>
    <x:row r="231" ht="23" customHeight="1">
      <x:c r="A231" s="2" t="str">
        <x:v>FY2025|Cambodia|61103099</x:v>
      </x:c>
      <x:c r="B231" s="2" t="str">
        <x:v>FY2025</x:v>
      </x:c>
      <x:c r="C231" s="2" t="str">
        <x:v>Cambodia</x:v>
      </x:c>
      <x:c r="D231" s="2" t="str">
        <x:v>61103099</x:v>
      </x:c>
      <x:c r="E231" s="2" t="n">
        <x:v>72460733</x:v>
      </x:c>
      <x:c r="F231" s="2" t="n">
        <x:v>6288565</x:v>
      </x:c>
      <x:c r="G231" s="2" t="n">
        <x:v>12</x:v>
      </x:c>
      <x:c r="H231" s="2" t="n">
        <x:v>0</x:v>
      </x:c>
      <x:c r="I231" s="2" t="n">
        <x:v>11.522618117169815</x:v>
      </x:c>
      <x:c r="J231" s="2" t="n">
        <x:v>202501</x:v>
      </x:c>
      <x:c r="K231" s="2" t="n">
        <x:v>202512</x:v>
      </x:c>
      <x:c r="L231" s="2" t="n">
        <x:f>SUM(IF('Source_Data'!A17=A231,IF(ISBLANK('Source_Data'!A17)=ISBLANK(A231),0,1),1),IF('Source_Data'!B17=B231,IF(ISBLANK('Source_Data'!B17)=ISBLANK(B231),0,1),1),IF('Source_Data'!C17=C231,IF(ISBLANK('Source_Data'!C17)=ISBLANK(C231),0,1),1),IF('Source_Data'!D17=D231,IF(ISBLANK('Source_Data'!D17)=ISBLANK(D231),0,1),1),IF('Source_Data'!E17=E231,IF(ISBLANK('Source_Data'!E17)=ISBLANK(E231),0,1),1),IF('Source_Data'!F17=F231,IF(ISBLANK('Source_Data'!F17)=ISBLANK(F231),0,1),1),IF('Source_Data'!G17=G231,IF(ISBLANK('Source_Data'!G17)=ISBLANK(G231),0,1),1),IF('Source_Data'!H17=H231,IF(ISBLANK('Source_Data'!H17)=ISBLANK(H231),0,1),1),IF('Source_Data'!I17=I231,IF(ISBLANK('Source_Data'!I17)=ISBLANK(I231),0,1),1),IF('Source_Data'!J17=J231,IF(ISBLANK('Source_Data'!J17)=ISBLANK(J231),0,1),1),IF('Source_Data'!K17=K231,IF(ISBLANK('Source_Data'!K17)=ISBLANK(K231),0,1),1))</x:f>
        <x:v>0</x:v>
      </x:c>
    </x:row>
    <x:row r="232" ht="23" customHeight="1">
      <x:c r="A232" s="2" t="str">
        <x:v>FY2025|China|61103099</x:v>
      </x:c>
      <x:c r="B232" s="2" t="str">
        <x:v>FY2025</x:v>
      </x:c>
      <x:c r="C232" s="2" t="str">
        <x:v>China</x:v>
      </x:c>
      <x:c r="D232" s="2" t="str">
        <x:v>61103099</x:v>
      </x:c>
      <x:c r="E232" s="2" t="n">
        <x:v>235660674</x:v>
      </x:c>
      <x:c r="F232" s="2" t="n">
        <x:v>16459562</x:v>
      </x:c>
      <x:c r="G232" s="2" t="n">
        <x:v>12</x:v>
      </x:c>
      <x:c r="H232" s="2" t="n">
        <x:v>0</x:v>
      </x:c>
      <x:c r="I232" s="2" t="n">
        <x:v>14.31755437963659</x:v>
      </x:c>
      <x:c r="J232" s="2" t="n">
        <x:v>202501</x:v>
      </x:c>
      <x:c r="K232" s="2" t="n">
        <x:v>202512</x:v>
      </x:c>
      <x:c r="L232" s="2" t="n">
        <x:f>SUM(IF('Source_Data'!A18=A232,IF(ISBLANK('Source_Data'!A18)=ISBLANK(A232),0,1),1),IF('Source_Data'!B18=B232,IF(ISBLANK('Source_Data'!B18)=ISBLANK(B232),0,1),1),IF('Source_Data'!C18=C232,IF(ISBLANK('Source_Data'!C18)=ISBLANK(C232),0,1),1),IF('Source_Data'!D18=D232,IF(ISBLANK('Source_Data'!D18)=ISBLANK(D232),0,1),1),IF('Source_Data'!E18=E232,IF(ISBLANK('Source_Data'!E18)=ISBLANK(E232),0,1),1),IF('Source_Data'!F18=F232,IF(ISBLANK('Source_Data'!F18)=ISBLANK(F232),0,1),1),IF('Source_Data'!G18=G232,IF(ISBLANK('Source_Data'!G18)=ISBLANK(G232),0,1),1),IF('Source_Data'!H18=H232,IF(ISBLANK('Source_Data'!H18)=ISBLANK(H232),0,1),1),IF('Source_Data'!I18=I232,IF(ISBLANK('Source_Data'!I18)=ISBLANK(I232),0,1),1),IF('Source_Data'!J18=J232,IF(ISBLANK('Source_Data'!J18)=ISBLANK(J232),0,1),1),IF('Source_Data'!K18=K232,IF(ISBLANK('Source_Data'!K18)=ISBLANK(K232),0,1),1))</x:f>
        <x:v>0</x:v>
      </x:c>
    </x:row>
    <x:row r="233" ht="23" customHeight="1">
      <x:c r="A233" s="2" t="str">
        <x:v>FY2025|India|61103099</x:v>
      </x:c>
      <x:c r="B233" s="2" t="str">
        <x:v>FY2025</x:v>
      </x:c>
      <x:c r="C233" s="2" t="str">
        <x:v>India</x:v>
      </x:c>
      <x:c r="D233" s="2" t="str">
        <x:v>61103099</x:v>
      </x:c>
      <x:c r="E233" s="2" t="n">
        <x:v>2259458</x:v>
      </x:c>
      <x:c r="F233" s="2" t="n">
        <x:v>159066</x:v>
      </x:c>
      <x:c r="G233" s="2" t="n">
        <x:v>12</x:v>
      </x:c>
      <x:c r="H233" s="2" t="n">
        <x:v>0</x:v>
      </x:c>
      <x:c r="I233" s="2" t="n">
        <x:v>14.20453145235311</x:v>
      </x:c>
      <x:c r="J233" s="2" t="n">
        <x:v>202501</x:v>
      </x:c>
      <x:c r="K233" s="2" t="n">
        <x:v>202512</x:v>
      </x:c>
      <x:c r="L233" s="2" t="n">
        <x:f>SUM(IF('Source_Data'!A19=A233,IF(ISBLANK('Source_Data'!A19)=ISBLANK(A233),0,1),1),IF('Source_Data'!B19=B233,IF(ISBLANK('Source_Data'!B19)=ISBLANK(B233),0,1),1),IF('Source_Data'!C19=C233,IF(ISBLANK('Source_Data'!C19)=ISBLANK(C233),0,1),1),IF('Source_Data'!D19=D233,IF(ISBLANK('Source_Data'!D19)=ISBLANK(D233),0,1),1),IF('Source_Data'!E19=E233,IF(ISBLANK('Source_Data'!E19)=ISBLANK(E233),0,1),1),IF('Source_Data'!F19=F233,IF(ISBLANK('Source_Data'!F19)=ISBLANK(F233),0,1),1),IF('Source_Data'!G19=G233,IF(ISBLANK('Source_Data'!G19)=ISBLANK(G233),0,1),1),IF('Source_Data'!H19=H233,IF(ISBLANK('Source_Data'!H19)=ISBLANK(H233),0,1),1),IF('Source_Data'!I19=I233,IF(ISBLANK('Source_Data'!I19)=ISBLANK(I233),0,1),1),IF('Source_Data'!J19=J233,IF(ISBLANK('Source_Data'!J19)=ISBLANK(J233),0,1),1),IF('Source_Data'!K19=K233,IF(ISBLANK('Source_Data'!K19)=ISBLANK(K233),0,1),1))</x:f>
        <x:v>0</x:v>
      </x:c>
    </x:row>
    <x:row r="234" ht="23" customHeight="1">
      <x:c r="A234" s="2" t="str">
        <x:v>FY2025|Morocco|61103099</x:v>
      </x:c>
      <x:c r="B234" s="2" t="str">
        <x:v>FY2025</x:v>
      </x:c>
      <x:c r="C234" s="2" t="str">
        <x:v>Morocco</x:v>
      </x:c>
      <x:c r="D234" s="2" t="str">
        <x:v>61103099</x:v>
      </x:c>
      <x:c r="E234" s="2" t="n">
        <x:v>389054</x:v>
      </x:c>
      <x:c r="F234" s="2" t="n">
        <x:v>19704</x:v>
      </x:c>
      <x:c r="G234" s="2" t="n">
        <x:v>12</x:v>
      </x:c>
      <x:c r="H234" s="2" t="n">
        <x:v>1</x:v>
      </x:c>
      <x:c r="I234" s="2" t="n">
        <x:v>19.744924888347544</x:v>
      </x:c>
      <x:c r="J234" s="2" t="n">
        <x:v>202501</x:v>
      </x:c>
      <x:c r="K234" s="2" t="n">
        <x:v>202512</x:v>
      </x:c>
      <x:c r="L234" s="2" t="n">
        <x:f>SUM(IF('Source_Data'!A20=A234,IF(ISBLANK('Source_Data'!A20)=ISBLANK(A234),0,1),1),IF('Source_Data'!B20=B234,IF(ISBLANK('Source_Data'!B20)=ISBLANK(B234),0,1),1),IF('Source_Data'!C20=C234,IF(ISBLANK('Source_Data'!C20)=ISBLANK(C234),0,1),1),IF('Source_Data'!D20=D234,IF(ISBLANK('Source_Data'!D20)=ISBLANK(D234),0,1),1),IF('Source_Data'!E20=E234,IF(ISBLANK('Source_Data'!E20)=ISBLANK(E234),0,1),1),IF('Source_Data'!F20=F234,IF(ISBLANK('Source_Data'!F20)=ISBLANK(F234),0,1),1),IF('Source_Data'!G20=G234,IF(ISBLANK('Source_Data'!G20)=ISBLANK(G234),0,1),1),IF('Source_Data'!H20=H234,IF(ISBLANK('Source_Data'!H20)=ISBLANK(H234),0,1),1),IF('Source_Data'!I20=I234,IF(ISBLANK('Source_Data'!I20)=ISBLANK(I234),0,1),1),IF('Source_Data'!J20=J234,IF(ISBLANK('Source_Data'!J20)=ISBLANK(J234),0,1),1),IF('Source_Data'!K20=K234,IF(ISBLANK('Source_Data'!K20)=ISBLANK(K234),0,1),1))</x:f>
        <x:v>0</x:v>
      </x:c>
    </x:row>
    <x:row r="235" ht="23" customHeight="1">
      <x:c r="A235" s="2" t="str">
        <x:v>FY2025|Myanmar|61103099</x:v>
      </x:c>
      <x:c r="B235" s="2" t="str">
        <x:v>FY2025</x:v>
      </x:c>
      <x:c r="C235" s="2" t="str">
        <x:v>Myanmar</x:v>
      </x:c>
      <x:c r="D235" s="2" t="str">
        <x:v>61103099</x:v>
      </x:c>
      <x:c r="E235" s="2" t="n">
        <x:v>8133003</x:v>
      </x:c>
      <x:c r="F235" s="2" t="n">
        <x:v>508754</x:v>
      </x:c>
      <x:c r="G235" s="2" t="n">
        <x:v>12</x:v>
      </x:c>
      <x:c r="H235" s="2" t="n">
        <x:v>0</x:v>
      </x:c>
      <x:c r="I235" s="2" t="n">
        <x:v>15.986120993643294</x:v>
      </x:c>
      <x:c r="J235" s="2" t="n">
        <x:v>202501</x:v>
      </x:c>
      <x:c r="K235" s="2" t="n">
        <x:v>202512</x:v>
      </x:c>
      <x:c r="L235" s="2" t="n">
        <x:f>SUM(IF('Source_Data'!A21=A235,IF(ISBLANK('Source_Data'!A21)=ISBLANK(A235),0,1),1),IF('Source_Data'!B21=B235,IF(ISBLANK('Source_Data'!B21)=ISBLANK(B235),0,1),1),IF('Source_Data'!C21=C235,IF(ISBLANK('Source_Data'!C21)=ISBLANK(C235),0,1),1),IF('Source_Data'!D21=D235,IF(ISBLANK('Source_Data'!D21)=ISBLANK(D235),0,1),1),IF('Source_Data'!E21=E235,IF(ISBLANK('Source_Data'!E21)=ISBLANK(E235),0,1),1),IF('Source_Data'!F21=F235,IF(ISBLANK('Source_Data'!F21)=ISBLANK(F235),0,1),1),IF('Source_Data'!G21=G235,IF(ISBLANK('Source_Data'!G21)=ISBLANK(G235),0,1),1),IF('Source_Data'!H21=H235,IF(ISBLANK('Source_Data'!H21)=ISBLANK(H235),0,1),1),IF('Source_Data'!I21=I235,IF(ISBLANK('Source_Data'!I21)=ISBLANK(I235),0,1),1),IF('Source_Data'!J21=J235,IF(ISBLANK('Source_Data'!J21)=ISBLANK(J235),0,1),1),IF('Source_Data'!K21=K235,IF(ISBLANK('Source_Data'!K21)=ISBLANK(K235),0,1),1))</x:f>
        <x:v>0</x:v>
      </x:c>
    </x:row>
    <x:row r="236" ht="23" customHeight="1">
      <x:c r="A236" s="2" t="str">
        <x:v>FY2025|Pakistan|61103099</x:v>
      </x:c>
      <x:c r="B236" s="2" t="str">
        <x:v>FY2025</x:v>
      </x:c>
      <x:c r="C236" s="2" t="str">
        <x:v>Pakistan</x:v>
      </x:c>
      <x:c r="D236" s="2" t="str">
        <x:v>61103099</x:v>
      </x:c>
      <x:c r="E236" s="2" t="n">
        <x:v>5754495</x:v>
      </x:c>
      <x:c r="F236" s="2" t="n">
        <x:v>427235</x:v>
      </x:c>
      <x:c r="G236" s="2" t="n">
        <x:v>12</x:v>
      </x:c>
      <x:c r="H236" s="2" t="n">
        <x:v>0</x:v>
      </x:c>
      <x:c r="I236" s="2" t="n">
        <x:v>13.469156319121796</x:v>
      </x:c>
      <x:c r="J236" s="2" t="n">
        <x:v>202501</x:v>
      </x:c>
      <x:c r="K236" s="2" t="n">
        <x:v>202512</x:v>
      </x:c>
      <x:c r="L236" s="2" t="n">
        <x:f>SUM(IF('Source_Data'!A22=A236,IF(ISBLANK('Source_Data'!A22)=ISBLANK(A236),0,1),1),IF('Source_Data'!B22=B236,IF(ISBLANK('Source_Data'!B22)=ISBLANK(B236),0,1),1),IF('Source_Data'!C22=C236,IF(ISBLANK('Source_Data'!C22)=ISBLANK(C236),0,1),1),IF('Source_Data'!D22=D236,IF(ISBLANK('Source_Data'!D22)=ISBLANK(D236),0,1),1),IF('Source_Data'!E22=E236,IF(ISBLANK('Source_Data'!E22)=ISBLANK(E236),0,1),1),IF('Source_Data'!F22=F236,IF(ISBLANK('Source_Data'!F22)=ISBLANK(F236),0,1),1),IF('Source_Data'!G22=G236,IF(ISBLANK('Source_Data'!G22)=ISBLANK(G236),0,1),1),IF('Source_Data'!H22=H236,IF(ISBLANK('Source_Data'!H22)=ISBLANK(H236),0,1),1),IF('Source_Data'!I22=I236,IF(ISBLANK('Source_Data'!I22)=ISBLANK(I236),0,1),1),IF('Source_Data'!J22=J236,IF(ISBLANK('Source_Data'!J22)=ISBLANK(J236),0,1),1),IF('Source_Data'!K22=K236,IF(ISBLANK('Source_Data'!K22)=ISBLANK(K236),0,1),1))</x:f>
        <x:v>0</x:v>
      </x:c>
    </x:row>
    <x:row r="237" ht="23" customHeight="1">
      <x:c r="A237" s="2" t="str">
        <x:v>FY2025|Sri Lanka|61103099</x:v>
      </x:c>
      <x:c r="B237" s="2" t="str">
        <x:v>FY2025</x:v>
      </x:c>
      <x:c r="C237" s="2" t="str">
        <x:v>Sri Lanka</x:v>
      </x:c>
      <x:c r="D237" s="2" t="str">
        <x:v>61103099</x:v>
      </x:c>
      <x:c r="E237" s="2" t="n">
        <x:v>1800198</x:v>
      </x:c>
      <x:c r="F237" s="2" t="n">
        <x:v>100905</x:v>
      </x:c>
      <x:c r="G237" s="2" t="n">
        <x:v>12</x:v>
      </x:c>
      <x:c r="H237" s="2" t="n">
        <x:v>0</x:v>
      </x:c>
      <x:c r="I237" s="2" t="n">
        <x:v>17.840523264456667</x:v>
      </x:c>
      <x:c r="J237" s="2" t="n">
        <x:v>202501</x:v>
      </x:c>
      <x:c r="K237" s="2" t="n">
        <x:v>202512</x:v>
      </x:c>
      <x:c r="L237" s="2" t="n">
        <x:f>SUM(IF('Source_Data'!A23=A237,IF(ISBLANK('Source_Data'!A23)=ISBLANK(A237),0,1),1),IF('Source_Data'!B23=B237,IF(ISBLANK('Source_Data'!B23)=ISBLANK(B237),0,1),1),IF('Source_Data'!C23=C237,IF(ISBLANK('Source_Data'!C23)=ISBLANK(C237),0,1),1),IF('Source_Data'!D23=D237,IF(ISBLANK('Source_Data'!D23)=ISBLANK(D237),0,1),1),IF('Source_Data'!E23=E237,IF(ISBLANK('Source_Data'!E23)=ISBLANK(E237),0,1),1),IF('Source_Data'!F23=F237,IF(ISBLANK('Source_Data'!F23)=ISBLANK(F237),0,1),1),IF('Source_Data'!G23=G237,IF(ISBLANK('Source_Data'!G23)=ISBLANK(G237),0,1),1),IF('Source_Data'!H23=H237,IF(ISBLANK('Source_Data'!H23)=ISBLANK(H237),0,1),1),IF('Source_Data'!I23=I237,IF(ISBLANK('Source_Data'!I23)=ISBLANK(I237),0,1),1),IF('Source_Data'!J23=J237,IF(ISBLANK('Source_Data'!J23)=ISBLANK(J237),0,1),1),IF('Source_Data'!K23=K237,IF(ISBLANK('Source_Data'!K23)=ISBLANK(K237),0,1),1))</x:f>
        <x:v>0</x:v>
      </x:c>
    </x:row>
    <x:row r="238" ht="23" customHeight="1">
      <x:c r="A238" s="2" t="str">
        <x:v>FY2025|Turkey|61103099</x:v>
      </x:c>
      <x:c r="B238" s="2" t="str">
        <x:v>FY2025</x:v>
      </x:c>
      <x:c r="C238" s="2" t="str">
        <x:v>Turkey</x:v>
      </x:c>
      <x:c r="D238" s="2" t="str">
        <x:v>61103099</x:v>
      </x:c>
      <x:c r="E238" s="2" t="n">
        <x:v>58922223</x:v>
      </x:c>
      <x:c r="F238" s="2" t="n">
        <x:v>7348045</x:v>
      </x:c>
      <x:c r="G238" s="2" t="n">
        <x:v>12</x:v>
      </x:c>
      <x:c r="H238" s="2" t="n">
        <x:v>2</x:v>
      </x:c>
      <x:c r="I238" s="2" t="n">
        <x:v>8.018761861148102</x:v>
      </x:c>
      <x:c r="J238" s="2" t="n">
        <x:v>202501</x:v>
      </x:c>
      <x:c r="K238" s="2" t="n">
        <x:v>202512</x:v>
      </x:c>
      <x:c r="L238" s="2" t="n">
        <x:f>SUM(IF('Source_Data'!A24=A238,IF(ISBLANK('Source_Data'!A24)=ISBLANK(A238),0,1),1),IF('Source_Data'!B24=B238,IF(ISBLANK('Source_Data'!B24)=ISBLANK(B238),0,1),1),IF('Source_Data'!C24=C238,IF(ISBLANK('Source_Data'!C24)=ISBLANK(C238),0,1),1),IF('Source_Data'!D24=D238,IF(ISBLANK('Source_Data'!D24)=ISBLANK(D238),0,1),1),IF('Source_Data'!E24=E238,IF(ISBLANK('Source_Data'!E24)=ISBLANK(E238),0,1),1),IF('Source_Data'!F24=F238,IF(ISBLANK('Source_Data'!F24)=ISBLANK(F238),0,1),1),IF('Source_Data'!G24=G238,IF(ISBLANK('Source_Data'!G24)=ISBLANK(G238),0,1),1),IF('Source_Data'!H24=H238,IF(ISBLANK('Source_Data'!H24)=ISBLANK(H238),0,1),1),IF('Source_Data'!I24=I238,IF(ISBLANK('Source_Data'!I24)=ISBLANK(I238),0,1),1),IF('Source_Data'!J24=J238,IF(ISBLANK('Source_Data'!J24)=ISBLANK(J238),0,1),1),IF('Source_Data'!K24=K238,IF(ISBLANK('Source_Data'!K24)=ISBLANK(K238),0,1),1))</x:f>
        <x:v>0</x:v>
      </x:c>
    </x:row>
    <x:row r="239" ht="23" customHeight="1">
      <x:c r="A239" s="2" t="str">
        <x:v>FY2025|Vietnam|61103099</x:v>
      </x:c>
      <x:c r="B239" s="2" t="str">
        <x:v>FY2025</x:v>
      </x:c>
      <x:c r="C239" s="2" t="str">
        <x:v>Vietnam</x:v>
      </x:c>
      <x:c r="D239" s="2" t="str">
        <x:v>61103099</x:v>
      </x:c>
      <x:c r="E239" s="2" t="n">
        <x:v>10350943</x:v>
      </x:c>
      <x:c r="F239" s="2" t="n">
        <x:v>396647</x:v>
      </x:c>
      <x:c r="G239" s="2" t="n">
        <x:v>12</x:v>
      </x:c>
      <x:c r="H239" s="2" t="n">
        <x:v>0</x:v>
      </x:c>
      <x:c r="I239" s="2" t="n">
        <x:v>26.09610812636929</x:v>
      </x:c>
      <x:c r="J239" s="2" t="n">
        <x:v>202501</x:v>
      </x:c>
      <x:c r="K239" s="2" t="n">
        <x:v>202512</x:v>
      </x:c>
      <x:c r="L239" s="2" t="n">
        <x:f>SUM(IF('Source_Data'!A25=A239,IF(ISBLANK('Source_Data'!A25)=ISBLANK(A239),0,1),1),IF('Source_Data'!B25=B239,IF(ISBLANK('Source_Data'!B25)=ISBLANK(B239),0,1),1),IF('Source_Data'!C25=C239,IF(ISBLANK('Source_Data'!C25)=ISBLANK(C239),0,1),1),IF('Source_Data'!D25=D239,IF(ISBLANK('Source_Data'!D25)=ISBLANK(D239),0,1),1),IF('Source_Data'!E25=E239,IF(ISBLANK('Source_Data'!E25)=ISBLANK(E239),0,1),1),IF('Source_Data'!F25=F239,IF(ISBLANK('Source_Data'!F25)=ISBLANK(F239),0,1),1),IF('Source_Data'!G25=G239,IF(ISBLANK('Source_Data'!G25)=ISBLANK(G239),0,1),1),IF('Source_Data'!H25=H239,IF(ISBLANK('Source_Data'!H25)=ISBLANK(H239),0,1),1),IF('Source_Data'!I25=I239,IF(ISBLANK('Source_Data'!I25)=ISBLANK(I239),0,1),1),IF('Source_Data'!J25=J239,IF(ISBLANK('Source_Data'!J25)=ISBLANK(J239),0,1),1),IF('Source_Data'!K25=K239,IF(ISBLANK('Source_Data'!K25)=ISBLANK(K239),0,1),1))</x:f>
        <x:v>0</x:v>
      </x:c>
    </x:row>
    <x:row r="240" ht="23" customHeight="1">
      <x:c r="A240" s="2" t="str">
        <x:v>FY2025|Bangladesh|62044300</x:v>
      </x:c>
      <x:c r="B240" s="2" t="str">
        <x:v>FY2025</x:v>
      </x:c>
      <x:c r="C240" s="2" t="str">
        <x:v>Bangladesh</x:v>
      </x:c>
      <x:c r="D240" s="2" t="str">
        <x:v>62044300</x:v>
      </x:c>
      <x:c r="E240" s="2" t="n">
        <x:v>12960863</x:v>
      </x:c>
      <x:c r="F240" s="2" t="n">
        <x:v>788304</x:v>
      </x:c>
      <x:c r="G240" s="2" t="n">
        <x:v>12</x:v>
      </x:c>
      <x:c r="H240" s="2" t="n">
        <x:v>0</x:v>
      </x:c>
      <x:c r="I240" s="2" t="n">
        <x:v>16.44145278978668</x:v>
      </x:c>
      <x:c r="J240" s="2" t="n">
        <x:v>202501</x:v>
      </x:c>
      <x:c r="K240" s="2" t="n">
        <x:v>202512</x:v>
      </x:c>
      <x:c r="L240" s="2" t="n">
        <x:f>SUM(IF('Source_Data'!A26=A240,IF(ISBLANK('Source_Data'!A26)=ISBLANK(A240),0,1),1),IF('Source_Data'!B26=B240,IF(ISBLANK('Source_Data'!B26)=ISBLANK(B240),0,1),1),IF('Source_Data'!C26=C240,IF(ISBLANK('Source_Data'!C26)=ISBLANK(C240),0,1),1),IF('Source_Data'!D26=D240,IF(ISBLANK('Source_Data'!D26)=ISBLANK(D240),0,1),1),IF('Source_Data'!E26=E240,IF(ISBLANK('Source_Data'!E26)=ISBLANK(E240),0,1),1),IF('Source_Data'!F26=F240,IF(ISBLANK('Source_Data'!F26)=ISBLANK(F240),0,1),1),IF('Source_Data'!G26=G240,IF(ISBLANK('Source_Data'!G26)=ISBLANK(G240),0,1),1),IF('Source_Data'!H26=H240,IF(ISBLANK('Source_Data'!H26)=ISBLANK(H240),0,1),1),IF('Source_Data'!I26=I240,IF(ISBLANK('Source_Data'!I26)=ISBLANK(I240),0,1),1),IF('Source_Data'!J26=J240,IF(ISBLANK('Source_Data'!J26)=ISBLANK(J240),0,1),1),IF('Source_Data'!K26=K240,IF(ISBLANK('Source_Data'!K26)=ISBLANK(K240),0,1),1))</x:f>
        <x:v>0</x:v>
      </x:c>
    </x:row>
    <x:row r="241" ht="23" customHeight="1">
      <x:c r="A241" s="2" t="str">
        <x:v>FY2025|Cambodia|62044300</x:v>
      </x:c>
      <x:c r="B241" s="2" t="str">
        <x:v>FY2025</x:v>
      </x:c>
      <x:c r="C241" s="2" t="str">
        <x:v>Cambodia</x:v>
      </x:c>
      <x:c r="D241" s="2" t="str">
        <x:v>62044300</x:v>
      </x:c>
      <x:c r="E241" s="2" t="n">
        <x:v>3551535</x:v>
      </x:c>
      <x:c r="F241" s="2" t="n">
        <x:v>193821</x:v>
      </x:c>
      <x:c r="G241" s="2" t="n">
        <x:v>12</x:v>
      </x:c>
      <x:c r="H241" s="2" t="n">
        <x:v>0</x:v>
      </x:c>
      <x:c r="I241" s="2" t="n">
        <x:v>18.32378844397666</x:v>
      </x:c>
      <x:c r="J241" s="2" t="n">
        <x:v>202501</x:v>
      </x:c>
      <x:c r="K241" s="2" t="n">
        <x:v>202512</x:v>
      </x:c>
      <x:c r="L241" s="2" t="n">
        <x:f>SUM(IF('Source_Data'!A27=A241,IF(ISBLANK('Source_Data'!A27)=ISBLANK(A241),0,1),1),IF('Source_Data'!B27=B241,IF(ISBLANK('Source_Data'!B27)=ISBLANK(B241),0,1),1),IF('Source_Data'!C27=C241,IF(ISBLANK('Source_Data'!C27)=ISBLANK(C241),0,1),1),IF('Source_Data'!D27=D241,IF(ISBLANK('Source_Data'!D27)=ISBLANK(D241),0,1),1),IF('Source_Data'!E27=E241,IF(ISBLANK('Source_Data'!E27)=ISBLANK(E241),0,1),1),IF('Source_Data'!F27=F241,IF(ISBLANK('Source_Data'!F27)=ISBLANK(F241),0,1),1),IF('Source_Data'!G27=G241,IF(ISBLANK('Source_Data'!G27)=ISBLANK(G241),0,1),1),IF('Source_Data'!H27=H241,IF(ISBLANK('Source_Data'!H27)=ISBLANK(H241),0,1),1),IF('Source_Data'!I27=I241,IF(ISBLANK('Source_Data'!I27)=ISBLANK(I241),0,1),1),IF('Source_Data'!J27=J241,IF(ISBLANK('Source_Data'!J27)=ISBLANK(J241),0,1),1),IF('Source_Data'!K27=K241,IF(ISBLANK('Source_Data'!K27)=ISBLANK(K241),0,1),1))</x:f>
        <x:v>0</x:v>
      </x:c>
    </x:row>
    <x:row r="242" ht="23" customHeight="1">
      <x:c r="A242" s="2" t="str">
        <x:v>FY2025|China|62044300</x:v>
      </x:c>
      <x:c r="B242" s="2" t="str">
        <x:v>FY2025</x:v>
      </x:c>
      <x:c r="C242" s="2" t="str">
        <x:v>China</x:v>
      </x:c>
      <x:c r="D242" s="2" t="str">
        <x:v>62044300</x:v>
      </x:c>
      <x:c r="E242" s="2" t="n">
        <x:v>102164136</x:v>
      </x:c>
      <x:c r="F242" s="2" t="n">
        <x:v>3777711</x:v>
      </x:c>
      <x:c r="G242" s="2" t="n">
        <x:v>12</x:v>
      </x:c>
      <x:c r="H242" s="2" t="n">
        <x:v>0</x:v>
      </x:c>
      <x:c r="I242" s="2" t="n">
        <x:v>27.04392580586498</x:v>
      </x:c>
      <x:c r="J242" s="2" t="n">
        <x:v>202501</x:v>
      </x:c>
      <x:c r="K242" s="2" t="n">
        <x:v>202512</x:v>
      </x:c>
      <x:c r="L242" s="2" t="n">
        <x:f>SUM(IF('Source_Data'!A28=A242,IF(ISBLANK('Source_Data'!A28)=ISBLANK(A242),0,1),1),IF('Source_Data'!B28=B242,IF(ISBLANK('Source_Data'!B28)=ISBLANK(B242),0,1),1),IF('Source_Data'!C28=C242,IF(ISBLANK('Source_Data'!C28)=ISBLANK(C242),0,1),1),IF('Source_Data'!D28=D242,IF(ISBLANK('Source_Data'!D28)=ISBLANK(D242),0,1),1),IF('Source_Data'!E28=E242,IF(ISBLANK('Source_Data'!E28)=ISBLANK(E242),0,1),1),IF('Source_Data'!F28=F242,IF(ISBLANK('Source_Data'!F28)=ISBLANK(F242),0,1),1),IF('Source_Data'!G28=G242,IF(ISBLANK('Source_Data'!G28)=ISBLANK(G242),0,1),1),IF('Source_Data'!H28=H242,IF(ISBLANK('Source_Data'!H28)=ISBLANK(H242),0,1),1),IF('Source_Data'!I28=I242,IF(ISBLANK('Source_Data'!I28)=ISBLANK(I242),0,1),1),IF('Source_Data'!J28=J242,IF(ISBLANK('Source_Data'!J28)=ISBLANK(J242),0,1),1),IF('Source_Data'!K28=K242,IF(ISBLANK('Source_Data'!K28)=ISBLANK(K242),0,1),1))</x:f>
        <x:v>0</x:v>
      </x:c>
    </x:row>
    <x:row r="243" ht="23" customHeight="1">
      <x:c r="A243" s="2" t="str">
        <x:v>FY2025|India|62044300</x:v>
      </x:c>
      <x:c r="B243" s="2" t="str">
        <x:v>FY2025</x:v>
      </x:c>
      <x:c r="C243" s="2" t="str">
        <x:v>India</x:v>
      </x:c>
      <x:c r="D243" s="2" t="str">
        <x:v>62044300</x:v>
      </x:c>
      <x:c r="E243" s="2" t="n">
        <x:v>35008468</x:v>
      </x:c>
      <x:c r="F243" s="2" t="n">
        <x:v>1191708</x:v>
      </x:c>
      <x:c r="G243" s="2" t="n">
        <x:v>12</x:v>
      </x:c>
      <x:c r="H243" s="2" t="n">
        <x:v>0</x:v>
      </x:c>
      <x:c r="I243" s="2" t="n">
        <x:v>29.376716443961104</x:v>
      </x:c>
      <x:c r="J243" s="2" t="n">
        <x:v>202501</x:v>
      </x:c>
      <x:c r="K243" s="2" t="n">
        <x:v>202512</x:v>
      </x:c>
      <x:c r="L243" s="2" t="n">
        <x:f>SUM(IF('Source_Data'!A29=A243,IF(ISBLANK('Source_Data'!A29)=ISBLANK(A243),0,1),1),IF('Source_Data'!B29=B243,IF(ISBLANK('Source_Data'!B29)=ISBLANK(B243),0,1),1),IF('Source_Data'!C29=C243,IF(ISBLANK('Source_Data'!C29)=ISBLANK(C243),0,1),1),IF('Source_Data'!D29=D243,IF(ISBLANK('Source_Data'!D29)=ISBLANK(D243),0,1),1),IF('Source_Data'!E29=E243,IF(ISBLANK('Source_Data'!E29)=ISBLANK(E243),0,1),1),IF('Source_Data'!F29=F243,IF(ISBLANK('Source_Data'!F29)=ISBLANK(F243),0,1),1),IF('Source_Data'!G29=G243,IF(ISBLANK('Source_Data'!G29)=ISBLANK(G243),0,1),1),IF('Source_Data'!H29=H243,IF(ISBLANK('Source_Data'!H29)=ISBLANK(H243),0,1),1),IF('Source_Data'!I29=I243,IF(ISBLANK('Source_Data'!I29)=ISBLANK(I243),0,1),1),IF('Source_Data'!J29=J243,IF(ISBLANK('Source_Data'!J29)=ISBLANK(J243),0,1),1),IF('Source_Data'!K29=K243,IF(ISBLANK('Source_Data'!K29)=ISBLANK(K243),0,1),1))</x:f>
        <x:v>0</x:v>
      </x:c>
    </x:row>
    <x:row r="244" ht="23" customHeight="1">
      <x:c r="A244" s="2" t="str">
        <x:v>FY2025|Morocco|62044300</x:v>
      </x:c>
      <x:c r="B244" s="2" t="str">
        <x:v>FY2025</x:v>
      </x:c>
      <x:c r="C244" s="2" t="str">
        <x:v>Morocco</x:v>
      </x:c>
      <x:c r="D244" s="2" t="str">
        <x:v>62044300</x:v>
      </x:c>
      <x:c r="E244" s="2" t="n">
        <x:v>10494510</x:v>
      </x:c>
      <x:c r="F244" s="2" t="n">
        <x:v>483259</x:v>
      </x:c>
      <x:c r="G244" s="2" t="n">
        <x:v>12</x:v>
      </x:c>
      <x:c r="H244" s="2" t="n">
        <x:v>0</x:v>
      </x:c>
      <x:c r="I244" s="2" t="n">
        <x:v>21.716119099696023</x:v>
      </x:c>
      <x:c r="J244" s="2" t="n">
        <x:v>202501</x:v>
      </x:c>
      <x:c r="K244" s="2" t="n">
        <x:v>202512</x:v>
      </x:c>
      <x:c r="L244" s="2" t="n">
        <x:f>SUM(IF('Source_Data'!A30=A244,IF(ISBLANK('Source_Data'!A30)=ISBLANK(A244),0,1),1),IF('Source_Data'!B30=B244,IF(ISBLANK('Source_Data'!B30)=ISBLANK(B244),0,1),1),IF('Source_Data'!C30=C244,IF(ISBLANK('Source_Data'!C30)=ISBLANK(C244),0,1),1),IF('Source_Data'!D30=D244,IF(ISBLANK('Source_Data'!D30)=ISBLANK(D244),0,1),1),IF('Source_Data'!E30=E244,IF(ISBLANK('Source_Data'!E30)=ISBLANK(E244),0,1),1),IF('Source_Data'!F30=F244,IF(ISBLANK('Source_Data'!F30)=ISBLANK(F244),0,1),1),IF('Source_Data'!G30=G244,IF(ISBLANK('Source_Data'!G30)=ISBLANK(G244),0,1),1),IF('Source_Data'!H30=H244,IF(ISBLANK('Source_Data'!H30)=ISBLANK(H244),0,1),1),IF('Source_Data'!I30=I244,IF(ISBLANK('Source_Data'!I30)=ISBLANK(I244),0,1),1),IF('Source_Data'!J30=J244,IF(ISBLANK('Source_Data'!J30)=ISBLANK(J244),0,1),1),IF('Source_Data'!K30=K244,IF(ISBLANK('Source_Data'!K30)=ISBLANK(K244),0,1),1))</x:f>
        <x:v>0</x:v>
      </x:c>
    </x:row>
    <x:row r="245" ht="23" customHeight="1">
      <x:c r="A245" s="2" t="str">
        <x:v>FY2025|Myanmar|62044300</x:v>
      </x:c>
      <x:c r="B245" s="2" t="str">
        <x:v>FY2025</x:v>
      </x:c>
      <x:c r="C245" s="2" t="str">
        <x:v>Myanmar</x:v>
      </x:c>
      <x:c r="D245" s="2" t="str">
        <x:v>62044300</x:v>
      </x:c>
      <x:c r="E245" s="2" t="n">
        <x:v>6104751</x:v>
      </x:c>
      <x:c r="F245" s="2" t="n">
        <x:v>138284</x:v>
      </x:c>
      <x:c r="G245" s="2" t="n">
        <x:v>12</x:v>
      </x:c>
      <x:c r="H245" s="2" t="n">
        <x:v>0</x:v>
      </x:c>
      <x:c r="I245" s="2" t="n">
        <x:v>44.14647392323045</x:v>
      </x:c>
      <x:c r="J245" s="2" t="n">
        <x:v>202501</x:v>
      </x:c>
      <x:c r="K245" s="2" t="n">
        <x:v>202512</x:v>
      </x:c>
      <x:c r="L245" s="2" t="n">
        <x:f>SUM(IF('Source_Data'!A31=A245,IF(ISBLANK('Source_Data'!A31)=ISBLANK(A245),0,1),1),IF('Source_Data'!B31=B245,IF(ISBLANK('Source_Data'!B31)=ISBLANK(B245),0,1),1),IF('Source_Data'!C31=C245,IF(ISBLANK('Source_Data'!C31)=ISBLANK(C245),0,1),1),IF('Source_Data'!D31=D245,IF(ISBLANK('Source_Data'!D31)=ISBLANK(D245),0,1),1),IF('Source_Data'!E31=E245,IF(ISBLANK('Source_Data'!E31)=ISBLANK(E245),0,1),1),IF('Source_Data'!F31=F245,IF(ISBLANK('Source_Data'!F31)=ISBLANK(F245),0,1),1),IF('Source_Data'!G31=G245,IF(ISBLANK('Source_Data'!G31)=ISBLANK(G245),0,1),1),IF('Source_Data'!H31=H245,IF(ISBLANK('Source_Data'!H31)=ISBLANK(H245),0,1),1),IF('Source_Data'!I31=I245,IF(ISBLANK('Source_Data'!I31)=ISBLANK(I245),0,1),1),IF('Source_Data'!J31=J245,IF(ISBLANK('Source_Data'!J31)=ISBLANK(J245),0,1),1),IF('Source_Data'!K31=K245,IF(ISBLANK('Source_Data'!K31)=ISBLANK(K245),0,1),1))</x:f>
        <x:v>0</x:v>
      </x:c>
    </x:row>
    <x:row r="246" ht="23" customHeight="1">
      <x:c r="A246" s="2" t="str">
        <x:v>FY2025|Pakistan|62044300</x:v>
      </x:c>
      <x:c r="B246" s="2" t="str">
        <x:v>FY2025</x:v>
      </x:c>
      <x:c r="C246" s="2" t="str">
        <x:v>Pakistan</x:v>
      </x:c>
      <x:c r="D246" s="2" t="str">
        <x:v>62044300</x:v>
      </x:c>
      <x:c r="E246" s="2" t="n">
        <x:v>1574667</x:v>
      </x:c>
      <x:c r="F246" s="2" t="n">
        <x:v>78305</x:v>
      </x:c>
      <x:c r="G246" s="2" t="n">
        <x:v>12</x:v>
      </x:c>
      <x:c r="H246" s="2" t="n">
        <x:v>0</x:v>
      </x:c>
      <x:c r="I246" s="2" t="n">
        <x:v>20.109405529659664</x:v>
      </x:c>
      <x:c r="J246" s="2" t="n">
        <x:v>202501</x:v>
      </x:c>
      <x:c r="K246" s="2" t="n">
        <x:v>202512</x:v>
      </x:c>
      <x:c r="L246" s="2" t="n">
        <x:f>SUM(IF('Source_Data'!A32=A246,IF(ISBLANK('Source_Data'!A32)=ISBLANK(A246),0,1),1),IF('Source_Data'!B32=B246,IF(ISBLANK('Source_Data'!B32)=ISBLANK(B246),0,1),1),IF('Source_Data'!C32=C246,IF(ISBLANK('Source_Data'!C32)=ISBLANK(C246),0,1),1),IF('Source_Data'!D32=D246,IF(ISBLANK('Source_Data'!D32)=ISBLANK(D246),0,1),1),IF('Source_Data'!E32=E246,IF(ISBLANK('Source_Data'!E32)=ISBLANK(E246),0,1),1),IF('Source_Data'!F32=F246,IF(ISBLANK('Source_Data'!F32)=ISBLANK(F246),0,1),1),IF('Source_Data'!G32=G246,IF(ISBLANK('Source_Data'!G32)=ISBLANK(G246),0,1),1),IF('Source_Data'!H32=H246,IF(ISBLANK('Source_Data'!H32)=ISBLANK(H246),0,1),1),IF('Source_Data'!I32=I246,IF(ISBLANK('Source_Data'!I32)=ISBLANK(I246),0,1),1),IF('Source_Data'!J32=J246,IF(ISBLANK('Source_Data'!J32)=ISBLANK(J246),0,1),1),IF('Source_Data'!K32=K246,IF(ISBLANK('Source_Data'!K32)=ISBLANK(K246),0,1),1))</x:f>
        <x:v>0</x:v>
      </x:c>
    </x:row>
    <x:row r="247" ht="23" customHeight="1">
      <x:c r="A247" s="2" t="str">
        <x:v>FY2025|Sri Lanka|62044300</x:v>
      </x:c>
      <x:c r="B247" s="2" t="str">
        <x:v>FY2025</x:v>
      </x:c>
      <x:c r="C247" s="2" t="str">
        <x:v>Sri Lanka</x:v>
      </x:c>
      <x:c r="D247" s="2" t="str">
        <x:v>62044300</x:v>
      </x:c>
      <x:c r="E247" s="2" t="n">
        <x:v>12589106</x:v>
      </x:c>
      <x:c r="F247" s="2" t="n">
        <x:v>683522</x:v>
      </x:c>
      <x:c r="G247" s="2" t="n">
        <x:v>12</x:v>
      </x:c>
      <x:c r="H247" s="2" t="n">
        <x:v>0</x:v>
      </x:c>
      <x:c r="I247" s="2" t="n">
        <x:v>18.417996787228503</x:v>
      </x:c>
      <x:c r="J247" s="2" t="n">
        <x:v>202501</x:v>
      </x:c>
      <x:c r="K247" s="2" t="n">
        <x:v>202512</x:v>
      </x:c>
      <x:c r="L247" s="2" t="n">
        <x:f>SUM(IF('Source_Data'!A33=A247,IF(ISBLANK('Source_Data'!A33)=ISBLANK(A247),0,1),1),IF('Source_Data'!B33=B247,IF(ISBLANK('Source_Data'!B33)=ISBLANK(B247),0,1),1),IF('Source_Data'!C33=C247,IF(ISBLANK('Source_Data'!C33)=ISBLANK(C247),0,1),1),IF('Source_Data'!D33=D247,IF(ISBLANK('Source_Data'!D33)=ISBLANK(D247),0,1),1),IF('Source_Data'!E33=E247,IF(ISBLANK('Source_Data'!E33)=ISBLANK(E247),0,1),1),IF('Source_Data'!F33=F247,IF(ISBLANK('Source_Data'!F33)=ISBLANK(F247),0,1),1),IF('Source_Data'!G33=G247,IF(ISBLANK('Source_Data'!G33)=ISBLANK(G247),0,1),1),IF('Source_Data'!H33=H247,IF(ISBLANK('Source_Data'!H33)=ISBLANK(H247),0,1),1),IF('Source_Data'!I33=I247,IF(ISBLANK('Source_Data'!I33)=ISBLANK(I247),0,1),1),IF('Source_Data'!J33=J247,IF(ISBLANK('Source_Data'!J33)=ISBLANK(J247),0,1),1),IF('Source_Data'!K33=K247,IF(ISBLANK('Source_Data'!K33)=ISBLANK(K247),0,1),1))</x:f>
        <x:v>0</x:v>
      </x:c>
    </x:row>
    <x:row r="248" ht="23" customHeight="1">
      <x:c r="A248" s="2" t="str">
        <x:v>FY2025|Turkey|62044300</x:v>
      </x:c>
      <x:c r="B248" s="2" t="str">
        <x:v>FY2025</x:v>
      </x:c>
      <x:c r="C248" s="2" t="str">
        <x:v>Turkey</x:v>
      </x:c>
      <x:c r="D248" s="2" t="str">
        <x:v>62044300</x:v>
      </x:c>
      <x:c r="E248" s="2" t="n">
        <x:v>9800274</x:v>
      </x:c>
      <x:c r="F248" s="2" t="n">
        <x:v>268083</x:v>
      </x:c>
      <x:c r="G248" s="2" t="n">
        <x:v>12</x:v>
      </x:c>
      <x:c r="H248" s="2" t="n">
        <x:v>0</x:v>
      </x:c>
      <x:c r="I248" s="2" t="n">
        <x:v>36.556864851557165</x:v>
      </x:c>
      <x:c r="J248" s="2" t="n">
        <x:v>202501</x:v>
      </x:c>
      <x:c r="K248" s="2" t="n">
        <x:v>202512</x:v>
      </x:c>
      <x:c r="L248" s="2" t="n">
        <x:f>SUM(IF('Source_Data'!A34=A248,IF(ISBLANK('Source_Data'!A34)=ISBLANK(A248),0,1),1),IF('Source_Data'!B34=B248,IF(ISBLANK('Source_Data'!B34)=ISBLANK(B248),0,1),1),IF('Source_Data'!C34=C248,IF(ISBLANK('Source_Data'!C34)=ISBLANK(C248),0,1),1),IF('Source_Data'!D34=D248,IF(ISBLANK('Source_Data'!D34)=ISBLANK(D248),0,1),1),IF('Source_Data'!E34=E248,IF(ISBLANK('Source_Data'!E34)=ISBLANK(E248),0,1),1),IF('Source_Data'!F34=F248,IF(ISBLANK('Source_Data'!F34)=ISBLANK(F248),0,1),1),IF('Source_Data'!G34=G248,IF(ISBLANK('Source_Data'!G34)=ISBLANK(G248),0,1),1),IF('Source_Data'!H34=H248,IF(ISBLANK('Source_Data'!H34)=ISBLANK(H248),0,1),1),IF('Source_Data'!I34=I248,IF(ISBLANK('Source_Data'!I34)=ISBLANK(I248),0,1),1),IF('Source_Data'!J34=J248,IF(ISBLANK('Source_Data'!J34)=ISBLANK(J248),0,1),1),IF('Source_Data'!K34=K248,IF(ISBLANK('Source_Data'!K34)=ISBLANK(K248),0,1),1))</x:f>
        <x:v>0</x:v>
      </x:c>
    </x:row>
    <x:row r="249" ht="23" customHeight="1">
      <x:c r="A249" s="2" t="str">
        <x:v>FY2025|Vietnam|62044300</x:v>
      </x:c>
      <x:c r="B249" s="2" t="str">
        <x:v>FY2025</x:v>
      </x:c>
      <x:c r="C249" s="2" t="str">
        <x:v>Vietnam</x:v>
      </x:c>
      <x:c r="D249" s="2" t="str">
        <x:v>62044300</x:v>
      </x:c>
      <x:c r="E249" s="2" t="n">
        <x:v>6910466</x:v>
      </x:c>
      <x:c r="F249" s="2" t="n">
        <x:v>275082</x:v>
      </x:c>
      <x:c r="G249" s="2" t="n">
        <x:v>12</x:v>
      </x:c>
      <x:c r="H249" s="2" t="n">
        <x:v>0</x:v>
      </x:c>
      <x:c r="I249" s="2" t="n">
        <x:v>25.121476505187545</x:v>
      </x:c>
      <x:c r="J249" s="2" t="n">
        <x:v>202501</x:v>
      </x:c>
      <x:c r="K249" s="2" t="n">
        <x:v>202512</x:v>
      </x:c>
      <x:c r="L249" s="2" t="n">
        <x:f>SUM(IF('Source_Data'!A35=A249,IF(ISBLANK('Source_Data'!A35)=ISBLANK(A249),0,1),1),IF('Source_Data'!B35=B249,IF(ISBLANK('Source_Data'!B35)=ISBLANK(B249),0,1),1),IF('Source_Data'!C35=C249,IF(ISBLANK('Source_Data'!C35)=ISBLANK(C249),0,1),1),IF('Source_Data'!D35=D249,IF(ISBLANK('Source_Data'!D35)=ISBLANK(D249),0,1),1),IF('Source_Data'!E35=E249,IF(ISBLANK('Source_Data'!E35)=ISBLANK(E249),0,1),1),IF('Source_Data'!F35=F249,IF(ISBLANK('Source_Data'!F35)=ISBLANK(F249),0,1),1),IF('Source_Data'!G35=G249,IF(ISBLANK('Source_Data'!G35)=ISBLANK(G249),0,1),1),IF('Source_Data'!H35=H249,IF(ISBLANK('Source_Data'!H35)=ISBLANK(H249),0,1),1),IF('Source_Data'!I35=I249,IF(ISBLANK('Source_Data'!I35)=ISBLANK(I249),0,1),1),IF('Source_Data'!J35=J249,IF(ISBLANK('Source_Data'!J35)=ISBLANK(J249),0,1),1),IF('Source_Data'!K35=K249,IF(ISBLANK('Source_Data'!K35)=ISBLANK(K249),0,1),1))</x:f>
        <x:v>0</x:v>
      </x:c>
    </x:row>
    <x:row r="250" ht="23" customHeight="1">
      <x:c r="A250" s="2" t="str">
        <x:v>FY2025|Bangladesh|62052000</x:v>
      </x:c>
      <x:c r="B250" s="2" t="str">
        <x:v>FY2025</x:v>
      </x:c>
      <x:c r="C250" s="2" t="str">
        <x:v>Bangladesh</x:v>
      </x:c>
      <x:c r="D250" s="2" t="str">
        <x:v>62052000</x:v>
      </x:c>
      <x:c r="E250" s="2" t="n">
        <x:v>81131664</x:v>
      </x:c>
      <x:c r="F250" s="2" t="n">
        <x:v>4630717</x:v>
      </x:c>
      <x:c r="G250" s="2" t="n">
        <x:v>12</x:v>
      </x:c>
      <x:c r="H250" s="2" t="n">
        <x:v>0</x:v>
      </x:c>
      <x:c r="I250" s="2" t="n">
        <x:v>17.520324390369787</x:v>
      </x:c>
      <x:c r="J250" s="2" t="n">
        <x:v>202501</x:v>
      </x:c>
      <x:c r="K250" s="2" t="n">
        <x:v>202512</x:v>
      </x:c>
      <x:c r="L250" s="2" t="n">
        <x:f>SUM(IF('Source_Data'!A36=A250,IF(ISBLANK('Source_Data'!A36)=ISBLANK(A250),0,1),1),IF('Source_Data'!B36=B250,IF(ISBLANK('Source_Data'!B36)=ISBLANK(B250),0,1),1),IF('Source_Data'!C36=C250,IF(ISBLANK('Source_Data'!C36)=ISBLANK(C250),0,1),1),IF('Source_Data'!D36=D250,IF(ISBLANK('Source_Data'!D36)=ISBLANK(D250),0,1),1),IF('Source_Data'!E36=E250,IF(ISBLANK('Source_Data'!E36)=ISBLANK(E250),0,1),1),IF('Source_Data'!F36=F250,IF(ISBLANK('Source_Data'!F36)=ISBLANK(F250),0,1),1),IF('Source_Data'!G36=G250,IF(ISBLANK('Source_Data'!G36)=ISBLANK(G250),0,1),1),IF('Source_Data'!H36=H250,IF(ISBLANK('Source_Data'!H36)=ISBLANK(H250),0,1),1),IF('Source_Data'!I36=I250,IF(ISBLANK('Source_Data'!I36)=ISBLANK(I250),0,1),1),IF('Source_Data'!J36=J250,IF(ISBLANK('Source_Data'!J36)=ISBLANK(J250),0,1),1),IF('Source_Data'!K36=K250,IF(ISBLANK('Source_Data'!K36)=ISBLANK(K250),0,1),1))</x:f>
        <x:v>0</x:v>
      </x:c>
    </x:row>
    <x:row r="251" ht="23" customHeight="1">
      <x:c r="A251" s="2" t="str">
        <x:v>FY2025|Cambodia|62052000</x:v>
      </x:c>
      <x:c r="B251" s="2" t="str">
        <x:v>FY2025</x:v>
      </x:c>
      <x:c r="C251" s="2" t="str">
        <x:v>Cambodia</x:v>
      </x:c>
      <x:c r="D251" s="2" t="str">
        <x:v>62052000</x:v>
      </x:c>
      <x:c r="E251" s="2" t="n">
        <x:v>15422184</x:v>
      </x:c>
      <x:c r="F251" s="2" t="n">
        <x:v>674204</x:v>
      </x:c>
      <x:c r="G251" s="2" t="n">
        <x:v>12</x:v>
      </x:c>
      <x:c r="H251" s="2" t="n">
        <x:v>0</x:v>
      </x:c>
      <x:c r="I251" s="2" t="n">
        <x:v>22.87465514888669</x:v>
      </x:c>
      <x:c r="J251" s="2" t="n">
        <x:v>202501</x:v>
      </x:c>
      <x:c r="K251" s="2" t="n">
        <x:v>202512</x:v>
      </x:c>
      <x:c r="L251" s="2" t="n">
        <x:f>SUM(IF('Source_Data'!A37=A251,IF(ISBLANK('Source_Data'!A37)=ISBLANK(A251),0,1),1),IF('Source_Data'!B37=B251,IF(ISBLANK('Source_Data'!B37)=ISBLANK(B251),0,1),1),IF('Source_Data'!C37=C251,IF(ISBLANK('Source_Data'!C37)=ISBLANK(C251),0,1),1),IF('Source_Data'!D37=D251,IF(ISBLANK('Source_Data'!D37)=ISBLANK(D251),0,1),1),IF('Source_Data'!E37=E251,IF(ISBLANK('Source_Data'!E37)=ISBLANK(E251),0,1),1),IF('Source_Data'!F37=F251,IF(ISBLANK('Source_Data'!F37)=ISBLANK(F251),0,1),1),IF('Source_Data'!G37=G251,IF(ISBLANK('Source_Data'!G37)=ISBLANK(G251),0,1),1),IF('Source_Data'!H37=H251,IF(ISBLANK('Source_Data'!H37)=ISBLANK(H251),0,1),1),IF('Source_Data'!I37=I251,IF(ISBLANK('Source_Data'!I37)=ISBLANK(I251),0,1),1),IF('Source_Data'!J37=J251,IF(ISBLANK('Source_Data'!J37)=ISBLANK(J251),0,1),1),IF('Source_Data'!K37=K251,IF(ISBLANK('Source_Data'!K37)=ISBLANK(K251),0,1),1))</x:f>
        <x:v>0</x:v>
      </x:c>
    </x:row>
    <x:row r="252" ht="23" customHeight="1">
      <x:c r="A252" s="2" t="str">
        <x:v>FY2025|China|62052000</x:v>
      </x:c>
      <x:c r="B252" s="2" t="str">
        <x:v>FY2025</x:v>
      </x:c>
      <x:c r="C252" s="2" t="str">
        <x:v>China</x:v>
      </x:c>
      <x:c r="D252" s="2" t="str">
        <x:v>62052000</x:v>
      </x:c>
      <x:c r="E252" s="2" t="n">
        <x:v>11991268</x:v>
      </x:c>
      <x:c r="F252" s="2" t="n">
        <x:v>584970</x:v>
      </x:c>
      <x:c r="G252" s="2" t="n">
        <x:v>12</x:v>
      </x:c>
      <x:c r="H252" s="2" t="n">
        <x:v>0</x:v>
      </x:c>
      <x:c r="I252" s="2" t="n">
        <x:v>20.498945245055303</x:v>
      </x:c>
      <x:c r="J252" s="2" t="n">
        <x:v>202501</x:v>
      </x:c>
      <x:c r="K252" s="2" t="n">
        <x:v>202512</x:v>
      </x:c>
      <x:c r="L252" s="2" t="n">
        <x:f>SUM(IF('Source_Data'!A38=A252,IF(ISBLANK('Source_Data'!A38)=ISBLANK(A252),0,1),1),IF('Source_Data'!B38=B252,IF(ISBLANK('Source_Data'!B38)=ISBLANK(B252),0,1),1),IF('Source_Data'!C38=C252,IF(ISBLANK('Source_Data'!C38)=ISBLANK(C252),0,1),1),IF('Source_Data'!D38=D252,IF(ISBLANK('Source_Data'!D38)=ISBLANK(D252),0,1),1),IF('Source_Data'!E38=E252,IF(ISBLANK('Source_Data'!E38)=ISBLANK(E252),0,1),1),IF('Source_Data'!F38=F252,IF(ISBLANK('Source_Data'!F38)=ISBLANK(F252),0,1),1),IF('Source_Data'!G38=G252,IF(ISBLANK('Source_Data'!G38)=ISBLANK(G252),0,1),1),IF('Source_Data'!H38=H252,IF(ISBLANK('Source_Data'!H38)=ISBLANK(H252),0,1),1),IF('Source_Data'!I38=I252,IF(ISBLANK('Source_Data'!I38)=ISBLANK(I252),0,1),1),IF('Source_Data'!J38=J252,IF(ISBLANK('Source_Data'!J38)=ISBLANK(J252),0,1),1),IF('Source_Data'!K38=K252,IF(ISBLANK('Source_Data'!K38)=ISBLANK(K252),0,1),1))</x:f>
        <x:v>0</x:v>
      </x:c>
    </x:row>
    <x:row r="253" ht="23" customHeight="1">
      <x:c r="A253" s="2" t="str">
        <x:v>FY2025|India|62052000</x:v>
      </x:c>
      <x:c r="B253" s="2" t="str">
        <x:v>FY2025</x:v>
      </x:c>
      <x:c r="C253" s="2" t="str">
        <x:v>India</x:v>
      </x:c>
      <x:c r="D253" s="2" t="str">
        <x:v>62052000</x:v>
      </x:c>
      <x:c r="E253" s="2" t="n">
        <x:v>30022861</x:v>
      </x:c>
      <x:c r="F253" s="2" t="n">
        <x:v>1414140</x:v>
      </x:c>
      <x:c r="G253" s="2" t="n">
        <x:v>12</x:v>
      </x:c>
      <x:c r="H253" s="2" t="n">
        <x:v>0</x:v>
      </x:c>
      <x:c r="I253" s="2" t="n">
        <x:v>21.230472937615794</x:v>
      </x:c>
      <x:c r="J253" s="2" t="n">
        <x:v>202501</x:v>
      </x:c>
      <x:c r="K253" s="2" t="n">
        <x:v>202512</x:v>
      </x:c>
      <x:c r="L253" s="2" t="n">
        <x:f>SUM(IF('Source_Data'!A39=A253,IF(ISBLANK('Source_Data'!A39)=ISBLANK(A253),0,1),1),IF('Source_Data'!B39=B253,IF(ISBLANK('Source_Data'!B39)=ISBLANK(B253),0,1),1),IF('Source_Data'!C39=C253,IF(ISBLANK('Source_Data'!C39)=ISBLANK(C253),0,1),1),IF('Source_Data'!D39=D253,IF(ISBLANK('Source_Data'!D39)=ISBLANK(D253),0,1),1),IF('Source_Data'!E39=E253,IF(ISBLANK('Source_Data'!E39)=ISBLANK(E253),0,1),1),IF('Source_Data'!F39=F253,IF(ISBLANK('Source_Data'!F39)=ISBLANK(F253),0,1),1),IF('Source_Data'!G39=G253,IF(ISBLANK('Source_Data'!G39)=ISBLANK(G253),0,1),1),IF('Source_Data'!H39=H253,IF(ISBLANK('Source_Data'!H39)=ISBLANK(H253),0,1),1),IF('Source_Data'!I39=I253,IF(ISBLANK('Source_Data'!I39)=ISBLANK(I253),0,1),1),IF('Source_Data'!J39=J253,IF(ISBLANK('Source_Data'!J39)=ISBLANK(J253),0,1),1),IF('Source_Data'!K39=K253,IF(ISBLANK('Source_Data'!K39)=ISBLANK(K253),0,1),1))</x:f>
        <x:v>0</x:v>
      </x:c>
    </x:row>
    <x:row r="254" ht="23" customHeight="1">
      <x:c r="A254" s="2" t="str">
        <x:v>FY2025|Morocco|62052000</x:v>
      </x:c>
      <x:c r="B254" s="2" t="str">
        <x:v>FY2025</x:v>
      </x:c>
      <x:c r="C254" s="2" t="str">
        <x:v>Morocco</x:v>
      </x:c>
      <x:c r="D254" s="2" t="str">
        <x:v>62052000</x:v>
      </x:c>
      <x:c r="E254" s="2" t="n">
        <x:v>1395876</x:v>
      </x:c>
      <x:c r="F254" s="2" t="n">
        <x:v>33234</x:v>
      </x:c>
      <x:c r="G254" s="2" t="n">
        <x:v>12</x:v>
      </x:c>
      <x:c r="H254" s="2" t="n">
        <x:v>0</x:v>
      </x:c>
      <x:c r="I254" s="2" t="n">
        <x:v>42.001444304025995</x:v>
      </x:c>
      <x:c r="J254" s="2" t="n">
        <x:v>202501</x:v>
      </x:c>
      <x:c r="K254" s="2" t="n">
        <x:v>202512</x:v>
      </x:c>
      <x:c r="L254" s="2" t="n">
        <x:f>SUM(IF('Source_Data'!A40=A254,IF(ISBLANK('Source_Data'!A40)=ISBLANK(A254),0,1),1),IF('Source_Data'!B40=B254,IF(ISBLANK('Source_Data'!B40)=ISBLANK(B254),0,1),1),IF('Source_Data'!C40=C254,IF(ISBLANK('Source_Data'!C40)=ISBLANK(C254),0,1),1),IF('Source_Data'!D40=D254,IF(ISBLANK('Source_Data'!D40)=ISBLANK(D254),0,1),1),IF('Source_Data'!E40=E254,IF(ISBLANK('Source_Data'!E40)=ISBLANK(E254),0,1),1),IF('Source_Data'!F40=F254,IF(ISBLANK('Source_Data'!F40)=ISBLANK(F254),0,1),1),IF('Source_Data'!G40=G254,IF(ISBLANK('Source_Data'!G40)=ISBLANK(G254),0,1),1),IF('Source_Data'!H40=H254,IF(ISBLANK('Source_Data'!H40)=ISBLANK(H254),0,1),1),IF('Source_Data'!I40=I254,IF(ISBLANK('Source_Data'!I40)=ISBLANK(I254),0,1),1),IF('Source_Data'!J40=J254,IF(ISBLANK('Source_Data'!J40)=ISBLANK(J254),0,1),1),IF('Source_Data'!K40=K254,IF(ISBLANK('Source_Data'!K40)=ISBLANK(K254),0,1),1))</x:f>
        <x:v>0</x:v>
      </x:c>
    </x:row>
    <x:row r="255" ht="23" customHeight="1">
      <x:c r="A255" s="2" t="str">
        <x:v>FY2025|Myanmar|62052000</x:v>
      </x:c>
      <x:c r="B255" s="2" t="str">
        <x:v>FY2025</x:v>
      </x:c>
      <x:c r="C255" s="2" t="str">
        <x:v>Myanmar</x:v>
      </x:c>
      <x:c r="D255" s="2" t="str">
        <x:v>62052000</x:v>
      </x:c>
      <x:c r="E255" s="2" t="n">
        <x:v>798136</x:v>
      </x:c>
      <x:c r="F255" s="2" t="n">
        <x:v>54446</x:v>
      </x:c>
      <x:c r="G255" s="2" t="n">
        <x:v>12</x:v>
      </x:c>
      <x:c r="H255" s="2" t="n">
        <x:v>2</x:v>
      </x:c>
      <x:c r="I255" s="2" t="n">
        <x:v>14.659221981412776</x:v>
      </x:c>
      <x:c r="J255" s="2" t="n">
        <x:v>202501</x:v>
      </x:c>
      <x:c r="K255" s="2" t="n">
        <x:v>202512</x:v>
      </x:c>
      <x:c r="L255" s="2" t="n">
        <x:f>SUM(IF('Source_Data'!A41=A255,IF(ISBLANK('Source_Data'!A41)=ISBLANK(A255),0,1),1),IF('Source_Data'!B41=B255,IF(ISBLANK('Source_Data'!B41)=ISBLANK(B255),0,1),1),IF('Source_Data'!C41=C255,IF(ISBLANK('Source_Data'!C41)=ISBLANK(C255),0,1),1),IF('Source_Data'!D41=D255,IF(ISBLANK('Source_Data'!D41)=ISBLANK(D255),0,1),1),IF('Source_Data'!E41=E255,IF(ISBLANK('Source_Data'!E41)=ISBLANK(E255),0,1),1),IF('Source_Data'!F41=F255,IF(ISBLANK('Source_Data'!F41)=ISBLANK(F255),0,1),1),IF('Source_Data'!G41=G255,IF(ISBLANK('Source_Data'!G41)=ISBLANK(G255),0,1),1),IF('Source_Data'!H41=H255,IF(ISBLANK('Source_Data'!H41)=ISBLANK(H255),0,1),1),IF('Source_Data'!I41=I255,IF(ISBLANK('Source_Data'!I41)=ISBLANK(I255),0,1),1),IF('Source_Data'!J41=J255,IF(ISBLANK('Source_Data'!J41)=ISBLANK(J255),0,1),1),IF('Source_Data'!K41=K255,IF(ISBLANK('Source_Data'!K41)=ISBLANK(K255),0,1),1))</x:f>
        <x:v>0</x:v>
      </x:c>
    </x:row>
    <x:row r="256" ht="23" customHeight="1">
      <x:c r="A256" s="2" t="str">
        <x:v>FY2025|Pakistan|62052000</x:v>
      </x:c>
      <x:c r="B256" s="2" t="str">
        <x:v>FY2025</x:v>
      </x:c>
      <x:c r="C256" s="2" t="str">
        <x:v>Pakistan</x:v>
      </x:c>
      <x:c r="D256" s="2" t="str">
        <x:v>62052000</x:v>
      </x:c>
      <x:c r="E256" s="2" t="n">
        <x:v>798771</x:v>
      </x:c>
      <x:c r="F256" s="2" t="n">
        <x:v>69348</x:v>
      </x:c>
      <x:c r="G256" s="2" t="n">
        <x:v>12</x:v>
      </x:c>
      <x:c r="H256" s="2" t="n">
        <x:v>0</x:v>
      </x:c>
      <x:c r="I256" s="2" t="n">
        <x:v>11.518299013670186</x:v>
      </x:c>
      <x:c r="J256" s="2" t="n">
        <x:v>202501</x:v>
      </x:c>
      <x:c r="K256" s="2" t="n">
        <x:v>202512</x:v>
      </x:c>
      <x:c r="L256" s="2" t="n">
        <x:f>SUM(IF('Source_Data'!A42=A256,IF(ISBLANK('Source_Data'!A42)=ISBLANK(A256),0,1),1),IF('Source_Data'!B42=B256,IF(ISBLANK('Source_Data'!B42)=ISBLANK(B256),0,1),1),IF('Source_Data'!C42=C256,IF(ISBLANK('Source_Data'!C42)=ISBLANK(C256),0,1),1),IF('Source_Data'!D42=D256,IF(ISBLANK('Source_Data'!D42)=ISBLANK(D256),0,1),1),IF('Source_Data'!E42=E256,IF(ISBLANK('Source_Data'!E42)=ISBLANK(E256),0,1),1),IF('Source_Data'!F42=F256,IF(ISBLANK('Source_Data'!F42)=ISBLANK(F256),0,1),1),IF('Source_Data'!G42=G256,IF(ISBLANK('Source_Data'!G42)=ISBLANK(G256),0,1),1),IF('Source_Data'!H42=H256,IF(ISBLANK('Source_Data'!H42)=ISBLANK(H256),0,1),1),IF('Source_Data'!I42=I256,IF(ISBLANK('Source_Data'!I42)=ISBLANK(I256),0,1),1),IF('Source_Data'!J42=J256,IF(ISBLANK('Source_Data'!J42)=ISBLANK(J256),0,1),1),IF('Source_Data'!K42=K256,IF(ISBLANK('Source_Data'!K42)=ISBLANK(K256),0,1),1))</x:f>
        <x:v>0</x:v>
      </x:c>
    </x:row>
    <x:row r="257" ht="23" customHeight="1">
      <x:c r="A257" s="2" t="str">
        <x:v>FY2025|Sri Lanka|62052000</x:v>
      </x:c>
      <x:c r="B257" s="2" t="str">
        <x:v>FY2025</x:v>
      </x:c>
      <x:c r="C257" s="2" t="str">
        <x:v>Sri Lanka</x:v>
      </x:c>
      <x:c r="D257" s="2" t="str">
        <x:v>62052000</x:v>
      </x:c>
      <x:c r="E257" s="2" t="n">
        <x:v>4196454</x:v>
      </x:c>
      <x:c r="F257" s="2" t="n">
        <x:v>213562</x:v>
      </x:c>
      <x:c r="G257" s="2" t="n">
        <x:v>12</x:v>
      </x:c>
      <x:c r="H257" s="2" t="n">
        <x:v>0</x:v>
      </x:c>
      <x:c r="I257" s="2" t="n">
        <x:v>19.649815978498047</x:v>
      </x:c>
      <x:c r="J257" s="2" t="n">
        <x:v>202501</x:v>
      </x:c>
      <x:c r="K257" s="2" t="n">
        <x:v>202512</x:v>
      </x:c>
      <x:c r="L257" s="2" t="n">
        <x:f>SUM(IF('Source_Data'!A43=A257,IF(ISBLANK('Source_Data'!A43)=ISBLANK(A257),0,1),1),IF('Source_Data'!B43=B257,IF(ISBLANK('Source_Data'!B43)=ISBLANK(B257),0,1),1),IF('Source_Data'!C43=C257,IF(ISBLANK('Source_Data'!C43)=ISBLANK(C257),0,1),1),IF('Source_Data'!D43=D257,IF(ISBLANK('Source_Data'!D43)=ISBLANK(D257),0,1),1),IF('Source_Data'!E43=E257,IF(ISBLANK('Source_Data'!E43)=ISBLANK(E257),0,1),1),IF('Source_Data'!F43=F257,IF(ISBLANK('Source_Data'!F43)=ISBLANK(F257),0,1),1),IF('Source_Data'!G43=G257,IF(ISBLANK('Source_Data'!G43)=ISBLANK(G257),0,1),1),IF('Source_Data'!H43=H257,IF(ISBLANK('Source_Data'!H43)=ISBLANK(H257),0,1),1),IF('Source_Data'!I43=I257,IF(ISBLANK('Source_Data'!I43)=ISBLANK(I257),0,1),1),IF('Source_Data'!J43=J257,IF(ISBLANK('Source_Data'!J43)=ISBLANK(J257),0,1),1),IF('Source_Data'!K43=K257,IF(ISBLANK('Source_Data'!K43)=ISBLANK(K257),0,1),1))</x:f>
        <x:v>0</x:v>
      </x:c>
    </x:row>
    <x:row r="258" ht="23" customHeight="1">
      <x:c r="A258" s="2" t="str">
        <x:v>FY2025|Turkey|62052000</x:v>
      </x:c>
      <x:c r="B258" s="2" t="str">
        <x:v>FY2025</x:v>
      </x:c>
      <x:c r="C258" s="2" t="str">
        <x:v>Turkey</x:v>
      </x:c>
      <x:c r="D258" s="2" t="str">
        <x:v>62052000</x:v>
      </x:c>
      <x:c r="E258" s="2" t="n">
        <x:v>12908357</x:v>
      </x:c>
      <x:c r="F258" s="2" t="n">
        <x:v>343310</x:v>
      </x:c>
      <x:c r="G258" s="2" t="n">
        <x:v>12</x:v>
      </x:c>
      <x:c r="H258" s="2" t="n">
        <x:v>0</x:v>
      </x:c>
      <x:c r="I258" s="2" t="n">
        <x:v>37.59971163088753</x:v>
      </x:c>
      <x:c r="J258" s="2" t="n">
        <x:v>202501</x:v>
      </x:c>
      <x:c r="K258" s="2" t="n">
        <x:v>202512</x:v>
      </x:c>
      <x:c r="L258" s="2" t="n">
        <x:f>SUM(IF('Source_Data'!A44=A258,IF(ISBLANK('Source_Data'!A44)=ISBLANK(A258),0,1),1),IF('Source_Data'!B44=B258,IF(ISBLANK('Source_Data'!B44)=ISBLANK(B258),0,1),1),IF('Source_Data'!C44=C258,IF(ISBLANK('Source_Data'!C44)=ISBLANK(C258),0,1),1),IF('Source_Data'!D44=D258,IF(ISBLANK('Source_Data'!D44)=ISBLANK(D258),0,1),1),IF('Source_Data'!E44=E258,IF(ISBLANK('Source_Data'!E44)=ISBLANK(E258),0,1),1),IF('Source_Data'!F44=F258,IF(ISBLANK('Source_Data'!F44)=ISBLANK(F258),0,1),1),IF('Source_Data'!G44=G258,IF(ISBLANK('Source_Data'!G44)=ISBLANK(G258),0,1),1),IF('Source_Data'!H44=H258,IF(ISBLANK('Source_Data'!H44)=ISBLANK(H258),0,1),1),IF('Source_Data'!I44=I258,IF(ISBLANK('Source_Data'!I44)=ISBLANK(I258),0,1),1),IF('Source_Data'!J44=J258,IF(ISBLANK('Source_Data'!J44)=ISBLANK(J258),0,1),1),IF('Source_Data'!K44=K258,IF(ISBLANK('Source_Data'!K44)=ISBLANK(K258),0,1),1))</x:f>
        <x:v>0</x:v>
      </x:c>
    </x:row>
    <x:row r="259" ht="23" customHeight="1">
      <x:c r="A259" s="2" t="str">
        <x:v>FY2025|Vietnam|62052000</x:v>
      </x:c>
      <x:c r="B259" s="2" t="str">
        <x:v>FY2025</x:v>
      </x:c>
      <x:c r="C259" s="2" t="str">
        <x:v>Vietnam</x:v>
      </x:c>
      <x:c r="D259" s="2" t="str">
        <x:v>62052000</x:v>
      </x:c>
      <x:c r="E259" s="2" t="n">
        <x:v>12963317</x:v>
      </x:c>
      <x:c r="F259" s="2" t="n">
        <x:v>440294</x:v>
      </x:c>
      <x:c r="G259" s="2" t="n">
        <x:v>12</x:v>
      </x:c>
      <x:c r="H259" s="2" t="n">
        <x:v>0</x:v>
      </x:c>
      <x:c r="I259" s="2" t="n">
        <x:v>29.442411207057102</x:v>
      </x:c>
      <x:c r="J259" s="2" t="n">
        <x:v>202501</x:v>
      </x:c>
      <x:c r="K259" s="2" t="n">
        <x:v>202512</x:v>
      </x:c>
      <x:c r="L259" s="2" t="n">
        <x:f>SUM(IF('Source_Data'!A45=A259,IF(ISBLANK('Source_Data'!A45)=ISBLANK(A259),0,1),1),IF('Source_Data'!B45=B259,IF(ISBLANK('Source_Data'!B45)=ISBLANK(B259),0,1),1),IF('Source_Data'!C45=C259,IF(ISBLANK('Source_Data'!C45)=ISBLANK(C259),0,1),1),IF('Source_Data'!D45=D259,IF(ISBLANK('Source_Data'!D45)=ISBLANK(D259),0,1),1),IF('Source_Data'!E45=E259,IF(ISBLANK('Source_Data'!E45)=ISBLANK(E259),0,1),1),IF('Source_Data'!F45=F259,IF(ISBLANK('Source_Data'!F45)=ISBLANK(F259),0,1),1),IF('Source_Data'!G45=G259,IF(ISBLANK('Source_Data'!G45)=ISBLANK(G259),0,1),1),IF('Source_Data'!H45=H259,IF(ISBLANK('Source_Data'!H45)=ISBLANK(H259),0,1),1),IF('Source_Data'!I45=I259,IF(ISBLANK('Source_Data'!I45)=ISBLANK(I259),0,1),1),IF('Source_Data'!J45=J259,IF(ISBLANK('Source_Data'!J45)=ISBLANK(J259),0,1),1),IF('Source_Data'!K45=K259,IF(ISBLANK('Source_Data'!K45)=ISBLANK(K259),0,1),1))</x:f>
        <x:v>0</x:v>
      </x:c>
    </x:row>
    <x:row r="260" ht="23" customHeight="1">
      <x:c r="A260" s="2" t="str">
        <x:v>H1 2025|Bangladesh|61091000</x:v>
      </x:c>
      <x:c r="B260" s="2" t="str">
        <x:v>H1 2025</x:v>
      </x:c>
      <x:c r="C260" s="2" t="str">
        <x:v>Bangladesh</x:v>
      </x:c>
      <x:c r="D260" s="2" t="str">
        <x:v>61091000</x:v>
      </x:c>
      <x:c r="E260" s="2" t="n">
        <x:v>258563902</x:v>
      </x:c>
      <x:c r="F260" s="2" t="n">
        <x:v>24659774</x:v>
      </x:c>
      <x:c r="G260" s="2" t="n">
        <x:v>6</x:v>
      </x:c>
      <x:c r="H260" s="2" t="n">
        <x:v>0</x:v>
      </x:c>
      <x:c r="I260" s="2" t="n">
        <x:v>10.485250270339055</x:v>
      </x:c>
      <x:c r="J260" s="2" t="n">
        <x:v>202501</x:v>
      </x:c>
      <x:c r="K260" s="2" t="n">
        <x:v>202506</x:v>
      </x:c>
      <x:c r="L260" s="2" t="n">
        <x:f>SUM(IF('Source_Data'!A46=A260,IF(ISBLANK('Source_Data'!A46)=ISBLANK(A260),0,1),1),IF('Source_Data'!B46=B260,IF(ISBLANK('Source_Data'!B46)=ISBLANK(B260),0,1),1),IF('Source_Data'!C46=C260,IF(ISBLANK('Source_Data'!C46)=ISBLANK(C260),0,1),1),IF('Source_Data'!D46=D260,IF(ISBLANK('Source_Data'!D46)=ISBLANK(D260),0,1),1),IF('Source_Data'!E46=E260,IF(ISBLANK('Source_Data'!E46)=ISBLANK(E260),0,1),1),IF('Source_Data'!F46=F260,IF(ISBLANK('Source_Data'!F46)=ISBLANK(F260),0,1),1),IF('Source_Data'!G46=G260,IF(ISBLANK('Source_Data'!G46)=ISBLANK(G260),0,1),1),IF('Source_Data'!H46=H260,IF(ISBLANK('Source_Data'!H46)=ISBLANK(H260),0,1),1),IF('Source_Data'!I46=I260,IF(ISBLANK('Source_Data'!I46)=ISBLANK(I260),0,1),1),IF('Source_Data'!J46=J260,IF(ISBLANK('Source_Data'!J46)=ISBLANK(J260),0,1),1),IF('Source_Data'!K46=K260,IF(ISBLANK('Source_Data'!K46)=ISBLANK(K260),0,1),1))</x:f>
        <x:v>0</x:v>
      </x:c>
    </x:row>
    <x:row r="261" ht="23" customHeight="1">
      <x:c r="A261" s="2" t="str">
        <x:v>H1 2025|Cambodia|61091000</x:v>
      </x:c>
      <x:c r="B261" s="2" t="str">
        <x:v>H1 2025</x:v>
      </x:c>
      <x:c r="C261" s="2" t="str">
        <x:v>Cambodia</x:v>
      </x:c>
      <x:c r="D261" s="2" t="str">
        <x:v>61091000</x:v>
      </x:c>
      <x:c r="E261" s="2" t="n">
        <x:v>5558924</x:v>
      </x:c>
      <x:c r="F261" s="2" t="n">
        <x:v>287747</x:v>
      </x:c>
      <x:c r="G261" s="2" t="n">
        <x:v>6</x:v>
      </x:c>
      <x:c r="H261" s="2" t="n">
        <x:v>0</x:v>
      </x:c>
      <x:c r="I261" s="2" t="n">
        <x:v>19.318790465235086</x:v>
      </x:c>
      <x:c r="J261" s="2" t="n">
        <x:v>202501</x:v>
      </x:c>
      <x:c r="K261" s="2" t="n">
        <x:v>202506</x:v>
      </x:c>
      <x:c r="L261" s="2" t="n">
        <x:f>SUM(IF('Source_Data'!A47=A261,IF(ISBLANK('Source_Data'!A47)=ISBLANK(A261),0,1),1),IF('Source_Data'!B47=B261,IF(ISBLANK('Source_Data'!B47)=ISBLANK(B261),0,1),1),IF('Source_Data'!C47=C261,IF(ISBLANK('Source_Data'!C47)=ISBLANK(C261),0,1),1),IF('Source_Data'!D47=D261,IF(ISBLANK('Source_Data'!D47)=ISBLANK(D261),0,1),1),IF('Source_Data'!E47=E261,IF(ISBLANK('Source_Data'!E47)=ISBLANK(E261),0,1),1),IF('Source_Data'!F47=F261,IF(ISBLANK('Source_Data'!F47)=ISBLANK(F261),0,1),1),IF('Source_Data'!G47=G261,IF(ISBLANK('Source_Data'!G47)=ISBLANK(G261),0,1),1),IF('Source_Data'!H47=H261,IF(ISBLANK('Source_Data'!H47)=ISBLANK(H261),0,1),1),IF('Source_Data'!I47=I261,IF(ISBLANK('Source_Data'!I47)=ISBLANK(I261),0,1),1),IF('Source_Data'!J47=J261,IF(ISBLANK('Source_Data'!J47)=ISBLANK(J261),0,1),1),IF('Source_Data'!K47=K261,IF(ISBLANK('Source_Data'!K47)=ISBLANK(K261),0,1),1))</x:f>
        <x:v>0</x:v>
      </x:c>
    </x:row>
    <x:row r="262" ht="23" customHeight="1">
      <x:c r="A262" s="2" t="str">
        <x:v>H1 2025|China|61091000</x:v>
      </x:c>
      <x:c r="B262" s="2" t="str">
        <x:v>H1 2025</x:v>
      </x:c>
      <x:c r="C262" s="2" t="str">
        <x:v>China</x:v>
      </x:c>
      <x:c r="D262" s="2" t="str">
        <x:v>61091000</x:v>
      </x:c>
      <x:c r="E262" s="2" t="n">
        <x:v>26770914</x:v>
      </x:c>
      <x:c r="F262" s="2" t="n">
        <x:v>1389800</x:v>
      </x:c>
      <x:c r="G262" s="2" t="n">
        <x:v>6</x:v>
      </x:c>
      <x:c r="H262" s="2" t="n">
        <x:v>0</x:v>
      </x:c>
      <x:c r="I262" s="2" t="n">
        <x:v>19.262421931213126</x:v>
      </x:c>
      <x:c r="J262" s="2" t="n">
        <x:v>202501</x:v>
      </x:c>
      <x:c r="K262" s="2" t="n">
        <x:v>202506</x:v>
      </x:c>
      <x:c r="L262" s="2" t="n">
        <x:f>SUM(IF('Source_Data'!A48=A262,IF(ISBLANK('Source_Data'!A48)=ISBLANK(A262),0,1),1),IF('Source_Data'!B48=B262,IF(ISBLANK('Source_Data'!B48)=ISBLANK(B262),0,1),1),IF('Source_Data'!C48=C262,IF(ISBLANK('Source_Data'!C48)=ISBLANK(C262),0,1),1),IF('Source_Data'!D48=D262,IF(ISBLANK('Source_Data'!D48)=ISBLANK(D262),0,1),1),IF('Source_Data'!E48=E262,IF(ISBLANK('Source_Data'!E48)=ISBLANK(E262),0,1),1),IF('Source_Data'!F48=F262,IF(ISBLANK('Source_Data'!F48)=ISBLANK(F262),0,1),1),IF('Source_Data'!G48=G262,IF(ISBLANK('Source_Data'!G48)=ISBLANK(G262),0,1),1),IF('Source_Data'!H48=H262,IF(ISBLANK('Source_Data'!H48)=ISBLANK(H262),0,1),1),IF('Source_Data'!I48=I262,IF(ISBLANK('Source_Data'!I48)=ISBLANK(I262),0,1),1),IF('Source_Data'!J48=J262,IF(ISBLANK('Source_Data'!J48)=ISBLANK(J262),0,1),1),IF('Source_Data'!K48=K262,IF(ISBLANK('Source_Data'!K48)=ISBLANK(K262),0,1),1))</x:f>
        <x:v>0</x:v>
      </x:c>
    </x:row>
    <x:row r="263" ht="23" customHeight="1">
      <x:c r="A263" s="2" t="str">
        <x:v>H1 2025|India|61091000</x:v>
      </x:c>
      <x:c r="B263" s="2" t="str">
        <x:v>H1 2025</x:v>
      </x:c>
      <x:c r="C263" s="2" t="str">
        <x:v>India</x:v>
      </x:c>
      <x:c r="D263" s="2" t="str">
        <x:v>61091000</x:v>
      </x:c>
      <x:c r="E263" s="2" t="n">
        <x:v>57601904</x:v>
      </x:c>
      <x:c r="F263" s="2" t="n">
        <x:v>4255633</x:v>
      </x:c>
      <x:c r="G263" s="2" t="n">
        <x:v>6</x:v>
      </x:c>
      <x:c r="H263" s="2" t="n">
        <x:v>0</x:v>
      </x:c>
      <x:c r="I263" s="2" t="n">
        <x:v>13.5354491329492</x:v>
      </x:c>
      <x:c r="J263" s="2" t="n">
        <x:v>202501</x:v>
      </x:c>
      <x:c r="K263" s="2" t="n">
        <x:v>202506</x:v>
      </x:c>
      <x:c r="L263" s="2" t="n">
        <x:f>SUM(IF('Source_Data'!A49=A263,IF(ISBLANK('Source_Data'!A49)=ISBLANK(A263),0,1),1),IF('Source_Data'!B49=B263,IF(ISBLANK('Source_Data'!B49)=ISBLANK(B263),0,1),1),IF('Source_Data'!C49=C263,IF(ISBLANK('Source_Data'!C49)=ISBLANK(C263),0,1),1),IF('Source_Data'!D49=D263,IF(ISBLANK('Source_Data'!D49)=ISBLANK(D263),0,1),1),IF('Source_Data'!E49=E263,IF(ISBLANK('Source_Data'!E49)=ISBLANK(E263),0,1),1),IF('Source_Data'!F49=F263,IF(ISBLANK('Source_Data'!F49)=ISBLANK(F263),0,1),1),IF('Source_Data'!G49=G263,IF(ISBLANK('Source_Data'!G49)=ISBLANK(G263),0,1),1),IF('Source_Data'!H49=H263,IF(ISBLANK('Source_Data'!H49)=ISBLANK(H263),0,1),1),IF('Source_Data'!I49=I263,IF(ISBLANK('Source_Data'!I49)=ISBLANK(I263),0,1),1),IF('Source_Data'!J49=J263,IF(ISBLANK('Source_Data'!J49)=ISBLANK(J263),0,1),1),IF('Source_Data'!K49=K263,IF(ISBLANK('Source_Data'!K49)=ISBLANK(K263),0,1),1))</x:f>
        <x:v>0</x:v>
      </x:c>
    </x:row>
    <x:row r="264" ht="23" customHeight="1">
      <x:c r="A264" s="2" t="str">
        <x:v>H1 2025|Morocco|61091000</x:v>
      </x:c>
      <x:c r="B264" s="2" t="str">
        <x:v>H1 2025</x:v>
      </x:c>
      <x:c r="C264" s="2" t="str">
        <x:v>Morocco</x:v>
      </x:c>
      <x:c r="D264" s="2" t="str">
        <x:v>61091000</x:v>
      </x:c>
      <x:c r="E264" s="2" t="n">
        <x:v>7105682</x:v>
      </x:c>
      <x:c r="F264" s="2" t="n">
        <x:v>780049</x:v>
      </x:c>
      <x:c r="G264" s="2" t="n">
        <x:v>6</x:v>
      </x:c>
      <x:c r="H264" s="2" t="n">
        <x:v>0</x:v>
      </x:c>
      <x:c r="I264" s="2" t="n">
        <x:v>9.109276468529542</x:v>
      </x:c>
      <x:c r="J264" s="2" t="n">
        <x:v>202501</x:v>
      </x:c>
      <x:c r="K264" s="2" t="n">
        <x:v>202506</x:v>
      </x:c>
      <x:c r="L264" s="2" t="n">
        <x:f>SUM(IF('Source_Data'!A50=A264,IF(ISBLANK('Source_Data'!A50)=ISBLANK(A264),0,1),1),IF('Source_Data'!B50=B264,IF(ISBLANK('Source_Data'!B50)=ISBLANK(B264),0,1),1),IF('Source_Data'!C50=C264,IF(ISBLANK('Source_Data'!C50)=ISBLANK(C264),0,1),1),IF('Source_Data'!D50=D264,IF(ISBLANK('Source_Data'!D50)=ISBLANK(D264),0,1),1),IF('Source_Data'!E50=E264,IF(ISBLANK('Source_Data'!E50)=ISBLANK(E264),0,1),1),IF('Source_Data'!F50=F264,IF(ISBLANK('Source_Data'!F50)=ISBLANK(F264),0,1),1),IF('Source_Data'!G50=G264,IF(ISBLANK('Source_Data'!G50)=ISBLANK(G264),0,1),1),IF('Source_Data'!H50=H264,IF(ISBLANK('Source_Data'!H50)=ISBLANK(H264),0,1),1),IF('Source_Data'!I50=I264,IF(ISBLANK('Source_Data'!I50)=ISBLANK(I264),0,1),1),IF('Source_Data'!J50=J264,IF(ISBLANK('Source_Data'!J50)=ISBLANK(J264),0,1),1),IF('Source_Data'!K50=K264,IF(ISBLANK('Source_Data'!K50)=ISBLANK(K264),0,1),1))</x:f>
        <x:v>0</x:v>
      </x:c>
    </x:row>
    <x:row r="265" ht="23" customHeight="1">
      <x:c r="A265" s="2" t="str">
        <x:v>H1 2025|Myanmar|61091000</x:v>
      </x:c>
      <x:c r="B265" s="2" t="str">
        <x:v>H1 2025</x:v>
      </x:c>
      <x:c r="C265" s="2" t="str">
        <x:v>Myanmar</x:v>
      </x:c>
      <x:c r="D265" s="2" t="str">
        <x:v>61091000</x:v>
      </x:c>
      <x:c r="E265" s="2" t="n">
        <x:v>221408</x:v>
      </x:c>
      <x:c r="F265" s="2" t="n">
        <x:v>14557</x:v>
      </x:c>
      <x:c r="G265" s="2" t="n">
        <x:v>6</x:v>
      </x:c>
      <x:c r="H265" s="2" t="n">
        <x:v>0</x:v>
      </x:c>
      <x:c r="I265" s="2" t="n">
        <x:v>15.209727278972316</x:v>
      </x:c>
      <x:c r="J265" s="2" t="n">
        <x:v>202501</x:v>
      </x:c>
      <x:c r="K265" s="2" t="n">
        <x:v>202506</x:v>
      </x:c>
      <x:c r="L265" s="2" t="n">
        <x:f>SUM(IF('Source_Data'!A51=A265,IF(ISBLANK('Source_Data'!A51)=ISBLANK(A265),0,1),1),IF('Source_Data'!B51=B265,IF(ISBLANK('Source_Data'!B51)=ISBLANK(B265),0,1),1),IF('Source_Data'!C51=C265,IF(ISBLANK('Source_Data'!C51)=ISBLANK(C265),0,1),1),IF('Source_Data'!D51=D265,IF(ISBLANK('Source_Data'!D51)=ISBLANK(D265),0,1),1),IF('Source_Data'!E51=E265,IF(ISBLANK('Source_Data'!E51)=ISBLANK(E265),0,1),1),IF('Source_Data'!F51=F265,IF(ISBLANK('Source_Data'!F51)=ISBLANK(F265),0,1),1),IF('Source_Data'!G51=G265,IF(ISBLANK('Source_Data'!G51)=ISBLANK(G265),0,1),1),IF('Source_Data'!H51=H265,IF(ISBLANK('Source_Data'!H51)=ISBLANK(H265),0,1),1),IF('Source_Data'!I51=I265,IF(ISBLANK('Source_Data'!I51)=ISBLANK(I265),0,1),1),IF('Source_Data'!J51=J265,IF(ISBLANK('Source_Data'!J51)=ISBLANK(J265),0,1),1),IF('Source_Data'!K51=K265,IF(ISBLANK('Source_Data'!K51)=ISBLANK(K265),0,1),1))</x:f>
        <x:v>0</x:v>
      </x:c>
    </x:row>
    <x:row r="266" ht="23" customHeight="1">
      <x:c r="A266" s="2" t="str">
        <x:v>H1 2025|Pakistan|61091000</x:v>
      </x:c>
      <x:c r="B266" s="2" t="str">
        <x:v>H1 2025</x:v>
      </x:c>
      <x:c r="C266" s="2" t="str">
        <x:v>Pakistan</x:v>
      </x:c>
      <x:c r="D266" s="2" t="str">
        <x:v>61091000</x:v>
      </x:c>
      <x:c r="E266" s="2" t="n">
        <x:v>30121288</x:v>
      </x:c>
      <x:c r="F266" s="2" t="n">
        <x:v>7875332</x:v>
      </x:c>
      <x:c r="G266" s="2" t="n">
        <x:v>6</x:v>
      </x:c>
      <x:c r="H266" s="2" t="n">
        <x:v>3</x:v>
      </x:c>
      <x:c r="I266" s="2" t="n">
        <x:v>3.824764213115079</x:v>
      </x:c>
      <x:c r="J266" s="2" t="n">
        <x:v>202501</x:v>
      </x:c>
      <x:c r="K266" s="2" t="n">
        <x:v>202506</x:v>
      </x:c>
      <x:c r="L266" s="2" t="n">
        <x:f>SUM(IF('Source_Data'!A52=A266,IF(ISBLANK('Source_Data'!A52)=ISBLANK(A266),0,1),1),IF('Source_Data'!B52=B266,IF(ISBLANK('Source_Data'!B52)=ISBLANK(B266),0,1),1),IF('Source_Data'!C52=C266,IF(ISBLANK('Source_Data'!C52)=ISBLANK(C266),0,1),1),IF('Source_Data'!D52=D266,IF(ISBLANK('Source_Data'!D52)=ISBLANK(D266),0,1),1),IF('Source_Data'!E52=E266,IF(ISBLANK('Source_Data'!E52)=ISBLANK(E266),0,1),1),IF('Source_Data'!F52=F266,IF(ISBLANK('Source_Data'!F52)=ISBLANK(F266),0,1),1),IF('Source_Data'!G52=G266,IF(ISBLANK('Source_Data'!G52)=ISBLANK(G266),0,1),1),IF('Source_Data'!H52=H266,IF(ISBLANK('Source_Data'!H52)=ISBLANK(H266),0,1),1),IF('Source_Data'!I52=I266,IF(ISBLANK('Source_Data'!I52)=ISBLANK(I266),0,1),1),IF('Source_Data'!J52=J266,IF(ISBLANK('Source_Data'!J52)=ISBLANK(J266),0,1),1),IF('Source_Data'!K52=K266,IF(ISBLANK('Source_Data'!K52)=ISBLANK(K266),0,1),1))</x:f>
        <x:v>0</x:v>
      </x:c>
    </x:row>
    <x:row r="267" ht="23" customHeight="1">
      <x:c r="A267" s="2" t="str">
        <x:v>H1 2025|Sri Lanka|61091000</x:v>
      </x:c>
      <x:c r="B267" s="2" t="str">
        <x:v>H1 2025</x:v>
      </x:c>
      <x:c r="C267" s="2" t="str">
        <x:v>Sri Lanka</x:v>
      </x:c>
      <x:c r="D267" s="2" t="str">
        <x:v>61091000</x:v>
      </x:c>
      <x:c r="E267" s="2" t="n">
        <x:v>13060146</x:v>
      </x:c>
      <x:c r="F267" s="2" t="n">
        <x:v>1195844</x:v>
      </x:c>
      <x:c r="G267" s="2" t="n">
        <x:v>6</x:v>
      </x:c>
      <x:c r="H267" s="2" t="n">
        <x:v>0</x:v>
      </x:c>
      <x:c r="I267" s="2" t="n">
        <x:v>10.921279029706216</x:v>
      </x:c>
      <x:c r="J267" s="2" t="n">
        <x:v>202501</x:v>
      </x:c>
      <x:c r="K267" s="2" t="n">
        <x:v>202506</x:v>
      </x:c>
      <x:c r="L267" s="2" t="n">
        <x:f>SUM(IF('Source_Data'!A53=A267,IF(ISBLANK('Source_Data'!A53)=ISBLANK(A267),0,1),1),IF('Source_Data'!B53=B267,IF(ISBLANK('Source_Data'!B53)=ISBLANK(B267),0,1),1),IF('Source_Data'!C53=C267,IF(ISBLANK('Source_Data'!C53)=ISBLANK(C267),0,1),1),IF('Source_Data'!D53=D267,IF(ISBLANK('Source_Data'!D53)=ISBLANK(D267),0,1),1),IF('Source_Data'!E53=E267,IF(ISBLANK('Source_Data'!E53)=ISBLANK(E267),0,1),1),IF('Source_Data'!F53=F267,IF(ISBLANK('Source_Data'!F53)=ISBLANK(F267),0,1),1),IF('Source_Data'!G53=G267,IF(ISBLANK('Source_Data'!G53)=ISBLANK(G267),0,1),1),IF('Source_Data'!H53=H267,IF(ISBLANK('Source_Data'!H53)=ISBLANK(H267),0,1),1),IF('Source_Data'!I53=I267,IF(ISBLANK('Source_Data'!I53)=ISBLANK(I267),0,1),1),IF('Source_Data'!J53=J267,IF(ISBLANK('Source_Data'!J53)=ISBLANK(J267),0,1),1),IF('Source_Data'!K53=K267,IF(ISBLANK('Source_Data'!K53)=ISBLANK(K267),0,1),1))</x:f>
        <x:v>0</x:v>
      </x:c>
    </x:row>
    <x:row r="268" ht="23" customHeight="1">
      <x:c r="A268" s="2" t="str">
        <x:v>H1 2025|Turkey|61091000</x:v>
      </x:c>
      <x:c r="B268" s="2" t="str">
        <x:v>H1 2025</x:v>
      </x:c>
      <x:c r="C268" s="2" t="str">
        <x:v>Turkey</x:v>
      </x:c>
      <x:c r="D268" s="2" t="str">
        <x:v>61091000</x:v>
      </x:c>
      <x:c r="E268" s="2" t="n">
        <x:v>60323637</x:v>
      </x:c>
      <x:c r="F268" s="2" t="n">
        <x:v>2604971</x:v>
      </x:c>
      <x:c r="G268" s="2" t="n">
        <x:v>6</x:v>
      </x:c>
      <x:c r="H268" s="2" t="n">
        <x:v>0</x:v>
      </x:c>
      <x:c r="I268" s="2" t="n">
        <x:v>23.15712420598924</x:v>
      </x:c>
      <x:c r="J268" s="2" t="n">
        <x:v>202501</x:v>
      </x:c>
      <x:c r="K268" s="2" t="n">
        <x:v>202506</x:v>
      </x:c>
      <x:c r="L268" s="2" t="n">
        <x:f>SUM(IF('Source_Data'!A54=A268,IF(ISBLANK('Source_Data'!A54)=ISBLANK(A268),0,1),1),IF('Source_Data'!B54=B268,IF(ISBLANK('Source_Data'!B54)=ISBLANK(B268),0,1),1),IF('Source_Data'!C54=C268,IF(ISBLANK('Source_Data'!C54)=ISBLANK(C268),0,1),1),IF('Source_Data'!D54=D268,IF(ISBLANK('Source_Data'!D54)=ISBLANK(D268),0,1),1),IF('Source_Data'!E54=E268,IF(ISBLANK('Source_Data'!E54)=ISBLANK(E268),0,1),1),IF('Source_Data'!F54=F268,IF(ISBLANK('Source_Data'!F54)=ISBLANK(F268),0,1),1),IF('Source_Data'!G54=G268,IF(ISBLANK('Source_Data'!G54)=ISBLANK(G268),0,1),1),IF('Source_Data'!H54=H268,IF(ISBLANK('Source_Data'!H54)=ISBLANK(H268),0,1),1),IF('Source_Data'!I54=I268,IF(ISBLANK('Source_Data'!I54)=ISBLANK(I268),0,1),1),IF('Source_Data'!J54=J268,IF(ISBLANK('Source_Data'!J54)=ISBLANK(J268),0,1),1),IF('Source_Data'!K54=K268,IF(ISBLANK('Source_Data'!K54)=ISBLANK(K268),0,1),1))</x:f>
        <x:v>0</x:v>
      </x:c>
    </x:row>
    <x:row r="269" ht="23" customHeight="1">
      <x:c r="A269" s="2" t="str">
        <x:v>H1 2025|Vietnam|61091000</x:v>
      </x:c>
      <x:c r="B269" s="2" t="str">
        <x:v>H1 2025</x:v>
      </x:c>
      <x:c r="C269" s="2" t="str">
        <x:v>Vietnam</x:v>
      </x:c>
      <x:c r="D269" s="2" t="str">
        <x:v>61091000</x:v>
      </x:c>
      <x:c r="E269" s="2" t="n">
        <x:v>13823729</x:v>
      </x:c>
      <x:c r="F269" s="2" t="n">
        <x:v>647804</x:v>
      </x:c>
      <x:c r="G269" s="2" t="n">
        <x:v>6</x:v>
      </x:c>
      <x:c r="H269" s="2" t="n">
        <x:v>0</x:v>
      </x:c>
      <x:c r="I269" s="2" t="n">
        <x:v>21.339369624145576</x:v>
      </x:c>
      <x:c r="J269" s="2" t="n">
        <x:v>202501</x:v>
      </x:c>
      <x:c r="K269" s="2" t="n">
        <x:v>202506</x:v>
      </x:c>
      <x:c r="L269" s="2" t="n">
        <x:f>SUM(IF('Source_Data'!A55=A269,IF(ISBLANK('Source_Data'!A55)=ISBLANK(A269),0,1),1),IF('Source_Data'!B55=B269,IF(ISBLANK('Source_Data'!B55)=ISBLANK(B269),0,1),1),IF('Source_Data'!C55=C269,IF(ISBLANK('Source_Data'!C55)=ISBLANK(C269),0,1),1),IF('Source_Data'!D55=D269,IF(ISBLANK('Source_Data'!D55)=ISBLANK(D269),0,1),1),IF('Source_Data'!E55=E269,IF(ISBLANK('Source_Data'!E55)=ISBLANK(E269),0,1),1),IF('Source_Data'!F55=F269,IF(ISBLANK('Source_Data'!F55)=ISBLANK(F269),0,1),1),IF('Source_Data'!G55=G269,IF(ISBLANK('Source_Data'!G55)=ISBLANK(G269),0,1),1),IF('Source_Data'!H55=H269,IF(ISBLANK('Source_Data'!H55)=ISBLANK(H269),0,1),1),IF('Source_Data'!I55=I269,IF(ISBLANK('Source_Data'!I55)=ISBLANK(I269),0,1),1),IF('Source_Data'!J55=J269,IF(ISBLANK('Source_Data'!J55)=ISBLANK(J269),0,1),1),IF('Source_Data'!K55=K269,IF(ISBLANK('Source_Data'!K55)=ISBLANK(K269),0,1),1))</x:f>
        <x:v>0</x:v>
      </x:c>
    </x:row>
    <x:row r="270" ht="23" customHeight="1">
      <x:c r="A270" s="2" t="str">
        <x:v>H1 2025|Bangladesh|61103099</x:v>
      </x:c>
      <x:c r="B270" s="2" t="str">
        <x:v>H1 2025</x:v>
      </x:c>
      <x:c r="C270" s="2" t="str">
        <x:v>Bangladesh</x:v>
      </x:c>
      <x:c r="D270" s="2" t="str">
        <x:v>61103099</x:v>
      </x:c>
      <x:c r="E270" s="2" t="n">
        <x:v>43232053</x:v>
      </x:c>
      <x:c r="F270" s="2" t="n">
        <x:v>3424431</x:v>
      </x:c>
      <x:c r="G270" s="2" t="n">
        <x:v>6</x:v>
      </x:c>
      <x:c r="H270" s="2" t="n">
        <x:v>0</x:v>
      </x:c>
      <x:c r="I270" s="2" t="n">
        <x:v>12.624594567681463</x:v>
      </x:c>
      <x:c r="J270" s="2" t="n">
        <x:v>202501</x:v>
      </x:c>
      <x:c r="K270" s="2" t="n">
        <x:v>202506</x:v>
      </x:c>
      <x:c r="L270" s="2" t="n">
        <x:f>SUM(IF('Source_Data'!A56=A270,IF(ISBLANK('Source_Data'!A56)=ISBLANK(A270),0,1),1),IF('Source_Data'!B56=B270,IF(ISBLANK('Source_Data'!B56)=ISBLANK(B270),0,1),1),IF('Source_Data'!C56=C270,IF(ISBLANK('Source_Data'!C56)=ISBLANK(C270),0,1),1),IF('Source_Data'!D56=D270,IF(ISBLANK('Source_Data'!D56)=ISBLANK(D270),0,1),1),IF('Source_Data'!E56=E270,IF(ISBLANK('Source_Data'!E56)=ISBLANK(E270),0,1),1),IF('Source_Data'!F56=F270,IF(ISBLANK('Source_Data'!F56)=ISBLANK(F270),0,1),1),IF('Source_Data'!G56=G270,IF(ISBLANK('Source_Data'!G56)=ISBLANK(G270),0,1),1),IF('Source_Data'!H56=H270,IF(ISBLANK('Source_Data'!H56)=ISBLANK(H270),0,1),1),IF('Source_Data'!I56=I270,IF(ISBLANK('Source_Data'!I56)=ISBLANK(I270),0,1),1),IF('Source_Data'!J56=J270,IF(ISBLANK('Source_Data'!J56)=ISBLANK(J270),0,1),1),IF('Source_Data'!K56=K270,IF(ISBLANK('Source_Data'!K56)=ISBLANK(K270),0,1),1))</x:f>
        <x:v>0</x:v>
      </x:c>
    </x:row>
    <x:row r="271" ht="23" customHeight="1">
      <x:c r="A271" s="2" t="str">
        <x:v>H1 2025|Cambodia|61103099</x:v>
      </x:c>
      <x:c r="B271" s="2" t="str">
        <x:v>H1 2025</x:v>
      </x:c>
      <x:c r="C271" s="2" t="str">
        <x:v>Cambodia</x:v>
      </x:c>
      <x:c r="D271" s="2" t="str">
        <x:v>61103099</x:v>
      </x:c>
      <x:c r="E271" s="2" t="n">
        <x:v>26147920</x:v>
      </x:c>
      <x:c r="F271" s="2" t="n">
        <x:v>2287952</x:v>
      </x:c>
      <x:c r="G271" s="2" t="n">
        <x:v>6</x:v>
      </x:c>
      <x:c r="H271" s="2" t="n">
        <x:v>0</x:v>
      </x:c>
      <x:c r="I271" s="2" t="n">
        <x:v>11.428526472583341</x:v>
      </x:c>
      <x:c r="J271" s="2" t="n">
        <x:v>202501</x:v>
      </x:c>
      <x:c r="K271" s="2" t="n">
        <x:v>202506</x:v>
      </x:c>
      <x:c r="L271" s="2" t="n">
        <x:f>SUM(IF('Source_Data'!A57=A271,IF(ISBLANK('Source_Data'!A57)=ISBLANK(A271),0,1),1),IF('Source_Data'!B57=B271,IF(ISBLANK('Source_Data'!B57)=ISBLANK(B271),0,1),1),IF('Source_Data'!C57=C271,IF(ISBLANK('Source_Data'!C57)=ISBLANK(C271),0,1),1),IF('Source_Data'!D57=D271,IF(ISBLANK('Source_Data'!D57)=ISBLANK(D271),0,1),1),IF('Source_Data'!E57=E271,IF(ISBLANK('Source_Data'!E57)=ISBLANK(E271),0,1),1),IF('Source_Data'!F57=F271,IF(ISBLANK('Source_Data'!F57)=ISBLANK(F271),0,1),1),IF('Source_Data'!G57=G271,IF(ISBLANK('Source_Data'!G57)=ISBLANK(G271),0,1),1),IF('Source_Data'!H57=H271,IF(ISBLANK('Source_Data'!H57)=ISBLANK(H271),0,1),1),IF('Source_Data'!I57=I271,IF(ISBLANK('Source_Data'!I57)=ISBLANK(I271),0,1),1),IF('Source_Data'!J57=J271,IF(ISBLANK('Source_Data'!J57)=ISBLANK(J271),0,1),1),IF('Source_Data'!K57=K271,IF(ISBLANK('Source_Data'!K57)=ISBLANK(K271),0,1),1))</x:f>
        <x:v>0</x:v>
      </x:c>
    </x:row>
    <x:row r="272" ht="23" customHeight="1">
      <x:c r="A272" s="2" t="str">
        <x:v>H1 2025|China|61103099</x:v>
      </x:c>
      <x:c r="B272" s="2" t="str">
        <x:v>H1 2025</x:v>
      </x:c>
      <x:c r="C272" s="2" t="str">
        <x:v>China</x:v>
      </x:c>
      <x:c r="D272" s="2" t="str">
        <x:v>61103099</x:v>
      </x:c>
      <x:c r="E272" s="2" t="n">
        <x:v>48301351</x:v>
      </x:c>
      <x:c r="F272" s="2" t="n">
        <x:v>2829858</x:v>
      </x:c>
      <x:c r="G272" s="2" t="n">
        <x:v>6</x:v>
      </x:c>
      <x:c r="H272" s="2" t="n">
        <x:v>0</x:v>
      </x:c>
      <x:c r="I272" s="2" t="n">
        <x:v>17.068471633559</x:v>
      </x:c>
      <x:c r="J272" s="2" t="n">
        <x:v>202501</x:v>
      </x:c>
      <x:c r="K272" s="2" t="n">
        <x:v>202506</x:v>
      </x:c>
      <x:c r="L272" s="2" t="n">
        <x:f>SUM(IF('Source_Data'!A58=A272,IF(ISBLANK('Source_Data'!A58)=ISBLANK(A272),0,1),1),IF('Source_Data'!B58=B272,IF(ISBLANK('Source_Data'!B58)=ISBLANK(B272),0,1),1),IF('Source_Data'!C58=C272,IF(ISBLANK('Source_Data'!C58)=ISBLANK(C272),0,1),1),IF('Source_Data'!D58=D272,IF(ISBLANK('Source_Data'!D58)=ISBLANK(D272),0,1),1),IF('Source_Data'!E58=E272,IF(ISBLANK('Source_Data'!E58)=ISBLANK(E272),0,1),1),IF('Source_Data'!F58=F272,IF(ISBLANK('Source_Data'!F58)=ISBLANK(F272),0,1),1),IF('Source_Data'!G58=G272,IF(ISBLANK('Source_Data'!G58)=ISBLANK(G272),0,1),1),IF('Source_Data'!H58=H272,IF(ISBLANK('Source_Data'!H58)=ISBLANK(H272),0,1),1),IF('Source_Data'!I58=I272,IF(ISBLANK('Source_Data'!I58)=ISBLANK(I272),0,1),1),IF('Source_Data'!J58=J272,IF(ISBLANK('Source_Data'!J58)=ISBLANK(J272),0,1),1),IF('Source_Data'!K58=K272,IF(ISBLANK('Source_Data'!K58)=ISBLANK(K272),0,1),1))</x:f>
        <x:v>0</x:v>
      </x:c>
    </x:row>
    <x:row r="273" ht="23" customHeight="1">
      <x:c r="A273" s="2" t="str">
        <x:v>H1 2025|India|61103099</x:v>
      </x:c>
      <x:c r="B273" s="2" t="str">
        <x:v>H1 2025</x:v>
      </x:c>
      <x:c r="C273" s="2" t="str">
        <x:v>India</x:v>
      </x:c>
      <x:c r="D273" s="2" t="str">
        <x:v>61103099</x:v>
      </x:c>
      <x:c r="E273" s="2" t="n">
        <x:v>932801</x:v>
      </x:c>
      <x:c r="F273" s="2" t="n">
        <x:v>64901</x:v>
      </x:c>
      <x:c r="G273" s="2" t="n">
        <x:v>6</x:v>
      </x:c>
      <x:c r="H273" s="2" t="n">
        <x:v>0</x:v>
      </x:c>
      <x:c r="I273" s="2" t="n">
        <x:v>14.372675305465247</x:v>
      </x:c>
      <x:c r="J273" s="2" t="n">
        <x:v>202501</x:v>
      </x:c>
      <x:c r="K273" s="2" t="n">
        <x:v>202506</x:v>
      </x:c>
      <x:c r="L273" s="2" t="n">
        <x:f>SUM(IF('Source_Data'!A59=A273,IF(ISBLANK('Source_Data'!A59)=ISBLANK(A273),0,1),1),IF('Source_Data'!B59=B273,IF(ISBLANK('Source_Data'!B59)=ISBLANK(B273),0,1),1),IF('Source_Data'!C59=C273,IF(ISBLANK('Source_Data'!C59)=ISBLANK(C273),0,1),1),IF('Source_Data'!D59=D273,IF(ISBLANK('Source_Data'!D59)=ISBLANK(D273),0,1),1),IF('Source_Data'!E59=E273,IF(ISBLANK('Source_Data'!E59)=ISBLANK(E273),0,1),1),IF('Source_Data'!F59=F273,IF(ISBLANK('Source_Data'!F59)=ISBLANK(F273),0,1),1),IF('Source_Data'!G59=G273,IF(ISBLANK('Source_Data'!G59)=ISBLANK(G273),0,1),1),IF('Source_Data'!H59=H273,IF(ISBLANK('Source_Data'!H59)=ISBLANK(H273),0,1),1),IF('Source_Data'!I59=I273,IF(ISBLANK('Source_Data'!I59)=ISBLANK(I273),0,1),1),IF('Source_Data'!J59=J273,IF(ISBLANK('Source_Data'!J59)=ISBLANK(J273),0,1),1),IF('Source_Data'!K59=K273,IF(ISBLANK('Source_Data'!K59)=ISBLANK(K273),0,1),1))</x:f>
        <x:v>0</x:v>
      </x:c>
    </x:row>
    <x:row r="274" ht="23" customHeight="1">
      <x:c r="A274" s="2" t="str">
        <x:v>H1 2025|Morocco|61103099</x:v>
      </x:c>
      <x:c r="B274" s="2" t="str">
        <x:v>H1 2025</x:v>
      </x:c>
      <x:c r="C274" s="2" t="str">
        <x:v>Morocco</x:v>
      </x:c>
      <x:c r="D274" s="2" t="str">
        <x:v>61103099</x:v>
      </x:c>
      <x:c r="E274" s="2" t="n">
        <x:v>177153</x:v>
      </x:c>
      <x:c r="F274" s="2" t="n">
        <x:v>12853</x:v>
      </x:c>
      <x:c r="G274" s="2" t="n">
        <x:v>6</x:v>
      </x:c>
      <x:c r="H274" s="2" t="n">
        <x:v>0</x:v>
      </x:c>
      <x:c r="I274" s="2" t="n">
        <x:v>13.783007858087606</x:v>
      </x:c>
      <x:c r="J274" s="2" t="n">
        <x:v>202501</x:v>
      </x:c>
      <x:c r="K274" s="2" t="n">
        <x:v>202506</x:v>
      </x:c>
      <x:c r="L274" s="2" t="n">
        <x:f>SUM(IF('Source_Data'!A60=A274,IF(ISBLANK('Source_Data'!A60)=ISBLANK(A274),0,1),1),IF('Source_Data'!B60=B274,IF(ISBLANK('Source_Data'!B60)=ISBLANK(B274),0,1),1),IF('Source_Data'!C60=C274,IF(ISBLANK('Source_Data'!C60)=ISBLANK(C274),0,1),1),IF('Source_Data'!D60=D274,IF(ISBLANK('Source_Data'!D60)=ISBLANK(D274),0,1),1),IF('Source_Data'!E60=E274,IF(ISBLANK('Source_Data'!E60)=ISBLANK(E274),0,1),1),IF('Source_Data'!F60=F274,IF(ISBLANK('Source_Data'!F60)=ISBLANK(F274),0,1),1),IF('Source_Data'!G60=G274,IF(ISBLANK('Source_Data'!G60)=ISBLANK(G274),0,1),1),IF('Source_Data'!H60=H274,IF(ISBLANK('Source_Data'!H60)=ISBLANK(H274),0,1),1),IF('Source_Data'!I60=I274,IF(ISBLANK('Source_Data'!I60)=ISBLANK(I274),0,1),1),IF('Source_Data'!J60=J274,IF(ISBLANK('Source_Data'!J60)=ISBLANK(J274),0,1),1),IF('Source_Data'!K60=K274,IF(ISBLANK('Source_Data'!K60)=ISBLANK(K274),0,1),1))</x:f>
        <x:v>0</x:v>
      </x:c>
    </x:row>
    <x:row r="275" ht="23" customHeight="1">
      <x:c r="A275" s="2" t="str">
        <x:v>H1 2025|Myanmar|61103099</x:v>
      </x:c>
      <x:c r="B275" s="2" t="str">
        <x:v>H1 2025</x:v>
      </x:c>
      <x:c r="C275" s="2" t="str">
        <x:v>Myanmar</x:v>
      </x:c>
      <x:c r="D275" s="2" t="str">
        <x:v>61103099</x:v>
      </x:c>
      <x:c r="E275" s="2" t="n">
        <x:v>1277975</x:v>
      </x:c>
      <x:c r="F275" s="2" t="n">
        <x:v>75072</x:v>
      </x:c>
      <x:c r="G275" s="2" t="n">
        <x:v>6</x:v>
      </x:c>
      <x:c r="H275" s="2" t="n">
        <x:v>0</x:v>
      </x:c>
      <x:c r="I275" s="2" t="n">
        <x:v>17.02332427536232</x:v>
      </x:c>
      <x:c r="J275" s="2" t="n">
        <x:v>202501</x:v>
      </x:c>
      <x:c r="K275" s="2" t="n">
        <x:v>202506</x:v>
      </x:c>
      <x:c r="L275" s="2" t="n">
        <x:f>SUM(IF('Source_Data'!A61=A275,IF(ISBLANK('Source_Data'!A61)=ISBLANK(A275),0,1),1),IF('Source_Data'!B61=B275,IF(ISBLANK('Source_Data'!B61)=ISBLANK(B275),0,1),1),IF('Source_Data'!C61=C275,IF(ISBLANK('Source_Data'!C61)=ISBLANK(C275),0,1),1),IF('Source_Data'!D61=D275,IF(ISBLANK('Source_Data'!D61)=ISBLANK(D275),0,1),1),IF('Source_Data'!E61=E275,IF(ISBLANK('Source_Data'!E61)=ISBLANK(E275),0,1),1),IF('Source_Data'!F61=F275,IF(ISBLANK('Source_Data'!F61)=ISBLANK(F275),0,1),1),IF('Source_Data'!G61=G275,IF(ISBLANK('Source_Data'!G61)=ISBLANK(G275),0,1),1),IF('Source_Data'!H61=H275,IF(ISBLANK('Source_Data'!H61)=ISBLANK(H275),0,1),1),IF('Source_Data'!I61=I275,IF(ISBLANK('Source_Data'!I61)=ISBLANK(I275),0,1),1),IF('Source_Data'!J61=J275,IF(ISBLANK('Source_Data'!J61)=ISBLANK(J275),0,1),1),IF('Source_Data'!K61=K275,IF(ISBLANK('Source_Data'!K61)=ISBLANK(K275),0,1),1))</x:f>
        <x:v>0</x:v>
      </x:c>
    </x:row>
    <x:row r="276" ht="23" customHeight="1">
      <x:c r="A276" s="2" t="str">
        <x:v>H1 2025|Pakistan|61103099</x:v>
      </x:c>
      <x:c r="B276" s="2" t="str">
        <x:v>H1 2025</x:v>
      </x:c>
      <x:c r="C276" s="2" t="str">
        <x:v>Pakistan</x:v>
      </x:c>
      <x:c r="D276" s="2" t="str">
        <x:v>61103099</x:v>
      </x:c>
      <x:c r="E276" s="2" t="n">
        <x:v>2863632</x:v>
      </x:c>
      <x:c r="F276" s="2" t="n">
        <x:v>208997</x:v>
      </x:c>
      <x:c r="G276" s="2" t="n">
        <x:v>6</x:v>
      </x:c>
      <x:c r="H276" s="2" t="n">
        <x:v>0</x:v>
      </x:c>
      <x:c r="I276" s="2" t="n">
        <x:v>13.701785193088895</x:v>
      </x:c>
      <x:c r="J276" s="2" t="n">
        <x:v>202501</x:v>
      </x:c>
      <x:c r="K276" s="2" t="n">
        <x:v>202506</x:v>
      </x:c>
      <x:c r="L276" s="2" t="n">
        <x:f>SUM(IF('Source_Data'!A62=A276,IF(ISBLANK('Source_Data'!A62)=ISBLANK(A276),0,1),1),IF('Source_Data'!B62=B276,IF(ISBLANK('Source_Data'!B62)=ISBLANK(B276),0,1),1),IF('Source_Data'!C62=C276,IF(ISBLANK('Source_Data'!C62)=ISBLANK(C276),0,1),1),IF('Source_Data'!D62=D276,IF(ISBLANK('Source_Data'!D62)=ISBLANK(D276),0,1),1),IF('Source_Data'!E62=E276,IF(ISBLANK('Source_Data'!E62)=ISBLANK(E276),0,1),1),IF('Source_Data'!F62=F276,IF(ISBLANK('Source_Data'!F62)=ISBLANK(F276),0,1),1),IF('Source_Data'!G62=G276,IF(ISBLANK('Source_Data'!G62)=ISBLANK(G276),0,1),1),IF('Source_Data'!H62=H276,IF(ISBLANK('Source_Data'!H62)=ISBLANK(H276),0,1),1),IF('Source_Data'!I62=I276,IF(ISBLANK('Source_Data'!I62)=ISBLANK(I276),0,1),1),IF('Source_Data'!J62=J276,IF(ISBLANK('Source_Data'!J62)=ISBLANK(J276),0,1),1),IF('Source_Data'!K62=K276,IF(ISBLANK('Source_Data'!K62)=ISBLANK(K276),0,1),1))</x:f>
        <x:v>0</x:v>
      </x:c>
    </x:row>
    <x:row r="277" ht="23" customHeight="1">
      <x:c r="A277" s="2" t="str">
        <x:v>H1 2025|Sri Lanka|61103099</x:v>
      </x:c>
      <x:c r="B277" s="2" t="str">
        <x:v>H1 2025</x:v>
      </x:c>
      <x:c r="C277" s="2" t="str">
        <x:v>Sri Lanka</x:v>
      </x:c>
      <x:c r="D277" s="2" t="str">
        <x:v>61103099</x:v>
      </x:c>
      <x:c r="E277" s="2" t="n">
        <x:v>707193</x:v>
      </x:c>
      <x:c r="F277" s="2" t="n">
        <x:v>37952</x:v>
      </x:c>
      <x:c r="G277" s="2" t="n">
        <x:v>6</x:v>
      </x:c>
      <x:c r="H277" s="2" t="n">
        <x:v>0</x:v>
      </x:c>
      <x:c r="I277" s="2" t="n">
        <x:v>18.633879637436763</x:v>
      </x:c>
      <x:c r="J277" s="2" t="n">
        <x:v>202501</x:v>
      </x:c>
      <x:c r="K277" s="2" t="n">
        <x:v>202506</x:v>
      </x:c>
      <x:c r="L277" s="2" t="n">
        <x:f>SUM(IF('Source_Data'!A63=A277,IF(ISBLANK('Source_Data'!A63)=ISBLANK(A277),0,1),1),IF('Source_Data'!B63=B277,IF(ISBLANK('Source_Data'!B63)=ISBLANK(B277),0,1),1),IF('Source_Data'!C63=C277,IF(ISBLANK('Source_Data'!C63)=ISBLANK(C277),0,1),1),IF('Source_Data'!D63=D277,IF(ISBLANK('Source_Data'!D63)=ISBLANK(D277),0,1),1),IF('Source_Data'!E63=E277,IF(ISBLANK('Source_Data'!E63)=ISBLANK(E277),0,1),1),IF('Source_Data'!F63=F277,IF(ISBLANK('Source_Data'!F63)=ISBLANK(F277),0,1),1),IF('Source_Data'!G63=G277,IF(ISBLANK('Source_Data'!G63)=ISBLANK(G277),0,1),1),IF('Source_Data'!H63=H277,IF(ISBLANK('Source_Data'!H63)=ISBLANK(H277),0,1),1),IF('Source_Data'!I63=I277,IF(ISBLANK('Source_Data'!I63)=ISBLANK(I277),0,1),1),IF('Source_Data'!J63=J277,IF(ISBLANK('Source_Data'!J63)=ISBLANK(J277),0,1),1),IF('Source_Data'!K63=K277,IF(ISBLANK('Source_Data'!K63)=ISBLANK(K277),0,1),1))</x:f>
        <x:v>0</x:v>
      </x:c>
    </x:row>
    <x:row r="278" ht="23" customHeight="1">
      <x:c r="A278" s="2" t="str">
        <x:v>H1 2025|Turkey|61103099</x:v>
      </x:c>
      <x:c r="B278" s="2" t="str">
        <x:v>H1 2025</x:v>
      </x:c>
      <x:c r="C278" s="2" t="str">
        <x:v>Turkey</x:v>
      </x:c>
      <x:c r="D278" s="2" t="str">
        <x:v>61103099</x:v>
      </x:c>
      <x:c r="E278" s="2" t="n">
        <x:v>19881485</x:v>
      </x:c>
      <x:c r="F278" s="2" t="n">
        <x:v>1087527</x:v>
      </x:c>
      <x:c r="G278" s="2" t="n">
        <x:v>6</x:v>
      </x:c>
      <x:c r="H278" s="2" t="n">
        <x:v>0</x:v>
      </x:c>
      <x:c r="I278" s="2" t="n">
        <x:v>18.281371405031784</x:v>
      </x:c>
      <x:c r="J278" s="2" t="n">
        <x:v>202501</x:v>
      </x:c>
      <x:c r="K278" s="2" t="n">
        <x:v>202506</x:v>
      </x:c>
      <x:c r="L278" s="2" t="n">
        <x:f>SUM(IF('Source_Data'!A64=A278,IF(ISBLANK('Source_Data'!A64)=ISBLANK(A278),0,1),1),IF('Source_Data'!B64=B278,IF(ISBLANK('Source_Data'!B64)=ISBLANK(B278),0,1),1),IF('Source_Data'!C64=C278,IF(ISBLANK('Source_Data'!C64)=ISBLANK(C278),0,1),1),IF('Source_Data'!D64=D278,IF(ISBLANK('Source_Data'!D64)=ISBLANK(D278),0,1),1),IF('Source_Data'!E64=E278,IF(ISBLANK('Source_Data'!E64)=ISBLANK(E278),0,1),1),IF('Source_Data'!F64=F278,IF(ISBLANK('Source_Data'!F64)=ISBLANK(F278),0,1),1),IF('Source_Data'!G64=G278,IF(ISBLANK('Source_Data'!G64)=ISBLANK(G278),0,1),1),IF('Source_Data'!H64=H278,IF(ISBLANK('Source_Data'!H64)=ISBLANK(H278),0,1),1),IF('Source_Data'!I64=I278,IF(ISBLANK('Source_Data'!I64)=ISBLANK(I278),0,1),1),IF('Source_Data'!J64=J278,IF(ISBLANK('Source_Data'!J64)=ISBLANK(J278),0,1),1),IF('Source_Data'!K64=K278,IF(ISBLANK('Source_Data'!K64)=ISBLANK(K278),0,1),1))</x:f>
        <x:v>0</x:v>
      </x:c>
    </x:row>
    <x:row r="279" ht="23" customHeight="1">
      <x:c r="A279" s="2" t="str">
        <x:v>H1 2025|Vietnam|61103099</x:v>
      </x:c>
      <x:c r="B279" s="2" t="str">
        <x:v>H1 2025</x:v>
      </x:c>
      <x:c r="C279" s="2" t="str">
        <x:v>Vietnam</x:v>
      </x:c>
      <x:c r="D279" s="2" t="str">
        <x:v>61103099</x:v>
      </x:c>
      <x:c r="E279" s="2" t="n">
        <x:v>4270297</x:v>
      </x:c>
      <x:c r="F279" s="2" t="n">
        <x:v>151487</x:v>
      </x:c>
      <x:c r="G279" s="2" t="n">
        <x:v>6</x:v>
      </x:c>
      <x:c r="H279" s="2" t="n">
        <x:v>0</x:v>
      </x:c>
      <x:c r="I279" s="2" t="n">
        <x:v>28.189197752942498</x:v>
      </x:c>
      <x:c r="J279" s="2" t="n">
        <x:v>202501</x:v>
      </x:c>
      <x:c r="K279" s="2" t="n">
        <x:v>202506</x:v>
      </x:c>
      <x:c r="L279" s="2" t="n">
        <x:f>SUM(IF('Source_Data'!A65=A279,IF(ISBLANK('Source_Data'!A65)=ISBLANK(A279),0,1),1),IF('Source_Data'!B65=B279,IF(ISBLANK('Source_Data'!B65)=ISBLANK(B279),0,1),1),IF('Source_Data'!C65=C279,IF(ISBLANK('Source_Data'!C65)=ISBLANK(C279),0,1),1),IF('Source_Data'!D65=D279,IF(ISBLANK('Source_Data'!D65)=ISBLANK(D279),0,1),1),IF('Source_Data'!E65=E279,IF(ISBLANK('Source_Data'!E65)=ISBLANK(E279),0,1),1),IF('Source_Data'!F65=F279,IF(ISBLANK('Source_Data'!F65)=ISBLANK(F279),0,1),1),IF('Source_Data'!G65=G279,IF(ISBLANK('Source_Data'!G65)=ISBLANK(G279),0,1),1),IF('Source_Data'!H65=H279,IF(ISBLANK('Source_Data'!H65)=ISBLANK(H279),0,1),1),IF('Source_Data'!I65=I279,IF(ISBLANK('Source_Data'!I65)=ISBLANK(I279),0,1),1),IF('Source_Data'!J65=J279,IF(ISBLANK('Source_Data'!J65)=ISBLANK(J279),0,1),1),IF('Source_Data'!K65=K279,IF(ISBLANK('Source_Data'!K65)=ISBLANK(K279),0,1),1))</x:f>
        <x:v>0</x:v>
      </x:c>
    </x:row>
    <x:row r="280" ht="23" customHeight="1">
      <x:c r="A280" s="2" t="str">
        <x:v>H1 2025|Bangladesh|62044300</x:v>
      </x:c>
      <x:c r="B280" s="2" t="str">
        <x:v>H1 2025</x:v>
      </x:c>
      <x:c r="C280" s="2" t="str">
        <x:v>Bangladesh</x:v>
      </x:c>
      <x:c r="D280" s="2" t="str">
        <x:v>62044300</x:v>
      </x:c>
      <x:c r="E280" s="2" t="n">
        <x:v>6638434</x:v>
      </x:c>
      <x:c r="F280" s="2" t="n">
        <x:v>395583</x:v>
      </x:c>
      <x:c r="G280" s="2" t="n">
        <x:v>6</x:v>
      </x:c>
      <x:c r="H280" s="2" t="n">
        <x:v>0</x:v>
      </x:c>
      <x:c r="I280" s="2" t="n">
        <x:v>16.781393538144965</x:v>
      </x:c>
      <x:c r="J280" s="2" t="n">
        <x:v>202501</x:v>
      </x:c>
      <x:c r="K280" s="2" t="n">
        <x:v>202506</x:v>
      </x:c>
      <x:c r="L280" s="2" t="n">
        <x:f>SUM(IF('Source_Data'!A66=A280,IF(ISBLANK('Source_Data'!A66)=ISBLANK(A280),0,1),1),IF('Source_Data'!B66=B280,IF(ISBLANK('Source_Data'!B66)=ISBLANK(B280),0,1),1),IF('Source_Data'!C66=C280,IF(ISBLANK('Source_Data'!C66)=ISBLANK(C280),0,1),1),IF('Source_Data'!D66=D280,IF(ISBLANK('Source_Data'!D66)=ISBLANK(D280),0,1),1),IF('Source_Data'!E66=E280,IF(ISBLANK('Source_Data'!E66)=ISBLANK(E280),0,1),1),IF('Source_Data'!F66=F280,IF(ISBLANK('Source_Data'!F66)=ISBLANK(F280),0,1),1),IF('Source_Data'!G66=G280,IF(ISBLANK('Source_Data'!G66)=ISBLANK(G280),0,1),1),IF('Source_Data'!H66=H280,IF(ISBLANK('Source_Data'!H66)=ISBLANK(H280),0,1),1),IF('Source_Data'!I66=I280,IF(ISBLANK('Source_Data'!I66)=ISBLANK(I280),0,1),1),IF('Source_Data'!J66=J280,IF(ISBLANK('Source_Data'!J66)=ISBLANK(J280),0,1),1),IF('Source_Data'!K66=K280,IF(ISBLANK('Source_Data'!K66)=ISBLANK(K280),0,1),1))</x:f>
        <x:v>0</x:v>
      </x:c>
    </x:row>
    <x:row r="281" ht="23" customHeight="1">
      <x:c r="A281" s="2" t="str">
        <x:v>H1 2025|Cambodia|62044300</x:v>
      </x:c>
      <x:c r="B281" s="2" t="str">
        <x:v>H1 2025</x:v>
      </x:c>
      <x:c r="C281" s="2" t="str">
        <x:v>Cambodia</x:v>
      </x:c>
      <x:c r="D281" s="2" t="str">
        <x:v>62044300</x:v>
      </x:c>
      <x:c r="E281" s="2" t="n">
        <x:v>1967492</x:v>
      </x:c>
      <x:c r="F281" s="2" t="n">
        <x:v>114785</x:v>
      </x:c>
      <x:c r="G281" s="2" t="n">
        <x:v>6</x:v>
      </x:c>
      <x:c r="H281" s="2" t="n">
        <x:v>0</x:v>
      </x:c>
      <x:c r="I281" s="2" t="n">
        <x:v>17.1406716905519</x:v>
      </x:c>
      <x:c r="J281" s="2" t="n">
        <x:v>202501</x:v>
      </x:c>
      <x:c r="K281" s="2" t="n">
        <x:v>202506</x:v>
      </x:c>
      <x:c r="L281" s="2" t="n">
        <x:f>SUM(IF('Source_Data'!A67=A281,IF(ISBLANK('Source_Data'!A67)=ISBLANK(A281),0,1),1),IF('Source_Data'!B67=B281,IF(ISBLANK('Source_Data'!B67)=ISBLANK(B281),0,1),1),IF('Source_Data'!C67=C281,IF(ISBLANK('Source_Data'!C67)=ISBLANK(C281),0,1),1),IF('Source_Data'!D67=D281,IF(ISBLANK('Source_Data'!D67)=ISBLANK(D281),0,1),1),IF('Source_Data'!E67=E281,IF(ISBLANK('Source_Data'!E67)=ISBLANK(E281),0,1),1),IF('Source_Data'!F67=F281,IF(ISBLANK('Source_Data'!F67)=ISBLANK(F281),0,1),1),IF('Source_Data'!G67=G281,IF(ISBLANK('Source_Data'!G67)=ISBLANK(G281),0,1),1),IF('Source_Data'!H67=H281,IF(ISBLANK('Source_Data'!H67)=ISBLANK(H281),0,1),1),IF('Source_Data'!I67=I281,IF(ISBLANK('Source_Data'!I67)=ISBLANK(I281),0,1),1),IF('Source_Data'!J67=J281,IF(ISBLANK('Source_Data'!J67)=ISBLANK(J281),0,1),1),IF('Source_Data'!K67=K281,IF(ISBLANK('Source_Data'!K67)=ISBLANK(K281),0,1),1))</x:f>
        <x:v>0</x:v>
      </x:c>
    </x:row>
    <x:row r="282" ht="23" customHeight="1">
      <x:c r="A282" s="2" t="str">
        <x:v>H1 2025|China|62044300</x:v>
      </x:c>
      <x:c r="B282" s="2" t="str">
        <x:v>H1 2025</x:v>
      </x:c>
      <x:c r="C282" s="2" t="str">
        <x:v>China</x:v>
      </x:c>
      <x:c r="D282" s="2" t="str">
        <x:v>62044300</x:v>
      </x:c>
      <x:c r="E282" s="2" t="n">
        <x:v>49523896</x:v>
      </x:c>
      <x:c r="F282" s="2" t="n">
        <x:v>1751053</x:v>
      </x:c>
      <x:c r="G282" s="2" t="n">
        <x:v>6</x:v>
      </x:c>
      <x:c r="H282" s="2" t="n">
        <x:v>0</x:v>
      </x:c>
      <x:c r="I282" s="2" t="n">
        <x:v>28.282351248077585</x:v>
      </x:c>
      <x:c r="J282" s="2" t="n">
        <x:v>202501</x:v>
      </x:c>
      <x:c r="K282" s="2" t="n">
        <x:v>202506</x:v>
      </x:c>
      <x:c r="L282" s="2" t="n">
        <x:f>SUM(IF('Source_Data'!A68=A282,IF(ISBLANK('Source_Data'!A68)=ISBLANK(A282),0,1),1),IF('Source_Data'!B68=B282,IF(ISBLANK('Source_Data'!B68)=ISBLANK(B282),0,1),1),IF('Source_Data'!C68=C282,IF(ISBLANK('Source_Data'!C68)=ISBLANK(C282),0,1),1),IF('Source_Data'!D68=D282,IF(ISBLANK('Source_Data'!D68)=ISBLANK(D282),0,1),1),IF('Source_Data'!E68=E282,IF(ISBLANK('Source_Data'!E68)=ISBLANK(E282),0,1),1),IF('Source_Data'!F68=F282,IF(ISBLANK('Source_Data'!F68)=ISBLANK(F282),0,1),1),IF('Source_Data'!G68=G282,IF(ISBLANK('Source_Data'!G68)=ISBLANK(G282),0,1),1),IF('Source_Data'!H68=H282,IF(ISBLANK('Source_Data'!H68)=ISBLANK(H282),0,1),1),IF('Source_Data'!I68=I282,IF(ISBLANK('Source_Data'!I68)=ISBLANK(I282),0,1),1),IF('Source_Data'!J68=J282,IF(ISBLANK('Source_Data'!J68)=ISBLANK(J282),0,1),1),IF('Source_Data'!K68=K282,IF(ISBLANK('Source_Data'!K68)=ISBLANK(K282),0,1),1))</x:f>
        <x:v>0</x:v>
      </x:c>
    </x:row>
    <x:row r="283" ht="23" customHeight="1">
      <x:c r="A283" s="2" t="str">
        <x:v>H1 2025|India|62044300</x:v>
      </x:c>
      <x:c r="B283" s="2" t="str">
        <x:v>H1 2025</x:v>
      </x:c>
      <x:c r="C283" s="2" t="str">
        <x:v>India</x:v>
      </x:c>
      <x:c r="D283" s="2" t="str">
        <x:v>62044300</x:v>
      </x:c>
      <x:c r="E283" s="2" t="n">
        <x:v>20894616</x:v>
      </x:c>
      <x:c r="F283" s="2" t="n">
        <x:v>746374</x:v>
      </x:c>
      <x:c r="G283" s="2" t="n">
        <x:v>6</x:v>
      </x:c>
      <x:c r="H283" s="2" t="n">
        <x:v>0</x:v>
      </x:c>
      <x:c r="I283" s="2" t="n">
        <x:v>27.994833689276422</x:v>
      </x:c>
      <x:c r="J283" s="2" t="n">
        <x:v>202501</x:v>
      </x:c>
      <x:c r="K283" s="2" t="n">
        <x:v>202506</x:v>
      </x:c>
      <x:c r="L283" s="2" t="n">
        <x:f>SUM(IF('Source_Data'!A69=A283,IF(ISBLANK('Source_Data'!A69)=ISBLANK(A283),0,1),1),IF('Source_Data'!B69=B283,IF(ISBLANK('Source_Data'!B69)=ISBLANK(B283),0,1),1),IF('Source_Data'!C69=C283,IF(ISBLANK('Source_Data'!C69)=ISBLANK(C283),0,1),1),IF('Source_Data'!D69=D283,IF(ISBLANK('Source_Data'!D69)=ISBLANK(D283),0,1),1),IF('Source_Data'!E69=E283,IF(ISBLANK('Source_Data'!E69)=ISBLANK(E283),0,1),1),IF('Source_Data'!F69=F283,IF(ISBLANK('Source_Data'!F69)=ISBLANK(F283),0,1),1),IF('Source_Data'!G69=G283,IF(ISBLANK('Source_Data'!G69)=ISBLANK(G283),0,1),1),IF('Source_Data'!H69=H283,IF(ISBLANK('Source_Data'!H69)=ISBLANK(H283),0,1),1),IF('Source_Data'!I69=I283,IF(ISBLANK('Source_Data'!I69)=ISBLANK(I283),0,1),1),IF('Source_Data'!J69=J283,IF(ISBLANK('Source_Data'!J69)=ISBLANK(J283),0,1),1),IF('Source_Data'!K69=K283,IF(ISBLANK('Source_Data'!K69)=ISBLANK(K283),0,1),1))</x:f>
        <x:v>0</x:v>
      </x:c>
    </x:row>
    <x:row r="284" ht="23" customHeight="1">
      <x:c r="A284" s="2" t="str">
        <x:v>H1 2025|Morocco|62044300</x:v>
      </x:c>
      <x:c r="B284" s="2" t="str">
        <x:v>H1 2025</x:v>
      </x:c>
      <x:c r="C284" s="2" t="str">
        <x:v>Morocco</x:v>
      </x:c>
      <x:c r="D284" s="2" t="str">
        <x:v>62044300</x:v>
      </x:c>
      <x:c r="E284" s="2" t="n">
        <x:v>6596648</x:v>
      </x:c>
      <x:c r="F284" s="2" t="n">
        <x:v>313649</x:v>
      </x:c>
      <x:c r="G284" s="2" t="n">
        <x:v>6</x:v>
      </x:c>
      <x:c r="H284" s="2" t="n">
        <x:v>0</x:v>
      </x:c>
      <x:c r="I284" s="2" t="n">
        <x:v>21.03194335068819</x:v>
      </x:c>
      <x:c r="J284" s="2" t="n">
        <x:v>202501</x:v>
      </x:c>
      <x:c r="K284" s="2" t="n">
        <x:v>202506</x:v>
      </x:c>
      <x:c r="L284" s="2" t="n">
        <x:f>SUM(IF('Source_Data'!A70=A284,IF(ISBLANK('Source_Data'!A70)=ISBLANK(A284),0,1),1),IF('Source_Data'!B70=B284,IF(ISBLANK('Source_Data'!B70)=ISBLANK(B284),0,1),1),IF('Source_Data'!C70=C284,IF(ISBLANK('Source_Data'!C70)=ISBLANK(C284),0,1),1),IF('Source_Data'!D70=D284,IF(ISBLANK('Source_Data'!D70)=ISBLANK(D284),0,1),1),IF('Source_Data'!E70=E284,IF(ISBLANK('Source_Data'!E70)=ISBLANK(E284),0,1),1),IF('Source_Data'!F70=F284,IF(ISBLANK('Source_Data'!F70)=ISBLANK(F284),0,1),1),IF('Source_Data'!G70=G284,IF(ISBLANK('Source_Data'!G70)=ISBLANK(G284),0,1),1),IF('Source_Data'!H70=H284,IF(ISBLANK('Source_Data'!H70)=ISBLANK(H284),0,1),1),IF('Source_Data'!I70=I284,IF(ISBLANK('Source_Data'!I70)=ISBLANK(I284),0,1),1),IF('Source_Data'!J70=J284,IF(ISBLANK('Source_Data'!J70)=ISBLANK(J284),0,1),1),IF('Source_Data'!K70=K284,IF(ISBLANK('Source_Data'!K70)=ISBLANK(K284),0,1),1))</x:f>
        <x:v>0</x:v>
      </x:c>
    </x:row>
    <x:row r="285" ht="23" customHeight="1">
      <x:c r="A285" s="2" t="str">
        <x:v>H1 2025|Myanmar|62044300</x:v>
      </x:c>
      <x:c r="B285" s="2" t="str">
        <x:v>H1 2025</x:v>
      </x:c>
      <x:c r="C285" s="2" t="str">
        <x:v>Myanmar</x:v>
      </x:c>
      <x:c r="D285" s="2" t="str">
        <x:v>62044300</x:v>
      </x:c>
      <x:c r="E285" s="2" t="n">
        <x:v>2158407</x:v>
      </x:c>
      <x:c r="F285" s="2" t="n">
        <x:v>48030</x:v>
      </x:c>
      <x:c r="G285" s="2" t="n">
        <x:v>6</x:v>
      </x:c>
      <x:c r="H285" s="2" t="n">
        <x:v>0</x:v>
      </x:c>
      <x:c r="I285" s="2" t="n">
        <x:v>44.93872579637726</x:v>
      </x:c>
      <x:c r="J285" s="2" t="n">
        <x:v>202501</x:v>
      </x:c>
      <x:c r="K285" s="2" t="n">
        <x:v>202506</x:v>
      </x:c>
      <x:c r="L285" s="2" t="n">
        <x:f>SUM(IF('Source_Data'!A71=A285,IF(ISBLANK('Source_Data'!A71)=ISBLANK(A285),0,1),1),IF('Source_Data'!B71=B285,IF(ISBLANK('Source_Data'!B71)=ISBLANK(B285),0,1),1),IF('Source_Data'!C71=C285,IF(ISBLANK('Source_Data'!C71)=ISBLANK(C285),0,1),1),IF('Source_Data'!D71=D285,IF(ISBLANK('Source_Data'!D71)=ISBLANK(D285),0,1),1),IF('Source_Data'!E71=E285,IF(ISBLANK('Source_Data'!E71)=ISBLANK(E285),0,1),1),IF('Source_Data'!F71=F285,IF(ISBLANK('Source_Data'!F71)=ISBLANK(F285),0,1),1),IF('Source_Data'!G71=G285,IF(ISBLANK('Source_Data'!G71)=ISBLANK(G285),0,1),1),IF('Source_Data'!H71=H285,IF(ISBLANK('Source_Data'!H71)=ISBLANK(H285),0,1),1),IF('Source_Data'!I71=I285,IF(ISBLANK('Source_Data'!I71)=ISBLANK(I285),0,1),1),IF('Source_Data'!J71=J285,IF(ISBLANK('Source_Data'!J71)=ISBLANK(J285),0,1),1),IF('Source_Data'!K71=K285,IF(ISBLANK('Source_Data'!K71)=ISBLANK(K285),0,1),1))</x:f>
        <x:v>0</x:v>
      </x:c>
    </x:row>
    <x:row r="286" ht="23" customHeight="1">
      <x:c r="A286" s="2" t="str">
        <x:v>H1 2025|Pakistan|62044300</x:v>
      </x:c>
      <x:c r="B286" s="2" t="str">
        <x:v>H1 2025</x:v>
      </x:c>
      <x:c r="C286" s="2" t="str">
        <x:v>Pakistan</x:v>
      </x:c>
      <x:c r="D286" s="2" t="str">
        <x:v>62044300</x:v>
      </x:c>
      <x:c r="E286" s="2" t="n">
        <x:v>993215</x:v>
      </x:c>
      <x:c r="F286" s="2" t="n">
        <x:v>48507</x:v>
      </x:c>
      <x:c r="G286" s="2" t="n">
        <x:v>6</x:v>
      </x:c>
      <x:c r="H286" s="2" t="n">
        <x:v>0</x:v>
      </x:c>
      <x:c r="I286" s="2" t="n">
        <x:v>20.475704537489435</x:v>
      </x:c>
      <x:c r="J286" s="2" t="n">
        <x:v>202501</x:v>
      </x:c>
      <x:c r="K286" s="2" t="n">
        <x:v>202506</x:v>
      </x:c>
      <x:c r="L286" s="2" t="n">
        <x:f>SUM(IF('Source_Data'!A72=A286,IF(ISBLANK('Source_Data'!A72)=ISBLANK(A286),0,1),1),IF('Source_Data'!B72=B286,IF(ISBLANK('Source_Data'!B72)=ISBLANK(B286),0,1),1),IF('Source_Data'!C72=C286,IF(ISBLANK('Source_Data'!C72)=ISBLANK(C286),0,1),1),IF('Source_Data'!D72=D286,IF(ISBLANK('Source_Data'!D72)=ISBLANK(D286),0,1),1),IF('Source_Data'!E72=E286,IF(ISBLANK('Source_Data'!E72)=ISBLANK(E286),0,1),1),IF('Source_Data'!F72=F286,IF(ISBLANK('Source_Data'!F72)=ISBLANK(F286),0,1),1),IF('Source_Data'!G72=G286,IF(ISBLANK('Source_Data'!G72)=ISBLANK(G286),0,1),1),IF('Source_Data'!H72=H286,IF(ISBLANK('Source_Data'!H72)=ISBLANK(H286),0,1),1),IF('Source_Data'!I72=I286,IF(ISBLANK('Source_Data'!I72)=ISBLANK(I286),0,1),1),IF('Source_Data'!J72=J286,IF(ISBLANK('Source_Data'!J72)=ISBLANK(J286),0,1),1),IF('Source_Data'!K72=K286,IF(ISBLANK('Source_Data'!K72)=ISBLANK(K286),0,1),1))</x:f>
        <x:v>0</x:v>
      </x:c>
    </x:row>
    <x:row r="287" ht="23" customHeight="1">
      <x:c r="A287" s="2" t="str">
        <x:v>H1 2025|Sri Lanka|62044300</x:v>
      </x:c>
      <x:c r="B287" s="2" t="str">
        <x:v>H1 2025</x:v>
      </x:c>
      <x:c r="C287" s="2" t="str">
        <x:v>Sri Lanka</x:v>
      </x:c>
      <x:c r="D287" s="2" t="str">
        <x:v>62044300</x:v>
      </x:c>
      <x:c r="E287" s="2" t="n">
        <x:v>7265946</x:v>
      </x:c>
      <x:c r="F287" s="2" t="n">
        <x:v>419671</x:v>
      </x:c>
      <x:c r="G287" s="2" t="n">
        <x:v>6</x:v>
      </x:c>
      <x:c r="H287" s="2" t="n">
        <x:v>0</x:v>
      </x:c>
      <x:c r="I287" s="2" t="n">
        <x:v>17.31343361823905</x:v>
      </x:c>
      <x:c r="J287" s="2" t="n">
        <x:v>202501</x:v>
      </x:c>
      <x:c r="K287" s="2" t="n">
        <x:v>202506</x:v>
      </x:c>
      <x:c r="L287" s="2" t="n">
        <x:f>SUM(IF('Source_Data'!A73=A287,IF(ISBLANK('Source_Data'!A73)=ISBLANK(A287),0,1),1),IF('Source_Data'!B73=B287,IF(ISBLANK('Source_Data'!B73)=ISBLANK(B287),0,1),1),IF('Source_Data'!C73=C287,IF(ISBLANK('Source_Data'!C73)=ISBLANK(C287),0,1),1),IF('Source_Data'!D73=D287,IF(ISBLANK('Source_Data'!D73)=ISBLANK(D287),0,1),1),IF('Source_Data'!E73=E287,IF(ISBLANK('Source_Data'!E73)=ISBLANK(E287),0,1),1),IF('Source_Data'!F73=F287,IF(ISBLANK('Source_Data'!F73)=ISBLANK(F287),0,1),1),IF('Source_Data'!G73=G287,IF(ISBLANK('Source_Data'!G73)=ISBLANK(G287),0,1),1),IF('Source_Data'!H73=H287,IF(ISBLANK('Source_Data'!H73)=ISBLANK(H287),0,1),1),IF('Source_Data'!I73=I287,IF(ISBLANK('Source_Data'!I73)=ISBLANK(I287),0,1),1),IF('Source_Data'!J73=J287,IF(ISBLANK('Source_Data'!J73)=ISBLANK(J287),0,1),1),IF('Source_Data'!K73=K287,IF(ISBLANK('Source_Data'!K73)=ISBLANK(K287),0,1),1))</x:f>
        <x:v>0</x:v>
      </x:c>
    </x:row>
    <x:row r="288" ht="23" customHeight="1">
      <x:c r="A288" s="2" t="str">
        <x:v>H1 2025|Turkey|62044300</x:v>
      </x:c>
      <x:c r="B288" s="2" t="str">
        <x:v>H1 2025</x:v>
      </x:c>
      <x:c r="C288" s="2" t="str">
        <x:v>Turkey</x:v>
      </x:c>
      <x:c r="D288" s="2" t="str">
        <x:v>62044300</x:v>
      </x:c>
      <x:c r="E288" s="2" t="n">
        <x:v>5868992</x:v>
      </x:c>
      <x:c r="F288" s="2" t="n">
        <x:v>158653</x:v>
      </x:c>
      <x:c r="G288" s="2" t="n">
        <x:v>6</x:v>
      </x:c>
      <x:c r="H288" s="2" t="n">
        <x:v>0</x:v>
      </x:c>
      <x:c r="I288" s="2" t="n">
        <x:v>36.992631718278254</x:v>
      </x:c>
      <x:c r="J288" s="2" t="n">
        <x:v>202501</x:v>
      </x:c>
      <x:c r="K288" s="2" t="n">
        <x:v>202506</x:v>
      </x:c>
      <x:c r="L288" s="2" t="n">
        <x:f>SUM(IF('Source_Data'!A74=A288,IF(ISBLANK('Source_Data'!A74)=ISBLANK(A288),0,1),1),IF('Source_Data'!B74=B288,IF(ISBLANK('Source_Data'!B74)=ISBLANK(B288),0,1),1),IF('Source_Data'!C74=C288,IF(ISBLANK('Source_Data'!C74)=ISBLANK(C288),0,1),1),IF('Source_Data'!D74=D288,IF(ISBLANK('Source_Data'!D74)=ISBLANK(D288),0,1),1),IF('Source_Data'!E74=E288,IF(ISBLANK('Source_Data'!E74)=ISBLANK(E288),0,1),1),IF('Source_Data'!F74=F288,IF(ISBLANK('Source_Data'!F74)=ISBLANK(F288),0,1),1),IF('Source_Data'!G74=G288,IF(ISBLANK('Source_Data'!G74)=ISBLANK(G288),0,1),1),IF('Source_Data'!H74=H288,IF(ISBLANK('Source_Data'!H74)=ISBLANK(H288),0,1),1),IF('Source_Data'!I74=I288,IF(ISBLANK('Source_Data'!I74)=ISBLANK(I288),0,1),1),IF('Source_Data'!J74=J288,IF(ISBLANK('Source_Data'!J74)=ISBLANK(J288),0,1),1),IF('Source_Data'!K74=K288,IF(ISBLANK('Source_Data'!K74)=ISBLANK(K288),0,1),1))</x:f>
        <x:v>0</x:v>
      </x:c>
    </x:row>
    <x:row r="289" ht="23" customHeight="1">
      <x:c r="A289" s="2" t="str">
        <x:v>H1 2025|Vietnam|62044300</x:v>
      </x:c>
      <x:c r="B289" s="2" t="str">
        <x:v>H1 2025</x:v>
      </x:c>
      <x:c r="C289" s="2" t="str">
        <x:v>Vietnam</x:v>
      </x:c>
      <x:c r="D289" s="2" t="str">
        <x:v>62044300</x:v>
      </x:c>
      <x:c r="E289" s="2" t="n">
        <x:v>4155142</x:v>
      </x:c>
      <x:c r="F289" s="2" t="n">
        <x:v>170600</x:v>
      </x:c>
      <x:c r="G289" s="2" t="n">
        <x:v>6</x:v>
      </x:c>
      <x:c r="H289" s="2" t="n">
        <x:v>0</x:v>
      </x:c>
      <x:c r="I289" s="2" t="n">
        <x:v>24.356049237983587</x:v>
      </x:c>
      <x:c r="J289" s="2" t="n">
        <x:v>202501</x:v>
      </x:c>
      <x:c r="K289" s="2" t="n">
        <x:v>202506</x:v>
      </x:c>
      <x:c r="L289" s="2" t="n">
        <x:f>SUM(IF('Source_Data'!A75=A289,IF(ISBLANK('Source_Data'!A75)=ISBLANK(A289),0,1),1),IF('Source_Data'!B75=B289,IF(ISBLANK('Source_Data'!B75)=ISBLANK(B289),0,1),1),IF('Source_Data'!C75=C289,IF(ISBLANK('Source_Data'!C75)=ISBLANK(C289),0,1),1),IF('Source_Data'!D75=D289,IF(ISBLANK('Source_Data'!D75)=ISBLANK(D289),0,1),1),IF('Source_Data'!E75=E289,IF(ISBLANK('Source_Data'!E75)=ISBLANK(E289),0,1),1),IF('Source_Data'!F75=F289,IF(ISBLANK('Source_Data'!F75)=ISBLANK(F289),0,1),1),IF('Source_Data'!G75=G289,IF(ISBLANK('Source_Data'!G75)=ISBLANK(G289),0,1),1),IF('Source_Data'!H75=H289,IF(ISBLANK('Source_Data'!H75)=ISBLANK(H289),0,1),1),IF('Source_Data'!I75=I289,IF(ISBLANK('Source_Data'!I75)=ISBLANK(I289),0,1),1),IF('Source_Data'!J75=J289,IF(ISBLANK('Source_Data'!J75)=ISBLANK(J289),0,1),1),IF('Source_Data'!K75=K289,IF(ISBLANK('Source_Data'!K75)=ISBLANK(K289),0,1),1))</x:f>
        <x:v>0</x:v>
      </x:c>
    </x:row>
    <x:row r="290" ht="23" customHeight="1">
      <x:c r="A290" s="2" t="str">
        <x:v>H1 2025|Bangladesh|62052000</x:v>
      </x:c>
      <x:c r="B290" s="2" t="str">
        <x:v>H1 2025</x:v>
      </x:c>
      <x:c r="C290" s="2" t="str">
        <x:v>Bangladesh</x:v>
      </x:c>
      <x:c r="D290" s="2" t="str">
        <x:v>62052000</x:v>
      </x:c>
      <x:c r="E290" s="2" t="n">
        <x:v>41153034</x:v>
      </x:c>
      <x:c r="F290" s="2" t="n">
        <x:v>2170454</x:v>
      </x:c>
      <x:c r="G290" s="2" t="n">
        <x:v>6</x:v>
      </x:c>
      <x:c r="H290" s="2" t="n">
        <x:v>0</x:v>
      </x:c>
      <x:c r="I290" s="2" t="n">
        <x:v>18.960564932497995</x:v>
      </x:c>
      <x:c r="J290" s="2" t="n">
        <x:v>202501</x:v>
      </x:c>
      <x:c r="K290" s="2" t="n">
        <x:v>202506</x:v>
      </x:c>
      <x:c r="L290" s="2" t="n">
        <x:f>SUM(IF('Source_Data'!A76=A290,IF(ISBLANK('Source_Data'!A76)=ISBLANK(A290),0,1),1),IF('Source_Data'!B76=B290,IF(ISBLANK('Source_Data'!B76)=ISBLANK(B290),0,1),1),IF('Source_Data'!C76=C290,IF(ISBLANK('Source_Data'!C76)=ISBLANK(C290),0,1),1),IF('Source_Data'!D76=D290,IF(ISBLANK('Source_Data'!D76)=ISBLANK(D290),0,1),1),IF('Source_Data'!E76=E290,IF(ISBLANK('Source_Data'!E76)=ISBLANK(E290),0,1),1),IF('Source_Data'!F76=F290,IF(ISBLANK('Source_Data'!F76)=ISBLANK(F290),0,1),1),IF('Source_Data'!G76=G290,IF(ISBLANK('Source_Data'!G76)=ISBLANK(G290),0,1),1),IF('Source_Data'!H76=H290,IF(ISBLANK('Source_Data'!H76)=ISBLANK(H290),0,1),1),IF('Source_Data'!I76=I290,IF(ISBLANK('Source_Data'!I76)=ISBLANK(I290),0,1),1),IF('Source_Data'!J76=J290,IF(ISBLANK('Source_Data'!J76)=ISBLANK(J290),0,1),1),IF('Source_Data'!K76=K290,IF(ISBLANK('Source_Data'!K76)=ISBLANK(K290),0,1),1))</x:f>
        <x:v>0</x:v>
      </x:c>
    </x:row>
    <x:row r="291" ht="23" customHeight="1">
      <x:c r="A291" s="2" t="str">
        <x:v>H1 2025|Cambodia|62052000</x:v>
      </x:c>
      <x:c r="B291" s="2" t="str">
        <x:v>H1 2025</x:v>
      </x:c>
      <x:c r="C291" s="2" t="str">
        <x:v>Cambodia</x:v>
      </x:c>
      <x:c r="D291" s="2" t="str">
        <x:v>62052000</x:v>
      </x:c>
      <x:c r="E291" s="2" t="n">
        <x:v>6687232</x:v>
      </x:c>
      <x:c r="F291" s="2" t="n">
        <x:v>272970</x:v>
      </x:c>
      <x:c r="G291" s="2" t="n">
        <x:v>6</x:v>
      </x:c>
      <x:c r="H291" s="2" t="n">
        <x:v>0</x:v>
      </x:c>
      <x:c r="I291" s="2" t="n">
        <x:v>24.498047404476683</x:v>
      </x:c>
      <x:c r="J291" s="2" t="n">
        <x:v>202501</x:v>
      </x:c>
      <x:c r="K291" s="2" t="n">
        <x:v>202506</x:v>
      </x:c>
      <x:c r="L291" s="2" t="n">
        <x:f>SUM(IF('Source_Data'!A77=A291,IF(ISBLANK('Source_Data'!A77)=ISBLANK(A291),0,1),1),IF('Source_Data'!B77=B291,IF(ISBLANK('Source_Data'!B77)=ISBLANK(B291),0,1),1),IF('Source_Data'!C77=C291,IF(ISBLANK('Source_Data'!C77)=ISBLANK(C291),0,1),1),IF('Source_Data'!D77=D291,IF(ISBLANK('Source_Data'!D77)=ISBLANK(D291),0,1),1),IF('Source_Data'!E77=E291,IF(ISBLANK('Source_Data'!E77)=ISBLANK(E291),0,1),1),IF('Source_Data'!F77=F291,IF(ISBLANK('Source_Data'!F77)=ISBLANK(F291),0,1),1),IF('Source_Data'!G77=G291,IF(ISBLANK('Source_Data'!G77)=ISBLANK(G291),0,1),1),IF('Source_Data'!H77=H291,IF(ISBLANK('Source_Data'!H77)=ISBLANK(H291),0,1),1),IF('Source_Data'!I77=I291,IF(ISBLANK('Source_Data'!I77)=ISBLANK(I291),0,1),1),IF('Source_Data'!J77=J291,IF(ISBLANK('Source_Data'!J77)=ISBLANK(J291),0,1),1),IF('Source_Data'!K77=K291,IF(ISBLANK('Source_Data'!K77)=ISBLANK(K291),0,1),1))</x:f>
        <x:v>0</x:v>
      </x:c>
    </x:row>
    <x:row r="292" ht="23" customHeight="1">
      <x:c r="A292" s="2" t="str">
        <x:v>H1 2025|China|62052000</x:v>
      </x:c>
      <x:c r="B292" s="2" t="str">
        <x:v>H1 2025</x:v>
      </x:c>
      <x:c r="C292" s="2" t="str">
        <x:v>China</x:v>
      </x:c>
      <x:c r="D292" s="2" t="str">
        <x:v>62052000</x:v>
      </x:c>
      <x:c r="E292" s="2" t="n">
        <x:v>6741715</x:v>
      </x:c>
      <x:c r="F292" s="2" t="n">
        <x:v>310092</x:v>
      </x:c>
      <x:c r="G292" s="2" t="n">
        <x:v>6</x:v>
      </x:c>
      <x:c r="H292" s="2" t="n">
        <x:v>0</x:v>
      </x:c>
      <x:c r="I292" s="2" t="n">
        <x:v>21.7410155695729</x:v>
      </x:c>
      <x:c r="J292" s="2" t="n">
        <x:v>202501</x:v>
      </x:c>
      <x:c r="K292" s="2" t="n">
        <x:v>202506</x:v>
      </x:c>
      <x:c r="L292" s="2" t="n">
        <x:f>SUM(IF('Source_Data'!A78=A292,IF(ISBLANK('Source_Data'!A78)=ISBLANK(A292),0,1),1),IF('Source_Data'!B78=B292,IF(ISBLANK('Source_Data'!B78)=ISBLANK(B292),0,1),1),IF('Source_Data'!C78=C292,IF(ISBLANK('Source_Data'!C78)=ISBLANK(C292),0,1),1),IF('Source_Data'!D78=D292,IF(ISBLANK('Source_Data'!D78)=ISBLANK(D292),0,1),1),IF('Source_Data'!E78=E292,IF(ISBLANK('Source_Data'!E78)=ISBLANK(E292),0,1),1),IF('Source_Data'!F78=F292,IF(ISBLANK('Source_Data'!F78)=ISBLANK(F292),0,1),1),IF('Source_Data'!G78=G292,IF(ISBLANK('Source_Data'!G78)=ISBLANK(G292),0,1),1),IF('Source_Data'!H78=H292,IF(ISBLANK('Source_Data'!H78)=ISBLANK(H292),0,1),1),IF('Source_Data'!I78=I292,IF(ISBLANK('Source_Data'!I78)=ISBLANK(I292),0,1),1),IF('Source_Data'!J78=J292,IF(ISBLANK('Source_Data'!J78)=ISBLANK(J292),0,1),1),IF('Source_Data'!K78=K292,IF(ISBLANK('Source_Data'!K78)=ISBLANK(K292),0,1),1))</x:f>
        <x:v>0</x:v>
      </x:c>
    </x:row>
    <x:row r="293" ht="23" customHeight="1">
      <x:c r="A293" s="2" t="str">
        <x:v>H1 2025|India|62052000</x:v>
      </x:c>
      <x:c r="B293" s="2" t="str">
        <x:v>H1 2025</x:v>
      </x:c>
      <x:c r="C293" s="2" t="str">
        <x:v>India</x:v>
      </x:c>
      <x:c r="D293" s="2" t="str">
        <x:v>62052000</x:v>
      </x:c>
      <x:c r="E293" s="2" t="n">
        <x:v>16956630</x:v>
      </x:c>
      <x:c r="F293" s="2" t="n">
        <x:v>741612</x:v>
      </x:c>
      <x:c r="G293" s="2" t="n">
        <x:v>6</x:v>
      </x:c>
      <x:c r="H293" s="2" t="n">
        <x:v>0</x:v>
      </x:c>
      <x:c r="I293" s="2" t="n">
        <x:v>22.864557207812172</x:v>
      </x:c>
      <x:c r="J293" s="2" t="n">
        <x:v>202501</x:v>
      </x:c>
      <x:c r="K293" s="2" t="n">
        <x:v>202506</x:v>
      </x:c>
      <x:c r="L293" s="2" t="n">
        <x:f>SUM(IF('Source_Data'!A79=A293,IF(ISBLANK('Source_Data'!A79)=ISBLANK(A293),0,1),1),IF('Source_Data'!B79=B293,IF(ISBLANK('Source_Data'!B79)=ISBLANK(B293),0,1),1),IF('Source_Data'!C79=C293,IF(ISBLANK('Source_Data'!C79)=ISBLANK(C293),0,1),1),IF('Source_Data'!D79=D293,IF(ISBLANK('Source_Data'!D79)=ISBLANK(D293),0,1),1),IF('Source_Data'!E79=E293,IF(ISBLANK('Source_Data'!E79)=ISBLANK(E293),0,1),1),IF('Source_Data'!F79=F293,IF(ISBLANK('Source_Data'!F79)=ISBLANK(F293),0,1),1),IF('Source_Data'!G79=G293,IF(ISBLANK('Source_Data'!G79)=ISBLANK(G293),0,1),1),IF('Source_Data'!H79=H293,IF(ISBLANK('Source_Data'!H79)=ISBLANK(H293),0,1),1),IF('Source_Data'!I79=I293,IF(ISBLANK('Source_Data'!I79)=ISBLANK(I293),0,1),1),IF('Source_Data'!J79=J293,IF(ISBLANK('Source_Data'!J79)=ISBLANK(J293),0,1),1),IF('Source_Data'!K79=K293,IF(ISBLANK('Source_Data'!K79)=ISBLANK(K293),0,1),1))</x:f>
        <x:v>0</x:v>
      </x:c>
    </x:row>
    <x:row r="294" ht="23" customHeight="1">
      <x:c r="A294" s="2" t="str">
        <x:v>H1 2025|Morocco|62052000</x:v>
      </x:c>
      <x:c r="B294" s="2" t="str">
        <x:v>H1 2025</x:v>
      </x:c>
      <x:c r="C294" s="2" t="str">
        <x:v>Morocco</x:v>
      </x:c>
      <x:c r="D294" s="2" t="str">
        <x:v>62052000</x:v>
      </x:c>
      <x:c r="E294" s="2" t="n">
        <x:v>698186</x:v>
      </x:c>
      <x:c r="F294" s="2" t="n">
        <x:v>15659</x:v>
      </x:c>
      <x:c r="G294" s="2" t="n">
        <x:v>6</x:v>
      </x:c>
      <x:c r="H294" s="2" t="n">
        <x:v>0</x:v>
      </x:c>
      <x:c r="I294" s="2" t="n">
        <x:v>44.58688294271665</x:v>
      </x:c>
      <x:c r="J294" s="2" t="n">
        <x:v>202501</x:v>
      </x:c>
      <x:c r="K294" s="2" t="n">
        <x:v>202506</x:v>
      </x:c>
      <x:c r="L294" s="2" t="n">
        <x:f>SUM(IF('Source_Data'!A80=A294,IF(ISBLANK('Source_Data'!A80)=ISBLANK(A294),0,1),1),IF('Source_Data'!B80=B294,IF(ISBLANK('Source_Data'!B80)=ISBLANK(B294),0,1),1),IF('Source_Data'!C80=C294,IF(ISBLANK('Source_Data'!C80)=ISBLANK(C294),0,1),1),IF('Source_Data'!D80=D294,IF(ISBLANK('Source_Data'!D80)=ISBLANK(D294),0,1),1),IF('Source_Data'!E80=E294,IF(ISBLANK('Source_Data'!E80)=ISBLANK(E294),0,1),1),IF('Source_Data'!F80=F294,IF(ISBLANK('Source_Data'!F80)=ISBLANK(F294),0,1),1),IF('Source_Data'!G80=G294,IF(ISBLANK('Source_Data'!G80)=ISBLANK(G294),0,1),1),IF('Source_Data'!H80=H294,IF(ISBLANK('Source_Data'!H80)=ISBLANK(H294),0,1),1),IF('Source_Data'!I80=I294,IF(ISBLANK('Source_Data'!I80)=ISBLANK(I294),0,1),1),IF('Source_Data'!J80=J294,IF(ISBLANK('Source_Data'!J80)=ISBLANK(J294),0,1),1),IF('Source_Data'!K80=K294,IF(ISBLANK('Source_Data'!K80)=ISBLANK(K294),0,1),1))</x:f>
        <x:v>0</x:v>
      </x:c>
    </x:row>
    <x:row r="295" ht="23" customHeight="1">
      <x:c r="A295" s="2" t="str">
        <x:v>H1 2025|Myanmar|62052000</x:v>
      </x:c>
      <x:c r="B295" s="2" t="str">
        <x:v>H1 2025</x:v>
      </x:c>
      <x:c r="C295" s="2" t="str">
        <x:v>Myanmar</x:v>
      </x:c>
      <x:c r="D295" s="2" t="str">
        <x:v>62052000</x:v>
      </x:c>
      <x:c r="E295" s="2" t="n">
        <x:v>549871</x:v>
      </x:c>
      <x:c r="F295" s="2" t="n">
        <x:v>31192</x:v>
      </x:c>
      <x:c r="G295" s="2" t="n">
        <x:v>6</x:v>
      </x:c>
      <x:c r="H295" s="2" t="n">
        <x:v>0</x:v>
      </x:c>
      <x:c r="I295" s="2" t="n">
        <x:v>17.628590664272892</x:v>
      </x:c>
      <x:c r="J295" s="2" t="n">
        <x:v>202501</x:v>
      </x:c>
      <x:c r="K295" s="2" t="n">
        <x:v>202506</x:v>
      </x:c>
      <x:c r="L295" s="2" t="n">
        <x:f>SUM(IF('Source_Data'!A81=A295,IF(ISBLANK('Source_Data'!A81)=ISBLANK(A295),0,1),1),IF('Source_Data'!B81=B295,IF(ISBLANK('Source_Data'!B81)=ISBLANK(B295),0,1),1),IF('Source_Data'!C81=C295,IF(ISBLANK('Source_Data'!C81)=ISBLANK(C295),0,1),1),IF('Source_Data'!D81=D295,IF(ISBLANK('Source_Data'!D81)=ISBLANK(D295),0,1),1),IF('Source_Data'!E81=E295,IF(ISBLANK('Source_Data'!E81)=ISBLANK(E295),0,1),1),IF('Source_Data'!F81=F295,IF(ISBLANK('Source_Data'!F81)=ISBLANK(F295),0,1),1),IF('Source_Data'!G81=G295,IF(ISBLANK('Source_Data'!G81)=ISBLANK(G295),0,1),1),IF('Source_Data'!H81=H295,IF(ISBLANK('Source_Data'!H81)=ISBLANK(H295),0,1),1),IF('Source_Data'!I81=I295,IF(ISBLANK('Source_Data'!I81)=ISBLANK(I295),0,1),1),IF('Source_Data'!J81=J295,IF(ISBLANK('Source_Data'!J81)=ISBLANK(J295),0,1),1),IF('Source_Data'!K81=K295,IF(ISBLANK('Source_Data'!K81)=ISBLANK(K295),0,1),1))</x:f>
        <x:v>0</x:v>
      </x:c>
    </x:row>
    <x:row r="296" ht="23" customHeight="1">
      <x:c r="A296" s="2" t="str">
        <x:v>H1 2025|Pakistan|62052000</x:v>
      </x:c>
      <x:c r="B296" s="2" t="str">
        <x:v>H1 2025</x:v>
      </x:c>
      <x:c r="C296" s="2" t="str">
        <x:v>Pakistan</x:v>
      </x:c>
      <x:c r="D296" s="2" t="str">
        <x:v>62052000</x:v>
      </x:c>
      <x:c r="E296" s="2" t="n">
        <x:v>457665</x:v>
      </x:c>
      <x:c r="F296" s="2" t="n">
        <x:v>36660</x:v>
      </x:c>
      <x:c r="G296" s="2" t="n">
        <x:v>6</x:v>
      </x:c>
      <x:c r="H296" s="2" t="n">
        <x:v>0</x:v>
      </x:c>
      <x:c r="I296" s="2" t="n">
        <x:v>12.48404255319149</x:v>
      </x:c>
      <x:c r="J296" s="2" t="n">
        <x:v>202501</x:v>
      </x:c>
      <x:c r="K296" s="2" t="n">
        <x:v>202506</x:v>
      </x:c>
      <x:c r="L296" s="2" t="n">
        <x:f>SUM(IF('Source_Data'!A82=A296,IF(ISBLANK('Source_Data'!A82)=ISBLANK(A296),0,1),1),IF('Source_Data'!B82=B296,IF(ISBLANK('Source_Data'!B82)=ISBLANK(B296),0,1),1),IF('Source_Data'!C82=C296,IF(ISBLANK('Source_Data'!C82)=ISBLANK(C296),0,1),1),IF('Source_Data'!D82=D296,IF(ISBLANK('Source_Data'!D82)=ISBLANK(D296),0,1),1),IF('Source_Data'!E82=E296,IF(ISBLANK('Source_Data'!E82)=ISBLANK(E296),0,1),1),IF('Source_Data'!F82=F296,IF(ISBLANK('Source_Data'!F82)=ISBLANK(F296),0,1),1),IF('Source_Data'!G82=G296,IF(ISBLANK('Source_Data'!G82)=ISBLANK(G296),0,1),1),IF('Source_Data'!H82=H296,IF(ISBLANK('Source_Data'!H82)=ISBLANK(H296),0,1),1),IF('Source_Data'!I82=I296,IF(ISBLANK('Source_Data'!I82)=ISBLANK(I296),0,1),1),IF('Source_Data'!J82=J296,IF(ISBLANK('Source_Data'!J82)=ISBLANK(J296),0,1),1),IF('Source_Data'!K82=K296,IF(ISBLANK('Source_Data'!K82)=ISBLANK(K296),0,1),1))</x:f>
        <x:v>0</x:v>
      </x:c>
    </x:row>
    <x:row r="297" ht="23" customHeight="1">
      <x:c r="A297" s="2" t="str">
        <x:v>H1 2025|Sri Lanka|62052000</x:v>
      </x:c>
      <x:c r="B297" s="2" t="str">
        <x:v>H1 2025</x:v>
      </x:c>
      <x:c r="C297" s="2" t="str">
        <x:v>Sri Lanka</x:v>
      </x:c>
      <x:c r="D297" s="2" t="str">
        <x:v>62052000</x:v>
      </x:c>
      <x:c r="E297" s="2" t="n">
        <x:v>1900906</x:v>
      </x:c>
      <x:c r="F297" s="2" t="n">
        <x:v>87885</x:v>
      </x:c>
      <x:c r="G297" s="2" t="n">
        <x:v>6</x:v>
      </x:c>
      <x:c r="H297" s="2" t="n">
        <x:v>0</x:v>
      </x:c>
      <x:c r="I297" s="2" t="n">
        <x:v>21.6294703305456</x:v>
      </x:c>
      <x:c r="J297" s="2" t="n">
        <x:v>202501</x:v>
      </x:c>
      <x:c r="K297" s="2" t="n">
        <x:v>202506</x:v>
      </x:c>
      <x:c r="L297" s="2" t="n">
        <x:f>SUM(IF('Source_Data'!A83=A297,IF(ISBLANK('Source_Data'!A83)=ISBLANK(A297),0,1),1),IF('Source_Data'!B83=B297,IF(ISBLANK('Source_Data'!B83)=ISBLANK(B297),0,1),1),IF('Source_Data'!C83=C297,IF(ISBLANK('Source_Data'!C83)=ISBLANK(C297),0,1),1),IF('Source_Data'!D83=D297,IF(ISBLANK('Source_Data'!D83)=ISBLANK(D297),0,1),1),IF('Source_Data'!E83=E297,IF(ISBLANK('Source_Data'!E83)=ISBLANK(E297),0,1),1),IF('Source_Data'!F83=F297,IF(ISBLANK('Source_Data'!F83)=ISBLANK(F297),0,1),1),IF('Source_Data'!G83=G297,IF(ISBLANK('Source_Data'!G83)=ISBLANK(G297),0,1),1),IF('Source_Data'!H83=H297,IF(ISBLANK('Source_Data'!H83)=ISBLANK(H297),0,1),1),IF('Source_Data'!I83=I297,IF(ISBLANK('Source_Data'!I83)=ISBLANK(I297),0,1),1),IF('Source_Data'!J83=J297,IF(ISBLANK('Source_Data'!J83)=ISBLANK(J297),0,1),1),IF('Source_Data'!K83=K297,IF(ISBLANK('Source_Data'!K83)=ISBLANK(K297),0,1),1))</x:f>
        <x:v>0</x:v>
      </x:c>
    </x:row>
    <x:row r="298" ht="23" customHeight="1">
      <x:c r="A298" s="2" t="str">
        <x:v>H1 2025|Turkey|62052000</x:v>
      </x:c>
      <x:c r="B298" s="2" t="str">
        <x:v>H1 2025</x:v>
      </x:c>
      <x:c r="C298" s="2" t="str">
        <x:v>Turkey</x:v>
      </x:c>
      <x:c r="D298" s="2" t="str">
        <x:v>62052000</x:v>
      </x:c>
      <x:c r="E298" s="2" t="n">
        <x:v>6632162</x:v>
      </x:c>
      <x:c r="F298" s="2" t="n">
        <x:v>176092</x:v>
      </x:c>
      <x:c r="G298" s="2" t="n">
        <x:v>6</x:v>
      </x:c>
      <x:c r="H298" s="2" t="n">
        <x:v>0</x:v>
      </x:c>
      <x:c r="I298" s="2" t="n">
        <x:v>37.663051132362625</x:v>
      </x:c>
      <x:c r="J298" s="2" t="n">
        <x:v>202501</x:v>
      </x:c>
      <x:c r="K298" s="2" t="n">
        <x:v>202506</x:v>
      </x:c>
      <x:c r="L298" s="2" t="n">
        <x:f>SUM(IF('Source_Data'!A84=A298,IF(ISBLANK('Source_Data'!A84)=ISBLANK(A298),0,1),1),IF('Source_Data'!B84=B298,IF(ISBLANK('Source_Data'!B84)=ISBLANK(B298),0,1),1),IF('Source_Data'!C84=C298,IF(ISBLANK('Source_Data'!C84)=ISBLANK(C298),0,1),1),IF('Source_Data'!D84=D298,IF(ISBLANK('Source_Data'!D84)=ISBLANK(D298),0,1),1),IF('Source_Data'!E84=E298,IF(ISBLANK('Source_Data'!E84)=ISBLANK(E298),0,1),1),IF('Source_Data'!F84=F298,IF(ISBLANK('Source_Data'!F84)=ISBLANK(F298),0,1),1),IF('Source_Data'!G84=G298,IF(ISBLANK('Source_Data'!G84)=ISBLANK(G298),0,1),1),IF('Source_Data'!H84=H298,IF(ISBLANK('Source_Data'!H84)=ISBLANK(H298),0,1),1),IF('Source_Data'!I84=I298,IF(ISBLANK('Source_Data'!I84)=ISBLANK(I298),0,1),1),IF('Source_Data'!J84=J298,IF(ISBLANK('Source_Data'!J84)=ISBLANK(J298),0,1),1),IF('Source_Data'!K84=K298,IF(ISBLANK('Source_Data'!K84)=ISBLANK(K298),0,1),1))</x:f>
        <x:v>0</x:v>
      </x:c>
    </x:row>
    <x:row r="299" ht="23" customHeight="1">
      <x:c r="A299" s="2" t="str">
        <x:v>H1 2025|Vietnam|62052000</x:v>
      </x:c>
      <x:c r="B299" s="2" t="str">
        <x:v>H1 2025</x:v>
      </x:c>
      <x:c r="C299" s="2" t="str">
        <x:v>Vietnam</x:v>
      </x:c>
      <x:c r="D299" s="2" t="str">
        <x:v>62052000</x:v>
      </x:c>
      <x:c r="E299" s="2" t="n">
        <x:v>4754680</x:v>
      </x:c>
      <x:c r="F299" s="2" t="n">
        <x:v>154077</x:v>
      </x:c>
      <x:c r="G299" s="2" t="n">
        <x:v>6</x:v>
      </x:c>
      <x:c r="H299" s="2" t="n">
        <x:v>0</x:v>
      </x:c>
      <x:c r="I299" s="2" t="n">
        <x:v>30.859115896597157</x:v>
      </x:c>
      <x:c r="J299" s="2" t="n">
        <x:v>202501</x:v>
      </x:c>
      <x:c r="K299" s="2" t="n">
        <x:v>202506</x:v>
      </x:c>
      <x:c r="L299" s="2" t="n">
        <x:f>SUM(IF('Source_Data'!A85=A299,IF(ISBLANK('Source_Data'!A85)=ISBLANK(A299),0,1),1),IF('Source_Data'!B85=B299,IF(ISBLANK('Source_Data'!B85)=ISBLANK(B299),0,1),1),IF('Source_Data'!C85=C299,IF(ISBLANK('Source_Data'!C85)=ISBLANK(C299),0,1),1),IF('Source_Data'!D85=D299,IF(ISBLANK('Source_Data'!D85)=ISBLANK(D299),0,1),1),IF('Source_Data'!E85=E299,IF(ISBLANK('Source_Data'!E85)=ISBLANK(E299),0,1),1),IF('Source_Data'!F85=F299,IF(ISBLANK('Source_Data'!F85)=ISBLANK(F299),0,1),1),IF('Source_Data'!G85=G299,IF(ISBLANK('Source_Data'!G85)=ISBLANK(G299),0,1),1),IF('Source_Data'!H85=H299,IF(ISBLANK('Source_Data'!H85)=ISBLANK(H299),0,1),1),IF('Source_Data'!I85=I299,IF(ISBLANK('Source_Data'!I85)=ISBLANK(I299),0,1),1),IF('Source_Data'!J85=J299,IF(ISBLANK('Source_Data'!J85)=ISBLANK(J299),0,1),1),IF('Source_Data'!K85=K299,IF(ISBLANK('Source_Data'!K85)=ISBLANK(K299),0,1),1))</x:f>
        <x:v>0</x:v>
      </x:c>
    </x:row>
    <x:row r="300" ht="23" customHeight="1">
      <x:c r="A300" s="2" t="str">
        <x:v>H1 2026|Bangladesh|61091000</x:v>
      </x:c>
      <x:c r="B300" s="2" t="str">
        <x:v>H1 2026</x:v>
      </x:c>
      <x:c r="C300" s="2" t="str">
        <x:v>Bangladesh</x:v>
      </x:c>
      <x:c r="D300" s="2" t="str">
        <x:v>61091000</x:v>
      </x:c>
      <x:c r="E300" s="2" t="n">
        <x:v>254631302</x:v>
      </x:c>
      <x:c r="F300" s="2" t="n">
        <x:v>24484056</x:v>
      </x:c>
      <x:c r="G300" s="2" t="n">
        <x:v>6</x:v>
      </x:c>
      <x:c r="H300" s="2" t="n">
        <x:v>0</x:v>
      </x:c>
      <x:c r="I300" s="2" t="n">
        <x:v>10.399882356093288</x:v>
      </x:c>
      <x:c r="J300" s="2" t="n">
        <x:v>202601</x:v>
      </x:c>
      <x:c r="K300" s="2" t="n">
        <x:v>202606</x:v>
      </x:c>
      <x:c r="L300" s="2" t="n">
        <x:f>SUM(IF('Source_Data'!A86=A300,IF(ISBLANK('Source_Data'!A86)=ISBLANK(A300),0,1),1),IF('Source_Data'!B86=B300,IF(ISBLANK('Source_Data'!B86)=ISBLANK(B300),0,1),1),IF('Source_Data'!C86=C300,IF(ISBLANK('Source_Data'!C86)=ISBLANK(C300),0,1),1),IF('Source_Data'!D86=D300,IF(ISBLANK('Source_Data'!D86)=ISBLANK(D300),0,1),1),IF('Source_Data'!E86=E300,IF(ISBLANK('Source_Data'!E86)=ISBLANK(E300),0,1),1),IF('Source_Data'!F86=F300,IF(ISBLANK('Source_Data'!F86)=ISBLANK(F300),0,1),1),IF('Source_Data'!G86=G300,IF(ISBLANK('Source_Data'!G86)=ISBLANK(G300),0,1),1),IF('Source_Data'!H86=H300,IF(ISBLANK('Source_Data'!H86)=ISBLANK(H300),0,1),1),IF('Source_Data'!I86=I300,IF(ISBLANK('Source_Data'!I86)=ISBLANK(I300),0,1),1),IF('Source_Data'!J86=J300,IF(ISBLANK('Source_Data'!J86)=ISBLANK(J300),0,1),1),IF('Source_Data'!K86=K300,IF(ISBLANK('Source_Data'!K86)=ISBLANK(K300),0,1),1))</x:f>
        <x:v>0</x:v>
      </x:c>
    </x:row>
    <x:row r="301" ht="23" customHeight="1">
      <x:c r="A301" s="2" t="str">
        <x:v>H1 2026|Cambodia|61091000</x:v>
      </x:c>
      <x:c r="B301" s="2" t="str">
        <x:v>H1 2026</x:v>
      </x:c>
      <x:c r="C301" s="2" t="str">
        <x:v>Cambodia</x:v>
      </x:c>
      <x:c r="D301" s="2" t="str">
        <x:v>61091000</x:v>
      </x:c>
      <x:c r="E301" s="2" t="n">
        <x:v>5968533</x:v>
      </x:c>
      <x:c r="F301" s="2" t="n">
        <x:v>334694</x:v>
      </x:c>
      <x:c r="G301" s="2" t="n">
        <x:v>6</x:v>
      </x:c>
      <x:c r="H301" s="2" t="n">
        <x:v>0</x:v>
      </x:c>
      <x:c r="I301" s="2" t="n">
        <x:v>17.83280548799799</x:v>
      </x:c>
      <x:c r="J301" s="2" t="n">
        <x:v>202601</x:v>
      </x:c>
      <x:c r="K301" s="2" t="n">
        <x:v>202606</x:v>
      </x:c>
      <x:c r="L301" s="2" t="n">
        <x:f>SUM(IF('Source_Data'!A87=A301,IF(ISBLANK('Source_Data'!A87)=ISBLANK(A301),0,1),1),IF('Source_Data'!B87=B301,IF(ISBLANK('Source_Data'!B87)=ISBLANK(B301),0,1),1),IF('Source_Data'!C87=C301,IF(ISBLANK('Source_Data'!C87)=ISBLANK(C301),0,1),1),IF('Source_Data'!D87=D301,IF(ISBLANK('Source_Data'!D87)=ISBLANK(D301),0,1),1),IF('Source_Data'!E87=E301,IF(ISBLANK('Source_Data'!E87)=ISBLANK(E301),0,1),1),IF('Source_Data'!F87=F301,IF(ISBLANK('Source_Data'!F87)=ISBLANK(F301),0,1),1),IF('Source_Data'!G87=G301,IF(ISBLANK('Source_Data'!G87)=ISBLANK(G301),0,1),1),IF('Source_Data'!H87=H301,IF(ISBLANK('Source_Data'!H87)=ISBLANK(H301),0,1),1),IF('Source_Data'!I87=I301,IF(ISBLANK('Source_Data'!I87)=ISBLANK(I301),0,1),1),IF('Source_Data'!J87=J301,IF(ISBLANK('Source_Data'!J87)=ISBLANK(J301),0,1),1),IF('Source_Data'!K87=K301,IF(ISBLANK('Source_Data'!K87)=ISBLANK(K301),0,1),1))</x:f>
        <x:v>0</x:v>
      </x:c>
    </x:row>
    <x:row r="302" ht="23" customHeight="1">
      <x:c r="A302" s="2" t="str">
        <x:v>H1 2026|China|61091000</x:v>
      </x:c>
      <x:c r="B302" s="2" t="str">
        <x:v>H1 2026</x:v>
      </x:c>
      <x:c r="C302" s="2" t="str">
        <x:v>China</x:v>
      </x:c>
      <x:c r="D302" s="2" t="str">
        <x:v>61091000</x:v>
      </x:c>
      <x:c r="E302" s="2" t="n">
        <x:v>27268063</x:v>
      </x:c>
      <x:c r="F302" s="2" t="n">
        <x:v>1611661</x:v>
      </x:c>
      <x:c r="G302" s="2" t="n">
        <x:v>6</x:v>
      </x:c>
      <x:c r="H302" s="2" t="n">
        <x:v>0</x:v>
      </x:c>
      <x:c r="I302" s="2" t="n">
        <x:v>16.919229912494004</x:v>
      </x:c>
      <x:c r="J302" s="2" t="n">
        <x:v>202601</x:v>
      </x:c>
      <x:c r="K302" s="2" t="n">
        <x:v>202606</x:v>
      </x:c>
      <x:c r="L302" s="2" t="n">
        <x:f>SUM(IF('Source_Data'!A88=A302,IF(ISBLANK('Source_Data'!A88)=ISBLANK(A302),0,1),1),IF('Source_Data'!B88=B302,IF(ISBLANK('Source_Data'!B88)=ISBLANK(B302),0,1),1),IF('Source_Data'!C88=C302,IF(ISBLANK('Source_Data'!C88)=ISBLANK(C302),0,1),1),IF('Source_Data'!D88=D302,IF(ISBLANK('Source_Data'!D88)=ISBLANK(D302),0,1),1),IF('Source_Data'!E88=E302,IF(ISBLANK('Source_Data'!E88)=ISBLANK(E302),0,1),1),IF('Source_Data'!F88=F302,IF(ISBLANK('Source_Data'!F88)=ISBLANK(F302),0,1),1),IF('Source_Data'!G88=G302,IF(ISBLANK('Source_Data'!G88)=ISBLANK(G302),0,1),1),IF('Source_Data'!H88=H302,IF(ISBLANK('Source_Data'!H88)=ISBLANK(H302),0,1),1),IF('Source_Data'!I88=I302,IF(ISBLANK('Source_Data'!I88)=ISBLANK(I302),0,1),1),IF('Source_Data'!J88=J302,IF(ISBLANK('Source_Data'!J88)=ISBLANK(J302),0,1),1),IF('Source_Data'!K88=K302,IF(ISBLANK('Source_Data'!K88)=ISBLANK(K302),0,1),1))</x:f>
        <x:v>0</x:v>
      </x:c>
    </x:row>
    <x:row r="303" ht="23" customHeight="1">
      <x:c r="A303" s="2" t="str">
        <x:v>H1 2026|India|61091000</x:v>
      </x:c>
      <x:c r="B303" s="2" t="str">
        <x:v>H1 2026</x:v>
      </x:c>
      <x:c r="C303" s="2" t="str">
        <x:v>India</x:v>
      </x:c>
      <x:c r="D303" s="2" t="str">
        <x:v>61091000</x:v>
      </x:c>
      <x:c r="E303" s="2" t="n">
        <x:v>54416583</x:v>
      </x:c>
      <x:c r="F303" s="2" t="n">
        <x:v>4347817</x:v>
      </x:c>
      <x:c r="G303" s="2" t="n">
        <x:v>6</x:v>
      </x:c>
      <x:c r="H303" s="2" t="n">
        <x:v>0</x:v>
      </x:c>
      <x:c r="I303" s="2" t="n">
        <x:v>12.515840248106118</x:v>
      </x:c>
      <x:c r="J303" s="2" t="n">
        <x:v>202601</x:v>
      </x:c>
      <x:c r="K303" s="2" t="n">
        <x:v>202606</x:v>
      </x:c>
      <x:c r="L303" s="2" t="n">
        <x:f>SUM(IF('Source_Data'!A89=A303,IF(ISBLANK('Source_Data'!A89)=ISBLANK(A303),0,1),1),IF('Source_Data'!B89=B303,IF(ISBLANK('Source_Data'!B89)=ISBLANK(B303),0,1),1),IF('Source_Data'!C89=C303,IF(ISBLANK('Source_Data'!C89)=ISBLANK(C303),0,1),1),IF('Source_Data'!D89=D303,IF(ISBLANK('Source_Data'!D89)=ISBLANK(D303),0,1),1),IF('Source_Data'!E89=E303,IF(ISBLANK('Source_Data'!E89)=ISBLANK(E303),0,1),1),IF('Source_Data'!F89=F303,IF(ISBLANK('Source_Data'!F89)=ISBLANK(F303),0,1),1),IF('Source_Data'!G89=G303,IF(ISBLANK('Source_Data'!G89)=ISBLANK(G303),0,1),1),IF('Source_Data'!H89=H303,IF(ISBLANK('Source_Data'!H89)=ISBLANK(H303),0,1),1),IF('Source_Data'!I89=I303,IF(ISBLANK('Source_Data'!I89)=ISBLANK(I303),0,1),1),IF('Source_Data'!J89=J303,IF(ISBLANK('Source_Data'!J89)=ISBLANK(J303),0,1),1),IF('Source_Data'!K89=K303,IF(ISBLANK('Source_Data'!K89)=ISBLANK(K303),0,1),1))</x:f>
        <x:v>0</x:v>
      </x:c>
    </x:row>
    <x:row r="304" ht="23" customHeight="1">
      <x:c r="A304" s="2" t="str">
        <x:v>H1 2026|Morocco|61091000</x:v>
      </x:c>
      <x:c r="B304" s="2" t="str">
        <x:v>H1 2026</x:v>
      </x:c>
      <x:c r="C304" s="2" t="str">
        <x:v>Morocco</x:v>
      </x:c>
      <x:c r="D304" s="2" t="str">
        <x:v>61091000</x:v>
      </x:c>
      <x:c r="E304" s="2" t="n">
        <x:v>4957179</x:v>
      </x:c>
      <x:c r="F304" s="2" t="n">
        <x:v>526732</x:v>
      </x:c>
      <x:c r="G304" s="2" t="n">
        <x:v>6</x:v>
      </x:c>
      <x:c r="H304" s="2" t="n">
        <x:v>0</x:v>
      </x:c>
      <x:c r="I304" s="2" t="n">
        <x:v>9.411197724839198</x:v>
      </x:c>
      <x:c r="J304" s="2" t="n">
        <x:v>202601</x:v>
      </x:c>
      <x:c r="K304" s="2" t="n">
        <x:v>202606</x:v>
      </x:c>
      <x:c r="L304" s="2" t="n">
        <x:f>SUM(IF('Source_Data'!A90=A304,IF(ISBLANK('Source_Data'!A90)=ISBLANK(A304),0,1),1),IF('Source_Data'!B90=B304,IF(ISBLANK('Source_Data'!B90)=ISBLANK(B304),0,1),1),IF('Source_Data'!C90=C304,IF(ISBLANK('Source_Data'!C90)=ISBLANK(C304),0,1),1),IF('Source_Data'!D90=D304,IF(ISBLANK('Source_Data'!D90)=ISBLANK(D304),0,1),1),IF('Source_Data'!E90=E304,IF(ISBLANK('Source_Data'!E90)=ISBLANK(E304),0,1),1),IF('Source_Data'!F90=F304,IF(ISBLANK('Source_Data'!F90)=ISBLANK(F304),0,1),1),IF('Source_Data'!G90=G304,IF(ISBLANK('Source_Data'!G90)=ISBLANK(G304),0,1),1),IF('Source_Data'!H90=H304,IF(ISBLANK('Source_Data'!H90)=ISBLANK(H304),0,1),1),IF('Source_Data'!I90=I304,IF(ISBLANK('Source_Data'!I90)=ISBLANK(I304),0,1),1),IF('Source_Data'!J90=J304,IF(ISBLANK('Source_Data'!J90)=ISBLANK(J304),0,1),1),IF('Source_Data'!K90=K304,IF(ISBLANK('Source_Data'!K90)=ISBLANK(K304),0,1),1))</x:f>
        <x:v>0</x:v>
      </x:c>
    </x:row>
    <x:row r="305" ht="23" customHeight="1">
      <x:c r="A305" s="2" t="str">
        <x:v>H1 2026|Myanmar|61091000</x:v>
      </x:c>
      <x:c r="B305" s="2" t="str">
        <x:v>H1 2026</x:v>
      </x:c>
      <x:c r="C305" s="2" t="str">
        <x:v>Myanmar</x:v>
      </x:c>
      <x:c r="D305" s="2" t="str">
        <x:v>61091000</x:v>
      </x:c>
      <x:c r="E305" s="2" t="n">
        <x:v>619607</x:v>
      </x:c>
      <x:c r="F305" s="2" t="n">
        <x:v>58361</x:v>
      </x:c>
      <x:c r="G305" s="2" t="n">
        <x:v>6</x:v>
      </x:c>
      <x:c r="H305" s="2" t="n">
        <x:v>0</x:v>
      </x:c>
      <x:c r="I305" s="2" t="n">
        <x:v>10.616798889669472</x:v>
      </x:c>
      <x:c r="J305" s="2" t="n">
        <x:v>202601</x:v>
      </x:c>
      <x:c r="K305" s="2" t="n">
        <x:v>202606</x:v>
      </x:c>
      <x:c r="L305" s="2" t="n">
        <x:f>SUM(IF('Source_Data'!A91=A305,IF(ISBLANK('Source_Data'!A91)=ISBLANK(A305),0,1),1),IF('Source_Data'!B91=B305,IF(ISBLANK('Source_Data'!B91)=ISBLANK(B305),0,1),1),IF('Source_Data'!C91=C305,IF(ISBLANK('Source_Data'!C91)=ISBLANK(C305),0,1),1),IF('Source_Data'!D91=D305,IF(ISBLANK('Source_Data'!D91)=ISBLANK(D305),0,1),1),IF('Source_Data'!E91=E305,IF(ISBLANK('Source_Data'!E91)=ISBLANK(E305),0,1),1),IF('Source_Data'!F91=F305,IF(ISBLANK('Source_Data'!F91)=ISBLANK(F305),0,1),1),IF('Source_Data'!G91=G305,IF(ISBLANK('Source_Data'!G91)=ISBLANK(G305),0,1),1),IF('Source_Data'!H91=H305,IF(ISBLANK('Source_Data'!H91)=ISBLANK(H305),0,1),1),IF('Source_Data'!I91=I305,IF(ISBLANK('Source_Data'!I91)=ISBLANK(I305),0,1),1),IF('Source_Data'!J91=J305,IF(ISBLANK('Source_Data'!J91)=ISBLANK(J305),0,1),1),IF('Source_Data'!K91=K305,IF(ISBLANK('Source_Data'!K91)=ISBLANK(K305),0,1),1))</x:f>
        <x:v>0</x:v>
      </x:c>
    </x:row>
    <x:row r="306" ht="23" customHeight="1">
      <x:c r="A306" s="2" t="str">
        <x:v>H1 2026|Pakistan|61091000</x:v>
      </x:c>
      <x:c r="B306" s="2" t="str">
        <x:v>H1 2026</x:v>
      </x:c>
      <x:c r="C306" s="2" t="str">
        <x:v>Pakistan</x:v>
      </x:c>
      <x:c r="D306" s="2" t="str">
        <x:v>61091000</x:v>
      </x:c>
      <x:c r="E306" s="2" t="n">
        <x:v>20868271</x:v>
      </x:c>
      <x:c r="F306" s="2" t="n">
        <x:v>1714193</x:v>
      </x:c>
      <x:c r="G306" s="2" t="n">
        <x:v>6</x:v>
      </x:c>
      <x:c r="H306" s="2" t="n">
        <x:v>0</x:v>
      </x:c>
      <x:c r="I306" s="2" t="n">
        <x:v>12.17381648390817</x:v>
      </x:c>
      <x:c r="J306" s="2" t="n">
        <x:v>202601</x:v>
      </x:c>
      <x:c r="K306" s="2" t="n">
        <x:v>202606</x:v>
      </x:c>
      <x:c r="L306" s="2" t="n">
        <x:f>SUM(IF('Source_Data'!A92=A306,IF(ISBLANK('Source_Data'!A92)=ISBLANK(A306),0,1),1),IF('Source_Data'!B92=B306,IF(ISBLANK('Source_Data'!B92)=ISBLANK(B306),0,1),1),IF('Source_Data'!C92=C306,IF(ISBLANK('Source_Data'!C92)=ISBLANK(C306),0,1),1),IF('Source_Data'!D92=D306,IF(ISBLANK('Source_Data'!D92)=ISBLANK(D306),0,1),1),IF('Source_Data'!E92=E306,IF(ISBLANK('Source_Data'!E92)=ISBLANK(E306),0,1),1),IF('Source_Data'!F92=F306,IF(ISBLANK('Source_Data'!F92)=ISBLANK(F306),0,1),1),IF('Source_Data'!G92=G306,IF(ISBLANK('Source_Data'!G92)=ISBLANK(G306),0,1),1),IF('Source_Data'!H92=H306,IF(ISBLANK('Source_Data'!H92)=ISBLANK(H306),0,1),1),IF('Source_Data'!I92=I306,IF(ISBLANK('Source_Data'!I92)=ISBLANK(I306),0,1),1),IF('Source_Data'!J92=J306,IF(ISBLANK('Source_Data'!J92)=ISBLANK(J306),0,1),1),IF('Source_Data'!K92=K306,IF(ISBLANK('Source_Data'!K92)=ISBLANK(K306),0,1),1))</x:f>
        <x:v>0</x:v>
      </x:c>
    </x:row>
    <x:row r="307" ht="23" customHeight="1">
      <x:c r="A307" s="2" t="str">
        <x:v>H1 2026|Sri Lanka|61091000</x:v>
      </x:c>
      <x:c r="B307" s="2" t="str">
        <x:v>H1 2026</x:v>
      </x:c>
      <x:c r="C307" s="2" t="str">
        <x:v>Sri Lanka</x:v>
      </x:c>
      <x:c r="D307" s="2" t="str">
        <x:v>61091000</x:v>
      </x:c>
      <x:c r="E307" s="2" t="n">
        <x:v>8791535</x:v>
      </x:c>
      <x:c r="F307" s="2" t="n">
        <x:v>729136</x:v>
      </x:c>
      <x:c r="G307" s="2" t="n">
        <x:v>6</x:v>
      </x:c>
      <x:c r="H307" s="2" t="n">
        <x:v>0</x:v>
      </x:c>
      <x:c r="I307" s="2" t="n">
        <x:v>12.057469388426851</x:v>
      </x:c>
      <x:c r="J307" s="2" t="n">
        <x:v>202601</x:v>
      </x:c>
      <x:c r="K307" s="2" t="n">
        <x:v>202606</x:v>
      </x:c>
      <x:c r="L307" s="2" t="n">
        <x:f>SUM(IF('Source_Data'!A93=A307,IF(ISBLANK('Source_Data'!A93)=ISBLANK(A307),0,1),1),IF('Source_Data'!B93=B307,IF(ISBLANK('Source_Data'!B93)=ISBLANK(B307),0,1),1),IF('Source_Data'!C93=C307,IF(ISBLANK('Source_Data'!C93)=ISBLANK(C307),0,1),1),IF('Source_Data'!D93=D307,IF(ISBLANK('Source_Data'!D93)=ISBLANK(D307),0,1),1),IF('Source_Data'!E93=E307,IF(ISBLANK('Source_Data'!E93)=ISBLANK(E307),0,1),1),IF('Source_Data'!F93=F307,IF(ISBLANK('Source_Data'!F93)=ISBLANK(F307),0,1),1),IF('Source_Data'!G93=G307,IF(ISBLANK('Source_Data'!G93)=ISBLANK(G307),0,1),1),IF('Source_Data'!H93=H307,IF(ISBLANK('Source_Data'!H93)=ISBLANK(H307),0,1),1),IF('Source_Data'!I93=I307,IF(ISBLANK('Source_Data'!I93)=ISBLANK(I307),0,1),1),IF('Source_Data'!J93=J307,IF(ISBLANK('Source_Data'!J93)=ISBLANK(J307),0,1),1),IF('Source_Data'!K93=K307,IF(ISBLANK('Source_Data'!K93)=ISBLANK(K307),0,1),1))</x:f>
        <x:v>0</x:v>
      </x:c>
    </x:row>
    <x:row r="308" ht="23" customHeight="1">
      <x:c r="A308" s="2" t="str">
        <x:v>H1 2026|Turkey|61091000</x:v>
      </x:c>
      <x:c r="B308" s="2" t="str">
        <x:v>H1 2026</x:v>
      </x:c>
      <x:c r="C308" s="2" t="str">
        <x:v>Turkey</x:v>
      </x:c>
      <x:c r="D308" s="2" t="str">
        <x:v>61091000</x:v>
      </x:c>
      <x:c r="E308" s="2" t="n">
        <x:v>58384062</x:v>
      </x:c>
      <x:c r="F308" s="2" t="n">
        <x:v>2450042</x:v>
      </x:c>
      <x:c r="G308" s="2" t="n">
        <x:v>6</x:v>
      </x:c>
      <x:c r="H308" s="2" t="n">
        <x:v>0</x:v>
      </x:c>
      <x:c r="I308" s="2" t="n">
        <x:v>23.829820876540076</x:v>
      </x:c>
      <x:c r="J308" s="2" t="n">
        <x:v>202601</x:v>
      </x:c>
      <x:c r="K308" s="2" t="n">
        <x:v>202606</x:v>
      </x:c>
      <x:c r="L308" s="2" t="n">
        <x:f>SUM(IF('Source_Data'!A94=A308,IF(ISBLANK('Source_Data'!A94)=ISBLANK(A308),0,1),1),IF('Source_Data'!B94=B308,IF(ISBLANK('Source_Data'!B94)=ISBLANK(B308),0,1),1),IF('Source_Data'!C94=C308,IF(ISBLANK('Source_Data'!C94)=ISBLANK(C308),0,1),1),IF('Source_Data'!D94=D308,IF(ISBLANK('Source_Data'!D94)=ISBLANK(D308),0,1),1),IF('Source_Data'!E94=E308,IF(ISBLANK('Source_Data'!E94)=ISBLANK(E308),0,1),1),IF('Source_Data'!F94=F308,IF(ISBLANK('Source_Data'!F94)=ISBLANK(F308),0,1),1),IF('Source_Data'!G94=G308,IF(ISBLANK('Source_Data'!G94)=ISBLANK(G308),0,1),1),IF('Source_Data'!H94=H308,IF(ISBLANK('Source_Data'!H94)=ISBLANK(H308),0,1),1),IF('Source_Data'!I94=I308,IF(ISBLANK('Source_Data'!I94)=ISBLANK(I308),0,1),1),IF('Source_Data'!J94=J308,IF(ISBLANK('Source_Data'!J94)=ISBLANK(J308),0,1),1),IF('Source_Data'!K94=K308,IF(ISBLANK('Source_Data'!K94)=ISBLANK(K308),0,1),1))</x:f>
        <x:v>0</x:v>
      </x:c>
    </x:row>
    <x:row r="309" ht="23" customHeight="1">
      <x:c r="A309" s="2" t="str">
        <x:v>H1 2026|Vietnam|61091000</x:v>
      </x:c>
      <x:c r="B309" s="2" t="str">
        <x:v>H1 2026</x:v>
      </x:c>
      <x:c r="C309" s="2" t="str">
        <x:v>Vietnam</x:v>
      </x:c>
      <x:c r="D309" s="2" t="str">
        <x:v>61091000</x:v>
      </x:c>
      <x:c r="E309" s="2" t="n">
        <x:v>13656174</x:v>
      </x:c>
      <x:c r="F309" s="2" t="n">
        <x:v>532624</x:v>
      </x:c>
      <x:c r="G309" s="2" t="n">
        <x:v>6</x:v>
      </x:c>
      <x:c r="H309" s="2" t="n">
        <x:v>0</x:v>
      </x:c>
      <x:c r="I309" s="2" t="n">
        <x:v>25.639426687494367</x:v>
      </x:c>
      <x:c r="J309" s="2" t="n">
        <x:v>202601</x:v>
      </x:c>
      <x:c r="K309" s="2" t="n">
        <x:v>202606</x:v>
      </x:c>
      <x:c r="L309" s="2" t="n">
        <x:f>SUM(IF('Source_Data'!A95=A309,IF(ISBLANK('Source_Data'!A95)=ISBLANK(A309),0,1),1),IF('Source_Data'!B95=B309,IF(ISBLANK('Source_Data'!B95)=ISBLANK(B309),0,1),1),IF('Source_Data'!C95=C309,IF(ISBLANK('Source_Data'!C95)=ISBLANK(C309),0,1),1),IF('Source_Data'!D95=D309,IF(ISBLANK('Source_Data'!D95)=ISBLANK(D309),0,1),1),IF('Source_Data'!E95=E309,IF(ISBLANK('Source_Data'!E95)=ISBLANK(E309),0,1),1),IF('Source_Data'!F95=F309,IF(ISBLANK('Source_Data'!F95)=ISBLANK(F309),0,1),1),IF('Source_Data'!G95=G309,IF(ISBLANK('Source_Data'!G95)=ISBLANK(G309),0,1),1),IF('Source_Data'!H95=H309,IF(ISBLANK('Source_Data'!H95)=ISBLANK(H309),0,1),1),IF('Source_Data'!I95=I309,IF(ISBLANK('Source_Data'!I95)=ISBLANK(I309),0,1),1),IF('Source_Data'!J95=J309,IF(ISBLANK('Source_Data'!J95)=ISBLANK(J309),0,1),1),IF('Source_Data'!K95=K309,IF(ISBLANK('Source_Data'!K95)=ISBLANK(K309),0,1),1))</x:f>
        <x:v>0</x:v>
      </x:c>
    </x:row>
    <x:row r="310" ht="23" customHeight="1">
      <x:c r="A310" s="2" t="str">
        <x:v>H1 2026|Bangladesh|61103099</x:v>
      </x:c>
      <x:c r="B310" s="2" t="str">
        <x:v>H1 2026</x:v>
      </x:c>
      <x:c r="C310" s="2" t="str">
        <x:v>Bangladesh</x:v>
      </x:c>
      <x:c r="D310" s="2" t="str">
        <x:v>61103099</x:v>
      </x:c>
      <x:c r="E310" s="2" t="n">
        <x:v>41106466</x:v>
      </x:c>
      <x:c r="F310" s="2" t="n">
        <x:v>3340374</x:v>
      </x:c>
      <x:c r="G310" s="2" t="n">
        <x:v>6</x:v>
      </x:c>
      <x:c r="H310" s="2" t="n">
        <x:v>0</x:v>
      </x:c>
      <x:c r="I310" s="2" t="n">
        <x:v>12.305947178369847</x:v>
      </x:c>
      <x:c r="J310" s="2" t="n">
        <x:v>202601</x:v>
      </x:c>
      <x:c r="K310" s="2" t="n">
        <x:v>202606</x:v>
      </x:c>
      <x:c r="L310" s="2" t="n">
        <x:f>SUM(IF('Source_Data'!A96=A310,IF(ISBLANK('Source_Data'!A96)=ISBLANK(A310),0,1),1),IF('Source_Data'!B96=B310,IF(ISBLANK('Source_Data'!B96)=ISBLANK(B310),0,1),1),IF('Source_Data'!C96=C310,IF(ISBLANK('Source_Data'!C96)=ISBLANK(C310),0,1),1),IF('Source_Data'!D96=D310,IF(ISBLANK('Source_Data'!D96)=ISBLANK(D310),0,1),1),IF('Source_Data'!E96=E310,IF(ISBLANK('Source_Data'!E96)=ISBLANK(E310),0,1),1),IF('Source_Data'!F96=F310,IF(ISBLANK('Source_Data'!F96)=ISBLANK(F310),0,1),1),IF('Source_Data'!G96=G310,IF(ISBLANK('Source_Data'!G96)=ISBLANK(G310),0,1),1),IF('Source_Data'!H96=H310,IF(ISBLANK('Source_Data'!H96)=ISBLANK(H310),0,1),1),IF('Source_Data'!I96=I310,IF(ISBLANK('Source_Data'!I96)=ISBLANK(I310),0,1),1),IF('Source_Data'!J96=J310,IF(ISBLANK('Source_Data'!J96)=ISBLANK(J310),0,1),1),IF('Source_Data'!K96=K310,IF(ISBLANK('Source_Data'!K96)=ISBLANK(K310),0,1),1))</x:f>
        <x:v>0</x:v>
      </x:c>
    </x:row>
    <x:row r="311" ht="23" customHeight="1">
      <x:c r="A311" s="2" t="str">
        <x:v>H1 2026|Cambodia|61103099</x:v>
      </x:c>
      <x:c r="B311" s="2" t="str">
        <x:v>H1 2026</x:v>
      </x:c>
      <x:c r="C311" s="2" t="str">
        <x:v>Cambodia</x:v>
      </x:c>
      <x:c r="D311" s="2" t="str">
        <x:v>61103099</x:v>
      </x:c>
      <x:c r="E311" s="2" t="n">
        <x:v>20275618</x:v>
      </x:c>
      <x:c r="F311" s="2" t="n">
        <x:v>1804538</x:v>
      </x:c>
      <x:c r="G311" s="2" t="n">
        <x:v>6</x:v>
      </x:c>
      <x:c r="H311" s="2" t="n">
        <x:v>0</x:v>
      </x:c>
      <x:c r="I311" s="2" t="n">
        <x:v>11.235905256636325</x:v>
      </x:c>
      <x:c r="J311" s="2" t="n">
        <x:v>202601</x:v>
      </x:c>
      <x:c r="K311" s="2" t="n">
        <x:v>202606</x:v>
      </x:c>
      <x:c r="L311" s="2" t="n">
        <x:f>SUM(IF('Source_Data'!A97=A311,IF(ISBLANK('Source_Data'!A97)=ISBLANK(A311),0,1),1),IF('Source_Data'!B97=B311,IF(ISBLANK('Source_Data'!B97)=ISBLANK(B311),0,1),1),IF('Source_Data'!C97=C311,IF(ISBLANK('Source_Data'!C97)=ISBLANK(C311),0,1),1),IF('Source_Data'!D97=D311,IF(ISBLANK('Source_Data'!D97)=ISBLANK(D311),0,1),1),IF('Source_Data'!E97=E311,IF(ISBLANK('Source_Data'!E97)=ISBLANK(E311),0,1),1),IF('Source_Data'!F97=F311,IF(ISBLANK('Source_Data'!F97)=ISBLANK(F311),0,1),1),IF('Source_Data'!G97=G311,IF(ISBLANK('Source_Data'!G97)=ISBLANK(G311),0,1),1),IF('Source_Data'!H97=H311,IF(ISBLANK('Source_Data'!H97)=ISBLANK(H311),0,1),1),IF('Source_Data'!I97=I311,IF(ISBLANK('Source_Data'!I97)=ISBLANK(I311),0,1),1),IF('Source_Data'!J97=J311,IF(ISBLANK('Source_Data'!J97)=ISBLANK(J311),0,1),1),IF('Source_Data'!K97=K311,IF(ISBLANK('Source_Data'!K97)=ISBLANK(K311),0,1),1))</x:f>
        <x:v>0</x:v>
      </x:c>
    </x:row>
    <x:row r="312" ht="23" customHeight="1">
      <x:c r="A312" s="2" t="str">
        <x:v>H1 2026|China|61103099</x:v>
      </x:c>
      <x:c r="B312" s="2" t="str">
        <x:v>H1 2026</x:v>
      </x:c>
      <x:c r="C312" s="2" t="str">
        <x:v>China</x:v>
      </x:c>
      <x:c r="D312" s="2" t="str">
        <x:v>61103099</x:v>
      </x:c>
      <x:c r="E312" s="2" t="n">
        <x:v>44515052</x:v>
      </x:c>
      <x:c r="F312" s="2" t="n">
        <x:v>2608798</x:v>
      </x:c>
      <x:c r="G312" s="2" t="n">
        <x:v>6</x:v>
      </x:c>
      <x:c r="H312" s="2" t="n">
        <x:v>0</x:v>
      </x:c>
      <x:c r="I312" s="2" t="n">
        <x:v>17.063433811280138</x:v>
      </x:c>
      <x:c r="J312" s="2" t="n">
        <x:v>202601</x:v>
      </x:c>
      <x:c r="K312" s="2" t="n">
        <x:v>202606</x:v>
      </x:c>
      <x:c r="L312" s="2" t="n">
        <x:f>SUM(IF('Source_Data'!A98=A312,IF(ISBLANK('Source_Data'!A98)=ISBLANK(A312),0,1),1),IF('Source_Data'!B98=B312,IF(ISBLANK('Source_Data'!B98)=ISBLANK(B312),0,1),1),IF('Source_Data'!C98=C312,IF(ISBLANK('Source_Data'!C98)=ISBLANK(C312),0,1),1),IF('Source_Data'!D98=D312,IF(ISBLANK('Source_Data'!D98)=ISBLANK(D312),0,1),1),IF('Source_Data'!E98=E312,IF(ISBLANK('Source_Data'!E98)=ISBLANK(E312),0,1),1),IF('Source_Data'!F98=F312,IF(ISBLANK('Source_Data'!F98)=ISBLANK(F312),0,1),1),IF('Source_Data'!G98=G312,IF(ISBLANK('Source_Data'!G98)=ISBLANK(G312),0,1),1),IF('Source_Data'!H98=H312,IF(ISBLANK('Source_Data'!H98)=ISBLANK(H312),0,1),1),IF('Source_Data'!I98=I312,IF(ISBLANK('Source_Data'!I98)=ISBLANK(I312),0,1),1),IF('Source_Data'!J98=J312,IF(ISBLANK('Source_Data'!J98)=ISBLANK(J312),0,1),1),IF('Source_Data'!K98=K312,IF(ISBLANK('Source_Data'!K98)=ISBLANK(K312),0,1),1))</x:f>
        <x:v>0</x:v>
      </x:c>
    </x:row>
    <x:row r="313" ht="23" customHeight="1">
      <x:c r="A313" s="2" t="str">
        <x:v>H1 2026|India|61103099</x:v>
      </x:c>
      <x:c r="B313" s="2" t="str">
        <x:v>H1 2026</x:v>
      </x:c>
      <x:c r="C313" s="2" t="str">
        <x:v>India</x:v>
      </x:c>
      <x:c r="D313" s="2" t="str">
        <x:v>61103099</x:v>
      </x:c>
      <x:c r="E313" s="2" t="n">
        <x:v>709744</x:v>
      </x:c>
      <x:c r="F313" s="2" t="n">
        <x:v>46899</x:v>
      </x:c>
      <x:c r="G313" s="2" t="n">
        <x:v>6</x:v>
      </x:c>
      <x:c r="H313" s="2" t="n">
        <x:v>0</x:v>
      </x:c>
      <x:c r="I313" s="2" t="n">
        <x:v>15.133457003347619</x:v>
      </x:c>
      <x:c r="J313" s="2" t="n">
        <x:v>202601</x:v>
      </x:c>
      <x:c r="K313" s="2" t="n">
        <x:v>202606</x:v>
      </x:c>
      <x:c r="L313" s="2" t="n">
        <x:f>SUM(IF('Source_Data'!A99=A313,IF(ISBLANK('Source_Data'!A99)=ISBLANK(A313),0,1),1),IF('Source_Data'!B99=B313,IF(ISBLANK('Source_Data'!B99)=ISBLANK(B313),0,1),1),IF('Source_Data'!C99=C313,IF(ISBLANK('Source_Data'!C99)=ISBLANK(C313),0,1),1),IF('Source_Data'!D99=D313,IF(ISBLANK('Source_Data'!D99)=ISBLANK(D313),0,1),1),IF('Source_Data'!E99=E313,IF(ISBLANK('Source_Data'!E99)=ISBLANK(E313),0,1),1),IF('Source_Data'!F99=F313,IF(ISBLANK('Source_Data'!F99)=ISBLANK(F313),0,1),1),IF('Source_Data'!G99=G313,IF(ISBLANK('Source_Data'!G99)=ISBLANK(G313),0,1),1),IF('Source_Data'!H99=H313,IF(ISBLANK('Source_Data'!H99)=ISBLANK(H313),0,1),1),IF('Source_Data'!I99=I313,IF(ISBLANK('Source_Data'!I99)=ISBLANK(I313),0,1),1),IF('Source_Data'!J99=J313,IF(ISBLANK('Source_Data'!J99)=ISBLANK(J313),0,1),1),IF('Source_Data'!K99=K313,IF(ISBLANK('Source_Data'!K99)=ISBLANK(K313),0,1),1))</x:f>
        <x:v>0</x:v>
      </x:c>
    </x:row>
    <x:row r="314" ht="23" customHeight="1">
      <x:c r="A314" s="2" t="str">
        <x:v>H1 2026|Morocco|61103099</x:v>
      </x:c>
      <x:c r="B314" s="2" t="str">
        <x:v>H1 2026</x:v>
      </x:c>
      <x:c r="C314" s="2" t="str">
        <x:v>Morocco</x:v>
      </x:c>
      <x:c r="D314" s="2" t="str">
        <x:v>61103099</x:v>
      </x:c>
      <x:c r="E314" s="2" t="n">
        <x:v>94543</x:v>
      </x:c>
      <x:c r="F314" s="2" t="n">
        <x:v>3440</x:v>
      </x:c>
      <x:c r="G314" s="2" t="n">
        <x:v>6</x:v>
      </x:c>
      <x:c r="H314" s="2" t="n">
        <x:v>0</x:v>
      </x:c>
      <x:c r="I314" s="2" t="n">
        <x:v>27.48343023255814</x:v>
      </x:c>
      <x:c r="J314" s="2" t="n">
        <x:v>202601</x:v>
      </x:c>
      <x:c r="K314" s="2" t="n">
        <x:v>202606</x:v>
      </x:c>
      <x:c r="L314" s="2" t="n">
        <x:f>SUM(IF('Source_Data'!A100=A314,IF(ISBLANK('Source_Data'!A100)=ISBLANK(A314),0,1),1),IF('Source_Data'!B100=B314,IF(ISBLANK('Source_Data'!B100)=ISBLANK(B314),0,1),1),IF('Source_Data'!C100=C314,IF(ISBLANK('Source_Data'!C100)=ISBLANK(C314),0,1),1),IF('Source_Data'!D100=D314,IF(ISBLANK('Source_Data'!D100)=ISBLANK(D314),0,1),1),IF('Source_Data'!E100=E314,IF(ISBLANK('Source_Data'!E100)=ISBLANK(E314),0,1),1),IF('Source_Data'!F100=F314,IF(ISBLANK('Source_Data'!F100)=ISBLANK(F314),0,1),1),IF('Source_Data'!G100=G314,IF(ISBLANK('Source_Data'!G100)=ISBLANK(G314),0,1),1),IF('Source_Data'!H100=H314,IF(ISBLANK('Source_Data'!H100)=ISBLANK(H314),0,1),1),IF('Source_Data'!I100=I314,IF(ISBLANK('Source_Data'!I100)=ISBLANK(I314),0,1),1),IF('Source_Data'!J100=J314,IF(ISBLANK('Source_Data'!J100)=ISBLANK(J314),0,1),1),IF('Source_Data'!K100=K314,IF(ISBLANK('Source_Data'!K100)=ISBLANK(K314),0,1),1))</x:f>
        <x:v>0</x:v>
      </x:c>
    </x:row>
    <x:row r="315" ht="23" customHeight="1">
      <x:c r="A315" s="2" t="str">
        <x:v>H1 2026|Myanmar|61103099</x:v>
      </x:c>
      <x:c r="B315" s="2" t="str">
        <x:v>H1 2026</x:v>
      </x:c>
      <x:c r="C315" s="2" t="str">
        <x:v>Myanmar</x:v>
      </x:c>
      <x:c r="D315" s="2" t="str">
        <x:v>61103099</x:v>
      </x:c>
      <x:c r="E315" s="2" t="n">
        <x:v>1019595</x:v>
      </x:c>
      <x:c r="F315" s="2" t="n">
        <x:v>72000</x:v>
      </x:c>
      <x:c r="G315" s="2" t="n">
        <x:v>6</x:v>
      </x:c>
      <x:c r="H315" s="2" t="n">
        <x:v>0</x:v>
      </x:c>
      <x:c r="I315" s="2" t="n">
        <x:v>14.161041666666666</x:v>
      </x:c>
      <x:c r="J315" s="2" t="n">
        <x:v>202601</x:v>
      </x:c>
      <x:c r="K315" s="2" t="n">
        <x:v>202606</x:v>
      </x:c>
      <x:c r="L315" s="2" t="n">
        <x:f>SUM(IF('Source_Data'!A101=A315,IF(ISBLANK('Source_Data'!A101)=ISBLANK(A315),0,1),1),IF('Source_Data'!B101=B315,IF(ISBLANK('Source_Data'!B101)=ISBLANK(B315),0,1),1),IF('Source_Data'!C101=C315,IF(ISBLANK('Source_Data'!C101)=ISBLANK(C315),0,1),1),IF('Source_Data'!D101=D315,IF(ISBLANK('Source_Data'!D101)=ISBLANK(D315),0,1),1),IF('Source_Data'!E101=E315,IF(ISBLANK('Source_Data'!E101)=ISBLANK(E315),0,1),1),IF('Source_Data'!F101=F315,IF(ISBLANK('Source_Data'!F101)=ISBLANK(F315),0,1),1),IF('Source_Data'!G101=G315,IF(ISBLANK('Source_Data'!G101)=ISBLANK(G315),0,1),1),IF('Source_Data'!H101=H315,IF(ISBLANK('Source_Data'!H101)=ISBLANK(H315),0,1),1),IF('Source_Data'!I101=I315,IF(ISBLANK('Source_Data'!I101)=ISBLANK(I315),0,1),1),IF('Source_Data'!J101=J315,IF(ISBLANK('Source_Data'!J101)=ISBLANK(J315),0,1),1),IF('Source_Data'!K101=K315,IF(ISBLANK('Source_Data'!K101)=ISBLANK(K315),0,1),1))</x:f>
        <x:v>0</x:v>
      </x:c>
    </x:row>
    <x:row r="316" ht="23" customHeight="1">
      <x:c r="A316" s="2" t="str">
        <x:v>H1 2026|Pakistan|61103099</x:v>
      </x:c>
      <x:c r="B316" s="2" t="str">
        <x:v>H1 2026</x:v>
      </x:c>
      <x:c r="C316" s="2" t="str">
        <x:v>Pakistan</x:v>
      </x:c>
      <x:c r="D316" s="2" t="str">
        <x:v>61103099</x:v>
      </x:c>
      <x:c r="E316" s="2" t="n">
        <x:v>2797761</x:v>
      </x:c>
      <x:c r="F316" s="2" t="n">
        <x:v>189105</x:v>
      </x:c>
      <x:c r="G316" s="2" t="n">
        <x:v>6</x:v>
      </x:c>
      <x:c r="H316" s="2" t="n">
        <x:v>0</x:v>
      </x:c>
      <x:c r="I316" s="2" t="n">
        <x:v>14.79474894899659</x:v>
      </x:c>
      <x:c r="J316" s="2" t="n">
        <x:v>202601</x:v>
      </x:c>
      <x:c r="K316" s="2" t="n">
        <x:v>202606</x:v>
      </x:c>
      <x:c r="L316" s="2" t="n">
        <x:f>SUM(IF('Source_Data'!A102=A316,IF(ISBLANK('Source_Data'!A102)=ISBLANK(A316),0,1),1),IF('Source_Data'!B102=B316,IF(ISBLANK('Source_Data'!B102)=ISBLANK(B316),0,1),1),IF('Source_Data'!C102=C316,IF(ISBLANK('Source_Data'!C102)=ISBLANK(C316),0,1),1),IF('Source_Data'!D102=D316,IF(ISBLANK('Source_Data'!D102)=ISBLANK(D316),0,1),1),IF('Source_Data'!E102=E316,IF(ISBLANK('Source_Data'!E102)=ISBLANK(E316),0,1),1),IF('Source_Data'!F102=F316,IF(ISBLANK('Source_Data'!F102)=ISBLANK(F316),0,1),1),IF('Source_Data'!G102=G316,IF(ISBLANK('Source_Data'!G102)=ISBLANK(G316),0,1),1),IF('Source_Data'!H102=H316,IF(ISBLANK('Source_Data'!H102)=ISBLANK(H316),0,1),1),IF('Source_Data'!I102=I316,IF(ISBLANK('Source_Data'!I102)=ISBLANK(I316),0,1),1),IF('Source_Data'!J102=J316,IF(ISBLANK('Source_Data'!J102)=ISBLANK(J316),0,1),1),IF('Source_Data'!K102=K316,IF(ISBLANK('Source_Data'!K102)=ISBLANK(K316),0,1),1))</x:f>
        <x:v>0</x:v>
      </x:c>
    </x:row>
    <x:row r="317" ht="23" customHeight="1">
      <x:c r="A317" s="2" t="str">
        <x:v>H1 2026|Sri Lanka|61103099</x:v>
      </x:c>
      <x:c r="B317" s="2" t="str">
        <x:v>H1 2026</x:v>
      </x:c>
      <x:c r="C317" s="2" t="str">
        <x:v>Sri Lanka</x:v>
      </x:c>
      <x:c r="D317" s="2" t="str">
        <x:v>61103099</x:v>
      </x:c>
      <x:c r="E317" s="2" t="n">
        <x:v>732589</x:v>
      </x:c>
      <x:c r="F317" s="2" t="n">
        <x:v>34757</x:v>
      </x:c>
      <x:c r="G317" s="2" t="n">
        <x:v>6</x:v>
      </x:c>
      <x:c r="H317" s="2" t="n">
        <x:v>0</x:v>
      </x:c>
      <x:c r="I317" s="2" t="n">
        <x:v>21.077452024052707</x:v>
      </x:c>
      <x:c r="J317" s="2" t="n">
        <x:v>202601</x:v>
      </x:c>
      <x:c r="K317" s="2" t="n">
        <x:v>202606</x:v>
      </x:c>
      <x:c r="L317" s="2" t="n">
        <x:f>SUM(IF('Source_Data'!A103=A317,IF(ISBLANK('Source_Data'!A103)=ISBLANK(A317),0,1),1),IF('Source_Data'!B103=B317,IF(ISBLANK('Source_Data'!B103)=ISBLANK(B317),0,1),1),IF('Source_Data'!C103=C317,IF(ISBLANK('Source_Data'!C103)=ISBLANK(C317),0,1),1),IF('Source_Data'!D103=D317,IF(ISBLANK('Source_Data'!D103)=ISBLANK(D317),0,1),1),IF('Source_Data'!E103=E317,IF(ISBLANK('Source_Data'!E103)=ISBLANK(E317),0,1),1),IF('Source_Data'!F103=F317,IF(ISBLANK('Source_Data'!F103)=ISBLANK(F317),0,1),1),IF('Source_Data'!G103=G317,IF(ISBLANK('Source_Data'!G103)=ISBLANK(G317),0,1),1),IF('Source_Data'!H103=H317,IF(ISBLANK('Source_Data'!H103)=ISBLANK(H317),0,1),1),IF('Source_Data'!I103=I317,IF(ISBLANK('Source_Data'!I103)=ISBLANK(I317),0,1),1),IF('Source_Data'!J103=J317,IF(ISBLANK('Source_Data'!J103)=ISBLANK(J317),0,1),1),IF('Source_Data'!K103=K317,IF(ISBLANK('Source_Data'!K103)=ISBLANK(K317),0,1),1))</x:f>
        <x:v>0</x:v>
      </x:c>
    </x:row>
    <x:row r="318" ht="23" customHeight="1">
      <x:c r="A318" s="2" t="str">
        <x:v>H1 2026|Turkey|61103099</x:v>
      </x:c>
      <x:c r="B318" s="2" t="str">
        <x:v>H1 2026</x:v>
      </x:c>
      <x:c r="C318" s="2" t="str">
        <x:v>Turkey</x:v>
      </x:c>
      <x:c r="D318" s="2" t="str">
        <x:v>61103099</x:v>
      </x:c>
      <x:c r="E318" s="2" t="n">
        <x:v>15949155</x:v>
      </x:c>
      <x:c r="F318" s="2" t="n">
        <x:v>2413703</x:v>
      </x:c>
      <x:c r="G318" s="2" t="n">
        <x:v>6</x:v>
      </x:c>
      <x:c r="H318" s="2" t="n">
        <x:v>3</x:v>
      </x:c>
      <x:c r="I318" s="2" t="n">
        <x:v>6.607753729435643</x:v>
      </x:c>
      <x:c r="J318" s="2" t="n">
        <x:v>202601</x:v>
      </x:c>
      <x:c r="K318" s="2" t="n">
        <x:v>202606</x:v>
      </x:c>
      <x:c r="L318" s="2" t="n">
        <x:f>SUM(IF('Source_Data'!A104=A318,IF(ISBLANK('Source_Data'!A104)=ISBLANK(A318),0,1),1),IF('Source_Data'!B104=B318,IF(ISBLANK('Source_Data'!B104)=ISBLANK(B318),0,1),1),IF('Source_Data'!C104=C318,IF(ISBLANK('Source_Data'!C104)=ISBLANK(C318),0,1),1),IF('Source_Data'!D104=D318,IF(ISBLANK('Source_Data'!D104)=ISBLANK(D318),0,1),1),IF('Source_Data'!E104=E318,IF(ISBLANK('Source_Data'!E104)=ISBLANK(E318),0,1),1),IF('Source_Data'!F104=F318,IF(ISBLANK('Source_Data'!F104)=ISBLANK(F318),0,1),1),IF('Source_Data'!G104=G318,IF(ISBLANK('Source_Data'!G104)=ISBLANK(G318),0,1),1),IF('Source_Data'!H104=H318,IF(ISBLANK('Source_Data'!H104)=ISBLANK(H318),0,1),1),IF('Source_Data'!I104=I318,IF(ISBLANK('Source_Data'!I104)=ISBLANK(I318),0,1),1),IF('Source_Data'!J104=J318,IF(ISBLANK('Source_Data'!J104)=ISBLANK(J318),0,1),1),IF('Source_Data'!K104=K318,IF(ISBLANK('Source_Data'!K104)=ISBLANK(K318),0,1),1))</x:f>
        <x:v>0</x:v>
      </x:c>
    </x:row>
    <x:row r="319" ht="23" customHeight="1">
      <x:c r="A319" s="2" t="str">
        <x:v>H1 2026|Vietnam|61103099</x:v>
      </x:c>
      <x:c r="B319" s="2" t="str">
        <x:v>H1 2026</x:v>
      </x:c>
      <x:c r="C319" s="2" t="str">
        <x:v>Vietnam</x:v>
      </x:c>
      <x:c r="D319" s="2" t="str">
        <x:v>61103099</x:v>
      </x:c>
      <x:c r="E319" s="2" t="n">
        <x:v>6261277</x:v>
      </x:c>
      <x:c r="F319" s="2" t="n">
        <x:v>292287</x:v>
      </x:c>
      <x:c r="G319" s="2" t="n">
        <x:v>6</x:v>
      </x:c>
      <x:c r="H319" s="2" t="n">
        <x:v>1</x:v>
      </x:c>
      <x:c r="I319" s="2" t="n">
        <x:v>21.421674586964183</x:v>
      </x:c>
      <x:c r="J319" s="2" t="n">
        <x:v>202601</x:v>
      </x:c>
      <x:c r="K319" s="2" t="n">
        <x:v>202606</x:v>
      </x:c>
      <x:c r="L319" s="2" t="n">
        <x:f>SUM(IF('Source_Data'!A105=A319,IF(ISBLANK('Source_Data'!A105)=ISBLANK(A319),0,1),1),IF('Source_Data'!B105=B319,IF(ISBLANK('Source_Data'!B105)=ISBLANK(B319),0,1),1),IF('Source_Data'!C105=C319,IF(ISBLANK('Source_Data'!C105)=ISBLANK(C319),0,1),1),IF('Source_Data'!D105=D319,IF(ISBLANK('Source_Data'!D105)=ISBLANK(D319),0,1),1),IF('Source_Data'!E105=E319,IF(ISBLANK('Source_Data'!E105)=ISBLANK(E319),0,1),1),IF('Source_Data'!F105=F319,IF(ISBLANK('Source_Data'!F105)=ISBLANK(F319),0,1),1),IF('Source_Data'!G105=G319,IF(ISBLANK('Source_Data'!G105)=ISBLANK(G319),0,1),1),IF('Source_Data'!H105=H319,IF(ISBLANK('Source_Data'!H105)=ISBLANK(H319),0,1),1),IF('Source_Data'!I105=I319,IF(ISBLANK('Source_Data'!I105)=ISBLANK(I319),0,1),1),IF('Source_Data'!J105=J319,IF(ISBLANK('Source_Data'!J105)=ISBLANK(J319),0,1),1),IF('Source_Data'!K105=K319,IF(ISBLANK('Source_Data'!K105)=ISBLANK(K319),0,1),1))</x:f>
        <x:v>0</x:v>
      </x:c>
    </x:row>
    <x:row r="320" ht="23" customHeight="1">
      <x:c r="A320" s="2" t="str">
        <x:v>H1 2026|Bangladesh|62044300</x:v>
      </x:c>
      <x:c r="B320" s="2" t="str">
        <x:v>H1 2026</x:v>
      </x:c>
      <x:c r="C320" s="2" t="str">
        <x:v>Bangladesh</x:v>
      </x:c>
      <x:c r="D320" s="2" t="str">
        <x:v>62044300</x:v>
      </x:c>
      <x:c r="E320" s="2" t="n">
        <x:v>6924029</x:v>
      </x:c>
      <x:c r="F320" s="2" t="n">
        <x:v>450236</x:v>
      </x:c>
      <x:c r="G320" s="2" t="n">
        <x:v>6</x:v>
      </x:c>
      <x:c r="H320" s="2" t="n">
        <x:v>0</x:v>
      </x:c>
      <x:c r="I320" s="2" t="n">
        <x:v>15.378665855240364</x:v>
      </x:c>
      <x:c r="J320" s="2" t="n">
        <x:v>202601</x:v>
      </x:c>
      <x:c r="K320" s="2" t="n">
        <x:v>202606</x:v>
      </x:c>
      <x:c r="L320" s="2" t="n">
        <x:f>SUM(IF('Source_Data'!A106=A320,IF(ISBLANK('Source_Data'!A106)=ISBLANK(A320),0,1),1),IF('Source_Data'!B106=B320,IF(ISBLANK('Source_Data'!B106)=ISBLANK(B320),0,1),1),IF('Source_Data'!C106=C320,IF(ISBLANK('Source_Data'!C106)=ISBLANK(C320),0,1),1),IF('Source_Data'!D106=D320,IF(ISBLANK('Source_Data'!D106)=ISBLANK(D320),0,1),1),IF('Source_Data'!E106=E320,IF(ISBLANK('Source_Data'!E106)=ISBLANK(E320),0,1),1),IF('Source_Data'!F106=F320,IF(ISBLANK('Source_Data'!F106)=ISBLANK(F320),0,1),1),IF('Source_Data'!G106=G320,IF(ISBLANK('Source_Data'!G106)=ISBLANK(G320),0,1),1),IF('Source_Data'!H106=H320,IF(ISBLANK('Source_Data'!H106)=ISBLANK(H320),0,1),1),IF('Source_Data'!I106=I320,IF(ISBLANK('Source_Data'!I106)=ISBLANK(I320),0,1),1),IF('Source_Data'!J106=J320,IF(ISBLANK('Source_Data'!J106)=ISBLANK(J320),0,1),1),IF('Source_Data'!K106=K320,IF(ISBLANK('Source_Data'!K106)=ISBLANK(K320),0,1),1))</x:f>
        <x:v>0</x:v>
      </x:c>
    </x:row>
    <x:row r="321" ht="23" customHeight="1">
      <x:c r="A321" s="2" t="str">
        <x:v>H1 2026|Cambodia|62044300</x:v>
      </x:c>
      <x:c r="B321" s="2" t="str">
        <x:v>H1 2026</x:v>
      </x:c>
      <x:c r="C321" s="2" t="str">
        <x:v>Cambodia</x:v>
      </x:c>
      <x:c r="D321" s="2" t="str">
        <x:v>62044300</x:v>
      </x:c>
      <x:c r="E321" s="2" t="n">
        <x:v>2808404</x:v>
      </x:c>
      <x:c r="F321" s="2" t="n">
        <x:v>150870</x:v>
      </x:c>
      <x:c r="G321" s="2" t="n">
        <x:v>6</x:v>
      </x:c>
      <x:c r="H321" s="2" t="n">
        <x:v>0</x:v>
      </x:c>
      <x:c r="I321" s="2" t="n">
        <x:v>18.61472791144694</x:v>
      </x:c>
      <x:c r="J321" s="2" t="n">
        <x:v>202601</x:v>
      </x:c>
      <x:c r="K321" s="2" t="n">
        <x:v>202606</x:v>
      </x:c>
      <x:c r="L321" s="2" t="n">
        <x:f>SUM(IF('Source_Data'!A107=A321,IF(ISBLANK('Source_Data'!A107)=ISBLANK(A321),0,1),1),IF('Source_Data'!B107=B321,IF(ISBLANK('Source_Data'!B107)=ISBLANK(B321),0,1),1),IF('Source_Data'!C107=C321,IF(ISBLANK('Source_Data'!C107)=ISBLANK(C321),0,1),1),IF('Source_Data'!D107=D321,IF(ISBLANK('Source_Data'!D107)=ISBLANK(D321),0,1),1),IF('Source_Data'!E107=E321,IF(ISBLANK('Source_Data'!E107)=ISBLANK(E321),0,1),1),IF('Source_Data'!F107=F321,IF(ISBLANK('Source_Data'!F107)=ISBLANK(F321),0,1),1),IF('Source_Data'!G107=G321,IF(ISBLANK('Source_Data'!G107)=ISBLANK(G321),0,1),1),IF('Source_Data'!H107=H321,IF(ISBLANK('Source_Data'!H107)=ISBLANK(H321),0,1),1),IF('Source_Data'!I107=I321,IF(ISBLANK('Source_Data'!I107)=ISBLANK(I321),0,1),1),IF('Source_Data'!J107=J321,IF(ISBLANK('Source_Data'!J107)=ISBLANK(J321),0,1),1),IF('Source_Data'!K107=K321,IF(ISBLANK('Source_Data'!K107)=ISBLANK(K321),0,1),1))</x:f>
        <x:v>0</x:v>
      </x:c>
    </x:row>
    <x:row r="322" ht="23" customHeight="1">
      <x:c r="A322" s="2" t="str">
        <x:v>H1 2026|China|62044300</x:v>
      </x:c>
      <x:c r="B322" s="2" t="str">
        <x:v>H1 2026</x:v>
      </x:c>
      <x:c r="C322" s="2" t="str">
        <x:v>China</x:v>
      </x:c>
      <x:c r="D322" s="2" t="str">
        <x:v>62044300</x:v>
      </x:c>
      <x:c r="E322" s="2" t="n">
        <x:v>52333750</x:v>
      </x:c>
      <x:c r="F322" s="2" t="n">
        <x:v>1892903</x:v>
      </x:c>
      <x:c r="G322" s="2" t="n">
        <x:v>6</x:v>
      </x:c>
      <x:c r="H322" s="2" t="n">
        <x:v>0</x:v>
      </x:c>
      <x:c r="I322" s="2" t="n">
        <x:v>27.647349071769657</x:v>
      </x:c>
      <x:c r="J322" s="2" t="n">
        <x:v>202601</x:v>
      </x:c>
      <x:c r="K322" s="2" t="n">
        <x:v>202606</x:v>
      </x:c>
      <x:c r="L322" s="2" t="n">
        <x:f>SUM(IF('Source_Data'!A108=A322,IF(ISBLANK('Source_Data'!A108)=ISBLANK(A322),0,1),1),IF('Source_Data'!B108=B322,IF(ISBLANK('Source_Data'!B108)=ISBLANK(B322),0,1),1),IF('Source_Data'!C108=C322,IF(ISBLANK('Source_Data'!C108)=ISBLANK(C322),0,1),1),IF('Source_Data'!D108=D322,IF(ISBLANK('Source_Data'!D108)=ISBLANK(D322),0,1),1),IF('Source_Data'!E108=E322,IF(ISBLANK('Source_Data'!E108)=ISBLANK(E322),0,1),1),IF('Source_Data'!F108=F322,IF(ISBLANK('Source_Data'!F108)=ISBLANK(F322),0,1),1),IF('Source_Data'!G108=G322,IF(ISBLANK('Source_Data'!G108)=ISBLANK(G322),0,1),1),IF('Source_Data'!H108=H322,IF(ISBLANK('Source_Data'!H108)=ISBLANK(H322),0,1),1),IF('Source_Data'!I108=I322,IF(ISBLANK('Source_Data'!I108)=ISBLANK(I322),0,1),1),IF('Source_Data'!J108=J322,IF(ISBLANK('Source_Data'!J108)=ISBLANK(J322),0,1),1),IF('Source_Data'!K108=K322,IF(ISBLANK('Source_Data'!K108)=ISBLANK(K322),0,1),1))</x:f>
        <x:v>0</x:v>
      </x:c>
    </x:row>
    <x:row r="323" ht="23" customHeight="1">
      <x:c r="A323" s="2" t="str">
        <x:v>H1 2026|India|62044300</x:v>
      </x:c>
      <x:c r="B323" s="2" t="str">
        <x:v>H1 2026</x:v>
      </x:c>
      <x:c r="C323" s="2" t="str">
        <x:v>India</x:v>
      </x:c>
      <x:c r="D323" s="2" t="str">
        <x:v>62044300</x:v>
      </x:c>
      <x:c r="E323" s="2" t="n">
        <x:v>20258876</x:v>
      </x:c>
      <x:c r="F323" s="2" t="n">
        <x:v>721170</x:v>
      </x:c>
      <x:c r="G323" s="2" t="n">
        <x:v>6</x:v>
      </x:c>
      <x:c r="H323" s="2" t="n">
        <x:v>0</x:v>
      </x:c>
      <x:c r="I323" s="2" t="n">
        <x:v>28.091678799728218</x:v>
      </x:c>
      <x:c r="J323" s="2" t="n">
        <x:v>202601</x:v>
      </x:c>
      <x:c r="K323" s="2" t="n">
        <x:v>202606</x:v>
      </x:c>
      <x:c r="L323" s="2" t="n">
        <x:f>SUM(IF('Source_Data'!A109=A323,IF(ISBLANK('Source_Data'!A109)=ISBLANK(A323),0,1),1),IF('Source_Data'!B109=B323,IF(ISBLANK('Source_Data'!B109)=ISBLANK(B323),0,1),1),IF('Source_Data'!C109=C323,IF(ISBLANK('Source_Data'!C109)=ISBLANK(C323),0,1),1),IF('Source_Data'!D109=D323,IF(ISBLANK('Source_Data'!D109)=ISBLANK(D323),0,1),1),IF('Source_Data'!E109=E323,IF(ISBLANK('Source_Data'!E109)=ISBLANK(E323),0,1),1),IF('Source_Data'!F109=F323,IF(ISBLANK('Source_Data'!F109)=ISBLANK(F323),0,1),1),IF('Source_Data'!G109=G323,IF(ISBLANK('Source_Data'!G109)=ISBLANK(G323),0,1),1),IF('Source_Data'!H109=H323,IF(ISBLANK('Source_Data'!H109)=ISBLANK(H323),0,1),1),IF('Source_Data'!I109=I323,IF(ISBLANK('Source_Data'!I109)=ISBLANK(I323),0,1),1),IF('Source_Data'!J109=J323,IF(ISBLANK('Source_Data'!J109)=ISBLANK(J323),0,1),1),IF('Source_Data'!K109=K323,IF(ISBLANK('Source_Data'!K109)=ISBLANK(K323),0,1),1))</x:f>
        <x:v>0</x:v>
      </x:c>
    </x:row>
    <x:row r="324" ht="23" customHeight="1">
      <x:c r="A324" s="2" t="str">
        <x:v>H1 2026|Morocco|62044300</x:v>
      </x:c>
      <x:c r="B324" s="2" t="str">
        <x:v>H1 2026</x:v>
      </x:c>
      <x:c r="C324" s="2" t="str">
        <x:v>Morocco</x:v>
      </x:c>
      <x:c r="D324" s="2" t="str">
        <x:v>62044300</x:v>
      </x:c>
      <x:c r="E324" s="2" t="n">
        <x:v>5511176</x:v>
      </x:c>
      <x:c r="F324" s="2" t="n">
        <x:v>218537</x:v>
      </x:c>
      <x:c r="G324" s="2" t="n">
        <x:v>6</x:v>
      </x:c>
      <x:c r="H324" s="2" t="n">
        <x:v>0</x:v>
      </x:c>
      <x:c r="I324" s="2" t="n">
        <x:v>25.21850304525092</x:v>
      </x:c>
      <x:c r="J324" s="2" t="n">
        <x:v>202601</x:v>
      </x:c>
      <x:c r="K324" s="2" t="n">
        <x:v>202606</x:v>
      </x:c>
      <x:c r="L324" s="2" t="n">
        <x:f>SUM(IF('Source_Data'!A110=A324,IF(ISBLANK('Source_Data'!A110)=ISBLANK(A324),0,1),1),IF('Source_Data'!B110=B324,IF(ISBLANK('Source_Data'!B110)=ISBLANK(B324),0,1),1),IF('Source_Data'!C110=C324,IF(ISBLANK('Source_Data'!C110)=ISBLANK(C324),0,1),1),IF('Source_Data'!D110=D324,IF(ISBLANK('Source_Data'!D110)=ISBLANK(D324),0,1),1),IF('Source_Data'!E110=E324,IF(ISBLANK('Source_Data'!E110)=ISBLANK(E324),0,1),1),IF('Source_Data'!F110=F324,IF(ISBLANK('Source_Data'!F110)=ISBLANK(F324),0,1),1),IF('Source_Data'!G110=G324,IF(ISBLANK('Source_Data'!G110)=ISBLANK(G324),0,1),1),IF('Source_Data'!H110=H324,IF(ISBLANK('Source_Data'!H110)=ISBLANK(H324),0,1),1),IF('Source_Data'!I110=I324,IF(ISBLANK('Source_Data'!I110)=ISBLANK(I324),0,1),1),IF('Source_Data'!J110=J324,IF(ISBLANK('Source_Data'!J110)=ISBLANK(J324),0,1),1),IF('Source_Data'!K110=K324,IF(ISBLANK('Source_Data'!K110)=ISBLANK(K324),0,1),1))</x:f>
        <x:v>0</x:v>
      </x:c>
    </x:row>
    <x:row r="325" ht="23" customHeight="1">
      <x:c r="A325" s="2" t="str">
        <x:v>H1 2026|Myanmar|62044300</x:v>
      </x:c>
      <x:c r="B325" s="2" t="str">
        <x:v>H1 2026</x:v>
      </x:c>
      <x:c r="C325" s="2" t="str">
        <x:v>Myanmar</x:v>
      </x:c>
      <x:c r="D325" s="2" t="str">
        <x:v>62044300</x:v>
      </x:c>
      <x:c r="E325" s="2" t="n">
        <x:v>2412796</x:v>
      </x:c>
      <x:c r="F325" s="2" t="n">
        <x:v>37986</x:v>
      </x:c>
      <x:c r="G325" s="2" t="n">
        <x:v>6</x:v>
      </x:c>
      <x:c r="H325" s="2" t="n">
        <x:v>0</x:v>
      </x:c>
      <x:c r="I325" s="2" t="n">
        <x:v>63.5180329595114</x:v>
      </x:c>
      <x:c r="J325" s="2" t="n">
        <x:v>202601</x:v>
      </x:c>
      <x:c r="K325" s="2" t="n">
        <x:v>202606</x:v>
      </x:c>
      <x:c r="L325" s="2" t="n">
        <x:f>SUM(IF('Source_Data'!A111=A325,IF(ISBLANK('Source_Data'!A111)=ISBLANK(A325),0,1),1),IF('Source_Data'!B111=B325,IF(ISBLANK('Source_Data'!B111)=ISBLANK(B325),0,1),1),IF('Source_Data'!C111=C325,IF(ISBLANK('Source_Data'!C111)=ISBLANK(C325),0,1),1),IF('Source_Data'!D111=D325,IF(ISBLANK('Source_Data'!D111)=ISBLANK(D325),0,1),1),IF('Source_Data'!E111=E325,IF(ISBLANK('Source_Data'!E111)=ISBLANK(E325),0,1),1),IF('Source_Data'!F111=F325,IF(ISBLANK('Source_Data'!F111)=ISBLANK(F325),0,1),1),IF('Source_Data'!G111=G325,IF(ISBLANK('Source_Data'!G111)=ISBLANK(G325),0,1),1),IF('Source_Data'!H111=H325,IF(ISBLANK('Source_Data'!H111)=ISBLANK(H325),0,1),1),IF('Source_Data'!I111=I325,IF(ISBLANK('Source_Data'!I111)=ISBLANK(I325),0,1),1),IF('Source_Data'!J111=J325,IF(ISBLANK('Source_Data'!J111)=ISBLANK(J325),0,1),1),IF('Source_Data'!K111=K325,IF(ISBLANK('Source_Data'!K111)=ISBLANK(K325),0,1),1))</x:f>
        <x:v>0</x:v>
      </x:c>
    </x:row>
    <x:row r="326" ht="23" customHeight="1">
      <x:c r="A326" s="2" t="str">
        <x:v>H1 2026|Pakistan|62044300</x:v>
      </x:c>
      <x:c r="B326" s="2" t="str">
        <x:v>H1 2026</x:v>
      </x:c>
      <x:c r="C326" s="2" t="str">
        <x:v>Pakistan</x:v>
      </x:c>
      <x:c r="D326" s="2" t="str">
        <x:v>62044300</x:v>
      </x:c>
      <x:c r="E326" s="2" t="n">
        <x:v>496523</x:v>
      </x:c>
      <x:c r="F326" s="2" t="n">
        <x:v>26975</x:v>
      </x:c>
      <x:c r="G326" s="2" t="n">
        <x:v>6</x:v>
      </x:c>
      <x:c r="H326" s="2" t="n">
        <x:v>0</x:v>
      </x:c>
      <x:c r="I326" s="2" t="n">
        <x:v>18.40678405931418</x:v>
      </x:c>
      <x:c r="J326" s="2" t="n">
        <x:v>202601</x:v>
      </x:c>
      <x:c r="K326" s="2" t="n">
        <x:v>202606</x:v>
      </x:c>
      <x:c r="L326" s="2" t="n">
        <x:f>SUM(IF('Source_Data'!A112=A326,IF(ISBLANK('Source_Data'!A112)=ISBLANK(A326),0,1),1),IF('Source_Data'!B112=B326,IF(ISBLANK('Source_Data'!B112)=ISBLANK(B326),0,1),1),IF('Source_Data'!C112=C326,IF(ISBLANK('Source_Data'!C112)=ISBLANK(C326),0,1),1),IF('Source_Data'!D112=D326,IF(ISBLANK('Source_Data'!D112)=ISBLANK(D326),0,1),1),IF('Source_Data'!E112=E326,IF(ISBLANK('Source_Data'!E112)=ISBLANK(E326),0,1),1),IF('Source_Data'!F112=F326,IF(ISBLANK('Source_Data'!F112)=ISBLANK(F326),0,1),1),IF('Source_Data'!G112=G326,IF(ISBLANK('Source_Data'!G112)=ISBLANK(G326),0,1),1),IF('Source_Data'!H112=H326,IF(ISBLANK('Source_Data'!H112)=ISBLANK(H326),0,1),1),IF('Source_Data'!I112=I326,IF(ISBLANK('Source_Data'!I112)=ISBLANK(I326),0,1),1),IF('Source_Data'!J112=J326,IF(ISBLANK('Source_Data'!J112)=ISBLANK(J326),0,1),1),IF('Source_Data'!K112=K326,IF(ISBLANK('Source_Data'!K112)=ISBLANK(K326),0,1),1))</x:f>
        <x:v>0</x:v>
      </x:c>
    </x:row>
    <x:row r="327" ht="23" customHeight="1">
      <x:c r="A327" s="2" t="str">
        <x:v>H1 2026|Sri Lanka|62044300</x:v>
      </x:c>
      <x:c r="B327" s="2" t="str">
        <x:v>H1 2026</x:v>
      </x:c>
      <x:c r="C327" s="2" t="str">
        <x:v>Sri Lanka</x:v>
      </x:c>
      <x:c r="D327" s="2" t="str">
        <x:v>62044300</x:v>
      </x:c>
      <x:c r="E327" s="2" t="n">
        <x:v>7697741</x:v>
      </x:c>
      <x:c r="F327" s="2" t="n">
        <x:v>462849</x:v>
      </x:c>
      <x:c r="G327" s="2" t="n">
        <x:v>6</x:v>
      </x:c>
      <x:c r="H327" s="2" t="n">
        <x:v>0</x:v>
      </x:c>
      <x:c r="I327" s="2" t="n">
        <x:v>16.63121449976126</x:v>
      </x:c>
      <x:c r="J327" s="2" t="n">
        <x:v>202601</x:v>
      </x:c>
      <x:c r="K327" s="2" t="n">
        <x:v>202606</x:v>
      </x:c>
      <x:c r="L327" s="2" t="n">
        <x:f>SUM(IF('Source_Data'!A113=A327,IF(ISBLANK('Source_Data'!A113)=ISBLANK(A327),0,1),1),IF('Source_Data'!B113=B327,IF(ISBLANK('Source_Data'!B113)=ISBLANK(B327),0,1),1),IF('Source_Data'!C113=C327,IF(ISBLANK('Source_Data'!C113)=ISBLANK(C327),0,1),1),IF('Source_Data'!D113=D327,IF(ISBLANK('Source_Data'!D113)=ISBLANK(D327),0,1),1),IF('Source_Data'!E113=E327,IF(ISBLANK('Source_Data'!E113)=ISBLANK(E327),0,1),1),IF('Source_Data'!F113=F327,IF(ISBLANK('Source_Data'!F113)=ISBLANK(F327),0,1),1),IF('Source_Data'!G113=G327,IF(ISBLANK('Source_Data'!G113)=ISBLANK(G327),0,1),1),IF('Source_Data'!H113=H327,IF(ISBLANK('Source_Data'!H113)=ISBLANK(H327),0,1),1),IF('Source_Data'!I113=I327,IF(ISBLANK('Source_Data'!I113)=ISBLANK(I327),0,1),1),IF('Source_Data'!J113=J327,IF(ISBLANK('Source_Data'!J113)=ISBLANK(J327),0,1),1),IF('Source_Data'!K113=K327,IF(ISBLANK('Source_Data'!K113)=ISBLANK(K327),0,1),1))</x:f>
        <x:v>0</x:v>
      </x:c>
    </x:row>
    <x:row r="328" ht="23" customHeight="1">
      <x:c r="A328" s="2" t="str">
        <x:v>H1 2026|Turkey|62044300</x:v>
      </x:c>
      <x:c r="B328" s="2" t="str">
        <x:v>H1 2026</x:v>
      </x:c>
      <x:c r="C328" s="2" t="str">
        <x:v>Turkey</x:v>
      </x:c>
      <x:c r="D328" s="2" t="str">
        <x:v>62044300</x:v>
      </x:c>
      <x:c r="E328" s="2" t="n">
        <x:v>2652697</x:v>
      </x:c>
      <x:c r="F328" s="2" t="n">
        <x:v>68957</x:v>
      </x:c>
      <x:c r="G328" s="2" t="n">
        <x:v>6</x:v>
      </x:c>
      <x:c r="H328" s="2" t="n">
        <x:v>0</x:v>
      </x:c>
      <x:c r="I328" s="2" t="n">
        <x:v>38.46885740388938</x:v>
      </x:c>
      <x:c r="J328" s="2" t="n">
        <x:v>202601</x:v>
      </x:c>
      <x:c r="K328" s="2" t="n">
        <x:v>202606</x:v>
      </x:c>
      <x:c r="L328" s="2" t="n">
        <x:f>SUM(IF('Source_Data'!A114=A328,IF(ISBLANK('Source_Data'!A114)=ISBLANK(A328),0,1),1),IF('Source_Data'!B114=B328,IF(ISBLANK('Source_Data'!B114)=ISBLANK(B328),0,1),1),IF('Source_Data'!C114=C328,IF(ISBLANK('Source_Data'!C114)=ISBLANK(C328),0,1),1),IF('Source_Data'!D114=D328,IF(ISBLANK('Source_Data'!D114)=ISBLANK(D328),0,1),1),IF('Source_Data'!E114=E328,IF(ISBLANK('Source_Data'!E114)=ISBLANK(E328),0,1),1),IF('Source_Data'!F114=F328,IF(ISBLANK('Source_Data'!F114)=ISBLANK(F328),0,1),1),IF('Source_Data'!G114=G328,IF(ISBLANK('Source_Data'!G114)=ISBLANK(G328),0,1),1),IF('Source_Data'!H114=H328,IF(ISBLANK('Source_Data'!H114)=ISBLANK(H328),0,1),1),IF('Source_Data'!I114=I328,IF(ISBLANK('Source_Data'!I114)=ISBLANK(I328),0,1),1),IF('Source_Data'!J114=J328,IF(ISBLANK('Source_Data'!J114)=ISBLANK(J328),0,1),1),IF('Source_Data'!K114=K328,IF(ISBLANK('Source_Data'!K114)=ISBLANK(K328),0,1),1))</x:f>
        <x:v>0</x:v>
      </x:c>
    </x:row>
    <x:row r="329" ht="23" customHeight="1">
      <x:c r="A329" s="2" t="str">
        <x:v>H1 2026|Vietnam|62044300</x:v>
      </x:c>
      <x:c r="B329" s="2" t="str">
        <x:v>H1 2026</x:v>
      </x:c>
      <x:c r="C329" s="2" t="str">
        <x:v>Vietnam</x:v>
      </x:c>
      <x:c r="D329" s="2" t="str">
        <x:v>62044300</x:v>
      </x:c>
      <x:c r="E329" s="2" t="n">
        <x:v>4252865</x:v>
      </x:c>
      <x:c r="F329" s="2" t="n">
        <x:v>181343</x:v>
      </x:c>
      <x:c r="G329" s="2" t="n">
        <x:v>6</x:v>
      </x:c>
      <x:c r="H329" s="2" t="n">
        <x:v>0</x:v>
      </x:c>
      <x:c r="I329" s="2" t="n">
        <x:v>23.45204943118841</x:v>
      </x:c>
      <x:c r="J329" s="2" t="n">
        <x:v>202601</x:v>
      </x:c>
      <x:c r="K329" s="2" t="n">
        <x:v>202606</x:v>
      </x:c>
      <x:c r="L329" s="2" t="n">
        <x:f>SUM(IF('Source_Data'!A115=A329,IF(ISBLANK('Source_Data'!A115)=ISBLANK(A329),0,1),1),IF('Source_Data'!B115=B329,IF(ISBLANK('Source_Data'!B115)=ISBLANK(B329),0,1),1),IF('Source_Data'!C115=C329,IF(ISBLANK('Source_Data'!C115)=ISBLANK(C329),0,1),1),IF('Source_Data'!D115=D329,IF(ISBLANK('Source_Data'!D115)=ISBLANK(D329),0,1),1),IF('Source_Data'!E115=E329,IF(ISBLANK('Source_Data'!E115)=ISBLANK(E329),0,1),1),IF('Source_Data'!F115=F329,IF(ISBLANK('Source_Data'!F115)=ISBLANK(F329),0,1),1),IF('Source_Data'!G115=G329,IF(ISBLANK('Source_Data'!G115)=ISBLANK(G329),0,1),1),IF('Source_Data'!H115=H329,IF(ISBLANK('Source_Data'!H115)=ISBLANK(H329),0,1),1),IF('Source_Data'!I115=I329,IF(ISBLANK('Source_Data'!I115)=ISBLANK(I329),0,1),1),IF('Source_Data'!J115=J329,IF(ISBLANK('Source_Data'!J115)=ISBLANK(J329),0,1),1),IF('Source_Data'!K115=K329,IF(ISBLANK('Source_Data'!K115)=ISBLANK(K329),0,1),1))</x:f>
        <x:v>0</x:v>
      </x:c>
    </x:row>
    <x:row r="330" ht="23" customHeight="1">
      <x:c r="A330" s="2" t="str">
        <x:v>H1 2026|Bangladesh|62052000</x:v>
      </x:c>
      <x:c r="B330" s="2" t="str">
        <x:v>H1 2026</x:v>
      </x:c>
      <x:c r="C330" s="2" t="str">
        <x:v>Bangladesh</x:v>
      </x:c>
      <x:c r="D330" s="2" t="str">
        <x:v>62052000</x:v>
      </x:c>
      <x:c r="E330" s="2" t="n">
        <x:v>36256449</x:v>
      </x:c>
      <x:c r="F330" s="2" t="n">
        <x:v>2116872</x:v>
      </x:c>
      <x:c r="G330" s="2" t="n">
        <x:v>6</x:v>
      </x:c>
      <x:c r="H330" s="2" t="n">
        <x:v>0</x:v>
      </x:c>
      <x:c r="I330" s="2" t="n">
        <x:v>17.12736953391608</x:v>
      </x:c>
      <x:c r="J330" s="2" t="n">
        <x:v>202601</x:v>
      </x:c>
      <x:c r="K330" s="2" t="n">
        <x:v>202606</x:v>
      </x:c>
      <x:c r="L330" s="2" t="n">
        <x:f>SUM(IF('Source_Data'!A116=A330,IF(ISBLANK('Source_Data'!A116)=ISBLANK(A330),0,1),1),IF('Source_Data'!B116=B330,IF(ISBLANK('Source_Data'!B116)=ISBLANK(B330),0,1),1),IF('Source_Data'!C116=C330,IF(ISBLANK('Source_Data'!C116)=ISBLANK(C330),0,1),1),IF('Source_Data'!D116=D330,IF(ISBLANK('Source_Data'!D116)=ISBLANK(D330),0,1),1),IF('Source_Data'!E116=E330,IF(ISBLANK('Source_Data'!E116)=ISBLANK(E330),0,1),1),IF('Source_Data'!F116=F330,IF(ISBLANK('Source_Data'!F116)=ISBLANK(F330),0,1),1),IF('Source_Data'!G116=G330,IF(ISBLANK('Source_Data'!G116)=ISBLANK(G330),0,1),1),IF('Source_Data'!H116=H330,IF(ISBLANK('Source_Data'!H116)=ISBLANK(H330),0,1),1),IF('Source_Data'!I116=I330,IF(ISBLANK('Source_Data'!I116)=ISBLANK(I330),0,1),1),IF('Source_Data'!J116=J330,IF(ISBLANK('Source_Data'!J116)=ISBLANK(J330),0,1),1),IF('Source_Data'!K116=K330,IF(ISBLANK('Source_Data'!K116)=ISBLANK(K330),0,1),1))</x:f>
        <x:v>0</x:v>
      </x:c>
    </x:row>
    <x:row r="331" ht="23" customHeight="1">
      <x:c r="A331" s="2" t="str">
        <x:v>H1 2026|Cambodia|62052000</x:v>
      </x:c>
      <x:c r="B331" s="2" t="str">
        <x:v>H1 2026</x:v>
      </x:c>
      <x:c r="C331" s="2" t="str">
        <x:v>Cambodia</x:v>
      </x:c>
      <x:c r="D331" s="2" t="str">
        <x:v>62052000</x:v>
      </x:c>
      <x:c r="E331" s="2" t="n">
        <x:v>6216726</x:v>
      </x:c>
      <x:c r="F331" s="2" t="n">
        <x:v>285166</x:v>
      </x:c>
      <x:c r="G331" s="2" t="n">
        <x:v>6</x:v>
      </x:c>
      <x:c r="H331" s="2" t="n">
        <x:v>0</x:v>
      </x:c>
      <x:c r="I331" s="2" t="n">
        <x:v>21.800375921393154</x:v>
      </x:c>
      <x:c r="J331" s="2" t="n">
        <x:v>202601</x:v>
      </x:c>
      <x:c r="K331" s="2" t="n">
        <x:v>202606</x:v>
      </x:c>
      <x:c r="L331" s="2" t="n">
        <x:f>SUM(IF('Source_Data'!A117=A331,IF(ISBLANK('Source_Data'!A117)=ISBLANK(A331),0,1),1),IF('Source_Data'!B117=B331,IF(ISBLANK('Source_Data'!B117)=ISBLANK(B331),0,1),1),IF('Source_Data'!C117=C331,IF(ISBLANK('Source_Data'!C117)=ISBLANK(C331),0,1),1),IF('Source_Data'!D117=D331,IF(ISBLANK('Source_Data'!D117)=ISBLANK(D331),0,1),1),IF('Source_Data'!E117=E331,IF(ISBLANK('Source_Data'!E117)=ISBLANK(E331),0,1),1),IF('Source_Data'!F117=F331,IF(ISBLANK('Source_Data'!F117)=ISBLANK(F331),0,1),1),IF('Source_Data'!G117=G331,IF(ISBLANK('Source_Data'!G117)=ISBLANK(G331),0,1),1),IF('Source_Data'!H117=H331,IF(ISBLANK('Source_Data'!H117)=ISBLANK(H331),0,1),1),IF('Source_Data'!I117=I331,IF(ISBLANK('Source_Data'!I117)=ISBLANK(I331),0,1),1),IF('Source_Data'!J117=J331,IF(ISBLANK('Source_Data'!J117)=ISBLANK(J331),0,1),1),IF('Source_Data'!K117=K331,IF(ISBLANK('Source_Data'!K117)=ISBLANK(K331),0,1),1))</x:f>
        <x:v>0</x:v>
      </x:c>
    </x:row>
    <x:row r="332" ht="23" customHeight="1">
      <x:c r="A332" s="2" t="str">
        <x:v>H1 2026|China|62052000</x:v>
      </x:c>
      <x:c r="B332" s="2" t="str">
        <x:v>H1 2026</x:v>
      </x:c>
      <x:c r="C332" s="2" t="str">
        <x:v>China</x:v>
      </x:c>
      <x:c r="D332" s="2" t="str">
        <x:v>62052000</x:v>
      </x:c>
      <x:c r="E332" s="2" t="n">
        <x:v>5317772</x:v>
      </x:c>
      <x:c r="F332" s="2" t="n">
        <x:v>245226</x:v>
      </x:c>
      <x:c r="G332" s="2" t="n">
        <x:v>6</x:v>
      </x:c>
      <x:c r="H332" s="2" t="n">
        <x:v>0</x:v>
      </x:c>
      <x:c r="I332" s="2" t="n">
        <x:v>21.68518835686265</x:v>
      </x:c>
      <x:c r="J332" s="2" t="n">
        <x:v>202601</x:v>
      </x:c>
      <x:c r="K332" s="2" t="n">
        <x:v>202606</x:v>
      </x:c>
      <x:c r="L332" s="2" t="n">
        <x:f>SUM(IF('Source_Data'!A118=A332,IF(ISBLANK('Source_Data'!A118)=ISBLANK(A332),0,1),1),IF('Source_Data'!B118=B332,IF(ISBLANK('Source_Data'!B118)=ISBLANK(B332),0,1),1),IF('Source_Data'!C118=C332,IF(ISBLANK('Source_Data'!C118)=ISBLANK(C332),0,1),1),IF('Source_Data'!D118=D332,IF(ISBLANK('Source_Data'!D118)=ISBLANK(D332),0,1),1),IF('Source_Data'!E118=E332,IF(ISBLANK('Source_Data'!E118)=ISBLANK(E332),0,1),1),IF('Source_Data'!F118=F332,IF(ISBLANK('Source_Data'!F118)=ISBLANK(F332),0,1),1),IF('Source_Data'!G118=G332,IF(ISBLANK('Source_Data'!G118)=ISBLANK(G332),0,1),1),IF('Source_Data'!H118=H332,IF(ISBLANK('Source_Data'!H118)=ISBLANK(H332),0,1),1),IF('Source_Data'!I118=I332,IF(ISBLANK('Source_Data'!I118)=ISBLANK(I332),0,1),1),IF('Source_Data'!J118=J332,IF(ISBLANK('Source_Data'!J118)=ISBLANK(J332),0,1),1),IF('Source_Data'!K118=K332,IF(ISBLANK('Source_Data'!K118)=ISBLANK(K332),0,1),1))</x:f>
        <x:v>0</x:v>
      </x:c>
    </x:row>
    <x:row r="333" ht="23" customHeight="1">
      <x:c r="A333" s="2" t="str">
        <x:v>H1 2026|India|62052000</x:v>
      </x:c>
      <x:c r="B333" s="2" t="str">
        <x:v>H1 2026</x:v>
      </x:c>
      <x:c r="C333" s="2" t="str">
        <x:v>India</x:v>
      </x:c>
      <x:c r="D333" s="2" t="str">
        <x:v>62052000</x:v>
      </x:c>
      <x:c r="E333" s="2" t="n">
        <x:v>16147727</x:v>
      </x:c>
      <x:c r="F333" s="2" t="n">
        <x:v>737427</x:v>
      </x:c>
      <x:c r="G333" s="2" t="n">
        <x:v>6</x:v>
      </x:c>
      <x:c r="H333" s="2" t="n">
        <x:v>0</x:v>
      </x:c>
      <x:c r="I333" s="2" t="n">
        <x:v>21.897390521366862</x:v>
      </x:c>
      <x:c r="J333" s="2" t="n">
        <x:v>202601</x:v>
      </x:c>
      <x:c r="K333" s="2" t="n">
        <x:v>202606</x:v>
      </x:c>
      <x:c r="L333" s="2" t="n">
        <x:f>SUM(IF('Source_Data'!A119=A333,IF(ISBLANK('Source_Data'!A119)=ISBLANK(A333),0,1),1),IF('Source_Data'!B119=B333,IF(ISBLANK('Source_Data'!B119)=ISBLANK(B333),0,1),1),IF('Source_Data'!C119=C333,IF(ISBLANK('Source_Data'!C119)=ISBLANK(C333),0,1),1),IF('Source_Data'!D119=D333,IF(ISBLANK('Source_Data'!D119)=ISBLANK(D333),0,1),1),IF('Source_Data'!E119=E333,IF(ISBLANK('Source_Data'!E119)=ISBLANK(E333),0,1),1),IF('Source_Data'!F119=F333,IF(ISBLANK('Source_Data'!F119)=ISBLANK(F333),0,1),1),IF('Source_Data'!G119=G333,IF(ISBLANK('Source_Data'!G119)=ISBLANK(G333),0,1),1),IF('Source_Data'!H119=H333,IF(ISBLANK('Source_Data'!H119)=ISBLANK(H333),0,1),1),IF('Source_Data'!I119=I333,IF(ISBLANK('Source_Data'!I119)=ISBLANK(I333),0,1),1),IF('Source_Data'!J119=J333,IF(ISBLANK('Source_Data'!J119)=ISBLANK(J333),0,1),1),IF('Source_Data'!K119=K333,IF(ISBLANK('Source_Data'!K119)=ISBLANK(K333),0,1),1))</x:f>
        <x:v>0</x:v>
      </x:c>
    </x:row>
    <x:row r="334" ht="23" customHeight="1">
      <x:c r="A334" s="2" t="str">
        <x:v>H1 2026|Morocco|62052000</x:v>
      </x:c>
      <x:c r="B334" s="2" t="str">
        <x:v>H1 2026</x:v>
      </x:c>
      <x:c r="C334" s="2" t="str">
        <x:v>Morocco</x:v>
      </x:c>
      <x:c r="D334" s="2" t="str">
        <x:v>62052000</x:v>
      </x:c>
      <x:c r="E334" s="2" t="n">
        <x:v>561115</x:v>
      </x:c>
      <x:c r="F334" s="2" t="n">
        <x:v>15750</x:v>
      </x:c>
      <x:c r="G334" s="2" t="n">
        <x:v>6</x:v>
      </x:c>
      <x:c r="H334" s="2" t="n">
        <x:v>0</x:v>
      </x:c>
      <x:c r="I334" s="2" t="n">
        <x:v>35.626349206349204</x:v>
      </x:c>
      <x:c r="J334" s="2" t="n">
        <x:v>202601</x:v>
      </x:c>
      <x:c r="K334" s="2" t="n">
        <x:v>202606</x:v>
      </x:c>
      <x:c r="L334" s="2" t="n">
        <x:f>SUM(IF('Source_Data'!A120=A334,IF(ISBLANK('Source_Data'!A120)=ISBLANK(A334),0,1),1),IF('Source_Data'!B120=B334,IF(ISBLANK('Source_Data'!B120)=ISBLANK(B334),0,1),1),IF('Source_Data'!C120=C334,IF(ISBLANK('Source_Data'!C120)=ISBLANK(C334),0,1),1),IF('Source_Data'!D120=D334,IF(ISBLANK('Source_Data'!D120)=ISBLANK(D334),0,1),1),IF('Source_Data'!E120=E334,IF(ISBLANK('Source_Data'!E120)=ISBLANK(E334),0,1),1),IF('Source_Data'!F120=F334,IF(ISBLANK('Source_Data'!F120)=ISBLANK(F334),0,1),1),IF('Source_Data'!G120=G334,IF(ISBLANK('Source_Data'!G120)=ISBLANK(G334),0,1),1),IF('Source_Data'!H120=H334,IF(ISBLANK('Source_Data'!H120)=ISBLANK(H334),0,1),1),IF('Source_Data'!I120=I334,IF(ISBLANK('Source_Data'!I120)=ISBLANK(I334),0,1),1),IF('Source_Data'!J120=J334,IF(ISBLANK('Source_Data'!J120)=ISBLANK(J334),0,1),1),IF('Source_Data'!K120=K334,IF(ISBLANK('Source_Data'!K120)=ISBLANK(K334),0,1),1))</x:f>
        <x:v>0</x:v>
      </x:c>
    </x:row>
    <x:row r="335" ht="23" customHeight="1">
      <x:c r="A335" s="2" t="str">
        <x:v>H1 2026|Myanmar|62052000</x:v>
      </x:c>
      <x:c r="B335" s="2" t="str">
        <x:v>H1 2026</x:v>
      </x:c>
      <x:c r="C335" s="2" t="str">
        <x:v>Myanmar</x:v>
      </x:c>
      <x:c r="D335" s="2" t="str">
        <x:v>62052000</x:v>
      </x:c>
      <x:c r="E335" s="2" t="n">
        <x:v>438060</x:v>
      </x:c>
      <x:c r="F335" s="2" t="n">
        <x:v>30188</x:v>
      </x:c>
      <x:c r="G335" s="2" t="n">
        <x:v>6</x:v>
      </x:c>
      <x:c r="H335" s="2" t="n">
        <x:v>1</x:v>
      </x:c>
      <x:c r="I335" s="2" t="n">
        <x:v>14.511063998939976</x:v>
      </x:c>
      <x:c r="J335" s="2" t="n">
        <x:v>202601</x:v>
      </x:c>
      <x:c r="K335" s="2" t="n">
        <x:v>202606</x:v>
      </x:c>
      <x:c r="L335" s="2" t="n">
        <x:f>SUM(IF('Source_Data'!A121=A335,IF(ISBLANK('Source_Data'!A121)=ISBLANK(A335),0,1),1),IF('Source_Data'!B121=B335,IF(ISBLANK('Source_Data'!B121)=ISBLANK(B335),0,1),1),IF('Source_Data'!C121=C335,IF(ISBLANK('Source_Data'!C121)=ISBLANK(C335),0,1),1),IF('Source_Data'!D121=D335,IF(ISBLANK('Source_Data'!D121)=ISBLANK(D335),0,1),1),IF('Source_Data'!E121=E335,IF(ISBLANK('Source_Data'!E121)=ISBLANK(E335),0,1),1),IF('Source_Data'!F121=F335,IF(ISBLANK('Source_Data'!F121)=ISBLANK(F335),0,1),1),IF('Source_Data'!G121=G335,IF(ISBLANK('Source_Data'!G121)=ISBLANK(G335),0,1),1),IF('Source_Data'!H121=H335,IF(ISBLANK('Source_Data'!H121)=ISBLANK(H335),0,1),1),IF('Source_Data'!I121=I335,IF(ISBLANK('Source_Data'!I121)=ISBLANK(I335),0,1),1),IF('Source_Data'!J121=J335,IF(ISBLANK('Source_Data'!J121)=ISBLANK(J335),0,1),1),IF('Source_Data'!K121=K335,IF(ISBLANK('Source_Data'!K121)=ISBLANK(K335),0,1),1))</x:f>
        <x:v>0</x:v>
      </x:c>
    </x:row>
    <x:row r="336" ht="23" customHeight="1">
      <x:c r="A336" s="2" t="str">
        <x:v>H1 2026|Pakistan|62052000</x:v>
      </x:c>
      <x:c r="B336" s="2" t="str">
        <x:v>H1 2026</x:v>
      </x:c>
      <x:c r="C336" s="2" t="str">
        <x:v>Pakistan</x:v>
      </x:c>
      <x:c r="D336" s="2" t="str">
        <x:v>62052000</x:v>
      </x:c>
      <x:c r="E336" s="2" t="n">
        <x:v>358538</x:v>
      </x:c>
      <x:c r="F336" s="2" t="n">
        <x:v>25923</x:v>
      </x:c>
      <x:c r="G336" s="2" t="n">
        <x:v>6</x:v>
      </x:c>
      <x:c r="H336" s="2" t="n">
        <x:v>0</x:v>
      </x:c>
      <x:c r="I336" s="2" t="n">
        <x:v>13.83088377116846</x:v>
      </x:c>
      <x:c r="J336" s="2" t="n">
        <x:v>202601</x:v>
      </x:c>
      <x:c r="K336" s="2" t="n">
        <x:v>202606</x:v>
      </x:c>
      <x:c r="L336" s="2" t="n">
        <x:f>SUM(IF('Source_Data'!A122=A336,IF(ISBLANK('Source_Data'!A122)=ISBLANK(A336),0,1),1),IF('Source_Data'!B122=B336,IF(ISBLANK('Source_Data'!B122)=ISBLANK(B336),0,1),1),IF('Source_Data'!C122=C336,IF(ISBLANK('Source_Data'!C122)=ISBLANK(C336),0,1),1),IF('Source_Data'!D122=D336,IF(ISBLANK('Source_Data'!D122)=ISBLANK(D336),0,1),1),IF('Source_Data'!E122=E336,IF(ISBLANK('Source_Data'!E122)=ISBLANK(E336),0,1),1),IF('Source_Data'!F122=F336,IF(ISBLANK('Source_Data'!F122)=ISBLANK(F336),0,1),1),IF('Source_Data'!G122=G336,IF(ISBLANK('Source_Data'!G122)=ISBLANK(G336),0,1),1),IF('Source_Data'!H122=H336,IF(ISBLANK('Source_Data'!H122)=ISBLANK(H336),0,1),1),IF('Source_Data'!I122=I336,IF(ISBLANK('Source_Data'!I122)=ISBLANK(I336),0,1),1),IF('Source_Data'!J122=J336,IF(ISBLANK('Source_Data'!J122)=ISBLANK(J336),0,1),1),IF('Source_Data'!K122=K336,IF(ISBLANK('Source_Data'!K122)=ISBLANK(K336),0,1),1))</x:f>
        <x:v>0</x:v>
      </x:c>
    </x:row>
    <x:row r="337" ht="23" customHeight="1">
      <x:c r="A337" s="2" t="str">
        <x:v>H1 2026|Sri Lanka|62052000</x:v>
      </x:c>
      <x:c r="B337" s="2" t="str">
        <x:v>H1 2026</x:v>
      </x:c>
      <x:c r="C337" s="2" t="str">
        <x:v>Sri Lanka</x:v>
      </x:c>
      <x:c r="D337" s="2" t="str">
        <x:v>62052000</x:v>
      </x:c>
      <x:c r="E337" s="2" t="n">
        <x:v>1556820</x:v>
      </x:c>
      <x:c r="F337" s="2" t="n">
        <x:v>79138</x:v>
      </x:c>
      <x:c r="G337" s="2" t="n">
        <x:v>6</x:v>
      </x:c>
      <x:c r="H337" s="2" t="n">
        <x:v>0</x:v>
      </x:c>
      <x:c r="I337" s="2" t="n">
        <x:v>19.67221815057242</x:v>
      </x:c>
      <x:c r="J337" s="2" t="n">
        <x:v>202601</x:v>
      </x:c>
      <x:c r="K337" s="2" t="n">
        <x:v>202606</x:v>
      </x:c>
      <x:c r="L337" s="2" t="n">
        <x:f>SUM(IF('Source_Data'!A123=A337,IF(ISBLANK('Source_Data'!A123)=ISBLANK(A337),0,1),1),IF('Source_Data'!B123=B337,IF(ISBLANK('Source_Data'!B123)=ISBLANK(B337),0,1),1),IF('Source_Data'!C123=C337,IF(ISBLANK('Source_Data'!C123)=ISBLANK(C337),0,1),1),IF('Source_Data'!D123=D337,IF(ISBLANK('Source_Data'!D123)=ISBLANK(D337),0,1),1),IF('Source_Data'!E123=E337,IF(ISBLANK('Source_Data'!E123)=ISBLANK(E337),0,1),1),IF('Source_Data'!F123=F337,IF(ISBLANK('Source_Data'!F123)=ISBLANK(F337),0,1),1),IF('Source_Data'!G123=G337,IF(ISBLANK('Source_Data'!G123)=ISBLANK(G337),0,1),1),IF('Source_Data'!H123=H337,IF(ISBLANK('Source_Data'!H123)=ISBLANK(H337),0,1),1),IF('Source_Data'!I123=I337,IF(ISBLANK('Source_Data'!I123)=ISBLANK(I337),0,1),1),IF('Source_Data'!J123=J337,IF(ISBLANK('Source_Data'!J123)=ISBLANK(J337),0,1),1),IF('Source_Data'!K123=K337,IF(ISBLANK('Source_Data'!K123)=ISBLANK(K337),0,1),1))</x:f>
        <x:v>0</x:v>
      </x:c>
    </x:row>
    <x:row r="338" ht="23" customHeight="1">
      <x:c r="A338" s="2" t="str">
        <x:v>H1 2026|Turkey|62052000</x:v>
      </x:c>
      <x:c r="B338" s="2" t="str">
        <x:v>H1 2026</x:v>
      </x:c>
      <x:c r="C338" s="2" t="str">
        <x:v>Turkey</x:v>
      </x:c>
      <x:c r="D338" s="2" t="str">
        <x:v>62052000</x:v>
      </x:c>
      <x:c r="E338" s="2" t="n">
        <x:v>5825379</x:v>
      </x:c>
      <x:c r="F338" s="2" t="n">
        <x:v>147992</x:v>
      </x:c>
      <x:c r="G338" s="2" t="n">
        <x:v>6</x:v>
      </x:c>
      <x:c r="H338" s="2" t="n">
        <x:v>0</x:v>
      </x:c>
      <x:c r="I338" s="2" t="n">
        <x:v>39.36279663765609</x:v>
      </x:c>
      <x:c r="J338" s="2" t="n">
        <x:v>202601</x:v>
      </x:c>
      <x:c r="K338" s="2" t="n">
        <x:v>202606</x:v>
      </x:c>
      <x:c r="L338" s="2" t="n">
        <x:f>SUM(IF('Source_Data'!A124=A338,IF(ISBLANK('Source_Data'!A124)=ISBLANK(A338),0,1),1),IF('Source_Data'!B124=B338,IF(ISBLANK('Source_Data'!B124)=ISBLANK(B338),0,1),1),IF('Source_Data'!C124=C338,IF(ISBLANK('Source_Data'!C124)=ISBLANK(C338),0,1),1),IF('Source_Data'!D124=D338,IF(ISBLANK('Source_Data'!D124)=ISBLANK(D338),0,1),1),IF('Source_Data'!E124=E338,IF(ISBLANK('Source_Data'!E124)=ISBLANK(E338),0,1),1),IF('Source_Data'!F124=F338,IF(ISBLANK('Source_Data'!F124)=ISBLANK(F338),0,1),1),IF('Source_Data'!G124=G338,IF(ISBLANK('Source_Data'!G124)=ISBLANK(G338),0,1),1),IF('Source_Data'!H124=H338,IF(ISBLANK('Source_Data'!H124)=ISBLANK(H338),0,1),1),IF('Source_Data'!I124=I338,IF(ISBLANK('Source_Data'!I124)=ISBLANK(I338),0,1),1),IF('Source_Data'!J124=J338,IF(ISBLANK('Source_Data'!J124)=ISBLANK(J338),0,1),1),IF('Source_Data'!K124=K338,IF(ISBLANK('Source_Data'!K124)=ISBLANK(K338),0,1),1))</x:f>
        <x:v>0</x:v>
      </x:c>
    </x:row>
    <x:row r="339" ht="23" customHeight="1">
      <x:c r="A339" s="2" t="str">
        <x:v>H1 2026|Vietnam|62052000</x:v>
      </x:c>
      <x:c r="B339" s="2" t="str">
        <x:v>H1 2026</x:v>
      </x:c>
      <x:c r="C339" s="2" t="str">
        <x:v>Vietnam</x:v>
      </x:c>
      <x:c r="D339" s="2" t="str">
        <x:v>62052000</x:v>
      </x:c>
      <x:c r="E339" s="2" t="n">
        <x:v>5885338</x:v>
      </x:c>
      <x:c r="F339" s="2" t="n">
        <x:v>196825</x:v>
      </x:c>
      <x:c r="G339" s="2" t="n">
        <x:v>6</x:v>
      </x:c>
      <x:c r="H339" s="2" t="n">
        <x:v>0</x:v>
      </x:c>
      <x:c r="I339" s="2" t="n">
        <x:v>29.90137431728693</x:v>
      </x:c>
      <x:c r="J339" s="2" t="n">
        <x:v>202601</x:v>
      </x:c>
      <x:c r="K339" s="2" t="n">
        <x:v>202606</x:v>
      </x:c>
      <x:c r="L339" s="2" t="n">
        <x:f>SUM(IF('Source_Data'!A125=A339,IF(ISBLANK('Source_Data'!A125)=ISBLANK(A339),0,1),1),IF('Source_Data'!B125=B339,IF(ISBLANK('Source_Data'!B125)=ISBLANK(B339),0,1),1),IF('Source_Data'!C125=C339,IF(ISBLANK('Source_Data'!C125)=ISBLANK(C339),0,1),1),IF('Source_Data'!D125=D339,IF(ISBLANK('Source_Data'!D125)=ISBLANK(D339),0,1),1),IF('Source_Data'!E125=E339,IF(ISBLANK('Source_Data'!E125)=ISBLANK(E339),0,1),1),IF('Source_Data'!F125=F339,IF(ISBLANK('Source_Data'!F125)=ISBLANK(F339),0,1),1),IF('Source_Data'!G125=G339,IF(ISBLANK('Source_Data'!G125)=ISBLANK(G339),0,1),1),IF('Source_Data'!H125=H339,IF(ISBLANK('Source_Data'!H125)=ISBLANK(H339),0,1),1),IF('Source_Data'!I125=I339,IF(ISBLANK('Source_Data'!I125)=ISBLANK(I339),0,1),1),IF('Source_Data'!J125=J339,IF(ISBLANK('Source_Data'!J125)=ISBLANK(J339),0,1),1),IF('Source_Data'!K125=K339,IF(ISBLANK('Source_Data'!K125)=ISBLANK(K339),0,1),1))</x:f>
        <x:v>0</x:v>
      </x:c>
    </x:row>
    <x:row r="340" ht="23" customHeight="1">
      <x:c r="A340" s="2"/>
      <x:c r="B340" s="2"/>
      <x:c r="C340" s="2"/>
      <x:c r="D340" s="2"/>
      <x:c r="E340" s="2"/>
      <x:c r="F340" s="2"/>
      <x:c r="G340" s="2"/>
      <x:c r="H340" s="2"/>
      <x:c r="I340" s="2"/>
      <x:c r="J340" s="2"/>
      <x:c r="K340" s="2"/>
      <x:c r="L340" s="2"/>
    </x:row>
    <x:row r="341" ht="23" customHeight="1">
      <x:c r="A341" s="2"/>
      <x:c r="B341" s="2"/>
      <x:c r="C341" s="2"/>
      <x:c r="D341" s="2"/>
      <x:c r="E341" s="2"/>
      <x:c r="F341" s="2"/>
      <x:c r="G341" s="2"/>
      <x:c r="H341" s="2"/>
      <x:c r="I341" s="2"/>
      <x:c r="J341" s="2"/>
      <x:c r="K341" s="2"/>
      <x:c r="L341" s="2"/>
    </x:row>
    <x:row r="342" ht="23" customHeight="1">
      <x:c r="A342" s="2"/>
      <x:c r="B342" s="2"/>
      <x:c r="C342" s="2"/>
      <x:c r="D342" s="2"/>
      <x:c r="E342" s="2"/>
      <x:c r="F342" s="2"/>
      <x:c r="G342" s="2"/>
      <x:c r="H342" s="2"/>
      <x:c r="I342" s="2"/>
      <x:c r="J342" s="2"/>
      <x:c r="K342" s="2"/>
      <x:c r="L342" s="2"/>
    </x:row>
    <x:row r="343" ht="23" customHeight="1">
      <x:c r="A343" s="2"/>
      <x:c r="B343" s="2"/>
      <x:c r="C343" s="2"/>
      <x:c r="D343" s="2"/>
      <x:c r="E343" s="2"/>
      <x:c r="F343" s="2"/>
      <x:c r="G343" s="2"/>
      <x:c r="H343" s="2"/>
      <x:c r="I343" s="2"/>
      <x:c r="J343" s="2"/>
      <x:c r="K343" s="2"/>
      <x:c r="L343" s="2"/>
    </x:row>
    <x:row r="344" ht="23" customHeight="1">
      <x:c r="A344" s="2"/>
      <x:c r="B344" s="2"/>
      <x:c r="C344" s="2"/>
      <x:c r="D344" s="2"/>
      <x:c r="E344" s="2"/>
      <x:c r="F344" s="2"/>
      <x:c r="G344" s="2"/>
      <x:c r="H344" s="2"/>
      <x:c r="I344" s="2"/>
      <x:c r="J344" s="2"/>
      <x:c r="K344" s="2"/>
      <x:c r="L344" s="2"/>
    </x:row>
    <x:row r="345" ht="23" customHeight="1">
      <x:c r="A345" s="2"/>
      <x:c r="B345" s="2"/>
      <x:c r="C345" s="2"/>
      <x:c r="D345" s="2"/>
      <x:c r="E345" s="2"/>
      <x:c r="F345" s="2"/>
      <x:c r="G345" s="2"/>
      <x:c r="H345" s="2"/>
      <x:c r="I345" s="2"/>
      <x:c r="J345" s="2"/>
      <x:c r="K345" s="2"/>
      <x:c r="L345" s="2"/>
    </x:row>
    <x:row r="346" ht="23" customHeight="1">
      <x:c r="A346" s="2"/>
      <x:c r="B346" s="2"/>
      <x:c r="C346" s="2"/>
      <x:c r="D346" s="2"/>
      <x:c r="E346" s="2"/>
      <x:c r="F346" s="2"/>
      <x:c r="G346" s="2"/>
      <x:c r="H346" s="2"/>
      <x:c r="I346" s="2"/>
      <x:c r="J346" s="2"/>
      <x:c r="K346" s="2"/>
      <x:c r="L346" s="2"/>
    </x:row>
    <x:row r="347" ht="23" customHeight="1">
      <x:c r="A347" s="2"/>
      <x:c r="B347" s="2"/>
      <x:c r="C347" s="2"/>
      <x:c r="D347" s="2"/>
      <x:c r="E347" s="2"/>
      <x:c r="F347" s="2"/>
      <x:c r="G347" s="2"/>
      <x:c r="H347" s="2"/>
      <x:c r="I347" s="2"/>
      <x:c r="J347" s="2"/>
      <x:c r="K347" s="2"/>
      <x:c r="L347" s="2"/>
    </x:row>
    <x:row r="348" ht="23" customHeight="1">
      <x:c r="A348" s="2"/>
      <x:c r="B348" s="2"/>
      <x:c r="C348" s="2"/>
      <x:c r="D348" s="2"/>
      <x:c r="E348" s="2"/>
      <x:c r="F348" s="2"/>
      <x:c r="G348" s="2"/>
      <x:c r="H348" s="2"/>
      <x:c r="I348" s="2"/>
      <x:c r="J348" s="2"/>
      <x:c r="K348" s="2"/>
      <x:c r="L348" s="2"/>
    </x:row>
    <x:row r="349" ht="26" customHeight="1">
      <x:c r="A349" s="12" t="str">
        <x:v>Monthly observations: Monthly_Data!A6:H797</x:v>
      </x:c>
      <x:c r="B349" s="12"/>
      <x:c r="C349" s="12"/>
      <x:c r="D349" s="12"/>
      <x:c r="E349" s="12"/>
      <x:c r="F349" s="12"/>
      <x:c r="G349" s="12"/>
      <x:c r="H349" s="12"/>
      <x:c r="I349" s="12"/>
      <x:c r="J349" s="12"/>
      <x:c r="K349" s="12"/>
      <x:c r="L349" s="2"/>
    </x:row>
    <x:row r="350" ht="23" customHeight="1">
      <x:c r="A350" s="2" t="str">
        <x:v>61091000_BD_202501_IMPORT</x:v>
      </x:c>
      <x:c r="B350" s="2" t="n">
        <x:v>202501</x:v>
      </x:c>
      <x:c r="C350" s="2" t="str">
        <x:v>61091000</x:v>
      </x:c>
      <x:c r="D350" s="2" t="str">
        <x:v>Bangladesh</x:v>
      </x:c>
      <x:c r="E350" s="2" t="n">
        <x:v>37635639</x:v>
      </x:c>
      <x:c r="F350" s="2" t="n">
        <x:v>3598131</x:v>
      </x:c>
      <x:c r="G350" s="2" t="str">
        <x:v>WITHIN_BAND</x:v>
      </x:c>
      <x:c r="H350" s="2" t="n">
        <x:v>1</x:v>
      </x:c>
      <x:c r="I350" s="2"/>
      <x:c r="J350" s="2"/>
      <x:c r="K350" s="2"/>
      <x:c r="L350" s="2" t="n">
        <x:f>SUM(IF('Monthly_Data'!A6=A350,IF(ISBLANK('Monthly_Data'!A6)=ISBLANK(A350),0,1),1),IF('Monthly_Data'!B6=B350,IF(ISBLANK('Monthly_Data'!B6)=ISBLANK(B350),0,1),1),IF('Monthly_Data'!C6=C350,IF(ISBLANK('Monthly_Data'!C6)=ISBLANK(C350),0,1),1),IF('Monthly_Data'!D6=D350,IF(ISBLANK('Monthly_Data'!D6)=ISBLANK(D350),0,1),1),IF('Monthly_Data'!E6=E350,IF(ISBLANK('Monthly_Data'!E6)=ISBLANK(E350),0,1),1),IF('Monthly_Data'!F6=F350,IF(ISBLANK('Monthly_Data'!F6)=ISBLANK(F350),0,1),1),IF('Monthly_Data'!G6=G350,IF(ISBLANK('Monthly_Data'!G6)=ISBLANK(G350),0,1),1),IF('Monthly_Data'!H6=H350,IF(ISBLANK('Monthly_Data'!H6)=ISBLANK(H350),0,1),1))</x:f>
        <x:v>0</x:v>
      </x:c>
    </x:row>
    <x:row r="351" ht="23" customHeight="1">
      <x:c r="A351" s="2" t="str">
        <x:v>61091000_KH_202501_IMPORT</x:v>
      </x:c>
      <x:c r="B351" s="2" t="n">
        <x:v>202501</x:v>
      </x:c>
      <x:c r="C351" s="2" t="str">
        <x:v>61091000</x:v>
      </x:c>
      <x:c r="D351" s="2" t="str">
        <x:v>Cambodia</x:v>
      </x:c>
      <x:c r="E351" s="2" t="n">
        <x:v>815302</x:v>
      </x:c>
      <x:c r="F351" s="2" t="n">
        <x:v>48927</x:v>
      </x:c>
      <x:c r="G351" s="2" t="str">
        <x:v>WITHIN_BAND</x:v>
      </x:c>
      <x:c r="H351" s="2" t="n">
        <x:v>1</x:v>
      </x:c>
      <x:c r="I351" s="2"/>
      <x:c r="J351" s="2"/>
      <x:c r="K351" s="2"/>
      <x:c r="L351" s="2" t="n">
        <x:f>SUM(IF('Monthly_Data'!A7=A351,IF(ISBLANK('Monthly_Data'!A7)=ISBLANK(A351),0,1),1),IF('Monthly_Data'!B7=B351,IF(ISBLANK('Monthly_Data'!B7)=ISBLANK(B351),0,1),1),IF('Monthly_Data'!C7=C351,IF(ISBLANK('Monthly_Data'!C7)=ISBLANK(C351),0,1),1),IF('Monthly_Data'!D7=D351,IF(ISBLANK('Monthly_Data'!D7)=ISBLANK(D351),0,1),1),IF('Monthly_Data'!E7=E351,IF(ISBLANK('Monthly_Data'!E7)=ISBLANK(E351),0,1),1),IF('Monthly_Data'!F7=F351,IF(ISBLANK('Monthly_Data'!F7)=ISBLANK(F351),0,1),1),IF('Monthly_Data'!G7=G351,IF(ISBLANK('Monthly_Data'!G7)=ISBLANK(G351),0,1),1),IF('Monthly_Data'!H7=H351,IF(ISBLANK('Monthly_Data'!H7)=ISBLANK(H351),0,1),1))</x:f>
        <x:v>0</x:v>
      </x:c>
    </x:row>
    <x:row r="352" ht="23" customHeight="1">
      <x:c r="A352" s="2" t="str">
        <x:v>61091000_CN_202501_IMPORT</x:v>
      </x:c>
      <x:c r="B352" s="2" t="n">
        <x:v>202501</x:v>
      </x:c>
      <x:c r="C352" s="2" t="str">
        <x:v>61091000</x:v>
      </x:c>
      <x:c r="D352" s="2" t="str">
        <x:v>China</x:v>
      </x:c>
      <x:c r="E352" s="2" t="n">
        <x:v>4906522</x:v>
      </x:c>
      <x:c r="F352" s="2" t="n">
        <x:v>287181</x:v>
      </x:c>
      <x:c r="G352" s="2" t="str">
        <x:v>WITHIN_BAND</x:v>
      </x:c>
      <x:c r="H352" s="2" t="n">
        <x:v>1</x:v>
      </x:c>
      <x:c r="I352" s="2"/>
      <x:c r="J352" s="2"/>
      <x:c r="K352" s="2"/>
      <x:c r="L352" s="2" t="n">
        <x:f>SUM(IF('Monthly_Data'!A8=A352,IF(ISBLANK('Monthly_Data'!A8)=ISBLANK(A352),0,1),1),IF('Monthly_Data'!B8=B352,IF(ISBLANK('Monthly_Data'!B8)=ISBLANK(B352),0,1),1),IF('Monthly_Data'!C8=C352,IF(ISBLANK('Monthly_Data'!C8)=ISBLANK(C352),0,1),1),IF('Monthly_Data'!D8=D352,IF(ISBLANK('Monthly_Data'!D8)=ISBLANK(D352),0,1),1),IF('Monthly_Data'!E8=E352,IF(ISBLANK('Monthly_Data'!E8)=ISBLANK(E352),0,1),1),IF('Monthly_Data'!F8=F352,IF(ISBLANK('Monthly_Data'!F8)=ISBLANK(F352),0,1),1),IF('Monthly_Data'!G8=G352,IF(ISBLANK('Monthly_Data'!G8)=ISBLANK(G352),0,1),1),IF('Monthly_Data'!H8=H352,IF(ISBLANK('Monthly_Data'!H8)=ISBLANK(H352),0,1),1))</x:f>
        <x:v>0</x:v>
      </x:c>
    </x:row>
    <x:row r="353" ht="23" customHeight="1">
      <x:c r="A353" s="2" t="str">
        <x:v>61091000_IN_202501_IMPORT</x:v>
      </x:c>
      <x:c r="B353" s="2" t="n">
        <x:v>202501</x:v>
      </x:c>
      <x:c r="C353" s="2" t="str">
        <x:v>61091000</x:v>
      </x:c>
      <x:c r="D353" s="2" t="str">
        <x:v>India</x:v>
      </x:c>
      <x:c r="E353" s="2" t="n">
        <x:v>6612624</x:v>
      </x:c>
      <x:c r="F353" s="2" t="n">
        <x:v>447550</x:v>
      </x:c>
      <x:c r="G353" s="2" t="str">
        <x:v>WITHIN_BAND</x:v>
      </x:c>
      <x:c r="H353" s="2" t="n">
        <x:v>1</x:v>
      </x:c>
      <x:c r="I353" s="2"/>
      <x:c r="J353" s="2"/>
      <x:c r="K353" s="2"/>
      <x:c r="L353" s="2" t="n">
        <x:f>SUM(IF('Monthly_Data'!A9=A353,IF(ISBLANK('Monthly_Data'!A9)=ISBLANK(A353),0,1),1),IF('Monthly_Data'!B9=B353,IF(ISBLANK('Monthly_Data'!B9)=ISBLANK(B353),0,1),1),IF('Monthly_Data'!C9=C353,IF(ISBLANK('Monthly_Data'!C9)=ISBLANK(C353),0,1),1),IF('Monthly_Data'!D9=D353,IF(ISBLANK('Monthly_Data'!D9)=ISBLANK(D353),0,1),1),IF('Monthly_Data'!E9=E353,IF(ISBLANK('Monthly_Data'!E9)=ISBLANK(E353),0,1),1),IF('Monthly_Data'!F9=F353,IF(ISBLANK('Monthly_Data'!F9)=ISBLANK(F353),0,1),1),IF('Monthly_Data'!G9=G353,IF(ISBLANK('Monthly_Data'!G9)=ISBLANK(G353),0,1),1),IF('Monthly_Data'!H9=H353,IF(ISBLANK('Monthly_Data'!H9)=ISBLANK(H353),0,1),1))</x:f>
        <x:v>0</x:v>
      </x:c>
    </x:row>
    <x:row r="354" ht="23" customHeight="1">
      <x:c r="A354" s="2" t="str">
        <x:v>61091000_MA_202501_IMPORT</x:v>
      </x:c>
      <x:c r="B354" s="2" t="n">
        <x:v>202501</x:v>
      </x:c>
      <x:c r="C354" s="2" t="str">
        <x:v>61091000</x:v>
      </x:c>
      <x:c r="D354" s="2" t="str">
        <x:v>Morocco</x:v>
      </x:c>
      <x:c r="E354" s="2" t="n">
        <x:v>595595</x:v>
      </x:c>
      <x:c r="F354" s="2" t="n">
        <x:v>58622</x:v>
      </x:c>
      <x:c r="G354" s="2" t="str">
        <x:v>WITHIN_BAND</x:v>
      </x:c>
      <x:c r="H354" s="2" t="n">
        <x:v>1</x:v>
      </x:c>
      <x:c r="I354" s="2"/>
      <x:c r="J354" s="2"/>
      <x:c r="K354" s="2"/>
      <x:c r="L354" s="2" t="n">
        <x:f>SUM(IF('Monthly_Data'!A10=A354,IF(ISBLANK('Monthly_Data'!A10)=ISBLANK(A354),0,1),1),IF('Monthly_Data'!B10=B354,IF(ISBLANK('Monthly_Data'!B10)=ISBLANK(B354),0,1),1),IF('Monthly_Data'!C10=C354,IF(ISBLANK('Monthly_Data'!C10)=ISBLANK(C354),0,1),1),IF('Monthly_Data'!D10=D354,IF(ISBLANK('Monthly_Data'!D10)=ISBLANK(D354),0,1),1),IF('Monthly_Data'!E10=E354,IF(ISBLANK('Monthly_Data'!E10)=ISBLANK(E354),0,1),1),IF('Monthly_Data'!F10=F354,IF(ISBLANK('Monthly_Data'!F10)=ISBLANK(F354),0,1),1),IF('Monthly_Data'!G10=G354,IF(ISBLANK('Monthly_Data'!G10)=ISBLANK(G354),0,1),1),IF('Monthly_Data'!H10=H354,IF(ISBLANK('Monthly_Data'!H10)=ISBLANK(H354),0,1),1))</x:f>
        <x:v>0</x:v>
      </x:c>
    </x:row>
    <x:row r="355" ht="23" customHeight="1">
      <x:c r="A355" s="2" t="str">
        <x:v>61091000_MM_202501_IMPORT</x:v>
      </x:c>
      <x:c r="B355" s="2" t="n">
        <x:v>202501</x:v>
      </x:c>
      <x:c r="C355" s="2" t="str">
        <x:v>61091000</x:v>
      </x:c>
      <x:c r="D355" s="2" t="str">
        <x:v>Myanmar</x:v>
      </x:c>
      <x:c r="E355" s="2" t="n">
        <x:v>47447</x:v>
      </x:c>
      <x:c r="F355" s="2" t="n">
        <x:v>3108</x:v>
      </x:c>
      <x:c r="G355" s="2" t="str">
        <x:v>WITHIN_BAND</x:v>
      </x:c>
      <x:c r="H355" s="2" t="n">
        <x:v>1</x:v>
      </x:c>
      <x:c r="I355" s="2"/>
      <x:c r="J355" s="2"/>
      <x:c r="K355" s="2"/>
      <x:c r="L355" s="2" t="n">
        <x:f>SUM(IF('Monthly_Data'!A11=A355,IF(ISBLANK('Monthly_Data'!A11)=ISBLANK(A355),0,1),1),IF('Monthly_Data'!B11=B355,IF(ISBLANK('Monthly_Data'!B11)=ISBLANK(B355),0,1),1),IF('Monthly_Data'!C11=C355,IF(ISBLANK('Monthly_Data'!C11)=ISBLANK(C355),0,1),1),IF('Monthly_Data'!D11=D355,IF(ISBLANK('Monthly_Data'!D11)=ISBLANK(D355),0,1),1),IF('Monthly_Data'!E11=E355,IF(ISBLANK('Monthly_Data'!E11)=ISBLANK(E355),0,1),1),IF('Monthly_Data'!F11=F355,IF(ISBLANK('Monthly_Data'!F11)=ISBLANK(F355),0,1),1),IF('Monthly_Data'!G11=G355,IF(ISBLANK('Monthly_Data'!G11)=ISBLANK(G355),0,1),1),IF('Monthly_Data'!H11=H355,IF(ISBLANK('Monthly_Data'!H11)=ISBLANK(H355),0,1),1))</x:f>
        <x:v>0</x:v>
      </x:c>
    </x:row>
    <x:row r="356" ht="23" customHeight="1">
      <x:c r="A356" s="2" t="str">
        <x:v>61091000_PK_202501_IMPORT</x:v>
      </x:c>
      <x:c r="B356" s="2" t="n">
        <x:v>202501</x:v>
      </x:c>
      <x:c r="C356" s="2" t="str">
        <x:v>61091000</x:v>
      </x:c>
      <x:c r="D356" s="2" t="str">
        <x:v>Pakistan</x:v>
      </x:c>
      <x:c r="E356" s="2" t="n">
        <x:v>4215403</x:v>
      </x:c>
      <x:c r="F356" s="2" t="n">
        <x:v>375044</x:v>
      </x:c>
      <x:c r="G356" s="2" t="str">
        <x:v>WITHIN_BAND</x:v>
      </x:c>
      <x:c r="H356" s="2" t="n">
        <x:v>1</x:v>
      </x:c>
      <x:c r="I356" s="2"/>
      <x:c r="J356" s="2"/>
      <x:c r="K356" s="2"/>
      <x:c r="L356" s="2" t="n">
        <x:f>SUM(IF('Monthly_Data'!A12=A356,IF(ISBLANK('Monthly_Data'!A12)=ISBLANK(A356),0,1),1),IF('Monthly_Data'!B12=B356,IF(ISBLANK('Monthly_Data'!B12)=ISBLANK(B356),0,1),1),IF('Monthly_Data'!C12=C356,IF(ISBLANK('Monthly_Data'!C12)=ISBLANK(C356),0,1),1),IF('Monthly_Data'!D12=D356,IF(ISBLANK('Monthly_Data'!D12)=ISBLANK(D356),0,1),1),IF('Monthly_Data'!E12=E356,IF(ISBLANK('Monthly_Data'!E12)=ISBLANK(E356),0,1),1),IF('Monthly_Data'!F12=F356,IF(ISBLANK('Monthly_Data'!F12)=ISBLANK(F356),0,1),1),IF('Monthly_Data'!G12=G356,IF(ISBLANK('Monthly_Data'!G12)=ISBLANK(G356),0,1),1),IF('Monthly_Data'!H12=H356,IF(ISBLANK('Monthly_Data'!H12)=ISBLANK(H356),0,1),1))</x:f>
        <x:v>0</x:v>
      </x:c>
    </x:row>
    <x:row r="357" ht="23" customHeight="1">
      <x:c r="A357" s="2" t="str">
        <x:v>61091000_LK_202501_IMPORT</x:v>
      </x:c>
      <x:c r="B357" s="2" t="n">
        <x:v>202501</x:v>
      </x:c>
      <x:c r="C357" s="2" t="str">
        <x:v>61091000</x:v>
      </x:c>
      <x:c r="D357" s="2" t="str">
        <x:v>Sri Lanka</x:v>
      </x:c>
      <x:c r="E357" s="2" t="n">
        <x:v>1867891</x:v>
      </x:c>
      <x:c r="F357" s="2" t="n">
        <x:v>190782</x:v>
      </x:c>
      <x:c r="G357" s="2" t="str">
        <x:v>WITHIN_BAND</x:v>
      </x:c>
      <x:c r="H357" s="2" t="n">
        <x:v>1</x:v>
      </x:c>
      <x:c r="I357" s="2"/>
      <x:c r="J357" s="2"/>
      <x:c r="K357" s="2"/>
      <x:c r="L357" s="2" t="n">
        <x:f>SUM(IF('Monthly_Data'!A13=A357,IF(ISBLANK('Monthly_Data'!A13)=ISBLANK(A357),0,1),1),IF('Monthly_Data'!B13=B357,IF(ISBLANK('Monthly_Data'!B13)=ISBLANK(B357),0,1),1),IF('Monthly_Data'!C13=C357,IF(ISBLANK('Monthly_Data'!C13)=ISBLANK(C357),0,1),1),IF('Monthly_Data'!D13=D357,IF(ISBLANK('Monthly_Data'!D13)=ISBLANK(D357),0,1),1),IF('Monthly_Data'!E13=E357,IF(ISBLANK('Monthly_Data'!E13)=ISBLANK(E357),0,1),1),IF('Monthly_Data'!F13=F357,IF(ISBLANK('Monthly_Data'!F13)=ISBLANK(F357),0,1),1),IF('Monthly_Data'!G13=G357,IF(ISBLANK('Monthly_Data'!G13)=ISBLANK(G357),0,1),1),IF('Monthly_Data'!H13=H357,IF(ISBLANK('Monthly_Data'!H13)=ISBLANK(H357),0,1),1))</x:f>
        <x:v>0</x:v>
      </x:c>
    </x:row>
    <x:row r="358" ht="23" customHeight="1">
      <x:c r="A358" s="2" t="str">
        <x:v>61091000_TR_202501_IMPORT</x:v>
      </x:c>
      <x:c r="B358" s="2" t="n">
        <x:v>202501</x:v>
      </x:c>
      <x:c r="C358" s="2" t="str">
        <x:v>61091000</x:v>
      </x:c>
      <x:c r="D358" s="2" t="str">
        <x:v>Turkey</x:v>
      </x:c>
      <x:c r="E358" s="2" t="n">
        <x:v>9498438</x:v>
      </x:c>
      <x:c r="F358" s="2" t="n">
        <x:v>427107</x:v>
      </x:c>
      <x:c r="G358" s="2" t="str">
        <x:v>WITHIN_BAND</x:v>
      </x:c>
      <x:c r="H358" s="2" t="n">
        <x:v>1</x:v>
      </x:c>
      <x:c r="I358" s="2"/>
      <x:c r="J358" s="2"/>
      <x:c r="K358" s="2"/>
      <x:c r="L358" s="2" t="n">
        <x:f>SUM(IF('Monthly_Data'!A14=A358,IF(ISBLANK('Monthly_Data'!A14)=ISBLANK(A358),0,1),1),IF('Monthly_Data'!B14=B358,IF(ISBLANK('Monthly_Data'!B14)=ISBLANK(B358),0,1),1),IF('Monthly_Data'!C14=C358,IF(ISBLANK('Monthly_Data'!C14)=ISBLANK(C358),0,1),1),IF('Monthly_Data'!D14=D358,IF(ISBLANK('Monthly_Data'!D14)=ISBLANK(D358),0,1),1),IF('Monthly_Data'!E14=E358,IF(ISBLANK('Monthly_Data'!E14)=ISBLANK(E358),0,1),1),IF('Monthly_Data'!F14=F358,IF(ISBLANK('Monthly_Data'!F14)=ISBLANK(F358),0,1),1),IF('Monthly_Data'!G14=G358,IF(ISBLANK('Monthly_Data'!G14)=ISBLANK(G358),0,1),1),IF('Monthly_Data'!H14=H358,IF(ISBLANK('Monthly_Data'!H14)=ISBLANK(H358),0,1),1))</x:f>
        <x:v>0</x:v>
      </x:c>
    </x:row>
    <x:row r="359" ht="23" customHeight="1">
      <x:c r="A359" s="2" t="str">
        <x:v>61091000_VN_202501_IMPORT</x:v>
      </x:c>
      <x:c r="B359" s="2" t="n">
        <x:v>202501</x:v>
      </x:c>
      <x:c r="C359" s="2" t="str">
        <x:v>61091000</x:v>
      </x:c>
      <x:c r="D359" s="2" t="str">
        <x:v>Vietnam</x:v>
      </x:c>
      <x:c r="E359" s="2" t="n">
        <x:v>1759203</x:v>
      </x:c>
      <x:c r="F359" s="2" t="n">
        <x:v>80140</x:v>
      </x:c>
      <x:c r="G359" s="2" t="str">
        <x:v>WITHIN_BAND</x:v>
      </x:c>
      <x:c r="H359" s="2" t="n">
        <x:v>1</x:v>
      </x:c>
      <x:c r="I359" s="2"/>
      <x:c r="J359" s="2"/>
      <x:c r="K359" s="2"/>
      <x:c r="L359" s="2" t="n">
        <x:f>SUM(IF('Monthly_Data'!A15=A359,IF(ISBLANK('Monthly_Data'!A15)=ISBLANK(A359),0,1),1),IF('Monthly_Data'!B15=B359,IF(ISBLANK('Monthly_Data'!B15)=ISBLANK(B359),0,1),1),IF('Monthly_Data'!C15=C359,IF(ISBLANK('Monthly_Data'!C15)=ISBLANK(C359),0,1),1),IF('Monthly_Data'!D15=D359,IF(ISBLANK('Monthly_Data'!D15)=ISBLANK(D359),0,1),1),IF('Monthly_Data'!E15=E359,IF(ISBLANK('Monthly_Data'!E15)=ISBLANK(E359),0,1),1),IF('Monthly_Data'!F15=F359,IF(ISBLANK('Monthly_Data'!F15)=ISBLANK(F359),0,1),1),IF('Monthly_Data'!G15=G359,IF(ISBLANK('Monthly_Data'!G15)=ISBLANK(G359),0,1),1),IF('Monthly_Data'!H15=H359,IF(ISBLANK('Monthly_Data'!H15)=ISBLANK(H359),0,1),1))</x:f>
        <x:v>0</x:v>
      </x:c>
    </x:row>
    <x:row r="360" ht="23" customHeight="1">
      <x:c r="A360" s="2" t="str">
        <x:v>61091000_WORLD_202501_IMPORT</x:v>
      </x:c>
      <x:c r="B360" s="2" t="n">
        <x:v>202501</x:v>
      </x:c>
      <x:c r="C360" s="2" t="str">
        <x:v>61091000</x:v>
      </x:c>
      <x:c r="D360" s="2" t="str">
        <x:v>World</x:v>
      </x:c>
      <x:c r="E360" s="2" t="n">
        <x:v>97780137</x:v>
      </x:c>
      <x:c r="F360" s="2" t="n">
        <x:v>6822727</x:v>
      </x:c>
      <x:c r="G360" s="2" t="str">
        <x:v>WITHIN_BAND</x:v>
      </x:c>
      <x:c r="H360" s="2" t="n">
        <x:v>1</x:v>
      </x:c>
      <x:c r="I360" s="2"/>
      <x:c r="J360" s="2"/>
      <x:c r="K360" s="2"/>
      <x:c r="L360" s="2" t="n">
        <x:f>SUM(IF('Monthly_Data'!A16=A360,IF(ISBLANK('Monthly_Data'!A16)=ISBLANK(A360),0,1),1),IF('Monthly_Data'!B16=B360,IF(ISBLANK('Monthly_Data'!B16)=ISBLANK(B360),0,1),1),IF('Monthly_Data'!C16=C360,IF(ISBLANK('Monthly_Data'!C16)=ISBLANK(C360),0,1),1),IF('Monthly_Data'!D16=D360,IF(ISBLANK('Monthly_Data'!D16)=ISBLANK(D360),0,1),1),IF('Monthly_Data'!E16=E360,IF(ISBLANK('Monthly_Data'!E16)=ISBLANK(E360),0,1),1),IF('Monthly_Data'!F16=F360,IF(ISBLANK('Monthly_Data'!F16)=ISBLANK(F360),0,1),1),IF('Monthly_Data'!G16=G360,IF(ISBLANK('Monthly_Data'!G16)=ISBLANK(G360),0,1),1),IF('Monthly_Data'!H16=H360,IF(ISBLANK('Monthly_Data'!H16)=ISBLANK(H360),0,1),1))</x:f>
        <x:v>0</x:v>
      </x:c>
    </x:row>
    <x:row r="361" ht="23" customHeight="1">
      <x:c r="A361" s="2" t="str">
        <x:v>61091000_BD_202502_IMPORT</x:v>
      </x:c>
      <x:c r="B361" s="2" t="n">
        <x:v>202502</x:v>
      </x:c>
      <x:c r="C361" s="2" t="str">
        <x:v>61091000</x:v>
      </x:c>
      <x:c r="D361" s="2" t="str">
        <x:v>Bangladesh</x:v>
      </x:c>
      <x:c r="E361" s="2" t="n">
        <x:v>34909984</x:v>
      </x:c>
      <x:c r="F361" s="2" t="n">
        <x:v>3246390</x:v>
      </x:c>
      <x:c r="G361" s="2" t="str">
        <x:v>WITHIN_BAND</x:v>
      </x:c>
      <x:c r="H361" s="2" t="n">
        <x:v>1</x:v>
      </x:c>
      <x:c r="I361" s="2"/>
      <x:c r="J361" s="2"/>
      <x:c r="K361" s="2"/>
      <x:c r="L361" s="2" t="n">
        <x:f>SUM(IF('Monthly_Data'!A17=A361,IF(ISBLANK('Monthly_Data'!A17)=ISBLANK(A361),0,1),1),IF('Monthly_Data'!B17=B361,IF(ISBLANK('Monthly_Data'!B17)=ISBLANK(B361),0,1),1),IF('Monthly_Data'!C17=C361,IF(ISBLANK('Monthly_Data'!C17)=ISBLANK(C361),0,1),1),IF('Monthly_Data'!D17=D361,IF(ISBLANK('Monthly_Data'!D17)=ISBLANK(D361),0,1),1),IF('Monthly_Data'!E17=E361,IF(ISBLANK('Monthly_Data'!E17)=ISBLANK(E361),0,1),1),IF('Monthly_Data'!F17=F361,IF(ISBLANK('Monthly_Data'!F17)=ISBLANK(F361),0,1),1),IF('Monthly_Data'!G17=G361,IF(ISBLANK('Monthly_Data'!G17)=ISBLANK(G361),0,1),1),IF('Monthly_Data'!H17=H361,IF(ISBLANK('Monthly_Data'!H17)=ISBLANK(H361),0,1),1))</x:f>
        <x:v>0</x:v>
      </x:c>
    </x:row>
    <x:row r="362" ht="23" customHeight="1">
      <x:c r="A362" s="2" t="str">
        <x:v>61091000_KH_202502_IMPORT</x:v>
      </x:c>
      <x:c r="B362" s="2" t="n">
        <x:v>202502</x:v>
      </x:c>
      <x:c r="C362" s="2" t="str">
        <x:v>61091000</x:v>
      </x:c>
      <x:c r="D362" s="2" t="str">
        <x:v>Cambodia</x:v>
      </x:c>
      <x:c r="E362" s="2" t="n">
        <x:v>795698</x:v>
      </x:c>
      <x:c r="F362" s="2" t="n">
        <x:v>47380</x:v>
      </x:c>
      <x:c r="G362" s="2" t="str">
        <x:v>WITHIN_BAND</x:v>
      </x:c>
      <x:c r="H362" s="2" t="n">
        <x:v>1</x:v>
      </x:c>
      <x:c r="I362" s="2"/>
      <x:c r="J362" s="2"/>
      <x:c r="K362" s="2"/>
      <x:c r="L362" s="2" t="n">
        <x:f>SUM(IF('Monthly_Data'!A18=A362,IF(ISBLANK('Monthly_Data'!A18)=ISBLANK(A362),0,1),1),IF('Monthly_Data'!B18=B362,IF(ISBLANK('Monthly_Data'!B18)=ISBLANK(B362),0,1),1),IF('Monthly_Data'!C18=C362,IF(ISBLANK('Monthly_Data'!C18)=ISBLANK(C362),0,1),1),IF('Monthly_Data'!D18=D362,IF(ISBLANK('Monthly_Data'!D18)=ISBLANK(D362),0,1),1),IF('Monthly_Data'!E18=E362,IF(ISBLANK('Monthly_Data'!E18)=ISBLANK(E362),0,1),1),IF('Monthly_Data'!F18=F362,IF(ISBLANK('Monthly_Data'!F18)=ISBLANK(F362),0,1),1),IF('Monthly_Data'!G18=G362,IF(ISBLANK('Monthly_Data'!G18)=ISBLANK(G362),0,1),1),IF('Monthly_Data'!H18=H362,IF(ISBLANK('Monthly_Data'!H18)=ISBLANK(H362),0,1),1))</x:f>
        <x:v>0</x:v>
      </x:c>
    </x:row>
    <x:row r="363" ht="23" customHeight="1">
      <x:c r="A363" s="2" t="str">
        <x:v>61091000_CN_202502_IMPORT</x:v>
      </x:c>
      <x:c r="B363" s="2" t="n">
        <x:v>202502</x:v>
      </x:c>
      <x:c r="C363" s="2" t="str">
        <x:v>61091000</x:v>
      </x:c>
      <x:c r="D363" s="2" t="str">
        <x:v>China</x:v>
      </x:c>
      <x:c r="E363" s="2" t="n">
        <x:v>5035781</x:v>
      </x:c>
      <x:c r="F363" s="2" t="n">
        <x:v>242269</x:v>
      </x:c>
      <x:c r="G363" s="2" t="str">
        <x:v>WITHIN_BAND</x:v>
      </x:c>
      <x:c r="H363" s="2" t="n">
        <x:v>1</x:v>
      </x:c>
      <x:c r="I363" s="2"/>
      <x:c r="J363" s="2"/>
      <x:c r="K363" s="2"/>
      <x:c r="L363" s="2" t="n">
        <x:f>SUM(IF('Monthly_Data'!A19=A363,IF(ISBLANK('Monthly_Data'!A19)=ISBLANK(A363),0,1),1),IF('Monthly_Data'!B19=B363,IF(ISBLANK('Monthly_Data'!B19)=ISBLANK(B363),0,1),1),IF('Monthly_Data'!C19=C363,IF(ISBLANK('Monthly_Data'!C19)=ISBLANK(C363),0,1),1),IF('Monthly_Data'!D19=D363,IF(ISBLANK('Monthly_Data'!D19)=ISBLANK(D363),0,1),1),IF('Monthly_Data'!E19=E363,IF(ISBLANK('Monthly_Data'!E19)=ISBLANK(E363),0,1),1),IF('Monthly_Data'!F19=F363,IF(ISBLANK('Monthly_Data'!F19)=ISBLANK(F363),0,1),1),IF('Monthly_Data'!G19=G363,IF(ISBLANK('Monthly_Data'!G19)=ISBLANK(G363),0,1),1),IF('Monthly_Data'!H19=H363,IF(ISBLANK('Monthly_Data'!H19)=ISBLANK(H363),0,1),1))</x:f>
        <x:v>0</x:v>
      </x:c>
    </x:row>
    <x:row r="364" ht="23" customHeight="1">
      <x:c r="A364" s="2" t="str">
        <x:v>61091000_IN_202502_IMPORT</x:v>
      </x:c>
      <x:c r="B364" s="2" t="n">
        <x:v>202502</x:v>
      </x:c>
      <x:c r="C364" s="2" t="str">
        <x:v>61091000</x:v>
      </x:c>
      <x:c r="D364" s="2" t="str">
        <x:v>India</x:v>
      </x:c>
      <x:c r="E364" s="2" t="n">
        <x:v>7699201</x:v>
      </x:c>
      <x:c r="F364" s="2" t="n">
        <x:v>513134</x:v>
      </x:c>
      <x:c r="G364" s="2" t="str">
        <x:v>WITHIN_BAND</x:v>
      </x:c>
      <x:c r="H364" s="2" t="n">
        <x:v>1</x:v>
      </x:c>
      <x:c r="I364" s="2"/>
      <x:c r="J364" s="2"/>
      <x:c r="K364" s="2"/>
      <x:c r="L364" s="2" t="n">
        <x:f>SUM(IF('Monthly_Data'!A20=A364,IF(ISBLANK('Monthly_Data'!A20)=ISBLANK(A364),0,1),1),IF('Monthly_Data'!B20=B364,IF(ISBLANK('Monthly_Data'!B20)=ISBLANK(B364),0,1),1),IF('Monthly_Data'!C20=C364,IF(ISBLANK('Monthly_Data'!C20)=ISBLANK(C364),0,1),1),IF('Monthly_Data'!D20=D364,IF(ISBLANK('Monthly_Data'!D20)=ISBLANK(D364),0,1),1),IF('Monthly_Data'!E20=E364,IF(ISBLANK('Monthly_Data'!E20)=ISBLANK(E364),0,1),1),IF('Monthly_Data'!F20=F364,IF(ISBLANK('Monthly_Data'!F20)=ISBLANK(F364),0,1),1),IF('Monthly_Data'!G20=G364,IF(ISBLANK('Monthly_Data'!G20)=ISBLANK(G364),0,1),1),IF('Monthly_Data'!H20=H364,IF(ISBLANK('Monthly_Data'!H20)=ISBLANK(H364),0,1),1))</x:f>
        <x:v>0</x:v>
      </x:c>
    </x:row>
    <x:row r="365" ht="23" customHeight="1">
      <x:c r="A365" s="2" t="str">
        <x:v>61091000_MA_202502_IMPORT</x:v>
      </x:c>
      <x:c r="B365" s="2" t="n">
        <x:v>202502</x:v>
      </x:c>
      <x:c r="C365" s="2" t="str">
        <x:v>61091000</x:v>
      </x:c>
      <x:c r="D365" s="2" t="str">
        <x:v>Morocco</x:v>
      </x:c>
      <x:c r="E365" s="2" t="n">
        <x:v>1166399</x:v>
      </x:c>
      <x:c r="F365" s="2" t="n">
        <x:v>130928</x:v>
      </x:c>
      <x:c r="G365" s="2" t="str">
        <x:v>WITHIN_BAND</x:v>
      </x:c>
      <x:c r="H365" s="2" t="n">
        <x:v>1</x:v>
      </x:c>
      <x:c r="I365" s="2"/>
      <x:c r="J365" s="2"/>
      <x:c r="K365" s="2"/>
      <x:c r="L365" s="2" t="n">
        <x:f>SUM(IF('Monthly_Data'!A21=A365,IF(ISBLANK('Monthly_Data'!A21)=ISBLANK(A365),0,1),1),IF('Monthly_Data'!B21=B365,IF(ISBLANK('Monthly_Data'!B21)=ISBLANK(B365),0,1),1),IF('Monthly_Data'!C21=C365,IF(ISBLANK('Monthly_Data'!C21)=ISBLANK(C365),0,1),1),IF('Monthly_Data'!D21=D365,IF(ISBLANK('Monthly_Data'!D21)=ISBLANK(D365),0,1),1),IF('Monthly_Data'!E21=E365,IF(ISBLANK('Monthly_Data'!E21)=ISBLANK(E365),0,1),1),IF('Monthly_Data'!F21=F365,IF(ISBLANK('Monthly_Data'!F21)=ISBLANK(F365),0,1),1),IF('Monthly_Data'!G21=G365,IF(ISBLANK('Monthly_Data'!G21)=ISBLANK(G365),0,1),1),IF('Monthly_Data'!H21=H365,IF(ISBLANK('Monthly_Data'!H21)=ISBLANK(H365),0,1),1))</x:f>
        <x:v>0</x:v>
      </x:c>
    </x:row>
    <x:row r="366" ht="23" customHeight="1">
      <x:c r="A366" s="2" t="str">
        <x:v>61091000_MM_202502_IMPORT</x:v>
      </x:c>
      <x:c r="B366" s="2" t="n">
        <x:v>202502</x:v>
      </x:c>
      <x:c r="C366" s="2" t="str">
        <x:v>61091000</x:v>
      </x:c>
      <x:c r="D366" s="2" t="str">
        <x:v>Myanmar</x:v>
      </x:c>
      <x:c r="E366" s="2" t="n">
        <x:v>40891</x:v>
      </x:c>
      <x:c r="F366" s="2" t="n">
        <x:v>2547</x:v>
      </x:c>
      <x:c r="G366" s="2" t="str">
        <x:v>WITHIN_BAND</x:v>
      </x:c>
      <x:c r="H366" s="2" t="n">
        <x:v>1</x:v>
      </x:c>
      <x:c r="I366" s="2"/>
      <x:c r="J366" s="2"/>
      <x:c r="K366" s="2"/>
      <x:c r="L366" s="2" t="n">
        <x:f>SUM(IF('Monthly_Data'!A22=A366,IF(ISBLANK('Monthly_Data'!A22)=ISBLANK(A366),0,1),1),IF('Monthly_Data'!B22=B366,IF(ISBLANK('Monthly_Data'!B22)=ISBLANK(B366),0,1),1),IF('Monthly_Data'!C22=C366,IF(ISBLANK('Monthly_Data'!C22)=ISBLANK(C366),0,1),1),IF('Monthly_Data'!D22=D366,IF(ISBLANK('Monthly_Data'!D22)=ISBLANK(D366),0,1),1),IF('Monthly_Data'!E22=E366,IF(ISBLANK('Monthly_Data'!E22)=ISBLANK(E366),0,1),1),IF('Monthly_Data'!F22=F366,IF(ISBLANK('Monthly_Data'!F22)=ISBLANK(F366),0,1),1),IF('Monthly_Data'!G22=G366,IF(ISBLANK('Monthly_Data'!G22)=ISBLANK(G366),0,1),1),IF('Monthly_Data'!H22=H366,IF(ISBLANK('Monthly_Data'!H22)=ISBLANK(H366),0,1),1))</x:f>
        <x:v>0</x:v>
      </x:c>
    </x:row>
    <x:row r="367" ht="23" customHeight="1">
      <x:c r="A367" s="2" t="str">
        <x:v>61091000_PK_202502_IMPORT</x:v>
      </x:c>
      <x:c r="B367" s="2" t="n">
        <x:v>202502</x:v>
      </x:c>
      <x:c r="C367" s="2" t="str">
        <x:v>61091000</x:v>
      </x:c>
      <x:c r="D367" s="2" t="str">
        <x:v>Pakistan</x:v>
      </x:c>
      <x:c r="E367" s="2" t="n">
        <x:v>4282086</x:v>
      </x:c>
      <x:c r="F367" s="2" t="n">
        <x:v>368691</x:v>
      </x:c>
      <x:c r="G367" s="2" t="str">
        <x:v>WITHIN_BAND</x:v>
      </x:c>
      <x:c r="H367" s="2" t="n">
        <x:v>1</x:v>
      </x:c>
      <x:c r="I367" s="2"/>
      <x:c r="J367" s="2"/>
      <x:c r="K367" s="2"/>
      <x:c r="L367" s="2" t="n">
        <x:f>SUM(IF('Monthly_Data'!A23=A367,IF(ISBLANK('Monthly_Data'!A23)=ISBLANK(A367),0,1),1),IF('Monthly_Data'!B23=B367,IF(ISBLANK('Monthly_Data'!B23)=ISBLANK(B367),0,1),1),IF('Monthly_Data'!C23=C367,IF(ISBLANK('Monthly_Data'!C23)=ISBLANK(C367),0,1),1),IF('Monthly_Data'!D23=D367,IF(ISBLANK('Monthly_Data'!D23)=ISBLANK(D367),0,1),1),IF('Monthly_Data'!E23=E367,IF(ISBLANK('Monthly_Data'!E23)=ISBLANK(E367),0,1),1),IF('Monthly_Data'!F23=F367,IF(ISBLANK('Monthly_Data'!F23)=ISBLANK(F367),0,1),1),IF('Monthly_Data'!G23=G367,IF(ISBLANK('Monthly_Data'!G23)=ISBLANK(G367),0,1),1),IF('Monthly_Data'!H23=H367,IF(ISBLANK('Monthly_Data'!H23)=ISBLANK(H367),0,1),1))</x:f>
        <x:v>0</x:v>
      </x:c>
    </x:row>
    <x:row r="368" ht="23" customHeight="1">
      <x:c r="A368" s="2" t="str">
        <x:v>61091000_LK_202502_IMPORT</x:v>
      </x:c>
      <x:c r="B368" s="2" t="n">
        <x:v>202502</x:v>
      </x:c>
      <x:c r="C368" s="2" t="str">
        <x:v>61091000</x:v>
      </x:c>
      <x:c r="D368" s="2" t="str">
        <x:v>Sri Lanka</x:v>
      </x:c>
      <x:c r="E368" s="2" t="n">
        <x:v>2435125</x:v>
      </x:c>
      <x:c r="F368" s="2" t="n">
        <x:v>207897</x:v>
      </x:c>
      <x:c r="G368" s="2" t="str">
        <x:v>WITHIN_BAND</x:v>
      </x:c>
      <x:c r="H368" s="2" t="n">
        <x:v>1</x:v>
      </x:c>
      <x:c r="I368" s="2"/>
      <x:c r="J368" s="2"/>
      <x:c r="K368" s="2"/>
      <x:c r="L368" s="2" t="n">
        <x:f>SUM(IF('Monthly_Data'!A24=A368,IF(ISBLANK('Monthly_Data'!A24)=ISBLANK(A368),0,1),1),IF('Monthly_Data'!B24=B368,IF(ISBLANK('Monthly_Data'!B24)=ISBLANK(B368),0,1),1),IF('Monthly_Data'!C24=C368,IF(ISBLANK('Monthly_Data'!C24)=ISBLANK(C368),0,1),1),IF('Monthly_Data'!D24=D368,IF(ISBLANK('Monthly_Data'!D24)=ISBLANK(D368),0,1),1),IF('Monthly_Data'!E24=E368,IF(ISBLANK('Monthly_Data'!E24)=ISBLANK(E368),0,1),1),IF('Monthly_Data'!F24=F368,IF(ISBLANK('Monthly_Data'!F24)=ISBLANK(F368),0,1),1),IF('Monthly_Data'!G24=G368,IF(ISBLANK('Monthly_Data'!G24)=ISBLANK(G368),0,1),1),IF('Monthly_Data'!H24=H368,IF(ISBLANK('Monthly_Data'!H24)=ISBLANK(H368),0,1),1))</x:f>
        <x:v>0</x:v>
      </x:c>
    </x:row>
    <x:row r="369" ht="23" customHeight="1">
      <x:c r="A369" s="2" t="str">
        <x:v>61091000_TR_202502_IMPORT</x:v>
      </x:c>
      <x:c r="B369" s="2" t="n">
        <x:v>202502</x:v>
      </x:c>
      <x:c r="C369" s="2" t="str">
        <x:v>61091000</x:v>
      </x:c>
      <x:c r="D369" s="2" t="str">
        <x:v>Turkey</x:v>
      </x:c>
      <x:c r="E369" s="2" t="n">
        <x:v>8168522</x:v>
      </x:c>
      <x:c r="F369" s="2" t="n">
        <x:v>358435</x:v>
      </x:c>
      <x:c r="G369" s="2" t="str">
        <x:v>WITHIN_BAND</x:v>
      </x:c>
      <x:c r="H369" s="2" t="n">
        <x:v>1</x:v>
      </x:c>
      <x:c r="I369" s="2"/>
      <x:c r="J369" s="2"/>
      <x:c r="K369" s="2"/>
      <x:c r="L369" s="2" t="n">
        <x:f>SUM(IF('Monthly_Data'!A25=A369,IF(ISBLANK('Monthly_Data'!A25)=ISBLANK(A369),0,1),1),IF('Monthly_Data'!B25=B369,IF(ISBLANK('Monthly_Data'!B25)=ISBLANK(B369),0,1),1),IF('Monthly_Data'!C25=C369,IF(ISBLANK('Monthly_Data'!C25)=ISBLANK(C369),0,1),1),IF('Monthly_Data'!D25=D369,IF(ISBLANK('Monthly_Data'!D25)=ISBLANK(D369),0,1),1),IF('Monthly_Data'!E25=E369,IF(ISBLANK('Monthly_Data'!E25)=ISBLANK(E369),0,1),1),IF('Monthly_Data'!F25=F369,IF(ISBLANK('Monthly_Data'!F25)=ISBLANK(F369),0,1),1),IF('Monthly_Data'!G25=G369,IF(ISBLANK('Monthly_Data'!G25)=ISBLANK(G369),0,1),1),IF('Monthly_Data'!H25=H369,IF(ISBLANK('Monthly_Data'!H25)=ISBLANK(H369),0,1),1))</x:f>
        <x:v>0</x:v>
      </x:c>
    </x:row>
    <x:row r="370" ht="23" customHeight="1">
      <x:c r="A370" s="2" t="str">
        <x:v>61091000_VN_202502_IMPORT</x:v>
      </x:c>
      <x:c r="B370" s="2" t="n">
        <x:v>202502</x:v>
      </x:c>
      <x:c r="C370" s="2" t="str">
        <x:v>61091000</x:v>
      </x:c>
      <x:c r="D370" s="2" t="str">
        <x:v>Vietnam</x:v>
      </x:c>
      <x:c r="E370" s="2" t="n">
        <x:v>1368679</x:v>
      </x:c>
      <x:c r="F370" s="2" t="n">
        <x:v>56859</x:v>
      </x:c>
      <x:c r="G370" s="2" t="str">
        <x:v>WITHIN_BAND</x:v>
      </x:c>
      <x:c r="H370" s="2" t="n">
        <x:v>1</x:v>
      </x:c>
      <x:c r="I370" s="2"/>
      <x:c r="J370" s="2"/>
      <x:c r="K370" s="2"/>
      <x:c r="L370" s="2" t="n">
        <x:f>SUM(IF('Monthly_Data'!A26=A370,IF(ISBLANK('Monthly_Data'!A26)=ISBLANK(A370),0,1),1),IF('Monthly_Data'!B26=B370,IF(ISBLANK('Monthly_Data'!B26)=ISBLANK(B370),0,1),1),IF('Monthly_Data'!C26=C370,IF(ISBLANK('Monthly_Data'!C26)=ISBLANK(C370),0,1),1),IF('Monthly_Data'!D26=D370,IF(ISBLANK('Monthly_Data'!D26)=ISBLANK(D370),0,1),1),IF('Monthly_Data'!E26=E370,IF(ISBLANK('Monthly_Data'!E26)=ISBLANK(E370),0,1),1),IF('Monthly_Data'!F26=F370,IF(ISBLANK('Monthly_Data'!F26)=ISBLANK(F370),0,1),1),IF('Monthly_Data'!G26=G370,IF(ISBLANK('Monthly_Data'!G26)=ISBLANK(G370),0,1),1),IF('Monthly_Data'!H26=H370,IF(ISBLANK('Monthly_Data'!H26)=ISBLANK(H370),0,1),1))</x:f>
        <x:v>0</x:v>
      </x:c>
    </x:row>
    <x:row r="371" ht="23" customHeight="1">
      <x:c r="A371" s="2" t="str">
        <x:v>61091000_WORLD_202502_IMPORT</x:v>
      </x:c>
      <x:c r="B371" s="2" t="n">
        <x:v>202502</x:v>
      </x:c>
      <x:c r="C371" s="2" t="str">
        <x:v>61091000</x:v>
      </x:c>
      <x:c r="D371" s="2" t="str">
        <x:v>World</x:v>
      </x:c>
      <x:c r="E371" s="2" t="n">
        <x:v>91782684</x:v>
      </x:c>
      <x:c r="F371" s="2" t="n">
        <x:v>6054669</x:v>
      </x:c>
      <x:c r="G371" s="2" t="str">
        <x:v>WITHIN_BAND</x:v>
      </x:c>
      <x:c r="H371" s="2" t="n">
        <x:v>1</x:v>
      </x:c>
      <x:c r="I371" s="2"/>
      <x:c r="J371" s="2"/>
      <x:c r="K371" s="2"/>
      <x:c r="L371" s="2" t="n">
        <x:f>SUM(IF('Monthly_Data'!A27=A371,IF(ISBLANK('Monthly_Data'!A27)=ISBLANK(A371),0,1),1),IF('Monthly_Data'!B27=B371,IF(ISBLANK('Monthly_Data'!B27)=ISBLANK(B371),0,1),1),IF('Monthly_Data'!C27=C371,IF(ISBLANK('Monthly_Data'!C27)=ISBLANK(C371),0,1),1),IF('Monthly_Data'!D27=D371,IF(ISBLANK('Monthly_Data'!D27)=ISBLANK(D371),0,1),1),IF('Monthly_Data'!E27=E371,IF(ISBLANK('Monthly_Data'!E27)=ISBLANK(E371),0,1),1),IF('Monthly_Data'!F27=F371,IF(ISBLANK('Monthly_Data'!F27)=ISBLANK(F371),0,1),1),IF('Monthly_Data'!G27=G371,IF(ISBLANK('Monthly_Data'!G27)=ISBLANK(G371),0,1),1),IF('Monthly_Data'!H27=H371,IF(ISBLANK('Monthly_Data'!H27)=ISBLANK(H371),0,1),1))</x:f>
        <x:v>0</x:v>
      </x:c>
    </x:row>
    <x:row r="372" ht="23" customHeight="1">
      <x:c r="A372" s="2" t="str">
        <x:v>61091000_BD_202503_IMPORT</x:v>
      </x:c>
      <x:c r="B372" s="2" t="n">
        <x:v>202503</x:v>
      </x:c>
      <x:c r="C372" s="2" t="str">
        <x:v>61091000</x:v>
      </x:c>
      <x:c r="D372" s="2" t="str">
        <x:v>Bangladesh</x:v>
      </x:c>
      <x:c r="E372" s="2" t="n">
        <x:v>49334359</x:v>
      </x:c>
      <x:c r="F372" s="2" t="n">
        <x:v>4591029</x:v>
      </x:c>
      <x:c r="G372" s="2" t="str">
        <x:v>WITHIN_BAND</x:v>
      </x:c>
      <x:c r="H372" s="2" t="n">
        <x:v>1</x:v>
      </x:c>
      <x:c r="I372" s="2"/>
      <x:c r="J372" s="2"/>
      <x:c r="K372" s="2"/>
      <x:c r="L372" s="2" t="n">
        <x:f>SUM(IF('Monthly_Data'!A28=A372,IF(ISBLANK('Monthly_Data'!A28)=ISBLANK(A372),0,1),1),IF('Monthly_Data'!B28=B372,IF(ISBLANK('Monthly_Data'!B28)=ISBLANK(B372),0,1),1),IF('Monthly_Data'!C28=C372,IF(ISBLANK('Monthly_Data'!C28)=ISBLANK(C372),0,1),1),IF('Monthly_Data'!D28=D372,IF(ISBLANK('Monthly_Data'!D28)=ISBLANK(D372),0,1),1),IF('Monthly_Data'!E28=E372,IF(ISBLANK('Monthly_Data'!E28)=ISBLANK(E372),0,1),1),IF('Monthly_Data'!F28=F372,IF(ISBLANK('Monthly_Data'!F28)=ISBLANK(F372),0,1),1),IF('Monthly_Data'!G28=G372,IF(ISBLANK('Monthly_Data'!G28)=ISBLANK(G372),0,1),1),IF('Monthly_Data'!H28=H372,IF(ISBLANK('Monthly_Data'!H28)=ISBLANK(H372),0,1),1))</x:f>
        <x:v>0</x:v>
      </x:c>
    </x:row>
    <x:row r="373" ht="23" customHeight="1">
      <x:c r="A373" s="2" t="str">
        <x:v>61091000_KH_202503_IMPORT</x:v>
      </x:c>
      <x:c r="B373" s="2" t="n">
        <x:v>202503</x:v>
      </x:c>
      <x:c r="C373" s="2" t="str">
        <x:v>61091000</x:v>
      </x:c>
      <x:c r="D373" s="2" t="str">
        <x:v>Cambodia</x:v>
      </x:c>
      <x:c r="E373" s="2" t="n">
        <x:v>1023714</x:v>
      </x:c>
      <x:c r="F373" s="2" t="n">
        <x:v>48441</x:v>
      </x:c>
      <x:c r="G373" s="2" t="str">
        <x:v>WITHIN_BAND</x:v>
      </x:c>
      <x:c r="H373" s="2" t="n">
        <x:v>1</x:v>
      </x:c>
      <x:c r="I373" s="2"/>
      <x:c r="J373" s="2"/>
      <x:c r="K373" s="2"/>
      <x:c r="L373" s="2" t="n">
        <x:f>SUM(IF('Monthly_Data'!A29=A373,IF(ISBLANK('Monthly_Data'!A29)=ISBLANK(A373),0,1),1),IF('Monthly_Data'!B29=B373,IF(ISBLANK('Monthly_Data'!B29)=ISBLANK(B373),0,1),1),IF('Monthly_Data'!C29=C373,IF(ISBLANK('Monthly_Data'!C29)=ISBLANK(C373),0,1),1),IF('Monthly_Data'!D29=D373,IF(ISBLANK('Monthly_Data'!D29)=ISBLANK(D373),0,1),1),IF('Monthly_Data'!E29=E373,IF(ISBLANK('Monthly_Data'!E29)=ISBLANK(E373),0,1),1),IF('Monthly_Data'!F29=F373,IF(ISBLANK('Monthly_Data'!F29)=ISBLANK(F373),0,1),1),IF('Monthly_Data'!G29=G373,IF(ISBLANK('Monthly_Data'!G29)=ISBLANK(G373),0,1),1),IF('Monthly_Data'!H29=H373,IF(ISBLANK('Monthly_Data'!H29)=ISBLANK(H373),0,1),1))</x:f>
        <x:v>0</x:v>
      </x:c>
    </x:row>
    <x:row r="374" ht="23" customHeight="1">
      <x:c r="A374" s="2" t="str">
        <x:v>61091000_CN_202503_IMPORT</x:v>
      </x:c>
      <x:c r="B374" s="2" t="n">
        <x:v>202503</x:v>
      </x:c>
      <x:c r="C374" s="2" t="str">
        <x:v>61091000</x:v>
      </x:c>
      <x:c r="D374" s="2" t="str">
        <x:v>China</x:v>
      </x:c>
      <x:c r="E374" s="2" t="n">
        <x:v>5519660</x:v>
      </x:c>
      <x:c r="F374" s="2" t="n">
        <x:v>291992</x:v>
      </x:c>
      <x:c r="G374" s="2" t="str">
        <x:v>WITHIN_BAND</x:v>
      </x:c>
      <x:c r="H374" s="2" t="n">
        <x:v>1</x:v>
      </x:c>
      <x:c r="I374" s="2"/>
      <x:c r="J374" s="2"/>
      <x:c r="K374" s="2"/>
      <x:c r="L374" s="2" t="n">
        <x:f>SUM(IF('Monthly_Data'!A30=A374,IF(ISBLANK('Monthly_Data'!A30)=ISBLANK(A374),0,1),1),IF('Monthly_Data'!B30=B374,IF(ISBLANK('Monthly_Data'!B30)=ISBLANK(B374),0,1),1),IF('Monthly_Data'!C30=C374,IF(ISBLANK('Monthly_Data'!C30)=ISBLANK(C374),0,1),1),IF('Monthly_Data'!D30=D374,IF(ISBLANK('Monthly_Data'!D30)=ISBLANK(D374),0,1),1),IF('Monthly_Data'!E30=E374,IF(ISBLANK('Monthly_Data'!E30)=ISBLANK(E374),0,1),1),IF('Monthly_Data'!F30=F374,IF(ISBLANK('Monthly_Data'!F30)=ISBLANK(F374),0,1),1),IF('Monthly_Data'!G30=G374,IF(ISBLANK('Monthly_Data'!G30)=ISBLANK(G374),0,1),1),IF('Monthly_Data'!H30=H374,IF(ISBLANK('Monthly_Data'!H30)=ISBLANK(H374),0,1),1))</x:f>
        <x:v>0</x:v>
      </x:c>
    </x:row>
    <x:row r="375" ht="23" customHeight="1">
      <x:c r="A375" s="2" t="str">
        <x:v>61091000_IN_202503_IMPORT</x:v>
      </x:c>
      <x:c r="B375" s="2" t="n">
        <x:v>202503</x:v>
      </x:c>
      <x:c r="C375" s="2" t="str">
        <x:v>61091000</x:v>
      </x:c>
      <x:c r="D375" s="2" t="str">
        <x:v>India</x:v>
      </x:c>
      <x:c r="E375" s="2" t="n">
        <x:v>10865112</x:v>
      </x:c>
      <x:c r="F375" s="2" t="n">
        <x:v>799821</x:v>
      </x:c>
      <x:c r="G375" s="2" t="str">
        <x:v>WITHIN_BAND</x:v>
      </x:c>
      <x:c r="H375" s="2" t="n">
        <x:v>1</x:v>
      </x:c>
      <x:c r="I375" s="2"/>
      <x:c r="J375" s="2"/>
      <x:c r="K375" s="2"/>
      <x:c r="L375" s="2" t="n">
        <x:f>SUM(IF('Monthly_Data'!A31=A375,IF(ISBLANK('Monthly_Data'!A31)=ISBLANK(A375),0,1),1),IF('Monthly_Data'!B31=B375,IF(ISBLANK('Monthly_Data'!B31)=ISBLANK(B375),0,1),1),IF('Monthly_Data'!C31=C375,IF(ISBLANK('Monthly_Data'!C31)=ISBLANK(C375),0,1),1),IF('Monthly_Data'!D31=D375,IF(ISBLANK('Monthly_Data'!D31)=ISBLANK(D375),0,1),1),IF('Monthly_Data'!E31=E375,IF(ISBLANK('Monthly_Data'!E31)=ISBLANK(E375),0,1),1),IF('Monthly_Data'!F31=F375,IF(ISBLANK('Monthly_Data'!F31)=ISBLANK(F375),0,1),1),IF('Monthly_Data'!G31=G375,IF(ISBLANK('Monthly_Data'!G31)=ISBLANK(G375),0,1),1),IF('Monthly_Data'!H31=H375,IF(ISBLANK('Monthly_Data'!H31)=ISBLANK(H375),0,1),1))</x:f>
        <x:v>0</x:v>
      </x:c>
    </x:row>
    <x:row r="376" ht="23" customHeight="1">
      <x:c r="A376" s="2" t="str">
        <x:v>61091000_MA_202503_IMPORT</x:v>
      </x:c>
      <x:c r="B376" s="2" t="n">
        <x:v>202503</x:v>
      </x:c>
      <x:c r="C376" s="2" t="str">
        <x:v>61091000</x:v>
      </x:c>
      <x:c r="D376" s="2" t="str">
        <x:v>Morocco</x:v>
      </x:c>
      <x:c r="E376" s="2" t="n">
        <x:v>1475455</x:v>
      </x:c>
      <x:c r="F376" s="2" t="n">
        <x:v>158709</x:v>
      </x:c>
      <x:c r="G376" s="2" t="str">
        <x:v>WITHIN_BAND</x:v>
      </x:c>
      <x:c r="H376" s="2" t="n">
        <x:v>1</x:v>
      </x:c>
      <x:c r="I376" s="2"/>
      <x:c r="J376" s="2"/>
      <x:c r="K376" s="2"/>
      <x:c r="L376" s="2" t="n">
        <x:f>SUM(IF('Monthly_Data'!A32=A376,IF(ISBLANK('Monthly_Data'!A32)=ISBLANK(A376),0,1),1),IF('Monthly_Data'!B32=B376,IF(ISBLANK('Monthly_Data'!B32)=ISBLANK(B376),0,1),1),IF('Monthly_Data'!C32=C376,IF(ISBLANK('Monthly_Data'!C32)=ISBLANK(C376),0,1),1),IF('Monthly_Data'!D32=D376,IF(ISBLANK('Monthly_Data'!D32)=ISBLANK(D376),0,1),1),IF('Monthly_Data'!E32=E376,IF(ISBLANK('Monthly_Data'!E32)=ISBLANK(E376),0,1),1),IF('Monthly_Data'!F32=F376,IF(ISBLANK('Monthly_Data'!F32)=ISBLANK(F376),0,1),1),IF('Monthly_Data'!G32=G376,IF(ISBLANK('Monthly_Data'!G32)=ISBLANK(G376),0,1),1),IF('Monthly_Data'!H32=H376,IF(ISBLANK('Monthly_Data'!H32)=ISBLANK(H376),0,1),1))</x:f>
        <x:v>0</x:v>
      </x:c>
    </x:row>
    <x:row r="377" ht="23" customHeight="1">
      <x:c r="A377" s="2" t="str">
        <x:v>61091000_MM_202503_IMPORT</x:v>
      </x:c>
      <x:c r="B377" s="2" t="n">
        <x:v>202503</x:v>
      </x:c>
      <x:c r="C377" s="2" t="str">
        <x:v>61091000</x:v>
      </x:c>
      <x:c r="D377" s="2" t="str">
        <x:v>Myanmar</x:v>
      </x:c>
      <x:c r="E377" s="2" t="n">
        <x:v>26730</x:v>
      </x:c>
      <x:c r="F377" s="2" t="n">
        <x:v>1133</x:v>
      </x:c>
      <x:c r="G377" s="2" t="str">
        <x:v>WITHIN_BAND</x:v>
      </x:c>
      <x:c r="H377" s="2" t="n">
        <x:v>1</x:v>
      </x:c>
      <x:c r="I377" s="2"/>
      <x:c r="J377" s="2"/>
      <x:c r="K377" s="2"/>
      <x:c r="L377" s="2" t="n">
        <x:f>SUM(IF('Monthly_Data'!A33=A377,IF(ISBLANK('Monthly_Data'!A33)=ISBLANK(A377),0,1),1),IF('Monthly_Data'!B33=B377,IF(ISBLANK('Monthly_Data'!B33)=ISBLANK(B377),0,1),1),IF('Monthly_Data'!C33=C377,IF(ISBLANK('Monthly_Data'!C33)=ISBLANK(C377),0,1),1),IF('Monthly_Data'!D33=D377,IF(ISBLANK('Monthly_Data'!D33)=ISBLANK(D377),0,1),1),IF('Monthly_Data'!E33=E377,IF(ISBLANK('Monthly_Data'!E33)=ISBLANK(E377),0,1),1),IF('Monthly_Data'!F33=F377,IF(ISBLANK('Monthly_Data'!F33)=ISBLANK(F377),0,1),1),IF('Monthly_Data'!G33=G377,IF(ISBLANK('Monthly_Data'!G33)=ISBLANK(G377),0,1),1),IF('Monthly_Data'!H33=H377,IF(ISBLANK('Monthly_Data'!H33)=ISBLANK(H377),0,1),1))</x:f>
        <x:v>0</x:v>
      </x:c>
    </x:row>
    <x:row r="378" ht="23" customHeight="1">
      <x:c r="A378" s="2" t="str">
        <x:v>61091000_PK_202503_IMPORT</x:v>
      </x:c>
      <x:c r="B378" s="2" t="n">
        <x:v>202503</x:v>
      </x:c>
      <x:c r="C378" s="2" t="str">
        <x:v>61091000</x:v>
      </x:c>
      <x:c r="D378" s="2" t="str">
        <x:v>Pakistan</x:v>
      </x:c>
      <x:c r="E378" s="2" t="n">
        <x:v>6243490</x:v>
      </x:c>
      <x:c r="F378" s="2" t="n">
        <x:v>490700</x:v>
      </x:c>
      <x:c r="G378" s="2" t="str">
        <x:v>WITHIN_BAND</x:v>
      </x:c>
      <x:c r="H378" s="2" t="n">
        <x:v>1</x:v>
      </x:c>
      <x:c r="I378" s="2"/>
      <x:c r="J378" s="2"/>
      <x:c r="K378" s="2"/>
      <x:c r="L378" s="2" t="n">
        <x:f>SUM(IF('Monthly_Data'!A34=A378,IF(ISBLANK('Monthly_Data'!A34)=ISBLANK(A378),0,1),1),IF('Monthly_Data'!B34=B378,IF(ISBLANK('Monthly_Data'!B34)=ISBLANK(B378),0,1),1),IF('Monthly_Data'!C34=C378,IF(ISBLANK('Monthly_Data'!C34)=ISBLANK(C378),0,1),1),IF('Monthly_Data'!D34=D378,IF(ISBLANK('Monthly_Data'!D34)=ISBLANK(D378),0,1),1),IF('Monthly_Data'!E34=E378,IF(ISBLANK('Monthly_Data'!E34)=ISBLANK(E378),0,1),1),IF('Monthly_Data'!F34=F378,IF(ISBLANK('Monthly_Data'!F34)=ISBLANK(F378),0,1),1),IF('Monthly_Data'!G34=G378,IF(ISBLANK('Monthly_Data'!G34)=ISBLANK(G378),0,1),1),IF('Monthly_Data'!H34=H378,IF(ISBLANK('Monthly_Data'!H34)=ISBLANK(H378),0,1),1))</x:f>
        <x:v>0</x:v>
      </x:c>
    </x:row>
    <x:row r="379" ht="23" customHeight="1">
      <x:c r="A379" s="2" t="str">
        <x:v>61091000_LK_202503_IMPORT</x:v>
      </x:c>
      <x:c r="B379" s="2" t="n">
        <x:v>202503</x:v>
      </x:c>
      <x:c r="C379" s="2" t="str">
        <x:v>61091000</x:v>
      </x:c>
      <x:c r="D379" s="2" t="str">
        <x:v>Sri Lanka</x:v>
      </x:c>
      <x:c r="E379" s="2" t="n">
        <x:v>2254033</x:v>
      </x:c>
      <x:c r="F379" s="2" t="n">
        <x:v>192677</x:v>
      </x:c>
      <x:c r="G379" s="2" t="str">
        <x:v>WITHIN_BAND</x:v>
      </x:c>
      <x:c r="H379" s="2" t="n">
        <x:v>1</x:v>
      </x:c>
      <x:c r="I379" s="2"/>
      <x:c r="J379" s="2"/>
      <x:c r="K379" s="2"/>
      <x:c r="L379" s="2" t="n">
        <x:f>SUM(IF('Monthly_Data'!A35=A379,IF(ISBLANK('Monthly_Data'!A35)=ISBLANK(A379),0,1),1),IF('Monthly_Data'!B35=B379,IF(ISBLANK('Monthly_Data'!B35)=ISBLANK(B379),0,1),1),IF('Monthly_Data'!C35=C379,IF(ISBLANK('Monthly_Data'!C35)=ISBLANK(C379),0,1),1),IF('Monthly_Data'!D35=D379,IF(ISBLANK('Monthly_Data'!D35)=ISBLANK(D379),0,1),1),IF('Monthly_Data'!E35=E379,IF(ISBLANK('Monthly_Data'!E35)=ISBLANK(E379),0,1),1),IF('Monthly_Data'!F35=F379,IF(ISBLANK('Monthly_Data'!F35)=ISBLANK(F379),0,1),1),IF('Monthly_Data'!G35=G379,IF(ISBLANK('Monthly_Data'!G35)=ISBLANK(G379),0,1),1),IF('Monthly_Data'!H35=H379,IF(ISBLANK('Monthly_Data'!H35)=ISBLANK(H379),0,1),1))</x:f>
        <x:v>0</x:v>
      </x:c>
    </x:row>
    <x:row r="380" ht="23" customHeight="1">
      <x:c r="A380" s="2" t="str">
        <x:v>61091000_TR_202503_IMPORT</x:v>
      </x:c>
      <x:c r="B380" s="2" t="n">
        <x:v>202503</x:v>
      </x:c>
      <x:c r="C380" s="2" t="str">
        <x:v>61091000</x:v>
      </x:c>
      <x:c r="D380" s="2" t="str">
        <x:v>Turkey</x:v>
      </x:c>
      <x:c r="E380" s="2" t="n">
        <x:v>9693391</x:v>
      </x:c>
      <x:c r="F380" s="2" t="n">
        <x:v>425225</x:v>
      </x:c>
      <x:c r="G380" s="2" t="str">
        <x:v>WITHIN_BAND</x:v>
      </x:c>
      <x:c r="H380" s="2" t="n">
        <x:v>1</x:v>
      </x:c>
      <x:c r="I380" s="2"/>
      <x:c r="J380" s="2"/>
      <x:c r="K380" s="2"/>
      <x:c r="L380" s="2" t="n">
        <x:f>SUM(IF('Monthly_Data'!A36=A380,IF(ISBLANK('Monthly_Data'!A36)=ISBLANK(A380),0,1),1),IF('Monthly_Data'!B36=B380,IF(ISBLANK('Monthly_Data'!B36)=ISBLANK(B380),0,1),1),IF('Monthly_Data'!C36=C380,IF(ISBLANK('Monthly_Data'!C36)=ISBLANK(C380),0,1),1),IF('Monthly_Data'!D36=D380,IF(ISBLANK('Monthly_Data'!D36)=ISBLANK(D380),0,1),1),IF('Monthly_Data'!E36=E380,IF(ISBLANK('Monthly_Data'!E36)=ISBLANK(E380),0,1),1),IF('Monthly_Data'!F36=F380,IF(ISBLANK('Monthly_Data'!F36)=ISBLANK(F380),0,1),1),IF('Monthly_Data'!G36=G380,IF(ISBLANK('Monthly_Data'!G36)=ISBLANK(G380),0,1),1),IF('Monthly_Data'!H36=H380,IF(ISBLANK('Monthly_Data'!H36)=ISBLANK(H380),0,1),1))</x:f>
        <x:v>0</x:v>
      </x:c>
    </x:row>
    <x:row r="381" ht="23" customHeight="1">
      <x:c r="A381" s="2" t="str">
        <x:v>61091000_VN_202503_IMPORT</x:v>
      </x:c>
      <x:c r="B381" s="2" t="n">
        <x:v>202503</x:v>
      </x:c>
      <x:c r="C381" s="2" t="str">
        <x:v>61091000</x:v>
      </x:c>
      <x:c r="D381" s="2" t="str">
        <x:v>Vietnam</x:v>
      </x:c>
      <x:c r="E381" s="2" t="n">
        <x:v>2172591</x:v>
      </x:c>
      <x:c r="F381" s="2" t="n">
        <x:v>101764</x:v>
      </x:c>
      <x:c r="G381" s="2" t="str">
        <x:v>WITHIN_BAND</x:v>
      </x:c>
      <x:c r="H381" s="2" t="n">
        <x:v>1</x:v>
      </x:c>
      <x:c r="I381" s="2"/>
      <x:c r="J381" s="2"/>
      <x:c r="K381" s="2"/>
      <x:c r="L381" s="2" t="n">
        <x:f>SUM(IF('Monthly_Data'!A37=A381,IF(ISBLANK('Monthly_Data'!A37)=ISBLANK(A381),0,1),1),IF('Monthly_Data'!B37=B381,IF(ISBLANK('Monthly_Data'!B37)=ISBLANK(B381),0,1),1),IF('Monthly_Data'!C37=C381,IF(ISBLANK('Monthly_Data'!C37)=ISBLANK(C381),0,1),1),IF('Monthly_Data'!D37=D381,IF(ISBLANK('Monthly_Data'!D37)=ISBLANK(D381),0,1),1),IF('Monthly_Data'!E37=E381,IF(ISBLANK('Monthly_Data'!E37)=ISBLANK(E381),0,1),1),IF('Monthly_Data'!F37=F381,IF(ISBLANK('Monthly_Data'!F37)=ISBLANK(F381),0,1),1),IF('Monthly_Data'!G37=G381,IF(ISBLANK('Monthly_Data'!G37)=ISBLANK(G381),0,1),1),IF('Monthly_Data'!H37=H381,IF(ISBLANK('Monthly_Data'!H37)=ISBLANK(H381),0,1),1))</x:f>
        <x:v>0</x:v>
      </x:c>
    </x:row>
    <x:row r="382" ht="23" customHeight="1">
      <x:c r="A382" s="2" t="str">
        <x:v>61091000_WORLD_202503_IMPORT</x:v>
      </x:c>
      <x:c r="B382" s="2" t="n">
        <x:v>202503</x:v>
      </x:c>
      <x:c r="C382" s="2" t="str">
        <x:v>61091000</x:v>
      </x:c>
      <x:c r="D382" s="2" t="str">
        <x:v>World</x:v>
      </x:c>
      <x:c r="E382" s="2" t="n">
        <x:v>121168985</x:v>
      </x:c>
      <x:c r="F382" s="2" t="n">
        <x:v>8373322</x:v>
      </x:c>
      <x:c r="G382" s="2" t="str">
        <x:v>WITHIN_BAND</x:v>
      </x:c>
      <x:c r="H382" s="2" t="n">
        <x:v>1</x:v>
      </x:c>
      <x:c r="I382" s="2"/>
      <x:c r="J382" s="2"/>
      <x:c r="K382" s="2"/>
      <x:c r="L382" s="2" t="n">
        <x:f>SUM(IF('Monthly_Data'!A38=A382,IF(ISBLANK('Monthly_Data'!A38)=ISBLANK(A382),0,1),1),IF('Monthly_Data'!B38=B382,IF(ISBLANK('Monthly_Data'!B38)=ISBLANK(B382),0,1),1),IF('Monthly_Data'!C38=C382,IF(ISBLANK('Monthly_Data'!C38)=ISBLANK(C382),0,1),1),IF('Monthly_Data'!D38=D382,IF(ISBLANK('Monthly_Data'!D38)=ISBLANK(D382),0,1),1),IF('Monthly_Data'!E38=E382,IF(ISBLANK('Monthly_Data'!E38)=ISBLANK(E382),0,1),1),IF('Monthly_Data'!F38=F382,IF(ISBLANK('Monthly_Data'!F38)=ISBLANK(F382),0,1),1),IF('Monthly_Data'!G38=G382,IF(ISBLANK('Monthly_Data'!G38)=ISBLANK(G382),0,1),1),IF('Monthly_Data'!H38=H382,IF(ISBLANK('Monthly_Data'!H38)=ISBLANK(H382),0,1),1))</x:f>
        <x:v>0</x:v>
      </x:c>
    </x:row>
    <x:row r="383" ht="23" customHeight="1">
      <x:c r="A383" s="2" t="str">
        <x:v>61091000_BD_202504_IMPORT</x:v>
      </x:c>
      <x:c r="B383" s="2" t="n">
        <x:v>202504</x:v>
      </x:c>
      <x:c r="C383" s="2" t="str">
        <x:v>61091000</x:v>
      </x:c>
      <x:c r="D383" s="2" t="str">
        <x:v>Bangladesh</x:v>
      </x:c>
      <x:c r="E383" s="2" t="n">
        <x:v>48906353</x:v>
      </x:c>
      <x:c r="F383" s="2" t="n">
        <x:v>4627983</x:v>
      </x:c>
      <x:c r="G383" s="2" t="str">
        <x:v>WITHIN_BAND</x:v>
      </x:c>
      <x:c r="H383" s="2" t="n">
        <x:v>1</x:v>
      </x:c>
      <x:c r="I383" s="2"/>
      <x:c r="J383" s="2"/>
      <x:c r="K383" s="2"/>
      <x:c r="L383" s="2" t="n">
        <x:f>SUM(IF('Monthly_Data'!A39=A383,IF(ISBLANK('Monthly_Data'!A39)=ISBLANK(A383),0,1),1),IF('Monthly_Data'!B39=B383,IF(ISBLANK('Monthly_Data'!B39)=ISBLANK(B383),0,1),1),IF('Monthly_Data'!C39=C383,IF(ISBLANK('Monthly_Data'!C39)=ISBLANK(C383),0,1),1),IF('Monthly_Data'!D39=D383,IF(ISBLANK('Monthly_Data'!D39)=ISBLANK(D383),0,1),1),IF('Monthly_Data'!E39=E383,IF(ISBLANK('Monthly_Data'!E39)=ISBLANK(E383),0,1),1),IF('Monthly_Data'!F39=F383,IF(ISBLANK('Monthly_Data'!F39)=ISBLANK(F383),0,1),1),IF('Monthly_Data'!G39=G383,IF(ISBLANK('Monthly_Data'!G39)=ISBLANK(G383),0,1),1),IF('Monthly_Data'!H39=H383,IF(ISBLANK('Monthly_Data'!H39)=ISBLANK(H383),0,1),1))</x:f>
        <x:v>0</x:v>
      </x:c>
    </x:row>
    <x:row r="384" ht="23" customHeight="1">
      <x:c r="A384" s="2" t="str">
        <x:v>61091000_KH_202504_IMPORT</x:v>
      </x:c>
      <x:c r="B384" s="2" t="n">
        <x:v>202504</x:v>
      </x:c>
      <x:c r="C384" s="2" t="str">
        <x:v>61091000</x:v>
      </x:c>
      <x:c r="D384" s="2" t="str">
        <x:v>Cambodia</x:v>
      </x:c>
      <x:c r="E384" s="2" t="n">
        <x:v>1729553</x:v>
      </x:c>
      <x:c r="F384" s="2" t="n">
        <x:v>81154</x:v>
      </x:c>
      <x:c r="G384" s="2" t="str">
        <x:v>WITHIN_BAND</x:v>
      </x:c>
      <x:c r="H384" s="2" t="n">
        <x:v>1</x:v>
      </x:c>
      <x:c r="I384" s="2"/>
      <x:c r="J384" s="2"/>
      <x:c r="K384" s="2"/>
      <x:c r="L384" s="2" t="n">
        <x:f>SUM(IF('Monthly_Data'!A40=A384,IF(ISBLANK('Monthly_Data'!A40)=ISBLANK(A384),0,1),1),IF('Monthly_Data'!B40=B384,IF(ISBLANK('Monthly_Data'!B40)=ISBLANK(B384),0,1),1),IF('Monthly_Data'!C40=C384,IF(ISBLANK('Monthly_Data'!C40)=ISBLANK(C384),0,1),1),IF('Monthly_Data'!D40=D384,IF(ISBLANK('Monthly_Data'!D40)=ISBLANK(D384),0,1),1),IF('Monthly_Data'!E40=E384,IF(ISBLANK('Monthly_Data'!E40)=ISBLANK(E384),0,1),1),IF('Monthly_Data'!F40=F384,IF(ISBLANK('Monthly_Data'!F40)=ISBLANK(F384),0,1),1),IF('Monthly_Data'!G40=G384,IF(ISBLANK('Monthly_Data'!G40)=ISBLANK(G384),0,1),1),IF('Monthly_Data'!H40=H384,IF(ISBLANK('Monthly_Data'!H40)=ISBLANK(H384),0,1),1))</x:f>
        <x:v>0</x:v>
      </x:c>
    </x:row>
    <x:row r="385" ht="23" customHeight="1">
      <x:c r="A385" s="2" t="str">
        <x:v>61091000_CN_202504_IMPORT</x:v>
      </x:c>
      <x:c r="B385" s="2" t="n">
        <x:v>202504</x:v>
      </x:c>
      <x:c r="C385" s="2" t="str">
        <x:v>61091000</x:v>
      </x:c>
      <x:c r="D385" s="2" t="str">
        <x:v>China</x:v>
      </x:c>
      <x:c r="E385" s="2" t="n">
        <x:v>3730338</x:v>
      </x:c>
      <x:c r="F385" s="2" t="n">
        <x:v>168903</x:v>
      </x:c>
      <x:c r="G385" s="2" t="str">
        <x:v>WITHIN_BAND</x:v>
      </x:c>
      <x:c r="H385" s="2" t="n">
        <x:v>1</x:v>
      </x:c>
      <x:c r="I385" s="2"/>
      <x:c r="J385" s="2"/>
      <x:c r="K385" s="2"/>
      <x:c r="L385" s="2" t="n">
        <x:f>SUM(IF('Monthly_Data'!A41=A385,IF(ISBLANK('Monthly_Data'!A41)=ISBLANK(A385),0,1),1),IF('Monthly_Data'!B41=B385,IF(ISBLANK('Monthly_Data'!B41)=ISBLANK(B385),0,1),1),IF('Monthly_Data'!C41=C385,IF(ISBLANK('Monthly_Data'!C41)=ISBLANK(C385),0,1),1),IF('Monthly_Data'!D41=D385,IF(ISBLANK('Monthly_Data'!D41)=ISBLANK(D385),0,1),1),IF('Monthly_Data'!E41=E385,IF(ISBLANK('Monthly_Data'!E41)=ISBLANK(E385),0,1),1),IF('Monthly_Data'!F41=F385,IF(ISBLANK('Monthly_Data'!F41)=ISBLANK(F385),0,1),1),IF('Monthly_Data'!G41=G385,IF(ISBLANK('Monthly_Data'!G41)=ISBLANK(G385),0,1),1),IF('Monthly_Data'!H41=H385,IF(ISBLANK('Monthly_Data'!H41)=ISBLANK(H385),0,1),1))</x:f>
        <x:v>0</x:v>
      </x:c>
    </x:row>
    <x:row r="386" ht="23" customHeight="1">
      <x:c r="A386" s="2" t="str">
        <x:v>61091000_IN_202504_IMPORT</x:v>
      </x:c>
      <x:c r="B386" s="2" t="n">
        <x:v>202504</x:v>
      </x:c>
      <x:c r="C386" s="2" t="str">
        <x:v>61091000</x:v>
      </x:c>
      <x:c r="D386" s="2" t="str">
        <x:v>India</x:v>
      </x:c>
      <x:c r="E386" s="2" t="n">
        <x:v>10814486</x:v>
      </x:c>
      <x:c r="F386" s="2" t="n">
        <x:v>757226</x:v>
      </x:c>
      <x:c r="G386" s="2" t="str">
        <x:v>WITHIN_BAND</x:v>
      </x:c>
      <x:c r="H386" s="2" t="n">
        <x:v>1</x:v>
      </x:c>
      <x:c r="I386" s="2"/>
      <x:c r="J386" s="2"/>
      <x:c r="K386" s="2"/>
      <x:c r="L386" s="2" t="n">
        <x:f>SUM(IF('Monthly_Data'!A42=A386,IF(ISBLANK('Monthly_Data'!A42)=ISBLANK(A386),0,1),1),IF('Monthly_Data'!B42=B386,IF(ISBLANK('Monthly_Data'!B42)=ISBLANK(B386),0,1),1),IF('Monthly_Data'!C42=C386,IF(ISBLANK('Monthly_Data'!C42)=ISBLANK(C386),0,1),1),IF('Monthly_Data'!D42=D386,IF(ISBLANK('Monthly_Data'!D42)=ISBLANK(D386),0,1),1),IF('Monthly_Data'!E42=E386,IF(ISBLANK('Monthly_Data'!E42)=ISBLANK(E386),0,1),1),IF('Monthly_Data'!F42=F386,IF(ISBLANK('Monthly_Data'!F42)=ISBLANK(F386),0,1),1),IF('Monthly_Data'!G42=G386,IF(ISBLANK('Monthly_Data'!G42)=ISBLANK(G386),0,1),1),IF('Monthly_Data'!H42=H386,IF(ISBLANK('Monthly_Data'!H42)=ISBLANK(H386),0,1),1))</x:f>
        <x:v>0</x:v>
      </x:c>
    </x:row>
    <x:row r="387" ht="23" customHeight="1">
      <x:c r="A387" s="2" t="str">
        <x:v>61091000_MA_202504_IMPORT</x:v>
      </x:c>
      <x:c r="B387" s="2" t="n">
        <x:v>202504</x:v>
      </x:c>
      <x:c r="C387" s="2" t="str">
        <x:v>61091000</x:v>
      </x:c>
      <x:c r="D387" s="2" t="str">
        <x:v>Morocco</x:v>
      </x:c>
      <x:c r="E387" s="2" t="n">
        <x:v>1520653</x:v>
      </x:c>
      <x:c r="F387" s="2" t="n">
        <x:v>175983</x:v>
      </x:c>
      <x:c r="G387" s="2" t="str">
        <x:v>WITHIN_BAND</x:v>
      </x:c>
      <x:c r="H387" s="2" t="n">
        <x:v>1</x:v>
      </x:c>
      <x:c r="I387" s="2"/>
      <x:c r="J387" s="2"/>
      <x:c r="K387" s="2"/>
      <x:c r="L387" s="2" t="n">
        <x:f>SUM(IF('Monthly_Data'!A43=A387,IF(ISBLANK('Monthly_Data'!A43)=ISBLANK(A387),0,1),1),IF('Monthly_Data'!B43=B387,IF(ISBLANK('Monthly_Data'!B43)=ISBLANK(B387),0,1),1),IF('Monthly_Data'!C43=C387,IF(ISBLANK('Monthly_Data'!C43)=ISBLANK(C387),0,1),1),IF('Monthly_Data'!D43=D387,IF(ISBLANK('Monthly_Data'!D43)=ISBLANK(D387),0,1),1),IF('Monthly_Data'!E43=E387,IF(ISBLANK('Monthly_Data'!E43)=ISBLANK(E387),0,1),1),IF('Monthly_Data'!F43=F387,IF(ISBLANK('Monthly_Data'!F43)=ISBLANK(F387),0,1),1),IF('Monthly_Data'!G43=G387,IF(ISBLANK('Monthly_Data'!G43)=ISBLANK(G387),0,1),1),IF('Monthly_Data'!H43=H387,IF(ISBLANK('Monthly_Data'!H43)=ISBLANK(H387),0,1),1))</x:f>
        <x:v>0</x:v>
      </x:c>
    </x:row>
    <x:row r="388" ht="23" customHeight="1">
      <x:c r="A388" s="2" t="str">
        <x:v>61091000_MM_202504_IMPORT</x:v>
      </x:c>
      <x:c r="B388" s="2" t="n">
        <x:v>202504</x:v>
      </x:c>
      <x:c r="C388" s="2" t="str">
        <x:v>61091000</x:v>
      </x:c>
      <x:c r="D388" s="2" t="str">
        <x:v>Myanmar</x:v>
      </x:c>
      <x:c r="E388" s="2" t="n">
        <x:v>14689</x:v>
      </x:c>
      <x:c r="F388" s="2" t="n">
        <x:v>772</x:v>
      </x:c>
      <x:c r="G388" s="2" t="str">
        <x:v>WITHIN_BAND</x:v>
      </x:c>
      <x:c r="H388" s="2" t="n">
        <x:v>1</x:v>
      </x:c>
      <x:c r="I388" s="2"/>
      <x:c r="J388" s="2"/>
      <x:c r="K388" s="2"/>
      <x:c r="L388" s="2" t="n">
        <x:f>SUM(IF('Monthly_Data'!A44=A388,IF(ISBLANK('Monthly_Data'!A44)=ISBLANK(A388),0,1),1),IF('Monthly_Data'!B44=B388,IF(ISBLANK('Monthly_Data'!B44)=ISBLANK(B388),0,1),1),IF('Monthly_Data'!C44=C388,IF(ISBLANK('Monthly_Data'!C44)=ISBLANK(C388),0,1),1),IF('Monthly_Data'!D44=D388,IF(ISBLANK('Monthly_Data'!D44)=ISBLANK(D388),0,1),1),IF('Monthly_Data'!E44=E388,IF(ISBLANK('Monthly_Data'!E44)=ISBLANK(E388),0,1),1),IF('Monthly_Data'!F44=F388,IF(ISBLANK('Monthly_Data'!F44)=ISBLANK(F388),0,1),1),IF('Monthly_Data'!G44=G388,IF(ISBLANK('Monthly_Data'!G44)=ISBLANK(G388),0,1),1),IF('Monthly_Data'!H44=H388,IF(ISBLANK('Monthly_Data'!H44)=ISBLANK(H388),0,1),1))</x:f>
        <x:v>0</x:v>
      </x:c>
    </x:row>
    <x:row r="389" ht="23" customHeight="1">
      <x:c r="A389" s="2" t="str">
        <x:v>61091000_PK_202504_IMPORT</x:v>
      </x:c>
      <x:c r="B389" s="2" t="n">
        <x:v>202504</x:v>
      </x:c>
      <x:c r="C389" s="2" t="str">
        <x:v>61091000</x:v>
      </x:c>
      <x:c r="D389" s="2" t="str">
        <x:v>Pakistan</x:v>
      </x:c>
      <x:c r="E389" s="2" t="n">
        <x:v>4962494</x:v>
      </x:c>
      <x:c r="F389" s="2" t="n">
        <x:v>1690165</x:v>
      </x:c>
      <x:c r="G389" s="2" t="str">
        <x:v>REVIEW</x:v>
      </x:c>
      <x:c r="H389" s="2" t="n">
        <x:v>1</x:v>
      </x:c>
      <x:c r="I389" s="2"/>
      <x:c r="J389" s="2"/>
      <x:c r="K389" s="2"/>
      <x:c r="L389" s="2" t="n">
        <x:f>SUM(IF('Monthly_Data'!A45=A389,IF(ISBLANK('Monthly_Data'!A45)=ISBLANK(A389),0,1),1),IF('Monthly_Data'!B45=B389,IF(ISBLANK('Monthly_Data'!B45)=ISBLANK(B389),0,1),1),IF('Monthly_Data'!C45=C389,IF(ISBLANK('Monthly_Data'!C45)=ISBLANK(C389),0,1),1),IF('Monthly_Data'!D45=D389,IF(ISBLANK('Monthly_Data'!D45)=ISBLANK(D389),0,1),1),IF('Monthly_Data'!E45=E389,IF(ISBLANK('Monthly_Data'!E45)=ISBLANK(E389),0,1),1),IF('Monthly_Data'!F45=F389,IF(ISBLANK('Monthly_Data'!F45)=ISBLANK(F389),0,1),1),IF('Monthly_Data'!G45=G389,IF(ISBLANK('Monthly_Data'!G45)=ISBLANK(G389),0,1),1),IF('Monthly_Data'!H45=H389,IF(ISBLANK('Monthly_Data'!H45)=ISBLANK(H389),0,1),1))</x:f>
        <x:v>0</x:v>
      </x:c>
    </x:row>
    <x:row r="390" ht="23" customHeight="1">
      <x:c r="A390" s="2" t="str">
        <x:v>61091000_LK_202504_IMPORT</x:v>
      </x:c>
      <x:c r="B390" s="2" t="n">
        <x:v>202504</x:v>
      </x:c>
      <x:c r="C390" s="2" t="str">
        <x:v>61091000</x:v>
      </x:c>
      <x:c r="D390" s="2" t="str">
        <x:v>Sri Lanka</x:v>
      </x:c>
      <x:c r="E390" s="2" t="n">
        <x:v>2522811</x:v>
      </x:c>
      <x:c r="F390" s="2" t="n">
        <x:v>232233</x:v>
      </x:c>
      <x:c r="G390" s="2" t="str">
        <x:v>WITHIN_BAND</x:v>
      </x:c>
      <x:c r="H390" s="2" t="n">
        <x:v>1</x:v>
      </x:c>
      <x:c r="I390" s="2"/>
      <x:c r="J390" s="2"/>
      <x:c r="K390" s="2"/>
      <x:c r="L390" s="2" t="n">
        <x:f>SUM(IF('Monthly_Data'!A46=A390,IF(ISBLANK('Monthly_Data'!A46)=ISBLANK(A390),0,1),1),IF('Monthly_Data'!B46=B390,IF(ISBLANK('Monthly_Data'!B46)=ISBLANK(B390),0,1),1),IF('Monthly_Data'!C46=C390,IF(ISBLANK('Monthly_Data'!C46)=ISBLANK(C390),0,1),1),IF('Monthly_Data'!D46=D390,IF(ISBLANK('Monthly_Data'!D46)=ISBLANK(D390),0,1),1),IF('Monthly_Data'!E46=E390,IF(ISBLANK('Monthly_Data'!E46)=ISBLANK(E390),0,1),1),IF('Monthly_Data'!F46=F390,IF(ISBLANK('Monthly_Data'!F46)=ISBLANK(F390),0,1),1),IF('Monthly_Data'!G46=G390,IF(ISBLANK('Monthly_Data'!G46)=ISBLANK(G390),0,1),1),IF('Monthly_Data'!H46=H390,IF(ISBLANK('Monthly_Data'!H46)=ISBLANK(H390),0,1),1))</x:f>
        <x:v>0</x:v>
      </x:c>
    </x:row>
    <x:row r="391" ht="23" customHeight="1">
      <x:c r="A391" s="2" t="str">
        <x:v>61091000_TR_202504_IMPORT</x:v>
      </x:c>
      <x:c r="B391" s="2" t="n">
        <x:v>202504</x:v>
      </x:c>
      <x:c r="C391" s="2" t="str">
        <x:v>61091000</x:v>
      </x:c>
      <x:c r="D391" s="2" t="str">
        <x:v>Turkey</x:v>
      </x:c>
      <x:c r="E391" s="2" t="n">
        <x:v>9453970</x:v>
      </x:c>
      <x:c r="F391" s="2" t="n">
        <x:v>427719</x:v>
      </x:c>
      <x:c r="G391" s="2" t="str">
        <x:v>WITHIN_BAND</x:v>
      </x:c>
      <x:c r="H391" s="2" t="n">
        <x:v>1</x:v>
      </x:c>
      <x:c r="I391" s="2"/>
      <x:c r="J391" s="2"/>
      <x:c r="K391" s="2"/>
      <x:c r="L391" s="2" t="n">
        <x:f>SUM(IF('Monthly_Data'!A47=A391,IF(ISBLANK('Monthly_Data'!A47)=ISBLANK(A391),0,1),1),IF('Monthly_Data'!B47=B391,IF(ISBLANK('Monthly_Data'!B47)=ISBLANK(B391),0,1),1),IF('Monthly_Data'!C47=C391,IF(ISBLANK('Monthly_Data'!C47)=ISBLANK(C391),0,1),1),IF('Monthly_Data'!D47=D391,IF(ISBLANK('Monthly_Data'!D47)=ISBLANK(D391),0,1),1),IF('Monthly_Data'!E47=E391,IF(ISBLANK('Monthly_Data'!E47)=ISBLANK(E391),0,1),1),IF('Monthly_Data'!F47=F391,IF(ISBLANK('Monthly_Data'!F47)=ISBLANK(F391),0,1),1),IF('Monthly_Data'!G47=G391,IF(ISBLANK('Monthly_Data'!G47)=ISBLANK(G391),0,1),1),IF('Monthly_Data'!H47=H391,IF(ISBLANK('Monthly_Data'!H47)=ISBLANK(H391),0,1),1))</x:f>
        <x:v>0</x:v>
      </x:c>
    </x:row>
    <x:row r="392" ht="23" customHeight="1">
      <x:c r="A392" s="2" t="str">
        <x:v>61091000_VN_202504_IMPORT</x:v>
      </x:c>
      <x:c r="B392" s="2" t="n">
        <x:v>202504</x:v>
      </x:c>
      <x:c r="C392" s="2" t="str">
        <x:v>61091000</x:v>
      </x:c>
      <x:c r="D392" s="2" t="str">
        <x:v>Vietnam</x:v>
      </x:c>
      <x:c r="E392" s="2" t="n">
        <x:v>2894351</x:v>
      </x:c>
      <x:c r="F392" s="2" t="n">
        <x:v>127438</x:v>
      </x:c>
      <x:c r="G392" s="2" t="str">
        <x:v>WITHIN_BAND</x:v>
      </x:c>
      <x:c r="H392" s="2" t="n">
        <x:v>1</x:v>
      </x:c>
      <x:c r="I392" s="2"/>
      <x:c r="J392" s="2"/>
      <x:c r="K392" s="2"/>
      <x:c r="L392" s="2" t="n">
        <x:f>SUM(IF('Monthly_Data'!A48=A392,IF(ISBLANK('Monthly_Data'!A48)=ISBLANK(A392),0,1),1),IF('Monthly_Data'!B48=B392,IF(ISBLANK('Monthly_Data'!B48)=ISBLANK(B392),0,1),1),IF('Monthly_Data'!C48=C392,IF(ISBLANK('Monthly_Data'!C48)=ISBLANK(C392),0,1),1),IF('Monthly_Data'!D48=D392,IF(ISBLANK('Monthly_Data'!D48)=ISBLANK(D392),0,1),1),IF('Monthly_Data'!E48=E392,IF(ISBLANK('Monthly_Data'!E48)=ISBLANK(E392),0,1),1),IF('Monthly_Data'!F48=F392,IF(ISBLANK('Monthly_Data'!F48)=ISBLANK(F392),0,1),1),IF('Monthly_Data'!G48=G392,IF(ISBLANK('Monthly_Data'!G48)=ISBLANK(G392),0,1),1),IF('Monthly_Data'!H48=H392,IF(ISBLANK('Monthly_Data'!H48)=ISBLANK(H392),0,1),1))</x:f>
        <x:v>0</x:v>
      </x:c>
    </x:row>
    <x:row r="393" ht="23" customHeight="1">
      <x:c r="A393" s="2" t="str">
        <x:v>61091000_WORLD_202504_IMPORT</x:v>
      </x:c>
      <x:c r="B393" s="2" t="n">
        <x:v>202504</x:v>
      </x:c>
      <x:c r="C393" s="2" t="str">
        <x:v>61091000</x:v>
      </x:c>
      <x:c r="D393" s="2" t="str">
        <x:v>World</x:v>
      </x:c>
      <x:c r="E393" s="2" t="n">
        <x:v>121169793</x:v>
      </x:c>
      <x:c r="F393" s="2" t="n">
        <x:v>9488825</x:v>
      </x:c>
      <x:c r="G393" s="2" t="str">
        <x:v>WITHIN_BAND</x:v>
      </x:c>
      <x:c r="H393" s="2" t="n">
        <x:v>1</x:v>
      </x:c>
      <x:c r="I393" s="2"/>
      <x:c r="J393" s="2"/>
      <x:c r="K393" s="2"/>
      <x:c r="L393" s="2" t="n">
        <x:f>SUM(IF('Monthly_Data'!A49=A393,IF(ISBLANK('Monthly_Data'!A49)=ISBLANK(A393),0,1),1),IF('Monthly_Data'!B49=B393,IF(ISBLANK('Monthly_Data'!B49)=ISBLANK(B393),0,1),1),IF('Monthly_Data'!C49=C393,IF(ISBLANK('Monthly_Data'!C49)=ISBLANK(C393),0,1),1),IF('Monthly_Data'!D49=D393,IF(ISBLANK('Monthly_Data'!D49)=ISBLANK(D393),0,1),1),IF('Monthly_Data'!E49=E393,IF(ISBLANK('Monthly_Data'!E49)=ISBLANK(E393),0,1),1),IF('Monthly_Data'!F49=F393,IF(ISBLANK('Monthly_Data'!F49)=ISBLANK(F393),0,1),1),IF('Monthly_Data'!G49=G393,IF(ISBLANK('Monthly_Data'!G49)=ISBLANK(G393),0,1),1),IF('Monthly_Data'!H49=H393,IF(ISBLANK('Monthly_Data'!H49)=ISBLANK(H393),0,1),1))</x:f>
        <x:v>0</x:v>
      </x:c>
    </x:row>
    <x:row r="394" ht="23" customHeight="1">
      <x:c r="A394" s="2" t="str">
        <x:v>61091000_BD_202505_IMPORT</x:v>
      </x:c>
      <x:c r="B394" s="2" t="n">
        <x:v>202505</x:v>
      </x:c>
      <x:c r="C394" s="2" t="str">
        <x:v>61091000</x:v>
      </x:c>
      <x:c r="D394" s="2" t="str">
        <x:v>Bangladesh</x:v>
      </x:c>
      <x:c r="E394" s="2" t="n">
        <x:v>49402908</x:v>
      </x:c>
      <x:c r="F394" s="2" t="n">
        <x:v>4653368</x:v>
      </x:c>
      <x:c r="G394" s="2" t="str">
        <x:v>WITHIN_BAND</x:v>
      </x:c>
      <x:c r="H394" s="2" t="n">
        <x:v>1</x:v>
      </x:c>
      <x:c r="I394" s="2"/>
      <x:c r="J394" s="2"/>
      <x:c r="K394" s="2"/>
      <x:c r="L394" s="2" t="n">
        <x:f>SUM(IF('Monthly_Data'!A50=A394,IF(ISBLANK('Monthly_Data'!A50)=ISBLANK(A394),0,1),1),IF('Monthly_Data'!B50=B394,IF(ISBLANK('Monthly_Data'!B50)=ISBLANK(B394),0,1),1),IF('Monthly_Data'!C50=C394,IF(ISBLANK('Monthly_Data'!C50)=ISBLANK(C394),0,1),1),IF('Monthly_Data'!D50=D394,IF(ISBLANK('Monthly_Data'!D50)=ISBLANK(D394),0,1),1),IF('Monthly_Data'!E50=E394,IF(ISBLANK('Monthly_Data'!E50)=ISBLANK(E394),0,1),1),IF('Monthly_Data'!F50=F394,IF(ISBLANK('Monthly_Data'!F50)=ISBLANK(F394),0,1),1),IF('Monthly_Data'!G50=G394,IF(ISBLANK('Monthly_Data'!G50)=ISBLANK(G394),0,1),1),IF('Monthly_Data'!H50=H394,IF(ISBLANK('Monthly_Data'!H50)=ISBLANK(H394),0,1),1))</x:f>
        <x:v>0</x:v>
      </x:c>
    </x:row>
    <x:row r="395" ht="23" customHeight="1">
      <x:c r="A395" s="2" t="str">
        <x:v>61091000_KH_202505_IMPORT</x:v>
      </x:c>
      <x:c r="B395" s="2" t="n">
        <x:v>202505</x:v>
      </x:c>
      <x:c r="C395" s="2" t="str">
        <x:v>61091000</x:v>
      </x:c>
      <x:c r="D395" s="2" t="str">
        <x:v>Cambodia</x:v>
      </x:c>
      <x:c r="E395" s="2" t="n">
        <x:v>761662</x:v>
      </x:c>
      <x:c r="F395" s="2" t="n">
        <x:v>43357</x:v>
      </x:c>
      <x:c r="G395" s="2" t="str">
        <x:v>WITHIN_BAND</x:v>
      </x:c>
      <x:c r="H395" s="2" t="n">
        <x:v>1</x:v>
      </x:c>
      <x:c r="I395" s="2"/>
      <x:c r="J395" s="2"/>
      <x:c r="K395" s="2"/>
      <x:c r="L395" s="2" t="n">
        <x:f>SUM(IF('Monthly_Data'!A51=A395,IF(ISBLANK('Monthly_Data'!A51)=ISBLANK(A395),0,1),1),IF('Monthly_Data'!B51=B395,IF(ISBLANK('Monthly_Data'!B51)=ISBLANK(B395),0,1),1),IF('Monthly_Data'!C51=C395,IF(ISBLANK('Monthly_Data'!C51)=ISBLANK(C395),0,1),1),IF('Monthly_Data'!D51=D395,IF(ISBLANK('Monthly_Data'!D51)=ISBLANK(D395),0,1),1),IF('Monthly_Data'!E51=E395,IF(ISBLANK('Monthly_Data'!E51)=ISBLANK(E395),0,1),1),IF('Monthly_Data'!F51=F395,IF(ISBLANK('Monthly_Data'!F51)=ISBLANK(F395),0,1),1),IF('Monthly_Data'!G51=G395,IF(ISBLANK('Monthly_Data'!G51)=ISBLANK(G395),0,1),1),IF('Monthly_Data'!H51=H395,IF(ISBLANK('Monthly_Data'!H51)=ISBLANK(H395),0,1),1))</x:f>
        <x:v>0</x:v>
      </x:c>
    </x:row>
    <x:row r="396" ht="23" customHeight="1">
      <x:c r="A396" s="2" t="str">
        <x:v>61091000_CN_202505_IMPORT</x:v>
      </x:c>
      <x:c r="B396" s="2" t="n">
        <x:v>202505</x:v>
      </x:c>
      <x:c r="C396" s="2" t="str">
        <x:v>61091000</x:v>
      </x:c>
      <x:c r="D396" s="2" t="str">
        <x:v>China</x:v>
      </x:c>
      <x:c r="E396" s="2" t="n">
        <x:v>4249391</x:v>
      </x:c>
      <x:c r="F396" s="2" t="n">
        <x:v>217550</x:v>
      </x:c>
      <x:c r="G396" s="2" t="str">
        <x:v>WITHIN_BAND</x:v>
      </x:c>
      <x:c r="H396" s="2" t="n">
        <x:v>1</x:v>
      </x:c>
      <x:c r="I396" s="2"/>
      <x:c r="J396" s="2"/>
      <x:c r="K396" s="2"/>
      <x:c r="L396" s="2" t="n">
        <x:f>SUM(IF('Monthly_Data'!A52=A396,IF(ISBLANK('Monthly_Data'!A52)=ISBLANK(A396),0,1),1),IF('Monthly_Data'!B52=B396,IF(ISBLANK('Monthly_Data'!B52)=ISBLANK(B396),0,1),1),IF('Monthly_Data'!C52=C396,IF(ISBLANK('Monthly_Data'!C52)=ISBLANK(C396),0,1),1),IF('Monthly_Data'!D52=D396,IF(ISBLANK('Monthly_Data'!D52)=ISBLANK(D396),0,1),1),IF('Monthly_Data'!E52=E396,IF(ISBLANK('Monthly_Data'!E52)=ISBLANK(E396),0,1),1),IF('Monthly_Data'!F52=F396,IF(ISBLANK('Monthly_Data'!F52)=ISBLANK(F396),0,1),1),IF('Monthly_Data'!G52=G396,IF(ISBLANK('Monthly_Data'!G52)=ISBLANK(G396),0,1),1),IF('Monthly_Data'!H52=H396,IF(ISBLANK('Monthly_Data'!H52)=ISBLANK(H396),0,1),1))</x:f>
        <x:v>0</x:v>
      </x:c>
    </x:row>
    <x:row r="397" ht="23" customHeight="1">
      <x:c r="A397" s="2" t="str">
        <x:v>61091000_IN_202505_IMPORT</x:v>
      </x:c>
      <x:c r="B397" s="2" t="n">
        <x:v>202505</x:v>
      </x:c>
      <x:c r="C397" s="2" t="str">
        <x:v>61091000</x:v>
      </x:c>
      <x:c r="D397" s="2" t="str">
        <x:v>India</x:v>
      </x:c>
      <x:c r="E397" s="2" t="n">
        <x:v>11614345</x:v>
      </x:c>
      <x:c r="F397" s="2" t="n">
        <x:v>936075</x:v>
      </x:c>
      <x:c r="G397" s="2" t="str">
        <x:v>WITHIN_BAND</x:v>
      </x:c>
      <x:c r="H397" s="2" t="n">
        <x:v>1</x:v>
      </x:c>
      <x:c r="I397" s="2"/>
      <x:c r="J397" s="2"/>
      <x:c r="K397" s="2"/>
      <x:c r="L397" s="2" t="n">
        <x:f>SUM(IF('Monthly_Data'!A53=A397,IF(ISBLANK('Monthly_Data'!A53)=ISBLANK(A397),0,1),1),IF('Monthly_Data'!B53=B397,IF(ISBLANK('Monthly_Data'!B53)=ISBLANK(B397),0,1),1),IF('Monthly_Data'!C53=C397,IF(ISBLANK('Monthly_Data'!C53)=ISBLANK(C397),0,1),1),IF('Monthly_Data'!D53=D397,IF(ISBLANK('Monthly_Data'!D53)=ISBLANK(D397),0,1),1),IF('Monthly_Data'!E53=E397,IF(ISBLANK('Monthly_Data'!E53)=ISBLANK(E397),0,1),1),IF('Monthly_Data'!F53=F397,IF(ISBLANK('Monthly_Data'!F53)=ISBLANK(F397),0,1),1),IF('Monthly_Data'!G53=G397,IF(ISBLANK('Monthly_Data'!G53)=ISBLANK(G397),0,1),1),IF('Monthly_Data'!H53=H397,IF(ISBLANK('Monthly_Data'!H53)=ISBLANK(H397),0,1),1))</x:f>
        <x:v>0</x:v>
      </x:c>
    </x:row>
    <x:row r="398" ht="23" customHeight="1">
      <x:c r="A398" s="2" t="str">
        <x:v>61091000_MA_202505_IMPORT</x:v>
      </x:c>
      <x:c r="B398" s="2" t="n">
        <x:v>202505</x:v>
      </x:c>
      <x:c r="C398" s="2" t="str">
        <x:v>61091000</x:v>
      </x:c>
      <x:c r="D398" s="2" t="str">
        <x:v>Morocco</x:v>
      </x:c>
      <x:c r="E398" s="2" t="n">
        <x:v>1745982</x:v>
      </x:c>
      <x:c r="F398" s="2" t="n">
        <x:v>207656</x:v>
      </x:c>
      <x:c r="G398" s="2" t="str">
        <x:v>WITHIN_BAND</x:v>
      </x:c>
      <x:c r="H398" s="2" t="n">
        <x:v>1</x:v>
      </x:c>
      <x:c r="I398" s="2"/>
      <x:c r="J398" s="2"/>
      <x:c r="K398" s="2"/>
      <x:c r="L398" s="2" t="n">
        <x:f>SUM(IF('Monthly_Data'!A54=A398,IF(ISBLANK('Monthly_Data'!A54)=ISBLANK(A398),0,1),1),IF('Monthly_Data'!B54=B398,IF(ISBLANK('Monthly_Data'!B54)=ISBLANK(B398),0,1),1),IF('Monthly_Data'!C54=C398,IF(ISBLANK('Monthly_Data'!C54)=ISBLANK(C398),0,1),1),IF('Monthly_Data'!D54=D398,IF(ISBLANK('Monthly_Data'!D54)=ISBLANK(D398),0,1),1),IF('Monthly_Data'!E54=E398,IF(ISBLANK('Monthly_Data'!E54)=ISBLANK(E398),0,1),1),IF('Monthly_Data'!F54=F398,IF(ISBLANK('Monthly_Data'!F54)=ISBLANK(F398),0,1),1),IF('Monthly_Data'!G54=G398,IF(ISBLANK('Monthly_Data'!G54)=ISBLANK(G398),0,1),1),IF('Monthly_Data'!H54=H398,IF(ISBLANK('Monthly_Data'!H54)=ISBLANK(H398),0,1),1))</x:f>
        <x:v>0</x:v>
      </x:c>
    </x:row>
    <x:row r="399" ht="23" customHeight="1">
      <x:c r="A399" s="2" t="str">
        <x:v>61091000_MM_202505_IMPORT</x:v>
      </x:c>
      <x:c r="B399" s="2" t="n">
        <x:v>202505</x:v>
      </x:c>
      <x:c r="C399" s="2" t="str">
        <x:v>61091000</x:v>
      </x:c>
      <x:c r="D399" s="2" t="str">
        <x:v>Myanmar</x:v>
      </x:c>
      <x:c r="E399" s="2" t="n">
        <x:v>17668</x:v>
      </x:c>
      <x:c r="F399" s="2" t="n">
        <x:v>689</x:v>
      </x:c>
      <x:c r="G399" s="2" t="str">
        <x:v>WITHIN_BAND</x:v>
      </x:c>
      <x:c r="H399" s="2" t="n">
        <x:v>1</x:v>
      </x:c>
      <x:c r="I399" s="2"/>
      <x:c r="J399" s="2"/>
      <x:c r="K399" s="2"/>
      <x:c r="L399" s="2" t="n">
        <x:f>SUM(IF('Monthly_Data'!A55=A399,IF(ISBLANK('Monthly_Data'!A55)=ISBLANK(A399),0,1),1),IF('Monthly_Data'!B55=B399,IF(ISBLANK('Monthly_Data'!B55)=ISBLANK(B399),0,1),1),IF('Monthly_Data'!C55=C399,IF(ISBLANK('Monthly_Data'!C55)=ISBLANK(C399),0,1),1),IF('Monthly_Data'!D55=D399,IF(ISBLANK('Monthly_Data'!D55)=ISBLANK(D399),0,1),1),IF('Monthly_Data'!E55=E399,IF(ISBLANK('Monthly_Data'!E55)=ISBLANK(E399),0,1),1),IF('Monthly_Data'!F55=F399,IF(ISBLANK('Monthly_Data'!F55)=ISBLANK(F399),0,1),1),IF('Monthly_Data'!G55=G399,IF(ISBLANK('Monthly_Data'!G55)=ISBLANK(G399),0,1),1),IF('Monthly_Data'!H55=H399,IF(ISBLANK('Monthly_Data'!H55)=ISBLANK(H399),0,1),1))</x:f>
        <x:v>0</x:v>
      </x:c>
    </x:row>
    <x:row r="400" ht="23" customHeight="1">
      <x:c r="A400" s="2" t="str">
        <x:v>61091000_PK_202505_IMPORT</x:v>
      </x:c>
      <x:c r="B400" s="2" t="n">
        <x:v>202505</x:v>
      </x:c>
      <x:c r="C400" s="2" t="str">
        <x:v>61091000</x:v>
      </x:c>
      <x:c r="D400" s="2" t="str">
        <x:v>Pakistan</x:v>
      </x:c>
      <x:c r="E400" s="2" t="n">
        <x:v>6794255</x:v>
      </x:c>
      <x:c r="F400" s="2" t="n">
        <x:v>3037931</x:v>
      </x:c>
      <x:c r="G400" s="2" t="str">
        <x:v>REVIEW</x:v>
      </x:c>
      <x:c r="H400" s="2" t="n">
        <x:v>1</x:v>
      </x:c>
      <x:c r="I400" s="2"/>
      <x:c r="J400" s="2"/>
      <x:c r="K400" s="2"/>
      <x:c r="L400" s="2" t="n">
        <x:f>SUM(IF('Monthly_Data'!A56=A400,IF(ISBLANK('Monthly_Data'!A56)=ISBLANK(A400),0,1),1),IF('Monthly_Data'!B56=B400,IF(ISBLANK('Monthly_Data'!B56)=ISBLANK(B400),0,1),1),IF('Monthly_Data'!C56=C400,IF(ISBLANK('Monthly_Data'!C56)=ISBLANK(C400),0,1),1),IF('Monthly_Data'!D56=D400,IF(ISBLANK('Monthly_Data'!D56)=ISBLANK(D400),0,1),1),IF('Monthly_Data'!E56=E400,IF(ISBLANK('Monthly_Data'!E56)=ISBLANK(E400),0,1),1),IF('Monthly_Data'!F56=F400,IF(ISBLANK('Monthly_Data'!F56)=ISBLANK(F400),0,1),1),IF('Monthly_Data'!G56=G400,IF(ISBLANK('Monthly_Data'!G56)=ISBLANK(G400),0,1),1),IF('Monthly_Data'!H56=H400,IF(ISBLANK('Monthly_Data'!H56)=ISBLANK(H400),0,1),1))</x:f>
        <x:v>0</x:v>
      </x:c>
    </x:row>
    <x:row r="401" ht="23" customHeight="1">
      <x:c r="A401" s="2" t="str">
        <x:v>61091000_LK_202505_IMPORT</x:v>
      </x:c>
      <x:c r="B401" s="2" t="n">
        <x:v>202505</x:v>
      </x:c>
      <x:c r="C401" s="2" t="str">
        <x:v>61091000</x:v>
      </x:c>
      <x:c r="D401" s="2" t="str">
        <x:v>Sri Lanka</x:v>
      </x:c>
      <x:c r="E401" s="2" t="n">
        <x:v>2254296</x:v>
      </x:c>
      <x:c r="F401" s="2" t="n">
        <x:v>194677</x:v>
      </x:c>
      <x:c r="G401" s="2" t="str">
        <x:v>WITHIN_BAND</x:v>
      </x:c>
      <x:c r="H401" s="2" t="n">
        <x:v>1</x:v>
      </x:c>
      <x:c r="I401" s="2"/>
      <x:c r="J401" s="2"/>
      <x:c r="K401" s="2"/>
      <x:c r="L401" s="2" t="n">
        <x:f>SUM(IF('Monthly_Data'!A57=A401,IF(ISBLANK('Monthly_Data'!A57)=ISBLANK(A401),0,1),1),IF('Monthly_Data'!B57=B401,IF(ISBLANK('Monthly_Data'!B57)=ISBLANK(B401),0,1),1),IF('Monthly_Data'!C57=C401,IF(ISBLANK('Monthly_Data'!C57)=ISBLANK(C401),0,1),1),IF('Monthly_Data'!D57=D401,IF(ISBLANK('Monthly_Data'!D57)=ISBLANK(D401),0,1),1),IF('Monthly_Data'!E57=E401,IF(ISBLANK('Monthly_Data'!E57)=ISBLANK(E401),0,1),1),IF('Monthly_Data'!F57=F401,IF(ISBLANK('Monthly_Data'!F57)=ISBLANK(F401),0,1),1),IF('Monthly_Data'!G57=G401,IF(ISBLANK('Monthly_Data'!G57)=ISBLANK(G401),0,1),1),IF('Monthly_Data'!H57=H401,IF(ISBLANK('Monthly_Data'!H57)=ISBLANK(H401),0,1),1))</x:f>
        <x:v>0</x:v>
      </x:c>
    </x:row>
    <x:row r="402" ht="23" customHeight="1">
      <x:c r="A402" s="2" t="str">
        <x:v>61091000_TR_202505_IMPORT</x:v>
      </x:c>
      <x:c r="B402" s="2" t="n">
        <x:v>202505</x:v>
      </x:c>
      <x:c r="C402" s="2" t="str">
        <x:v>61091000</x:v>
      </x:c>
      <x:c r="D402" s="2" t="str">
        <x:v>Turkey</x:v>
      </x:c>
      <x:c r="E402" s="2" t="n">
        <x:v>12270553</x:v>
      </x:c>
      <x:c r="F402" s="2" t="n">
        <x:v>498668</x:v>
      </x:c>
      <x:c r="G402" s="2" t="str">
        <x:v>WITHIN_BAND</x:v>
      </x:c>
      <x:c r="H402" s="2" t="n">
        <x:v>1</x:v>
      </x:c>
      <x:c r="I402" s="2"/>
      <x:c r="J402" s="2"/>
      <x:c r="K402" s="2"/>
      <x:c r="L402" s="2" t="n">
        <x:f>SUM(IF('Monthly_Data'!A58=A402,IF(ISBLANK('Monthly_Data'!A58)=ISBLANK(A402),0,1),1),IF('Monthly_Data'!B58=B402,IF(ISBLANK('Monthly_Data'!B58)=ISBLANK(B402),0,1),1),IF('Monthly_Data'!C58=C402,IF(ISBLANK('Monthly_Data'!C58)=ISBLANK(C402),0,1),1),IF('Monthly_Data'!D58=D402,IF(ISBLANK('Monthly_Data'!D58)=ISBLANK(D402),0,1),1),IF('Monthly_Data'!E58=E402,IF(ISBLANK('Monthly_Data'!E58)=ISBLANK(E402),0,1),1),IF('Monthly_Data'!F58=F402,IF(ISBLANK('Monthly_Data'!F58)=ISBLANK(F402),0,1),1),IF('Monthly_Data'!G58=G402,IF(ISBLANK('Monthly_Data'!G58)=ISBLANK(G402),0,1),1),IF('Monthly_Data'!H58=H402,IF(ISBLANK('Monthly_Data'!H58)=ISBLANK(H402),0,1),1))</x:f>
        <x:v>0</x:v>
      </x:c>
    </x:row>
    <x:row r="403" ht="23" customHeight="1">
      <x:c r="A403" s="2" t="str">
        <x:v>61091000_VN_202505_IMPORT</x:v>
      </x:c>
      <x:c r="B403" s="2" t="n">
        <x:v>202505</x:v>
      </x:c>
      <x:c r="C403" s="2" t="str">
        <x:v>61091000</x:v>
      </x:c>
      <x:c r="D403" s="2" t="str">
        <x:v>Vietnam</x:v>
      </x:c>
      <x:c r="E403" s="2" t="n">
        <x:v>2693973</x:v>
      </x:c>
      <x:c r="F403" s="2" t="n">
        <x:v>134827</x:v>
      </x:c>
      <x:c r="G403" s="2" t="str">
        <x:v>WITHIN_BAND</x:v>
      </x:c>
      <x:c r="H403" s="2" t="n">
        <x:v>1</x:v>
      </x:c>
      <x:c r="I403" s="2"/>
      <x:c r="J403" s="2"/>
      <x:c r="K403" s="2"/>
      <x:c r="L403" s="2" t="n">
        <x:f>SUM(IF('Monthly_Data'!A59=A403,IF(ISBLANK('Monthly_Data'!A59)=ISBLANK(A403),0,1),1),IF('Monthly_Data'!B59=B403,IF(ISBLANK('Monthly_Data'!B59)=ISBLANK(B403),0,1),1),IF('Monthly_Data'!C59=C403,IF(ISBLANK('Monthly_Data'!C59)=ISBLANK(C403),0,1),1),IF('Monthly_Data'!D59=D403,IF(ISBLANK('Monthly_Data'!D59)=ISBLANK(D403),0,1),1),IF('Monthly_Data'!E59=E403,IF(ISBLANK('Monthly_Data'!E59)=ISBLANK(E403),0,1),1),IF('Monthly_Data'!F59=F403,IF(ISBLANK('Monthly_Data'!F59)=ISBLANK(F403),0,1),1),IF('Monthly_Data'!G59=G403,IF(ISBLANK('Monthly_Data'!G59)=ISBLANK(G403),0,1),1),IF('Monthly_Data'!H59=H403,IF(ISBLANK('Monthly_Data'!H59)=ISBLANK(H403),0,1),1))</x:f>
        <x:v>0</x:v>
      </x:c>
    </x:row>
    <x:row r="404" ht="23" customHeight="1">
      <x:c r="A404" s="2" t="str">
        <x:v>61091000_WORLD_202505_IMPORT</x:v>
      </x:c>
      <x:c r="B404" s="2" t="n">
        <x:v>202505</x:v>
      </x:c>
      <x:c r="C404" s="2" t="str">
        <x:v>61091000</x:v>
      </x:c>
      <x:c r="D404" s="2" t="str">
        <x:v>World</x:v>
      </x:c>
      <x:c r="E404" s="2" t="n">
        <x:v>131665365</x:v>
      </x:c>
      <x:c r="F404" s="2" t="n">
        <x:v>11325525</x:v>
      </x:c>
      <x:c r="G404" s="2" t="str">
        <x:v>WITHIN_BAND</x:v>
      </x:c>
      <x:c r="H404" s="2" t="n">
        <x:v>1</x:v>
      </x:c>
      <x:c r="I404" s="2"/>
      <x:c r="J404" s="2"/>
      <x:c r="K404" s="2"/>
      <x:c r="L404" s="2" t="n">
        <x:f>SUM(IF('Monthly_Data'!A60=A404,IF(ISBLANK('Monthly_Data'!A60)=ISBLANK(A404),0,1),1),IF('Monthly_Data'!B60=B404,IF(ISBLANK('Monthly_Data'!B60)=ISBLANK(B404),0,1),1),IF('Monthly_Data'!C60=C404,IF(ISBLANK('Monthly_Data'!C60)=ISBLANK(C404),0,1),1),IF('Monthly_Data'!D60=D404,IF(ISBLANK('Monthly_Data'!D60)=ISBLANK(D404),0,1),1),IF('Monthly_Data'!E60=E404,IF(ISBLANK('Monthly_Data'!E60)=ISBLANK(E404),0,1),1),IF('Monthly_Data'!F60=F404,IF(ISBLANK('Monthly_Data'!F60)=ISBLANK(F404),0,1),1),IF('Monthly_Data'!G60=G404,IF(ISBLANK('Monthly_Data'!G60)=ISBLANK(G404),0,1),1),IF('Monthly_Data'!H60=H404,IF(ISBLANK('Monthly_Data'!H60)=ISBLANK(H404),0,1),1))</x:f>
        <x:v>0</x:v>
      </x:c>
    </x:row>
    <x:row r="405" ht="23" customHeight="1">
      <x:c r="A405" s="2" t="str">
        <x:v>61091000_BD_202506_IMPORT</x:v>
      </x:c>
      <x:c r="B405" s="2" t="n">
        <x:v>202506</x:v>
      </x:c>
      <x:c r="C405" s="2" t="str">
        <x:v>61091000</x:v>
      </x:c>
      <x:c r="D405" s="2" t="str">
        <x:v>Bangladesh</x:v>
      </x:c>
      <x:c r="E405" s="2" t="n">
        <x:v>38374659</x:v>
      </x:c>
      <x:c r="F405" s="2" t="n">
        <x:v>3942873</x:v>
      </x:c>
      <x:c r="G405" s="2" t="str">
        <x:v>WITHIN_BAND</x:v>
      </x:c>
      <x:c r="H405" s="2" t="n">
        <x:v>1</x:v>
      </x:c>
      <x:c r="I405" s="2"/>
      <x:c r="J405" s="2"/>
      <x:c r="K405" s="2"/>
      <x:c r="L405" s="2" t="n">
        <x:f>SUM(IF('Monthly_Data'!A61=A405,IF(ISBLANK('Monthly_Data'!A61)=ISBLANK(A405),0,1),1),IF('Monthly_Data'!B61=B405,IF(ISBLANK('Monthly_Data'!B61)=ISBLANK(B405),0,1),1),IF('Monthly_Data'!C61=C405,IF(ISBLANK('Monthly_Data'!C61)=ISBLANK(C405),0,1),1),IF('Monthly_Data'!D61=D405,IF(ISBLANK('Monthly_Data'!D61)=ISBLANK(D405),0,1),1),IF('Monthly_Data'!E61=E405,IF(ISBLANK('Monthly_Data'!E61)=ISBLANK(E405),0,1),1),IF('Monthly_Data'!F61=F405,IF(ISBLANK('Monthly_Data'!F61)=ISBLANK(F405),0,1),1),IF('Monthly_Data'!G61=G405,IF(ISBLANK('Monthly_Data'!G61)=ISBLANK(G405),0,1),1),IF('Monthly_Data'!H61=H405,IF(ISBLANK('Monthly_Data'!H61)=ISBLANK(H405),0,1),1))</x:f>
        <x:v>0</x:v>
      </x:c>
    </x:row>
    <x:row r="406" ht="23" customHeight="1">
      <x:c r="A406" s="2" t="str">
        <x:v>61091000_KH_202506_IMPORT</x:v>
      </x:c>
      <x:c r="B406" s="2" t="n">
        <x:v>202506</x:v>
      </x:c>
      <x:c r="C406" s="2" t="str">
        <x:v>61091000</x:v>
      </x:c>
      <x:c r="D406" s="2" t="str">
        <x:v>Cambodia</x:v>
      </x:c>
      <x:c r="E406" s="2" t="n">
        <x:v>432995</x:v>
      </x:c>
      <x:c r="F406" s="2" t="n">
        <x:v>18488</x:v>
      </x:c>
      <x:c r="G406" s="2" t="str">
        <x:v>WITHIN_BAND</x:v>
      </x:c>
      <x:c r="H406" s="2" t="n">
        <x:v>1</x:v>
      </x:c>
      <x:c r="I406" s="2"/>
      <x:c r="J406" s="2"/>
      <x:c r="K406" s="2"/>
      <x:c r="L406" s="2" t="n">
        <x:f>SUM(IF('Monthly_Data'!A62=A406,IF(ISBLANK('Monthly_Data'!A62)=ISBLANK(A406),0,1),1),IF('Monthly_Data'!B62=B406,IF(ISBLANK('Monthly_Data'!B62)=ISBLANK(B406),0,1),1),IF('Monthly_Data'!C62=C406,IF(ISBLANK('Monthly_Data'!C62)=ISBLANK(C406),0,1),1),IF('Monthly_Data'!D62=D406,IF(ISBLANK('Monthly_Data'!D62)=ISBLANK(D406),0,1),1),IF('Monthly_Data'!E62=E406,IF(ISBLANK('Monthly_Data'!E62)=ISBLANK(E406),0,1),1),IF('Monthly_Data'!F62=F406,IF(ISBLANK('Monthly_Data'!F62)=ISBLANK(F406),0,1),1),IF('Monthly_Data'!G62=G406,IF(ISBLANK('Monthly_Data'!G62)=ISBLANK(G406),0,1),1),IF('Monthly_Data'!H62=H406,IF(ISBLANK('Monthly_Data'!H62)=ISBLANK(H406),0,1),1))</x:f>
        <x:v>0</x:v>
      </x:c>
    </x:row>
    <x:row r="407" ht="23" customHeight="1">
      <x:c r="A407" s="2" t="str">
        <x:v>61091000_CN_202506_IMPORT</x:v>
      </x:c>
      <x:c r="B407" s="2" t="n">
        <x:v>202506</x:v>
      </x:c>
      <x:c r="C407" s="2" t="str">
        <x:v>61091000</x:v>
      </x:c>
      <x:c r="D407" s="2" t="str">
        <x:v>China</x:v>
      </x:c>
      <x:c r="E407" s="2" t="n">
        <x:v>3329222</x:v>
      </x:c>
      <x:c r="F407" s="2" t="n">
        <x:v>181905</x:v>
      </x:c>
      <x:c r="G407" s="2" t="str">
        <x:v>WITHIN_BAND</x:v>
      </x:c>
      <x:c r="H407" s="2" t="n">
        <x:v>1</x:v>
      </x:c>
      <x:c r="I407" s="2"/>
      <x:c r="J407" s="2"/>
      <x:c r="K407" s="2"/>
      <x:c r="L407" s="2" t="n">
        <x:f>SUM(IF('Monthly_Data'!A63=A407,IF(ISBLANK('Monthly_Data'!A63)=ISBLANK(A407),0,1),1),IF('Monthly_Data'!B63=B407,IF(ISBLANK('Monthly_Data'!B63)=ISBLANK(B407),0,1),1),IF('Monthly_Data'!C63=C407,IF(ISBLANK('Monthly_Data'!C63)=ISBLANK(C407),0,1),1),IF('Monthly_Data'!D63=D407,IF(ISBLANK('Monthly_Data'!D63)=ISBLANK(D407),0,1),1),IF('Monthly_Data'!E63=E407,IF(ISBLANK('Monthly_Data'!E63)=ISBLANK(E407),0,1),1),IF('Monthly_Data'!F63=F407,IF(ISBLANK('Monthly_Data'!F63)=ISBLANK(F407),0,1),1),IF('Monthly_Data'!G63=G407,IF(ISBLANK('Monthly_Data'!G63)=ISBLANK(G407),0,1),1),IF('Monthly_Data'!H63=H407,IF(ISBLANK('Monthly_Data'!H63)=ISBLANK(H407),0,1),1))</x:f>
        <x:v>0</x:v>
      </x:c>
    </x:row>
    <x:row r="408" ht="23" customHeight="1">
      <x:c r="A408" s="2" t="str">
        <x:v>61091000_IN_202506_IMPORT</x:v>
      </x:c>
      <x:c r="B408" s="2" t="n">
        <x:v>202506</x:v>
      </x:c>
      <x:c r="C408" s="2" t="str">
        <x:v>61091000</x:v>
      </x:c>
      <x:c r="D408" s="2" t="str">
        <x:v>India</x:v>
      </x:c>
      <x:c r="E408" s="2" t="n">
        <x:v>9996136</x:v>
      </x:c>
      <x:c r="F408" s="2" t="n">
        <x:v>801827</x:v>
      </x:c>
      <x:c r="G408" s="2" t="str">
        <x:v>WITHIN_BAND</x:v>
      </x:c>
      <x:c r="H408" s="2" t="n">
        <x:v>1</x:v>
      </x:c>
      <x:c r="I408" s="2"/>
      <x:c r="J408" s="2"/>
      <x:c r="K408" s="2"/>
      <x:c r="L408" s="2" t="n">
        <x:f>SUM(IF('Monthly_Data'!A64=A408,IF(ISBLANK('Monthly_Data'!A64)=ISBLANK(A408),0,1),1),IF('Monthly_Data'!B64=B408,IF(ISBLANK('Monthly_Data'!B64)=ISBLANK(B408),0,1),1),IF('Monthly_Data'!C64=C408,IF(ISBLANK('Monthly_Data'!C64)=ISBLANK(C408),0,1),1),IF('Monthly_Data'!D64=D408,IF(ISBLANK('Monthly_Data'!D64)=ISBLANK(D408),0,1),1),IF('Monthly_Data'!E64=E408,IF(ISBLANK('Monthly_Data'!E64)=ISBLANK(E408),0,1),1),IF('Monthly_Data'!F64=F408,IF(ISBLANK('Monthly_Data'!F64)=ISBLANK(F408),0,1),1),IF('Monthly_Data'!G64=G408,IF(ISBLANK('Monthly_Data'!G64)=ISBLANK(G408),0,1),1),IF('Monthly_Data'!H64=H408,IF(ISBLANK('Monthly_Data'!H64)=ISBLANK(H408),0,1),1))</x:f>
        <x:v>0</x:v>
      </x:c>
    </x:row>
    <x:row r="409" ht="23" customHeight="1">
      <x:c r="A409" s="2" t="str">
        <x:v>61091000_MA_202506_IMPORT</x:v>
      </x:c>
      <x:c r="B409" s="2" t="n">
        <x:v>202506</x:v>
      </x:c>
      <x:c r="C409" s="2" t="str">
        <x:v>61091000</x:v>
      </x:c>
      <x:c r="D409" s="2" t="str">
        <x:v>Morocco</x:v>
      </x:c>
      <x:c r="E409" s="2" t="n">
        <x:v>601598</x:v>
      </x:c>
      <x:c r="F409" s="2" t="n">
        <x:v>48151</x:v>
      </x:c>
      <x:c r="G409" s="2" t="str">
        <x:v>WITHIN_BAND</x:v>
      </x:c>
      <x:c r="H409" s="2" t="n">
        <x:v>1</x:v>
      </x:c>
      <x:c r="I409" s="2"/>
      <x:c r="J409" s="2"/>
      <x:c r="K409" s="2"/>
      <x:c r="L409" s="2" t="n">
        <x:f>SUM(IF('Monthly_Data'!A65=A409,IF(ISBLANK('Monthly_Data'!A65)=ISBLANK(A409),0,1),1),IF('Monthly_Data'!B65=B409,IF(ISBLANK('Monthly_Data'!B65)=ISBLANK(B409),0,1),1),IF('Monthly_Data'!C65=C409,IF(ISBLANK('Monthly_Data'!C65)=ISBLANK(C409),0,1),1),IF('Monthly_Data'!D65=D409,IF(ISBLANK('Monthly_Data'!D65)=ISBLANK(D409),0,1),1),IF('Monthly_Data'!E65=E409,IF(ISBLANK('Monthly_Data'!E65)=ISBLANK(E409),0,1),1),IF('Monthly_Data'!F65=F409,IF(ISBLANK('Monthly_Data'!F65)=ISBLANK(F409),0,1),1),IF('Monthly_Data'!G65=G409,IF(ISBLANK('Monthly_Data'!G65)=ISBLANK(G409),0,1),1),IF('Monthly_Data'!H65=H409,IF(ISBLANK('Monthly_Data'!H65)=ISBLANK(H409),0,1),1))</x:f>
        <x:v>0</x:v>
      </x:c>
    </x:row>
    <x:row r="410" ht="23" customHeight="1">
      <x:c r="A410" s="2" t="str">
        <x:v>61091000_MM_202506_IMPORT</x:v>
      </x:c>
      <x:c r="B410" s="2" t="n">
        <x:v>202506</x:v>
      </x:c>
      <x:c r="C410" s="2" t="str">
        <x:v>61091000</x:v>
      </x:c>
      <x:c r="D410" s="2" t="str">
        <x:v>Myanmar</x:v>
      </x:c>
      <x:c r="E410" s="2" t="n">
        <x:v>73983</x:v>
      </x:c>
      <x:c r="F410" s="2" t="n">
        <x:v>6308</x:v>
      </x:c>
      <x:c r="G410" s="2" t="str">
        <x:v>WITHIN_BAND</x:v>
      </x:c>
      <x:c r="H410" s="2" t="n">
        <x:v>1</x:v>
      </x:c>
      <x:c r="I410" s="2"/>
      <x:c r="J410" s="2"/>
      <x:c r="K410" s="2"/>
      <x:c r="L410" s="2" t="n">
        <x:f>SUM(IF('Monthly_Data'!A66=A410,IF(ISBLANK('Monthly_Data'!A66)=ISBLANK(A410),0,1),1),IF('Monthly_Data'!B66=B410,IF(ISBLANK('Monthly_Data'!B66)=ISBLANK(B410),0,1),1),IF('Monthly_Data'!C66=C410,IF(ISBLANK('Monthly_Data'!C66)=ISBLANK(C410),0,1),1),IF('Monthly_Data'!D66=D410,IF(ISBLANK('Monthly_Data'!D66)=ISBLANK(D410),0,1),1),IF('Monthly_Data'!E66=E410,IF(ISBLANK('Monthly_Data'!E66)=ISBLANK(E410),0,1),1),IF('Monthly_Data'!F66=F410,IF(ISBLANK('Monthly_Data'!F66)=ISBLANK(F410),0,1),1),IF('Monthly_Data'!G66=G410,IF(ISBLANK('Monthly_Data'!G66)=ISBLANK(G410),0,1),1),IF('Monthly_Data'!H66=H410,IF(ISBLANK('Monthly_Data'!H66)=ISBLANK(H410),0,1),1))</x:f>
        <x:v>0</x:v>
      </x:c>
    </x:row>
    <x:row r="411" ht="23" customHeight="1">
      <x:c r="A411" s="2" t="str">
        <x:v>61091000_PK_202506_IMPORT</x:v>
      </x:c>
      <x:c r="B411" s="2" t="n">
        <x:v>202506</x:v>
      </x:c>
      <x:c r="C411" s="2" t="str">
        <x:v>61091000</x:v>
      </x:c>
      <x:c r="D411" s="2" t="str">
        <x:v>Pakistan</x:v>
      </x:c>
      <x:c r="E411" s="2" t="n">
        <x:v>3623560</x:v>
      </x:c>
      <x:c r="F411" s="2" t="n">
        <x:v>1912801</x:v>
      </x:c>
      <x:c r="G411" s="2" t="str">
        <x:v>REVIEW</x:v>
      </x:c>
      <x:c r="H411" s="2" t="n">
        <x:v>1</x:v>
      </x:c>
      <x:c r="I411" s="2"/>
      <x:c r="J411" s="2"/>
      <x:c r="K411" s="2"/>
      <x:c r="L411" s="2" t="n">
        <x:f>SUM(IF('Monthly_Data'!A67=A411,IF(ISBLANK('Monthly_Data'!A67)=ISBLANK(A411),0,1),1),IF('Monthly_Data'!B67=B411,IF(ISBLANK('Monthly_Data'!B67)=ISBLANK(B411),0,1),1),IF('Monthly_Data'!C67=C411,IF(ISBLANK('Monthly_Data'!C67)=ISBLANK(C411),0,1),1),IF('Monthly_Data'!D67=D411,IF(ISBLANK('Monthly_Data'!D67)=ISBLANK(D411),0,1),1),IF('Monthly_Data'!E67=E411,IF(ISBLANK('Monthly_Data'!E67)=ISBLANK(E411),0,1),1),IF('Monthly_Data'!F67=F411,IF(ISBLANK('Monthly_Data'!F67)=ISBLANK(F411),0,1),1),IF('Monthly_Data'!G67=G411,IF(ISBLANK('Monthly_Data'!G67)=ISBLANK(G411),0,1),1),IF('Monthly_Data'!H67=H411,IF(ISBLANK('Monthly_Data'!H67)=ISBLANK(H411),0,1),1))</x:f>
        <x:v>0</x:v>
      </x:c>
    </x:row>
    <x:row r="412" ht="23" customHeight="1">
      <x:c r="A412" s="2" t="str">
        <x:v>61091000_LK_202506_IMPORT</x:v>
      </x:c>
      <x:c r="B412" s="2" t="n">
        <x:v>202506</x:v>
      </x:c>
      <x:c r="C412" s="2" t="str">
        <x:v>61091000</x:v>
      </x:c>
      <x:c r="D412" s="2" t="str">
        <x:v>Sri Lanka</x:v>
      </x:c>
      <x:c r="E412" s="2" t="n">
        <x:v>1725990</x:v>
      </x:c>
      <x:c r="F412" s="2" t="n">
        <x:v>177578</x:v>
      </x:c>
      <x:c r="G412" s="2" t="str">
        <x:v>WITHIN_BAND</x:v>
      </x:c>
      <x:c r="H412" s="2" t="n">
        <x:v>1</x:v>
      </x:c>
      <x:c r="I412" s="2"/>
      <x:c r="J412" s="2"/>
      <x:c r="K412" s="2"/>
      <x:c r="L412" s="2" t="n">
        <x:f>SUM(IF('Monthly_Data'!A68=A412,IF(ISBLANK('Monthly_Data'!A68)=ISBLANK(A412),0,1),1),IF('Monthly_Data'!B68=B412,IF(ISBLANK('Monthly_Data'!B68)=ISBLANK(B412),0,1),1),IF('Monthly_Data'!C68=C412,IF(ISBLANK('Monthly_Data'!C68)=ISBLANK(C412),0,1),1),IF('Monthly_Data'!D68=D412,IF(ISBLANK('Monthly_Data'!D68)=ISBLANK(D412),0,1),1),IF('Monthly_Data'!E68=E412,IF(ISBLANK('Monthly_Data'!E68)=ISBLANK(E412),0,1),1),IF('Monthly_Data'!F68=F412,IF(ISBLANK('Monthly_Data'!F68)=ISBLANK(F412),0,1),1),IF('Monthly_Data'!G68=G412,IF(ISBLANK('Monthly_Data'!G68)=ISBLANK(G412),0,1),1),IF('Monthly_Data'!H68=H412,IF(ISBLANK('Monthly_Data'!H68)=ISBLANK(H412),0,1),1))</x:f>
        <x:v>0</x:v>
      </x:c>
    </x:row>
    <x:row r="413" ht="23" customHeight="1">
      <x:c r="A413" s="2" t="str">
        <x:v>61091000_TR_202506_IMPORT</x:v>
      </x:c>
      <x:c r="B413" s="2" t="n">
        <x:v>202506</x:v>
      </x:c>
      <x:c r="C413" s="2" t="str">
        <x:v>61091000</x:v>
      </x:c>
      <x:c r="D413" s="2" t="str">
        <x:v>Turkey</x:v>
      </x:c>
      <x:c r="E413" s="2" t="n">
        <x:v>11238763</x:v>
      </x:c>
      <x:c r="F413" s="2" t="n">
        <x:v>467817</x:v>
      </x:c>
      <x:c r="G413" s="2" t="str">
        <x:v>WITHIN_BAND</x:v>
      </x:c>
      <x:c r="H413" s="2" t="n">
        <x:v>1</x:v>
      </x:c>
      <x:c r="I413" s="2"/>
      <x:c r="J413" s="2"/>
      <x:c r="K413" s="2"/>
      <x:c r="L413" s="2" t="n">
        <x:f>SUM(IF('Monthly_Data'!A69=A413,IF(ISBLANK('Monthly_Data'!A69)=ISBLANK(A413),0,1),1),IF('Monthly_Data'!B69=B413,IF(ISBLANK('Monthly_Data'!B69)=ISBLANK(B413),0,1),1),IF('Monthly_Data'!C69=C413,IF(ISBLANK('Monthly_Data'!C69)=ISBLANK(C413),0,1),1),IF('Monthly_Data'!D69=D413,IF(ISBLANK('Monthly_Data'!D69)=ISBLANK(D413),0,1),1),IF('Monthly_Data'!E69=E413,IF(ISBLANK('Monthly_Data'!E69)=ISBLANK(E413),0,1),1),IF('Monthly_Data'!F69=F413,IF(ISBLANK('Monthly_Data'!F69)=ISBLANK(F413),0,1),1),IF('Monthly_Data'!G69=G413,IF(ISBLANK('Monthly_Data'!G69)=ISBLANK(G413),0,1),1),IF('Monthly_Data'!H69=H413,IF(ISBLANK('Monthly_Data'!H69)=ISBLANK(H413),0,1),1))</x:f>
        <x:v>0</x:v>
      </x:c>
    </x:row>
    <x:row r="414" ht="23" customHeight="1">
      <x:c r="A414" s="2" t="str">
        <x:v>61091000_VN_202506_IMPORT</x:v>
      </x:c>
      <x:c r="B414" s="2" t="n">
        <x:v>202506</x:v>
      </x:c>
      <x:c r="C414" s="2" t="str">
        <x:v>61091000</x:v>
      </x:c>
      <x:c r="D414" s="2" t="str">
        <x:v>Vietnam</x:v>
      </x:c>
      <x:c r="E414" s="2" t="n">
        <x:v>2934932</x:v>
      </x:c>
      <x:c r="F414" s="2" t="n">
        <x:v>146776</x:v>
      </x:c>
      <x:c r="G414" s="2" t="str">
        <x:v>WITHIN_BAND</x:v>
      </x:c>
      <x:c r="H414" s="2" t="n">
        <x:v>1</x:v>
      </x:c>
      <x:c r="I414" s="2"/>
      <x:c r="J414" s="2"/>
      <x:c r="K414" s="2"/>
      <x:c r="L414" s="2" t="n">
        <x:f>SUM(IF('Monthly_Data'!A70=A414,IF(ISBLANK('Monthly_Data'!A70)=ISBLANK(A414),0,1),1),IF('Monthly_Data'!B70=B414,IF(ISBLANK('Monthly_Data'!B70)=ISBLANK(B414),0,1),1),IF('Monthly_Data'!C70=C414,IF(ISBLANK('Monthly_Data'!C70)=ISBLANK(C414),0,1),1),IF('Monthly_Data'!D70=D414,IF(ISBLANK('Monthly_Data'!D70)=ISBLANK(D414),0,1),1),IF('Monthly_Data'!E70=E414,IF(ISBLANK('Monthly_Data'!E70)=ISBLANK(E414),0,1),1),IF('Monthly_Data'!F70=F414,IF(ISBLANK('Monthly_Data'!F70)=ISBLANK(F414),0,1),1),IF('Monthly_Data'!G70=G414,IF(ISBLANK('Monthly_Data'!G70)=ISBLANK(G414),0,1),1),IF('Monthly_Data'!H70=H414,IF(ISBLANK('Monthly_Data'!H70)=ISBLANK(H414),0,1),1))</x:f>
        <x:v>0</x:v>
      </x:c>
    </x:row>
    <x:row r="415" ht="23" customHeight="1">
      <x:c r="A415" s="2" t="str">
        <x:v>61091000_WORLD_202506_IMPORT</x:v>
      </x:c>
      <x:c r="B415" s="2" t="n">
        <x:v>202506</x:v>
      </x:c>
      <x:c r="C415" s="2" t="str">
        <x:v>61091000</x:v>
      </x:c>
      <x:c r="D415" s="2" t="str">
        <x:v>World</x:v>
      </x:c>
      <x:c r="E415" s="2" t="n">
        <x:v>111578798</x:v>
      </x:c>
      <x:c r="F415" s="2" t="n">
        <x:v>9678731</x:v>
      </x:c>
      <x:c r="G415" s="2" t="str">
        <x:v>WITHIN_BAND</x:v>
      </x:c>
      <x:c r="H415" s="2" t="n">
        <x:v>1</x:v>
      </x:c>
      <x:c r="I415" s="2"/>
      <x:c r="J415" s="2"/>
      <x:c r="K415" s="2"/>
      <x:c r="L415" s="2" t="n">
        <x:f>SUM(IF('Monthly_Data'!A71=A415,IF(ISBLANK('Monthly_Data'!A71)=ISBLANK(A415),0,1),1),IF('Monthly_Data'!B71=B415,IF(ISBLANK('Monthly_Data'!B71)=ISBLANK(B415),0,1),1),IF('Monthly_Data'!C71=C415,IF(ISBLANK('Monthly_Data'!C71)=ISBLANK(C415),0,1),1),IF('Monthly_Data'!D71=D415,IF(ISBLANK('Monthly_Data'!D71)=ISBLANK(D415),0,1),1),IF('Monthly_Data'!E71=E415,IF(ISBLANK('Monthly_Data'!E71)=ISBLANK(E415),0,1),1),IF('Monthly_Data'!F71=F415,IF(ISBLANK('Monthly_Data'!F71)=ISBLANK(F415),0,1),1),IF('Monthly_Data'!G71=G415,IF(ISBLANK('Monthly_Data'!G71)=ISBLANK(G415),0,1),1),IF('Monthly_Data'!H71=H415,IF(ISBLANK('Monthly_Data'!H71)=ISBLANK(H415),0,1),1))</x:f>
        <x:v>0</x:v>
      </x:c>
    </x:row>
    <x:row r="416" ht="23" customHeight="1">
      <x:c r="A416" s="2" t="str">
        <x:v>61091000_BD_202507_IMPORT</x:v>
      </x:c>
      <x:c r="B416" s="2" t="n">
        <x:v>202507</x:v>
      </x:c>
      <x:c r="C416" s="2" t="str">
        <x:v>61091000</x:v>
      </x:c>
      <x:c r="D416" s="2" t="str">
        <x:v>Bangladesh</x:v>
      </x:c>
      <x:c r="E416" s="2" t="n">
        <x:v>39076567</x:v>
      </x:c>
      <x:c r="F416" s="2" t="n">
        <x:v>3842620</x:v>
      </x:c>
      <x:c r="G416" s="2" t="str">
        <x:v>WITHIN_BAND</x:v>
      </x:c>
      <x:c r="H416" s="2" t="n">
        <x:v>1</x:v>
      </x:c>
      <x:c r="I416" s="2"/>
      <x:c r="J416" s="2"/>
      <x:c r="K416" s="2"/>
      <x:c r="L416" s="2" t="n">
        <x:f>SUM(IF('Monthly_Data'!A72=A416,IF(ISBLANK('Monthly_Data'!A72)=ISBLANK(A416),0,1),1),IF('Monthly_Data'!B72=B416,IF(ISBLANK('Monthly_Data'!B72)=ISBLANK(B416),0,1),1),IF('Monthly_Data'!C72=C416,IF(ISBLANK('Monthly_Data'!C72)=ISBLANK(C416),0,1),1),IF('Monthly_Data'!D72=D416,IF(ISBLANK('Monthly_Data'!D72)=ISBLANK(D416),0,1),1),IF('Monthly_Data'!E72=E416,IF(ISBLANK('Monthly_Data'!E72)=ISBLANK(E416),0,1),1),IF('Monthly_Data'!F72=F416,IF(ISBLANK('Monthly_Data'!F72)=ISBLANK(F416),0,1),1),IF('Monthly_Data'!G72=G416,IF(ISBLANK('Monthly_Data'!G72)=ISBLANK(G416),0,1),1),IF('Monthly_Data'!H72=H416,IF(ISBLANK('Monthly_Data'!H72)=ISBLANK(H416),0,1),1))</x:f>
        <x:v>0</x:v>
      </x:c>
    </x:row>
    <x:row r="417" ht="23" customHeight="1">
      <x:c r="A417" s="2" t="str">
        <x:v>61091000_KH_202507_IMPORT</x:v>
      </x:c>
      <x:c r="B417" s="2" t="n">
        <x:v>202507</x:v>
      </x:c>
      <x:c r="C417" s="2" t="str">
        <x:v>61091000</x:v>
      </x:c>
      <x:c r="D417" s="2" t="str">
        <x:v>Cambodia</x:v>
      </x:c>
      <x:c r="E417" s="2" t="n">
        <x:v>521047</x:v>
      </x:c>
      <x:c r="F417" s="2" t="n">
        <x:v>27574</x:v>
      </x:c>
      <x:c r="G417" s="2" t="str">
        <x:v>WITHIN_BAND</x:v>
      </x:c>
      <x:c r="H417" s="2" t="n">
        <x:v>1</x:v>
      </x:c>
      <x:c r="I417" s="2"/>
      <x:c r="J417" s="2"/>
      <x:c r="K417" s="2"/>
      <x:c r="L417" s="2" t="n">
        <x:f>SUM(IF('Monthly_Data'!A73=A417,IF(ISBLANK('Monthly_Data'!A73)=ISBLANK(A417),0,1),1),IF('Monthly_Data'!B73=B417,IF(ISBLANK('Monthly_Data'!B73)=ISBLANK(B417),0,1),1),IF('Monthly_Data'!C73=C417,IF(ISBLANK('Monthly_Data'!C73)=ISBLANK(C417),0,1),1),IF('Monthly_Data'!D73=D417,IF(ISBLANK('Monthly_Data'!D73)=ISBLANK(D417),0,1),1),IF('Monthly_Data'!E73=E417,IF(ISBLANK('Monthly_Data'!E73)=ISBLANK(E417),0,1),1),IF('Monthly_Data'!F73=F417,IF(ISBLANK('Monthly_Data'!F73)=ISBLANK(F417),0,1),1),IF('Monthly_Data'!G73=G417,IF(ISBLANK('Monthly_Data'!G73)=ISBLANK(G417),0,1),1),IF('Monthly_Data'!H73=H417,IF(ISBLANK('Monthly_Data'!H73)=ISBLANK(H417),0,1),1))</x:f>
        <x:v>0</x:v>
      </x:c>
    </x:row>
    <x:row r="418" ht="23" customHeight="1">
      <x:c r="A418" s="2" t="str">
        <x:v>61091000_CN_202507_IMPORT</x:v>
      </x:c>
      <x:c r="B418" s="2" t="n">
        <x:v>202507</x:v>
      </x:c>
      <x:c r="C418" s="2" t="str">
        <x:v>61091000</x:v>
      </x:c>
      <x:c r="D418" s="2" t="str">
        <x:v>China</x:v>
      </x:c>
      <x:c r="E418" s="2" t="n">
        <x:v>3560001</x:v>
      </x:c>
      <x:c r="F418" s="2" t="n">
        <x:v>185715</x:v>
      </x:c>
      <x:c r="G418" s="2" t="str">
        <x:v>WITHIN_BAND</x:v>
      </x:c>
      <x:c r="H418" s="2" t="n">
        <x:v>1</x:v>
      </x:c>
      <x:c r="I418" s="2"/>
      <x:c r="J418" s="2"/>
      <x:c r="K418" s="2"/>
      <x:c r="L418" s="2" t="n">
        <x:f>SUM(IF('Monthly_Data'!A74=A418,IF(ISBLANK('Monthly_Data'!A74)=ISBLANK(A418),0,1),1),IF('Monthly_Data'!B74=B418,IF(ISBLANK('Monthly_Data'!B74)=ISBLANK(B418),0,1),1),IF('Monthly_Data'!C74=C418,IF(ISBLANK('Monthly_Data'!C74)=ISBLANK(C418),0,1),1),IF('Monthly_Data'!D74=D418,IF(ISBLANK('Monthly_Data'!D74)=ISBLANK(D418),0,1),1),IF('Monthly_Data'!E74=E418,IF(ISBLANK('Monthly_Data'!E74)=ISBLANK(E418),0,1),1),IF('Monthly_Data'!F74=F418,IF(ISBLANK('Monthly_Data'!F74)=ISBLANK(F418),0,1),1),IF('Monthly_Data'!G74=G418,IF(ISBLANK('Monthly_Data'!G74)=ISBLANK(G418),0,1),1),IF('Monthly_Data'!H74=H418,IF(ISBLANK('Monthly_Data'!H74)=ISBLANK(H418),0,1),1))</x:f>
        <x:v>0</x:v>
      </x:c>
    </x:row>
    <x:row r="419" ht="23" customHeight="1">
      <x:c r="A419" s="2" t="str">
        <x:v>61091000_IN_202507_IMPORT</x:v>
      </x:c>
      <x:c r="B419" s="2" t="n">
        <x:v>202507</x:v>
      </x:c>
      <x:c r="C419" s="2" t="str">
        <x:v>61091000</x:v>
      </x:c>
      <x:c r="D419" s="2" t="str">
        <x:v>India</x:v>
      </x:c>
      <x:c r="E419" s="2" t="n">
        <x:v>9892531</x:v>
      </x:c>
      <x:c r="F419" s="2" t="n">
        <x:v>797886</x:v>
      </x:c>
      <x:c r="G419" s="2" t="str">
        <x:v>WITHIN_BAND</x:v>
      </x:c>
      <x:c r="H419" s="2" t="n">
        <x:v>1</x:v>
      </x:c>
      <x:c r="I419" s="2"/>
      <x:c r="J419" s="2"/>
      <x:c r="K419" s="2"/>
      <x:c r="L419" s="2" t="n">
        <x:f>SUM(IF('Monthly_Data'!A75=A419,IF(ISBLANK('Monthly_Data'!A75)=ISBLANK(A419),0,1),1),IF('Monthly_Data'!B75=B419,IF(ISBLANK('Monthly_Data'!B75)=ISBLANK(B419),0,1),1),IF('Monthly_Data'!C75=C419,IF(ISBLANK('Monthly_Data'!C75)=ISBLANK(C419),0,1),1),IF('Monthly_Data'!D75=D419,IF(ISBLANK('Monthly_Data'!D75)=ISBLANK(D419),0,1),1),IF('Monthly_Data'!E75=E419,IF(ISBLANK('Monthly_Data'!E75)=ISBLANK(E419),0,1),1),IF('Monthly_Data'!F75=F419,IF(ISBLANK('Monthly_Data'!F75)=ISBLANK(F419),0,1),1),IF('Monthly_Data'!G75=G419,IF(ISBLANK('Monthly_Data'!G75)=ISBLANK(G419),0,1),1),IF('Monthly_Data'!H75=H419,IF(ISBLANK('Monthly_Data'!H75)=ISBLANK(H419),0,1),1))</x:f>
        <x:v>0</x:v>
      </x:c>
    </x:row>
    <x:row r="420" ht="23" customHeight="1">
      <x:c r="A420" s="2" t="str">
        <x:v>61091000_MA_202507_IMPORT</x:v>
      </x:c>
      <x:c r="B420" s="2" t="n">
        <x:v>202507</x:v>
      </x:c>
      <x:c r="C420" s="2" t="str">
        <x:v>61091000</x:v>
      </x:c>
      <x:c r="D420" s="2" t="str">
        <x:v>Morocco</x:v>
      </x:c>
      <x:c r="E420" s="2" t="n">
        <x:v>621854</x:v>
      </x:c>
      <x:c r="F420" s="2" t="n">
        <x:v>31591</x:v>
      </x:c>
      <x:c r="G420" s="2" t="str">
        <x:v>REVIEW</x:v>
      </x:c>
      <x:c r="H420" s="2" t="n">
        <x:v>1</x:v>
      </x:c>
      <x:c r="I420" s="2"/>
      <x:c r="J420" s="2"/>
      <x:c r="K420" s="2"/>
      <x:c r="L420" s="2" t="n">
        <x:f>SUM(IF('Monthly_Data'!A76=A420,IF(ISBLANK('Monthly_Data'!A76)=ISBLANK(A420),0,1),1),IF('Monthly_Data'!B76=B420,IF(ISBLANK('Monthly_Data'!B76)=ISBLANK(B420),0,1),1),IF('Monthly_Data'!C76=C420,IF(ISBLANK('Monthly_Data'!C76)=ISBLANK(C420),0,1),1),IF('Monthly_Data'!D76=D420,IF(ISBLANK('Monthly_Data'!D76)=ISBLANK(D420),0,1),1),IF('Monthly_Data'!E76=E420,IF(ISBLANK('Monthly_Data'!E76)=ISBLANK(E420),0,1),1),IF('Monthly_Data'!F76=F420,IF(ISBLANK('Monthly_Data'!F76)=ISBLANK(F420),0,1),1),IF('Monthly_Data'!G76=G420,IF(ISBLANK('Monthly_Data'!G76)=ISBLANK(G420),0,1),1),IF('Monthly_Data'!H76=H420,IF(ISBLANK('Monthly_Data'!H76)=ISBLANK(H420),0,1),1))</x:f>
        <x:v>0</x:v>
      </x:c>
    </x:row>
    <x:row r="421" ht="23" customHeight="1">
      <x:c r="A421" s="2" t="str">
        <x:v>61091000_MM_202507_IMPORT</x:v>
      </x:c>
      <x:c r="B421" s="2" t="n">
        <x:v>202507</x:v>
      </x:c>
      <x:c r="C421" s="2" t="str">
        <x:v>61091000</x:v>
      </x:c>
      <x:c r="D421" s="2" t="str">
        <x:v>Myanmar</x:v>
      </x:c>
      <x:c r="E421" s="2" t="n">
        <x:v>17154</x:v>
      </x:c>
      <x:c r="F421" s="2" t="n">
        <x:v>843</x:v>
      </x:c>
      <x:c r="G421" s="2" t="str">
        <x:v>WITHIN_BAND</x:v>
      </x:c>
      <x:c r="H421" s="2" t="n">
        <x:v>1</x:v>
      </x:c>
      <x:c r="I421" s="2"/>
      <x:c r="J421" s="2"/>
      <x:c r="K421" s="2"/>
      <x:c r="L421" s="2" t="n">
        <x:f>SUM(IF('Monthly_Data'!A77=A421,IF(ISBLANK('Monthly_Data'!A77)=ISBLANK(A421),0,1),1),IF('Monthly_Data'!B77=B421,IF(ISBLANK('Monthly_Data'!B77)=ISBLANK(B421),0,1),1),IF('Monthly_Data'!C77=C421,IF(ISBLANK('Monthly_Data'!C77)=ISBLANK(C421),0,1),1),IF('Monthly_Data'!D77=D421,IF(ISBLANK('Monthly_Data'!D77)=ISBLANK(D421),0,1),1),IF('Monthly_Data'!E77=E421,IF(ISBLANK('Monthly_Data'!E77)=ISBLANK(E421),0,1),1),IF('Monthly_Data'!F77=F421,IF(ISBLANK('Monthly_Data'!F77)=ISBLANK(F421),0,1),1),IF('Monthly_Data'!G77=G421,IF(ISBLANK('Monthly_Data'!G77)=ISBLANK(G421),0,1),1),IF('Monthly_Data'!H77=H421,IF(ISBLANK('Monthly_Data'!H77)=ISBLANK(H421),0,1),1))</x:f>
        <x:v>0</x:v>
      </x:c>
    </x:row>
    <x:row r="422" ht="23" customHeight="1">
      <x:c r="A422" s="2" t="str">
        <x:v>61091000_PK_202507_IMPORT</x:v>
      </x:c>
      <x:c r="B422" s="2" t="n">
        <x:v>202507</x:v>
      </x:c>
      <x:c r="C422" s="2" t="str">
        <x:v>61091000</x:v>
      </x:c>
      <x:c r="D422" s="2" t="str">
        <x:v>Pakistan</x:v>
      </x:c>
      <x:c r="E422" s="2" t="n">
        <x:v>3981108</x:v>
      </x:c>
      <x:c r="F422" s="2" t="n">
        <x:v>1371785</x:v>
      </x:c>
      <x:c r="G422" s="2" t="str">
        <x:v>REVIEW</x:v>
      </x:c>
      <x:c r="H422" s="2" t="n">
        <x:v>1</x:v>
      </x:c>
      <x:c r="I422" s="2"/>
      <x:c r="J422" s="2"/>
      <x:c r="K422" s="2"/>
      <x:c r="L422" s="2" t="n">
        <x:f>SUM(IF('Monthly_Data'!A78=A422,IF(ISBLANK('Monthly_Data'!A78)=ISBLANK(A422),0,1),1),IF('Monthly_Data'!B78=B422,IF(ISBLANK('Monthly_Data'!B78)=ISBLANK(B422),0,1),1),IF('Monthly_Data'!C78=C422,IF(ISBLANK('Monthly_Data'!C78)=ISBLANK(C422),0,1),1),IF('Monthly_Data'!D78=D422,IF(ISBLANK('Monthly_Data'!D78)=ISBLANK(D422),0,1),1),IF('Monthly_Data'!E78=E422,IF(ISBLANK('Monthly_Data'!E78)=ISBLANK(E422),0,1),1),IF('Monthly_Data'!F78=F422,IF(ISBLANK('Monthly_Data'!F78)=ISBLANK(F422),0,1),1),IF('Monthly_Data'!G78=G422,IF(ISBLANK('Monthly_Data'!G78)=ISBLANK(G422),0,1),1),IF('Monthly_Data'!H78=H422,IF(ISBLANK('Monthly_Data'!H78)=ISBLANK(H422),0,1),1))</x:f>
        <x:v>0</x:v>
      </x:c>
    </x:row>
    <x:row r="423" ht="23" customHeight="1">
      <x:c r="A423" s="2" t="str">
        <x:v>61091000_LK_202507_IMPORT</x:v>
      </x:c>
      <x:c r="B423" s="2" t="n">
        <x:v>202507</x:v>
      </x:c>
      <x:c r="C423" s="2" t="str">
        <x:v>61091000</x:v>
      </x:c>
      <x:c r="D423" s="2" t="str">
        <x:v>Sri Lanka</x:v>
      </x:c>
      <x:c r="E423" s="2" t="n">
        <x:v>2150880</x:v>
      </x:c>
      <x:c r="F423" s="2" t="n">
        <x:v>203890</x:v>
      </x:c>
      <x:c r="G423" s="2" t="str">
        <x:v>WITHIN_BAND</x:v>
      </x:c>
      <x:c r="H423" s="2" t="n">
        <x:v>1</x:v>
      </x:c>
      <x:c r="I423" s="2"/>
      <x:c r="J423" s="2"/>
      <x:c r="K423" s="2"/>
      <x:c r="L423" s="2" t="n">
        <x:f>SUM(IF('Monthly_Data'!A79=A423,IF(ISBLANK('Monthly_Data'!A79)=ISBLANK(A423),0,1),1),IF('Monthly_Data'!B79=B423,IF(ISBLANK('Monthly_Data'!B79)=ISBLANK(B423),0,1),1),IF('Monthly_Data'!C79=C423,IF(ISBLANK('Monthly_Data'!C79)=ISBLANK(C423),0,1),1),IF('Monthly_Data'!D79=D423,IF(ISBLANK('Monthly_Data'!D79)=ISBLANK(D423),0,1),1),IF('Monthly_Data'!E79=E423,IF(ISBLANK('Monthly_Data'!E79)=ISBLANK(E423),0,1),1),IF('Monthly_Data'!F79=F423,IF(ISBLANK('Monthly_Data'!F79)=ISBLANK(F423),0,1),1),IF('Monthly_Data'!G79=G423,IF(ISBLANK('Monthly_Data'!G79)=ISBLANK(G423),0,1),1),IF('Monthly_Data'!H79=H423,IF(ISBLANK('Monthly_Data'!H79)=ISBLANK(H423),0,1),1))</x:f>
        <x:v>0</x:v>
      </x:c>
    </x:row>
    <x:row r="424" ht="23" customHeight="1">
      <x:c r="A424" s="2" t="str">
        <x:v>61091000_TR_202507_IMPORT</x:v>
      </x:c>
      <x:c r="B424" s="2" t="n">
        <x:v>202507</x:v>
      </x:c>
      <x:c r="C424" s="2" t="str">
        <x:v>61091000</x:v>
      </x:c>
      <x:c r="D424" s="2" t="str">
        <x:v>Turkey</x:v>
      </x:c>
      <x:c r="E424" s="2" t="n">
        <x:v>10796049</x:v>
      </x:c>
      <x:c r="F424" s="2" t="n">
        <x:v>455991</x:v>
      </x:c>
      <x:c r="G424" s="2" t="str">
        <x:v>WITHIN_BAND</x:v>
      </x:c>
      <x:c r="H424" s="2" t="n">
        <x:v>1</x:v>
      </x:c>
      <x:c r="I424" s="2"/>
      <x:c r="J424" s="2"/>
      <x:c r="K424" s="2"/>
      <x:c r="L424" s="2" t="n">
        <x:f>SUM(IF('Monthly_Data'!A80=A424,IF(ISBLANK('Monthly_Data'!A80)=ISBLANK(A424),0,1),1),IF('Monthly_Data'!B80=B424,IF(ISBLANK('Monthly_Data'!B80)=ISBLANK(B424),0,1),1),IF('Monthly_Data'!C80=C424,IF(ISBLANK('Monthly_Data'!C80)=ISBLANK(C424),0,1),1),IF('Monthly_Data'!D80=D424,IF(ISBLANK('Monthly_Data'!D80)=ISBLANK(D424),0,1),1),IF('Monthly_Data'!E80=E424,IF(ISBLANK('Monthly_Data'!E80)=ISBLANK(E424),0,1),1),IF('Monthly_Data'!F80=F424,IF(ISBLANK('Monthly_Data'!F80)=ISBLANK(F424),0,1),1),IF('Monthly_Data'!G80=G424,IF(ISBLANK('Monthly_Data'!G80)=ISBLANK(G424),0,1),1),IF('Monthly_Data'!H80=H424,IF(ISBLANK('Monthly_Data'!H80)=ISBLANK(H424),0,1),1))</x:f>
        <x:v>0</x:v>
      </x:c>
    </x:row>
    <x:row r="425" ht="23" customHeight="1">
      <x:c r="A425" s="2" t="str">
        <x:v>61091000_VN_202507_IMPORT</x:v>
      </x:c>
      <x:c r="B425" s="2" t="n">
        <x:v>202507</x:v>
      </x:c>
      <x:c r="C425" s="2" t="str">
        <x:v>61091000</x:v>
      </x:c>
      <x:c r="D425" s="2" t="str">
        <x:v>Vietnam</x:v>
      </x:c>
      <x:c r="E425" s="2" t="n">
        <x:v>2392573</x:v>
      </x:c>
      <x:c r="F425" s="2" t="n">
        <x:v>119114</x:v>
      </x:c>
      <x:c r="G425" s="2" t="str">
        <x:v>WITHIN_BAND</x:v>
      </x:c>
      <x:c r="H425" s="2" t="n">
        <x:v>1</x:v>
      </x:c>
      <x:c r="I425" s="2"/>
      <x:c r="J425" s="2"/>
      <x:c r="K425" s="2"/>
      <x:c r="L425" s="2" t="n">
        <x:f>SUM(IF('Monthly_Data'!A81=A425,IF(ISBLANK('Monthly_Data'!A81)=ISBLANK(A425),0,1),1),IF('Monthly_Data'!B81=B425,IF(ISBLANK('Monthly_Data'!B81)=ISBLANK(B425),0,1),1),IF('Monthly_Data'!C81=C425,IF(ISBLANK('Monthly_Data'!C81)=ISBLANK(C425),0,1),1),IF('Monthly_Data'!D81=D425,IF(ISBLANK('Monthly_Data'!D81)=ISBLANK(D425),0,1),1),IF('Monthly_Data'!E81=E425,IF(ISBLANK('Monthly_Data'!E81)=ISBLANK(E425),0,1),1),IF('Monthly_Data'!F81=F425,IF(ISBLANK('Monthly_Data'!F81)=ISBLANK(F425),0,1),1),IF('Monthly_Data'!G81=G425,IF(ISBLANK('Monthly_Data'!G81)=ISBLANK(G425),0,1),1),IF('Monthly_Data'!H81=H425,IF(ISBLANK('Monthly_Data'!H81)=ISBLANK(H425),0,1),1))</x:f>
        <x:v>0</x:v>
      </x:c>
    </x:row>
    <x:row r="426" ht="23" customHeight="1">
      <x:c r="A426" s="2" t="str">
        <x:v>61091000_WORLD_202507_IMPORT</x:v>
      </x:c>
      <x:c r="B426" s="2" t="n">
        <x:v>202507</x:v>
      </x:c>
      <x:c r="C426" s="2" t="str">
        <x:v>61091000</x:v>
      </x:c>
      <x:c r="D426" s="2" t="str">
        <x:v>World</x:v>
      </x:c>
      <x:c r="E426" s="2" t="n">
        <x:v>113264142</x:v>
      </x:c>
      <x:c r="F426" s="2" t="n">
        <x:v>8458016</x:v>
      </x:c>
      <x:c r="G426" s="2" t="str">
        <x:v>WITHIN_BAND</x:v>
      </x:c>
      <x:c r="H426" s="2" t="n">
        <x:v>1</x:v>
      </x:c>
      <x:c r="I426" s="2"/>
      <x:c r="J426" s="2"/>
      <x:c r="K426" s="2"/>
      <x:c r="L426" s="2" t="n">
        <x:f>SUM(IF('Monthly_Data'!A82=A426,IF(ISBLANK('Monthly_Data'!A82)=ISBLANK(A426),0,1),1),IF('Monthly_Data'!B82=B426,IF(ISBLANK('Monthly_Data'!B82)=ISBLANK(B426),0,1),1),IF('Monthly_Data'!C82=C426,IF(ISBLANK('Monthly_Data'!C82)=ISBLANK(C426),0,1),1),IF('Monthly_Data'!D82=D426,IF(ISBLANK('Monthly_Data'!D82)=ISBLANK(D426),0,1),1),IF('Monthly_Data'!E82=E426,IF(ISBLANK('Monthly_Data'!E82)=ISBLANK(E426),0,1),1),IF('Monthly_Data'!F82=F426,IF(ISBLANK('Monthly_Data'!F82)=ISBLANK(F426),0,1),1),IF('Monthly_Data'!G82=G426,IF(ISBLANK('Monthly_Data'!G82)=ISBLANK(G426),0,1),1),IF('Monthly_Data'!H82=H426,IF(ISBLANK('Monthly_Data'!H82)=ISBLANK(H426),0,1),1))</x:f>
        <x:v>0</x:v>
      </x:c>
    </x:row>
    <x:row r="427" ht="23" customHeight="1">
      <x:c r="A427" s="2" t="str">
        <x:v>61091000_BD_202508_IMPORT</x:v>
      </x:c>
      <x:c r="B427" s="2" t="n">
        <x:v>202508</x:v>
      </x:c>
      <x:c r="C427" s="2" t="str">
        <x:v>61091000</x:v>
      </x:c>
      <x:c r="D427" s="2" t="str">
        <x:v>Bangladesh</x:v>
      </x:c>
      <x:c r="E427" s="2" t="n">
        <x:v>30445215</x:v>
      </x:c>
      <x:c r="F427" s="2" t="n">
        <x:v>2983029</x:v>
      </x:c>
      <x:c r="G427" s="2" t="str">
        <x:v>WITHIN_BAND</x:v>
      </x:c>
      <x:c r="H427" s="2" t="n">
        <x:v>1</x:v>
      </x:c>
      <x:c r="I427" s="2"/>
      <x:c r="J427" s="2"/>
      <x:c r="K427" s="2"/>
      <x:c r="L427" s="2" t="n">
        <x:f>SUM(IF('Monthly_Data'!A83=A427,IF(ISBLANK('Monthly_Data'!A83)=ISBLANK(A427),0,1),1),IF('Monthly_Data'!B83=B427,IF(ISBLANK('Monthly_Data'!B83)=ISBLANK(B427),0,1),1),IF('Monthly_Data'!C83=C427,IF(ISBLANK('Monthly_Data'!C83)=ISBLANK(C427),0,1),1),IF('Monthly_Data'!D83=D427,IF(ISBLANK('Monthly_Data'!D83)=ISBLANK(D427),0,1),1),IF('Monthly_Data'!E83=E427,IF(ISBLANK('Monthly_Data'!E83)=ISBLANK(E427),0,1),1),IF('Monthly_Data'!F83=F427,IF(ISBLANK('Monthly_Data'!F83)=ISBLANK(F427),0,1),1),IF('Monthly_Data'!G83=G427,IF(ISBLANK('Monthly_Data'!G83)=ISBLANK(G427),0,1),1),IF('Monthly_Data'!H83=H427,IF(ISBLANK('Monthly_Data'!H83)=ISBLANK(H427),0,1),1))</x:f>
        <x:v>0</x:v>
      </x:c>
    </x:row>
    <x:row r="428" ht="23" customHeight="1">
      <x:c r="A428" s="2" t="str">
        <x:v>61091000_KH_202508_IMPORT</x:v>
      </x:c>
      <x:c r="B428" s="2" t="n">
        <x:v>202508</x:v>
      </x:c>
      <x:c r="C428" s="2" t="str">
        <x:v>61091000</x:v>
      </x:c>
      <x:c r="D428" s="2" t="str">
        <x:v>Cambodia</x:v>
      </x:c>
      <x:c r="E428" s="2" t="n">
        <x:v>893762</x:v>
      </x:c>
      <x:c r="F428" s="2" t="n">
        <x:v>57771</x:v>
      </x:c>
      <x:c r="G428" s="2" t="str">
        <x:v>WITHIN_BAND</x:v>
      </x:c>
      <x:c r="H428" s="2" t="n">
        <x:v>1</x:v>
      </x:c>
      <x:c r="I428" s="2"/>
      <x:c r="J428" s="2"/>
      <x:c r="K428" s="2"/>
      <x:c r="L428" s="2" t="n">
        <x:f>SUM(IF('Monthly_Data'!A84=A428,IF(ISBLANK('Monthly_Data'!A84)=ISBLANK(A428),0,1),1),IF('Monthly_Data'!B84=B428,IF(ISBLANK('Monthly_Data'!B84)=ISBLANK(B428),0,1),1),IF('Monthly_Data'!C84=C428,IF(ISBLANK('Monthly_Data'!C84)=ISBLANK(C428),0,1),1),IF('Monthly_Data'!D84=D428,IF(ISBLANK('Monthly_Data'!D84)=ISBLANK(D428),0,1),1),IF('Monthly_Data'!E84=E428,IF(ISBLANK('Monthly_Data'!E84)=ISBLANK(E428),0,1),1),IF('Monthly_Data'!F84=F428,IF(ISBLANK('Monthly_Data'!F84)=ISBLANK(F428),0,1),1),IF('Monthly_Data'!G84=G428,IF(ISBLANK('Monthly_Data'!G84)=ISBLANK(G428),0,1),1),IF('Monthly_Data'!H84=H428,IF(ISBLANK('Monthly_Data'!H84)=ISBLANK(H428),0,1),1))</x:f>
        <x:v>0</x:v>
      </x:c>
    </x:row>
    <x:row r="429" ht="23" customHeight="1">
      <x:c r="A429" s="2" t="str">
        <x:v>61091000_CN_202508_IMPORT</x:v>
      </x:c>
      <x:c r="B429" s="2" t="n">
        <x:v>202508</x:v>
      </x:c>
      <x:c r="C429" s="2" t="str">
        <x:v>61091000</x:v>
      </x:c>
      <x:c r="D429" s="2" t="str">
        <x:v>China</x:v>
      </x:c>
      <x:c r="E429" s="2" t="n">
        <x:v>3210787</x:v>
      </x:c>
      <x:c r="F429" s="2" t="n">
        <x:v>183460</x:v>
      </x:c>
      <x:c r="G429" s="2" t="str">
        <x:v>WITHIN_BAND</x:v>
      </x:c>
      <x:c r="H429" s="2" t="n">
        <x:v>1</x:v>
      </x:c>
      <x:c r="I429" s="2"/>
      <x:c r="J429" s="2"/>
      <x:c r="K429" s="2"/>
      <x:c r="L429" s="2" t="n">
        <x:f>SUM(IF('Monthly_Data'!A85=A429,IF(ISBLANK('Monthly_Data'!A85)=ISBLANK(A429),0,1),1),IF('Monthly_Data'!B85=B429,IF(ISBLANK('Monthly_Data'!B85)=ISBLANK(B429),0,1),1),IF('Monthly_Data'!C85=C429,IF(ISBLANK('Monthly_Data'!C85)=ISBLANK(C429),0,1),1),IF('Monthly_Data'!D85=D429,IF(ISBLANK('Monthly_Data'!D85)=ISBLANK(D429),0,1),1),IF('Monthly_Data'!E85=E429,IF(ISBLANK('Monthly_Data'!E85)=ISBLANK(E429),0,1),1),IF('Monthly_Data'!F85=F429,IF(ISBLANK('Monthly_Data'!F85)=ISBLANK(F429),0,1),1),IF('Monthly_Data'!G85=G429,IF(ISBLANK('Monthly_Data'!G85)=ISBLANK(G429),0,1),1),IF('Monthly_Data'!H85=H429,IF(ISBLANK('Monthly_Data'!H85)=ISBLANK(H429),0,1),1))</x:f>
        <x:v>0</x:v>
      </x:c>
    </x:row>
    <x:row r="430" ht="23" customHeight="1">
      <x:c r="A430" s="2" t="str">
        <x:v>61091000_IN_202508_IMPORT</x:v>
      </x:c>
      <x:c r="B430" s="2" t="n">
        <x:v>202508</x:v>
      </x:c>
      <x:c r="C430" s="2" t="str">
        <x:v>61091000</x:v>
      </x:c>
      <x:c r="D430" s="2" t="str">
        <x:v>India</x:v>
      </x:c>
      <x:c r="E430" s="2" t="n">
        <x:v>6358389</x:v>
      </x:c>
      <x:c r="F430" s="2" t="n">
        <x:v>483257</x:v>
      </x:c>
      <x:c r="G430" s="2" t="str">
        <x:v>WITHIN_BAND</x:v>
      </x:c>
      <x:c r="H430" s="2" t="n">
        <x:v>1</x:v>
      </x:c>
      <x:c r="I430" s="2"/>
      <x:c r="J430" s="2"/>
      <x:c r="K430" s="2"/>
      <x:c r="L430" s="2" t="n">
        <x:f>SUM(IF('Monthly_Data'!A86=A430,IF(ISBLANK('Monthly_Data'!A86)=ISBLANK(A430),0,1),1),IF('Monthly_Data'!B86=B430,IF(ISBLANK('Monthly_Data'!B86)=ISBLANK(B430),0,1),1),IF('Monthly_Data'!C86=C430,IF(ISBLANK('Monthly_Data'!C86)=ISBLANK(C430),0,1),1),IF('Monthly_Data'!D86=D430,IF(ISBLANK('Monthly_Data'!D86)=ISBLANK(D430),0,1),1),IF('Monthly_Data'!E86=E430,IF(ISBLANK('Monthly_Data'!E86)=ISBLANK(E430),0,1),1),IF('Monthly_Data'!F86=F430,IF(ISBLANK('Monthly_Data'!F86)=ISBLANK(F430),0,1),1),IF('Monthly_Data'!G86=G430,IF(ISBLANK('Monthly_Data'!G86)=ISBLANK(G430),0,1),1),IF('Monthly_Data'!H86=H430,IF(ISBLANK('Monthly_Data'!H86)=ISBLANK(H430),0,1),1))</x:f>
        <x:v>0</x:v>
      </x:c>
    </x:row>
    <x:row r="431" ht="23" customHeight="1">
      <x:c r="A431" s="2" t="str">
        <x:v>61091000_MA_202508_IMPORT</x:v>
      </x:c>
      <x:c r="B431" s="2" t="n">
        <x:v>202508</x:v>
      </x:c>
      <x:c r="C431" s="2" t="str">
        <x:v>61091000</x:v>
      </x:c>
      <x:c r="D431" s="2" t="str">
        <x:v>Morocco</x:v>
      </x:c>
      <x:c r="E431" s="2" t="n">
        <x:v>956325</x:v>
      </x:c>
      <x:c r="F431" s="2" t="n">
        <x:v>101872</x:v>
      </x:c>
      <x:c r="G431" s="2" t="str">
        <x:v>WITHIN_BAND</x:v>
      </x:c>
      <x:c r="H431" s="2" t="n">
        <x:v>1</x:v>
      </x:c>
      <x:c r="I431" s="2"/>
      <x:c r="J431" s="2"/>
      <x:c r="K431" s="2"/>
      <x:c r="L431" s="2" t="n">
        <x:f>SUM(IF('Monthly_Data'!A87=A431,IF(ISBLANK('Monthly_Data'!A87)=ISBLANK(A431),0,1),1),IF('Monthly_Data'!B87=B431,IF(ISBLANK('Monthly_Data'!B87)=ISBLANK(B431),0,1),1),IF('Monthly_Data'!C87=C431,IF(ISBLANK('Monthly_Data'!C87)=ISBLANK(C431),0,1),1),IF('Monthly_Data'!D87=D431,IF(ISBLANK('Monthly_Data'!D87)=ISBLANK(D431),0,1),1),IF('Monthly_Data'!E87=E431,IF(ISBLANK('Monthly_Data'!E87)=ISBLANK(E431),0,1),1),IF('Monthly_Data'!F87=F431,IF(ISBLANK('Monthly_Data'!F87)=ISBLANK(F431),0,1),1),IF('Monthly_Data'!G87=G431,IF(ISBLANK('Monthly_Data'!G87)=ISBLANK(G431),0,1),1),IF('Monthly_Data'!H87=H431,IF(ISBLANK('Monthly_Data'!H87)=ISBLANK(H431),0,1),1))</x:f>
        <x:v>0</x:v>
      </x:c>
    </x:row>
    <x:row r="432" ht="23" customHeight="1">
      <x:c r="A432" s="2" t="str">
        <x:v>61091000_MM_202508_IMPORT</x:v>
      </x:c>
      <x:c r="B432" s="2" t="n">
        <x:v>202508</x:v>
      </x:c>
      <x:c r="C432" s="2" t="str">
        <x:v>61091000</x:v>
      </x:c>
      <x:c r="D432" s="2" t="str">
        <x:v>Myanmar</x:v>
      </x:c>
      <x:c r="E432" s="2" t="n">
        <x:v>1457</x:v>
      </x:c>
      <x:c r="F432" s="2" t="n">
        <x:v>151</x:v>
      </x:c>
      <x:c r="G432" s="2" t="str">
        <x:v>WITHIN_BAND</x:v>
      </x:c>
      <x:c r="H432" s="2" t="n">
        <x:v>1</x:v>
      </x:c>
      <x:c r="I432" s="2"/>
      <x:c r="J432" s="2"/>
      <x:c r="K432" s="2"/>
      <x:c r="L432" s="2" t="n">
        <x:f>SUM(IF('Monthly_Data'!A88=A432,IF(ISBLANK('Monthly_Data'!A88)=ISBLANK(A432),0,1),1),IF('Monthly_Data'!B88=B432,IF(ISBLANK('Monthly_Data'!B88)=ISBLANK(B432),0,1),1),IF('Monthly_Data'!C88=C432,IF(ISBLANK('Monthly_Data'!C88)=ISBLANK(C432),0,1),1),IF('Monthly_Data'!D88=D432,IF(ISBLANK('Monthly_Data'!D88)=ISBLANK(D432),0,1),1),IF('Monthly_Data'!E88=E432,IF(ISBLANK('Monthly_Data'!E88)=ISBLANK(E432),0,1),1),IF('Monthly_Data'!F88=F432,IF(ISBLANK('Monthly_Data'!F88)=ISBLANK(F432),0,1),1),IF('Monthly_Data'!G88=G432,IF(ISBLANK('Monthly_Data'!G88)=ISBLANK(G432),0,1),1),IF('Monthly_Data'!H88=H432,IF(ISBLANK('Monthly_Data'!H88)=ISBLANK(H432),0,1),1))</x:f>
        <x:v>0</x:v>
      </x:c>
    </x:row>
    <x:row r="433" ht="23" customHeight="1">
      <x:c r="A433" s="2" t="str">
        <x:v>61091000_PK_202508_IMPORT</x:v>
      </x:c>
      <x:c r="B433" s="2" t="n">
        <x:v>202508</x:v>
      </x:c>
      <x:c r="C433" s="2" t="str">
        <x:v>61091000</x:v>
      </x:c>
      <x:c r="D433" s="2" t="str">
        <x:v>Pakistan</x:v>
      </x:c>
      <x:c r="E433" s="2" t="n">
        <x:v>3497808</x:v>
      </x:c>
      <x:c r="F433" s="2" t="n">
        <x:v>491153</x:v>
      </x:c>
      <x:c r="G433" s="2" t="str">
        <x:v>WITHIN_BAND</x:v>
      </x:c>
      <x:c r="H433" s="2" t="n">
        <x:v>1</x:v>
      </x:c>
      <x:c r="I433" s="2"/>
      <x:c r="J433" s="2"/>
      <x:c r="K433" s="2"/>
      <x:c r="L433" s="2" t="n">
        <x:f>SUM(IF('Monthly_Data'!A89=A433,IF(ISBLANK('Monthly_Data'!A89)=ISBLANK(A433),0,1),1),IF('Monthly_Data'!B89=B433,IF(ISBLANK('Monthly_Data'!B89)=ISBLANK(B433),0,1),1),IF('Monthly_Data'!C89=C433,IF(ISBLANK('Monthly_Data'!C89)=ISBLANK(C433),0,1),1),IF('Monthly_Data'!D89=D433,IF(ISBLANK('Monthly_Data'!D89)=ISBLANK(D433),0,1),1),IF('Monthly_Data'!E89=E433,IF(ISBLANK('Monthly_Data'!E89)=ISBLANK(E433),0,1),1),IF('Monthly_Data'!F89=F433,IF(ISBLANK('Monthly_Data'!F89)=ISBLANK(F433),0,1),1),IF('Monthly_Data'!G89=G433,IF(ISBLANK('Monthly_Data'!G89)=ISBLANK(G433),0,1),1),IF('Monthly_Data'!H89=H433,IF(ISBLANK('Monthly_Data'!H89)=ISBLANK(H433),0,1),1))</x:f>
        <x:v>0</x:v>
      </x:c>
    </x:row>
    <x:row r="434" ht="23" customHeight="1">
      <x:c r="A434" s="2" t="str">
        <x:v>61091000_LK_202508_IMPORT</x:v>
      </x:c>
      <x:c r="B434" s="2" t="n">
        <x:v>202508</x:v>
      </x:c>
      <x:c r="C434" s="2" t="str">
        <x:v>61091000</x:v>
      </x:c>
      <x:c r="D434" s="2" t="str">
        <x:v>Sri Lanka</x:v>
      </x:c>
      <x:c r="E434" s="2" t="n">
        <x:v>2177003</x:v>
      </x:c>
      <x:c r="F434" s="2" t="n">
        <x:v>238763</x:v>
      </x:c>
      <x:c r="G434" s="2" t="str">
        <x:v>WITHIN_BAND</x:v>
      </x:c>
      <x:c r="H434" s="2" t="n">
        <x:v>1</x:v>
      </x:c>
      <x:c r="I434" s="2"/>
      <x:c r="J434" s="2"/>
      <x:c r="K434" s="2"/>
      <x:c r="L434" s="2" t="n">
        <x:f>SUM(IF('Monthly_Data'!A90=A434,IF(ISBLANK('Monthly_Data'!A90)=ISBLANK(A434),0,1),1),IF('Monthly_Data'!B90=B434,IF(ISBLANK('Monthly_Data'!B90)=ISBLANK(B434),0,1),1),IF('Monthly_Data'!C90=C434,IF(ISBLANK('Monthly_Data'!C90)=ISBLANK(C434),0,1),1),IF('Monthly_Data'!D90=D434,IF(ISBLANK('Monthly_Data'!D90)=ISBLANK(D434),0,1),1),IF('Monthly_Data'!E90=E434,IF(ISBLANK('Monthly_Data'!E90)=ISBLANK(E434),0,1),1),IF('Monthly_Data'!F90=F434,IF(ISBLANK('Monthly_Data'!F90)=ISBLANK(F434),0,1),1),IF('Monthly_Data'!G90=G434,IF(ISBLANK('Monthly_Data'!G90)=ISBLANK(G434),0,1),1),IF('Monthly_Data'!H90=H434,IF(ISBLANK('Monthly_Data'!H90)=ISBLANK(H434),0,1),1))</x:f>
        <x:v>0</x:v>
      </x:c>
    </x:row>
    <x:row r="435" ht="23" customHeight="1">
      <x:c r="A435" s="2" t="str">
        <x:v>61091000_TR_202508_IMPORT</x:v>
      </x:c>
      <x:c r="B435" s="2" t="n">
        <x:v>202508</x:v>
      </x:c>
      <x:c r="C435" s="2" t="str">
        <x:v>61091000</x:v>
      </x:c>
      <x:c r="D435" s="2" t="str">
        <x:v>Turkey</x:v>
      </x:c>
      <x:c r="E435" s="2" t="n">
        <x:v>9808895</x:v>
      </x:c>
      <x:c r="F435" s="2" t="n">
        <x:v>443559</x:v>
      </x:c>
      <x:c r="G435" s="2" t="str">
        <x:v>WITHIN_BAND</x:v>
      </x:c>
      <x:c r="H435" s="2" t="n">
        <x:v>1</x:v>
      </x:c>
      <x:c r="I435" s="2"/>
      <x:c r="J435" s="2"/>
      <x:c r="K435" s="2"/>
      <x:c r="L435" s="2" t="n">
        <x:f>SUM(IF('Monthly_Data'!A91=A435,IF(ISBLANK('Monthly_Data'!A91)=ISBLANK(A435),0,1),1),IF('Monthly_Data'!B91=B435,IF(ISBLANK('Monthly_Data'!B91)=ISBLANK(B435),0,1),1),IF('Monthly_Data'!C91=C435,IF(ISBLANK('Monthly_Data'!C91)=ISBLANK(C435),0,1),1),IF('Monthly_Data'!D91=D435,IF(ISBLANK('Monthly_Data'!D91)=ISBLANK(D435),0,1),1),IF('Monthly_Data'!E91=E435,IF(ISBLANK('Monthly_Data'!E91)=ISBLANK(E435),0,1),1),IF('Monthly_Data'!F91=F435,IF(ISBLANK('Monthly_Data'!F91)=ISBLANK(F435),0,1),1),IF('Monthly_Data'!G91=G435,IF(ISBLANK('Monthly_Data'!G91)=ISBLANK(G435),0,1),1),IF('Monthly_Data'!H91=H435,IF(ISBLANK('Monthly_Data'!H91)=ISBLANK(H435),0,1),1))</x:f>
        <x:v>0</x:v>
      </x:c>
    </x:row>
    <x:row r="436" ht="23" customHeight="1">
      <x:c r="A436" s="2" t="str">
        <x:v>61091000_VN_202508_IMPORT</x:v>
      </x:c>
      <x:c r="B436" s="2" t="n">
        <x:v>202508</x:v>
      </x:c>
      <x:c r="C436" s="2" t="str">
        <x:v>61091000</x:v>
      </x:c>
      <x:c r="D436" s="2" t="str">
        <x:v>Vietnam</x:v>
      </x:c>
      <x:c r="E436" s="2" t="n">
        <x:v>1875536</x:v>
      </x:c>
      <x:c r="F436" s="2" t="n">
        <x:v>103558</x:v>
      </x:c>
      <x:c r="G436" s="2" t="str">
        <x:v>WITHIN_BAND</x:v>
      </x:c>
      <x:c r="H436" s="2" t="n">
        <x:v>1</x:v>
      </x:c>
      <x:c r="I436" s="2"/>
      <x:c r="J436" s="2"/>
      <x:c r="K436" s="2"/>
      <x:c r="L436" s="2" t="n">
        <x:f>SUM(IF('Monthly_Data'!A92=A436,IF(ISBLANK('Monthly_Data'!A92)=ISBLANK(A436),0,1),1),IF('Monthly_Data'!B92=B436,IF(ISBLANK('Monthly_Data'!B92)=ISBLANK(B436),0,1),1),IF('Monthly_Data'!C92=C436,IF(ISBLANK('Monthly_Data'!C92)=ISBLANK(C436),0,1),1),IF('Monthly_Data'!D92=D436,IF(ISBLANK('Monthly_Data'!D92)=ISBLANK(D436),0,1),1),IF('Monthly_Data'!E92=E436,IF(ISBLANK('Monthly_Data'!E92)=ISBLANK(E436),0,1),1),IF('Monthly_Data'!F92=F436,IF(ISBLANK('Monthly_Data'!F92)=ISBLANK(F436),0,1),1),IF('Monthly_Data'!G92=G436,IF(ISBLANK('Monthly_Data'!G92)=ISBLANK(G436),0,1),1),IF('Monthly_Data'!H92=H436,IF(ISBLANK('Monthly_Data'!H92)=ISBLANK(H436),0,1),1))</x:f>
        <x:v>0</x:v>
      </x:c>
    </x:row>
    <x:row r="437" ht="23" customHeight="1">
      <x:c r="A437" s="2" t="str">
        <x:v>61091000_WORLD_202508_IMPORT</x:v>
      </x:c>
      <x:c r="B437" s="2" t="n">
        <x:v>202508</x:v>
      </x:c>
      <x:c r="C437" s="2" t="str">
        <x:v>61091000</x:v>
      </x:c>
      <x:c r="D437" s="2" t="str">
        <x:v>World</x:v>
      </x:c>
      <x:c r="E437" s="2" t="n">
        <x:v>93012938</x:v>
      </x:c>
      <x:c r="F437" s="2" t="n">
        <x:v>6308421</x:v>
      </x:c>
      <x:c r="G437" s="2" t="str">
        <x:v>WITHIN_BAND</x:v>
      </x:c>
      <x:c r="H437" s="2" t="n">
        <x:v>1</x:v>
      </x:c>
      <x:c r="I437" s="2"/>
      <x:c r="J437" s="2"/>
      <x:c r="K437" s="2"/>
      <x:c r="L437" s="2" t="n">
        <x:f>SUM(IF('Monthly_Data'!A93=A437,IF(ISBLANK('Monthly_Data'!A93)=ISBLANK(A437),0,1),1),IF('Monthly_Data'!B93=B437,IF(ISBLANK('Monthly_Data'!B93)=ISBLANK(B437),0,1),1),IF('Monthly_Data'!C93=C437,IF(ISBLANK('Monthly_Data'!C93)=ISBLANK(C437),0,1),1),IF('Monthly_Data'!D93=D437,IF(ISBLANK('Monthly_Data'!D93)=ISBLANK(D437),0,1),1),IF('Monthly_Data'!E93=E437,IF(ISBLANK('Monthly_Data'!E93)=ISBLANK(E437),0,1),1),IF('Monthly_Data'!F93=F437,IF(ISBLANK('Monthly_Data'!F93)=ISBLANK(F437),0,1),1),IF('Monthly_Data'!G93=G437,IF(ISBLANK('Monthly_Data'!G93)=ISBLANK(G437),0,1),1),IF('Monthly_Data'!H93=H437,IF(ISBLANK('Monthly_Data'!H93)=ISBLANK(H437),0,1),1))</x:f>
        <x:v>0</x:v>
      </x:c>
    </x:row>
    <x:row r="438" ht="23" customHeight="1">
      <x:c r="A438" s="2" t="str">
        <x:v>61091000_BD_202509_IMPORT</x:v>
      </x:c>
      <x:c r="B438" s="2" t="n">
        <x:v>202509</x:v>
      </x:c>
      <x:c r="C438" s="2" t="str">
        <x:v>61091000</x:v>
      </x:c>
      <x:c r="D438" s="2" t="str">
        <x:v>Bangladesh</x:v>
      </x:c>
      <x:c r="E438" s="2" t="n">
        <x:v>35881271</x:v>
      </x:c>
      <x:c r="F438" s="2" t="n">
        <x:v>3674947</x:v>
      </x:c>
      <x:c r="G438" s="2" t="str">
        <x:v>WITHIN_BAND</x:v>
      </x:c>
      <x:c r="H438" s="2" t="n">
        <x:v>1</x:v>
      </x:c>
      <x:c r="I438" s="2"/>
      <x:c r="J438" s="2"/>
      <x:c r="K438" s="2"/>
      <x:c r="L438" s="2" t="n">
        <x:f>SUM(IF('Monthly_Data'!A94=A438,IF(ISBLANK('Monthly_Data'!A94)=ISBLANK(A438),0,1),1),IF('Monthly_Data'!B94=B438,IF(ISBLANK('Monthly_Data'!B94)=ISBLANK(B438),0,1),1),IF('Monthly_Data'!C94=C438,IF(ISBLANK('Monthly_Data'!C94)=ISBLANK(C438),0,1),1),IF('Monthly_Data'!D94=D438,IF(ISBLANK('Monthly_Data'!D94)=ISBLANK(D438),0,1),1),IF('Monthly_Data'!E94=E438,IF(ISBLANK('Monthly_Data'!E94)=ISBLANK(E438),0,1),1),IF('Monthly_Data'!F94=F438,IF(ISBLANK('Monthly_Data'!F94)=ISBLANK(F438),0,1),1),IF('Monthly_Data'!G94=G438,IF(ISBLANK('Monthly_Data'!G94)=ISBLANK(G438),0,1),1),IF('Monthly_Data'!H94=H438,IF(ISBLANK('Monthly_Data'!H94)=ISBLANK(H438),0,1),1))</x:f>
        <x:v>0</x:v>
      </x:c>
    </x:row>
    <x:row r="439" ht="23" customHeight="1">
      <x:c r="A439" s="2" t="str">
        <x:v>61091000_KH_202509_IMPORT</x:v>
      </x:c>
      <x:c r="B439" s="2" t="n">
        <x:v>202509</x:v>
      </x:c>
      <x:c r="C439" s="2" t="str">
        <x:v>61091000</x:v>
      </x:c>
      <x:c r="D439" s="2" t="str">
        <x:v>Cambodia</x:v>
      </x:c>
      <x:c r="E439" s="2" t="n">
        <x:v>732565</x:v>
      </x:c>
      <x:c r="F439" s="2" t="n">
        <x:v>36414</x:v>
      </x:c>
      <x:c r="G439" s="2" t="str">
        <x:v>WITHIN_BAND</x:v>
      </x:c>
      <x:c r="H439" s="2" t="n">
        <x:v>1</x:v>
      </x:c>
      <x:c r="I439" s="2"/>
      <x:c r="J439" s="2"/>
      <x:c r="K439" s="2"/>
      <x:c r="L439" s="2" t="n">
        <x:f>SUM(IF('Monthly_Data'!A95=A439,IF(ISBLANK('Monthly_Data'!A95)=ISBLANK(A439),0,1),1),IF('Monthly_Data'!B95=B439,IF(ISBLANK('Monthly_Data'!B95)=ISBLANK(B439),0,1),1),IF('Monthly_Data'!C95=C439,IF(ISBLANK('Monthly_Data'!C95)=ISBLANK(C439),0,1),1),IF('Monthly_Data'!D95=D439,IF(ISBLANK('Monthly_Data'!D95)=ISBLANK(D439),0,1),1),IF('Monthly_Data'!E95=E439,IF(ISBLANK('Monthly_Data'!E95)=ISBLANK(E439),0,1),1),IF('Monthly_Data'!F95=F439,IF(ISBLANK('Monthly_Data'!F95)=ISBLANK(F439),0,1),1),IF('Monthly_Data'!G95=G439,IF(ISBLANK('Monthly_Data'!G95)=ISBLANK(G439),0,1),1),IF('Monthly_Data'!H95=H439,IF(ISBLANK('Monthly_Data'!H95)=ISBLANK(H439),0,1),1))</x:f>
        <x:v>0</x:v>
      </x:c>
    </x:row>
    <x:row r="440" ht="23" customHeight="1">
      <x:c r="A440" s="2" t="str">
        <x:v>61091000_CN_202509_IMPORT</x:v>
      </x:c>
      <x:c r="B440" s="2" t="n">
        <x:v>202509</x:v>
      </x:c>
      <x:c r="C440" s="2" t="str">
        <x:v>61091000</x:v>
      </x:c>
      <x:c r="D440" s="2" t="str">
        <x:v>China</x:v>
      </x:c>
      <x:c r="E440" s="2" t="n">
        <x:v>2169584</x:v>
      </x:c>
      <x:c r="F440" s="2" t="n">
        <x:v>139734</x:v>
      </x:c>
      <x:c r="G440" s="2" t="str">
        <x:v>WITHIN_BAND</x:v>
      </x:c>
      <x:c r="H440" s="2" t="n">
        <x:v>1</x:v>
      </x:c>
      <x:c r="I440" s="2"/>
      <x:c r="J440" s="2"/>
      <x:c r="K440" s="2"/>
      <x:c r="L440" s="2" t="n">
        <x:f>SUM(IF('Monthly_Data'!A96=A440,IF(ISBLANK('Monthly_Data'!A96)=ISBLANK(A440),0,1),1),IF('Monthly_Data'!B96=B440,IF(ISBLANK('Monthly_Data'!B96)=ISBLANK(B440),0,1),1),IF('Monthly_Data'!C96=C440,IF(ISBLANK('Monthly_Data'!C96)=ISBLANK(C440),0,1),1),IF('Monthly_Data'!D96=D440,IF(ISBLANK('Monthly_Data'!D96)=ISBLANK(D440),0,1),1),IF('Monthly_Data'!E96=E440,IF(ISBLANK('Monthly_Data'!E96)=ISBLANK(E440),0,1),1),IF('Monthly_Data'!F96=F440,IF(ISBLANK('Monthly_Data'!F96)=ISBLANK(F440),0,1),1),IF('Monthly_Data'!G96=G440,IF(ISBLANK('Monthly_Data'!G96)=ISBLANK(G440),0,1),1),IF('Monthly_Data'!H96=H440,IF(ISBLANK('Monthly_Data'!H96)=ISBLANK(H440),0,1),1))</x:f>
        <x:v>0</x:v>
      </x:c>
    </x:row>
    <x:row r="441" ht="23" customHeight="1">
      <x:c r="A441" s="2" t="str">
        <x:v>61091000_IN_202509_IMPORT</x:v>
      </x:c>
      <x:c r="B441" s="2" t="n">
        <x:v>202509</x:v>
      </x:c>
      <x:c r="C441" s="2" t="str">
        <x:v>61091000</x:v>
      </x:c>
      <x:c r="D441" s="2" t="str">
        <x:v>India</x:v>
      </x:c>
      <x:c r="E441" s="2" t="n">
        <x:v>7648799</x:v>
      </x:c>
      <x:c r="F441" s="2" t="n">
        <x:v>614177</x:v>
      </x:c>
      <x:c r="G441" s="2" t="str">
        <x:v>WITHIN_BAND</x:v>
      </x:c>
      <x:c r="H441" s="2" t="n">
        <x:v>1</x:v>
      </x:c>
      <x:c r="I441" s="2"/>
      <x:c r="J441" s="2"/>
      <x:c r="K441" s="2"/>
      <x:c r="L441" s="2" t="n">
        <x:f>SUM(IF('Monthly_Data'!A97=A441,IF(ISBLANK('Monthly_Data'!A97)=ISBLANK(A441),0,1),1),IF('Monthly_Data'!B97=B441,IF(ISBLANK('Monthly_Data'!B97)=ISBLANK(B441),0,1),1),IF('Monthly_Data'!C97=C441,IF(ISBLANK('Monthly_Data'!C97)=ISBLANK(C441),0,1),1),IF('Monthly_Data'!D97=D441,IF(ISBLANK('Monthly_Data'!D97)=ISBLANK(D441),0,1),1),IF('Monthly_Data'!E97=E441,IF(ISBLANK('Monthly_Data'!E97)=ISBLANK(E441),0,1),1),IF('Monthly_Data'!F97=F441,IF(ISBLANK('Monthly_Data'!F97)=ISBLANK(F441),0,1),1),IF('Monthly_Data'!G97=G441,IF(ISBLANK('Monthly_Data'!G97)=ISBLANK(G441),0,1),1),IF('Monthly_Data'!H97=H441,IF(ISBLANK('Monthly_Data'!H97)=ISBLANK(H441),0,1),1))</x:f>
        <x:v>0</x:v>
      </x:c>
    </x:row>
    <x:row r="442" ht="23" customHeight="1">
      <x:c r="A442" s="2" t="str">
        <x:v>61091000_MA_202509_IMPORT</x:v>
      </x:c>
      <x:c r="B442" s="2" t="n">
        <x:v>202509</x:v>
      </x:c>
      <x:c r="C442" s="2" t="str">
        <x:v>61091000</x:v>
      </x:c>
      <x:c r="D442" s="2" t="str">
        <x:v>Morocco</x:v>
      </x:c>
      <x:c r="E442" s="2" t="n">
        <x:v>1260971</x:v>
      </x:c>
      <x:c r="F442" s="2" t="n">
        <x:v>149520</x:v>
      </x:c>
      <x:c r="G442" s="2" t="str">
        <x:v>WITHIN_BAND</x:v>
      </x:c>
      <x:c r="H442" s="2" t="n">
        <x:v>1</x:v>
      </x:c>
      <x:c r="I442" s="2"/>
      <x:c r="J442" s="2"/>
      <x:c r="K442" s="2"/>
      <x:c r="L442" s="2" t="n">
        <x:f>SUM(IF('Monthly_Data'!A98=A442,IF(ISBLANK('Monthly_Data'!A98)=ISBLANK(A442),0,1),1),IF('Monthly_Data'!B98=B442,IF(ISBLANK('Monthly_Data'!B98)=ISBLANK(B442),0,1),1),IF('Monthly_Data'!C98=C442,IF(ISBLANK('Monthly_Data'!C98)=ISBLANK(C442),0,1),1),IF('Monthly_Data'!D98=D442,IF(ISBLANK('Monthly_Data'!D98)=ISBLANK(D442),0,1),1),IF('Monthly_Data'!E98=E442,IF(ISBLANK('Monthly_Data'!E98)=ISBLANK(E442),0,1),1),IF('Monthly_Data'!F98=F442,IF(ISBLANK('Monthly_Data'!F98)=ISBLANK(F442),0,1),1),IF('Monthly_Data'!G98=G442,IF(ISBLANK('Monthly_Data'!G98)=ISBLANK(G442),0,1),1),IF('Monthly_Data'!H98=H442,IF(ISBLANK('Monthly_Data'!H98)=ISBLANK(H442),0,1),1))</x:f>
        <x:v>0</x:v>
      </x:c>
    </x:row>
    <x:row r="443" ht="23" customHeight="1">
      <x:c r="A443" s="2" t="str">
        <x:v>61091000_MM_202509_IMPORT</x:v>
      </x:c>
      <x:c r="B443" s="2" t="n">
        <x:v>202509</x:v>
      </x:c>
      <x:c r="C443" s="2" t="str">
        <x:v>61091000</x:v>
      </x:c>
      <x:c r="D443" s="2" t="str">
        <x:v>Myanmar</x:v>
      </x:c>
      <x:c r="E443" s="2" t="n">
        <x:v>1263</x:v>
      </x:c>
      <x:c r="F443" s="2" t="n">
        <x:v>151</x:v>
      </x:c>
      <x:c r="G443" s="2" t="str">
        <x:v>WITHIN_BAND</x:v>
      </x:c>
      <x:c r="H443" s="2" t="n">
        <x:v>1</x:v>
      </x:c>
      <x:c r="I443" s="2"/>
      <x:c r="J443" s="2"/>
      <x:c r="K443" s="2"/>
      <x:c r="L443" s="2" t="n">
        <x:f>SUM(IF('Monthly_Data'!A99=A443,IF(ISBLANK('Monthly_Data'!A99)=ISBLANK(A443),0,1),1),IF('Monthly_Data'!B99=B443,IF(ISBLANK('Monthly_Data'!B99)=ISBLANK(B443),0,1),1),IF('Monthly_Data'!C99=C443,IF(ISBLANK('Monthly_Data'!C99)=ISBLANK(C443),0,1),1),IF('Monthly_Data'!D99=D443,IF(ISBLANK('Monthly_Data'!D99)=ISBLANK(D443),0,1),1),IF('Monthly_Data'!E99=E443,IF(ISBLANK('Monthly_Data'!E99)=ISBLANK(E443),0,1),1),IF('Monthly_Data'!F99=F443,IF(ISBLANK('Monthly_Data'!F99)=ISBLANK(F443),0,1),1),IF('Monthly_Data'!G99=G443,IF(ISBLANK('Monthly_Data'!G99)=ISBLANK(G443),0,1),1),IF('Monthly_Data'!H99=H443,IF(ISBLANK('Monthly_Data'!H99)=ISBLANK(H443),0,1),1))</x:f>
        <x:v>0</x:v>
      </x:c>
    </x:row>
    <x:row r="444" ht="23" customHeight="1">
      <x:c r="A444" s="2" t="str">
        <x:v>61091000_PK_202509_IMPORT</x:v>
      </x:c>
      <x:c r="B444" s="2" t="n">
        <x:v>202509</x:v>
      </x:c>
      <x:c r="C444" s="2" t="str">
        <x:v>61091000</x:v>
      </x:c>
      <x:c r="D444" s="2" t="str">
        <x:v>Pakistan</x:v>
      </x:c>
      <x:c r="E444" s="2" t="n">
        <x:v>3116735</x:v>
      </x:c>
      <x:c r="F444" s="2" t="n">
        <x:v>285833</x:v>
      </x:c>
      <x:c r="G444" s="2" t="str">
        <x:v>WITHIN_BAND</x:v>
      </x:c>
      <x:c r="H444" s="2" t="n">
        <x:v>1</x:v>
      </x:c>
      <x:c r="I444" s="2"/>
      <x:c r="J444" s="2"/>
      <x:c r="K444" s="2"/>
      <x:c r="L444" s="2" t="n">
        <x:f>SUM(IF('Monthly_Data'!A100=A444,IF(ISBLANK('Monthly_Data'!A100)=ISBLANK(A444),0,1),1),IF('Monthly_Data'!B100=B444,IF(ISBLANK('Monthly_Data'!B100)=ISBLANK(B444),0,1),1),IF('Monthly_Data'!C100=C444,IF(ISBLANK('Monthly_Data'!C100)=ISBLANK(C444),0,1),1),IF('Monthly_Data'!D100=D444,IF(ISBLANK('Monthly_Data'!D100)=ISBLANK(D444),0,1),1),IF('Monthly_Data'!E100=E444,IF(ISBLANK('Monthly_Data'!E100)=ISBLANK(E444),0,1),1),IF('Monthly_Data'!F100=F444,IF(ISBLANK('Monthly_Data'!F100)=ISBLANK(F444),0,1),1),IF('Monthly_Data'!G100=G444,IF(ISBLANK('Monthly_Data'!G100)=ISBLANK(G444),0,1),1),IF('Monthly_Data'!H100=H444,IF(ISBLANK('Monthly_Data'!H100)=ISBLANK(H444),0,1),1))</x:f>
        <x:v>0</x:v>
      </x:c>
    </x:row>
    <x:row r="445" ht="23" customHeight="1">
      <x:c r="A445" s="2" t="str">
        <x:v>61091000_LK_202509_IMPORT</x:v>
      </x:c>
      <x:c r="B445" s="2" t="n">
        <x:v>202509</x:v>
      </x:c>
      <x:c r="C445" s="2" t="str">
        <x:v>61091000</x:v>
      </x:c>
      <x:c r="D445" s="2" t="str">
        <x:v>Sri Lanka</x:v>
      </x:c>
      <x:c r="E445" s="2" t="n">
        <x:v>1281010</x:v>
      </x:c>
      <x:c r="F445" s="2" t="n">
        <x:v>113144</x:v>
      </x:c>
      <x:c r="G445" s="2" t="str">
        <x:v>WITHIN_BAND</x:v>
      </x:c>
      <x:c r="H445" s="2" t="n">
        <x:v>1</x:v>
      </x:c>
      <x:c r="I445" s="2"/>
      <x:c r="J445" s="2"/>
      <x:c r="K445" s="2"/>
      <x:c r="L445" s="2" t="n">
        <x:f>SUM(IF('Monthly_Data'!A101=A445,IF(ISBLANK('Monthly_Data'!A101)=ISBLANK(A445),0,1),1),IF('Monthly_Data'!B101=B445,IF(ISBLANK('Monthly_Data'!B101)=ISBLANK(B445),0,1),1),IF('Monthly_Data'!C101=C445,IF(ISBLANK('Monthly_Data'!C101)=ISBLANK(C445),0,1),1),IF('Monthly_Data'!D101=D445,IF(ISBLANK('Monthly_Data'!D101)=ISBLANK(D445),0,1),1),IF('Monthly_Data'!E101=E445,IF(ISBLANK('Monthly_Data'!E101)=ISBLANK(E445),0,1),1),IF('Monthly_Data'!F101=F445,IF(ISBLANK('Monthly_Data'!F101)=ISBLANK(F445),0,1),1),IF('Monthly_Data'!G101=G445,IF(ISBLANK('Monthly_Data'!G101)=ISBLANK(G445),0,1),1),IF('Monthly_Data'!H101=H445,IF(ISBLANK('Monthly_Data'!H101)=ISBLANK(H445),0,1),1))</x:f>
        <x:v>0</x:v>
      </x:c>
    </x:row>
    <x:row r="446" ht="23" customHeight="1">
      <x:c r="A446" s="2" t="str">
        <x:v>61091000_TR_202509_IMPORT</x:v>
      </x:c>
      <x:c r="B446" s="2" t="n">
        <x:v>202509</x:v>
      </x:c>
      <x:c r="C446" s="2" t="str">
        <x:v>61091000</x:v>
      </x:c>
      <x:c r="D446" s="2" t="str">
        <x:v>Turkey</x:v>
      </x:c>
      <x:c r="E446" s="2" t="n">
        <x:v>8273950</x:v>
      </x:c>
      <x:c r="F446" s="2" t="n">
        <x:v>431723</x:v>
      </x:c>
      <x:c r="G446" s="2" t="str">
        <x:v>WITHIN_BAND</x:v>
      </x:c>
      <x:c r="H446" s="2" t="n">
        <x:v>1</x:v>
      </x:c>
      <x:c r="I446" s="2"/>
      <x:c r="J446" s="2"/>
      <x:c r="K446" s="2"/>
      <x:c r="L446" s="2" t="n">
        <x:f>SUM(IF('Monthly_Data'!A102=A446,IF(ISBLANK('Monthly_Data'!A102)=ISBLANK(A446),0,1),1),IF('Monthly_Data'!B102=B446,IF(ISBLANK('Monthly_Data'!B102)=ISBLANK(B446),0,1),1),IF('Monthly_Data'!C102=C446,IF(ISBLANK('Monthly_Data'!C102)=ISBLANK(C446),0,1),1),IF('Monthly_Data'!D102=D446,IF(ISBLANK('Monthly_Data'!D102)=ISBLANK(D446),0,1),1),IF('Monthly_Data'!E102=E446,IF(ISBLANK('Monthly_Data'!E102)=ISBLANK(E446),0,1),1),IF('Monthly_Data'!F102=F446,IF(ISBLANK('Monthly_Data'!F102)=ISBLANK(F446),0,1),1),IF('Monthly_Data'!G102=G446,IF(ISBLANK('Monthly_Data'!G102)=ISBLANK(G446),0,1),1),IF('Monthly_Data'!H102=H446,IF(ISBLANK('Monthly_Data'!H102)=ISBLANK(H446),0,1),1))</x:f>
        <x:v>0</x:v>
      </x:c>
    </x:row>
    <x:row r="447" ht="23" customHeight="1">
      <x:c r="A447" s="2" t="str">
        <x:v>61091000_VN_202509_IMPORT</x:v>
      </x:c>
      <x:c r="B447" s="2" t="n">
        <x:v>202509</x:v>
      </x:c>
      <x:c r="C447" s="2" t="str">
        <x:v>61091000</x:v>
      </x:c>
      <x:c r="D447" s="2" t="str">
        <x:v>Vietnam</x:v>
      </x:c>
      <x:c r="E447" s="2" t="n">
        <x:v>1502846</x:v>
      </x:c>
      <x:c r="F447" s="2" t="n">
        <x:v>60217</x:v>
      </x:c>
      <x:c r="G447" s="2" t="str">
        <x:v>WITHIN_BAND</x:v>
      </x:c>
      <x:c r="H447" s="2" t="n">
        <x:v>1</x:v>
      </x:c>
      <x:c r="I447" s="2"/>
      <x:c r="J447" s="2"/>
      <x:c r="K447" s="2"/>
      <x:c r="L447" s="2" t="n">
        <x:f>SUM(IF('Monthly_Data'!A103=A447,IF(ISBLANK('Monthly_Data'!A103)=ISBLANK(A447),0,1),1),IF('Monthly_Data'!B103=B447,IF(ISBLANK('Monthly_Data'!B103)=ISBLANK(B447),0,1),1),IF('Monthly_Data'!C103=C447,IF(ISBLANK('Monthly_Data'!C103)=ISBLANK(C447),0,1),1),IF('Monthly_Data'!D103=D447,IF(ISBLANK('Monthly_Data'!D103)=ISBLANK(D447),0,1),1),IF('Monthly_Data'!E103=E447,IF(ISBLANK('Monthly_Data'!E103)=ISBLANK(E447),0,1),1),IF('Monthly_Data'!F103=F447,IF(ISBLANK('Monthly_Data'!F103)=ISBLANK(F447),0,1),1),IF('Monthly_Data'!G103=G447,IF(ISBLANK('Monthly_Data'!G103)=ISBLANK(G447),0,1),1),IF('Monthly_Data'!H103=H447,IF(ISBLANK('Monthly_Data'!H103)=ISBLANK(H447),0,1),1))</x:f>
        <x:v>0</x:v>
      </x:c>
    </x:row>
    <x:row r="448" ht="23" customHeight="1">
      <x:c r="A448" s="2" t="str">
        <x:v>61091000_WORLD_202509_IMPORT</x:v>
      </x:c>
      <x:c r="B448" s="2" t="n">
        <x:v>202509</x:v>
      </x:c>
      <x:c r="C448" s="2" t="str">
        <x:v>61091000</x:v>
      </x:c>
      <x:c r="D448" s="2" t="str">
        <x:v>World</x:v>
      </x:c>
      <x:c r="E448" s="2" t="n">
        <x:v>92852108</x:v>
      </x:c>
      <x:c r="F448" s="2" t="n">
        <x:v>7059358</x:v>
      </x:c>
      <x:c r="G448" s="2" t="str">
        <x:v>WITHIN_BAND</x:v>
      </x:c>
      <x:c r="H448" s="2" t="n">
        <x:v>1</x:v>
      </x:c>
      <x:c r="I448" s="2"/>
      <x:c r="J448" s="2"/>
      <x:c r="K448" s="2"/>
      <x:c r="L448" s="2" t="n">
        <x:f>SUM(IF('Monthly_Data'!A104=A448,IF(ISBLANK('Monthly_Data'!A104)=ISBLANK(A448),0,1),1),IF('Monthly_Data'!B104=B448,IF(ISBLANK('Monthly_Data'!B104)=ISBLANK(B448),0,1),1),IF('Monthly_Data'!C104=C448,IF(ISBLANK('Monthly_Data'!C104)=ISBLANK(C448),0,1),1),IF('Monthly_Data'!D104=D448,IF(ISBLANK('Monthly_Data'!D104)=ISBLANK(D448),0,1),1),IF('Monthly_Data'!E104=E448,IF(ISBLANK('Monthly_Data'!E104)=ISBLANK(E448),0,1),1),IF('Monthly_Data'!F104=F448,IF(ISBLANK('Monthly_Data'!F104)=ISBLANK(F448),0,1),1),IF('Monthly_Data'!G104=G448,IF(ISBLANK('Monthly_Data'!G104)=ISBLANK(G448),0,1),1),IF('Monthly_Data'!H104=H448,IF(ISBLANK('Monthly_Data'!H104)=ISBLANK(H448),0,1),1))</x:f>
        <x:v>0</x:v>
      </x:c>
    </x:row>
    <x:row r="449" ht="23" customHeight="1">
      <x:c r="A449" s="2" t="str">
        <x:v>61091000_BD_202510_IMPORT</x:v>
      </x:c>
      <x:c r="B449" s="2" t="n">
        <x:v>202510</x:v>
      </x:c>
      <x:c r="C449" s="2" t="str">
        <x:v>61091000</x:v>
      </x:c>
      <x:c r="D449" s="2" t="str">
        <x:v>Bangladesh</x:v>
      </x:c>
      <x:c r="E449" s="2" t="n">
        <x:v>33462332</x:v>
      </x:c>
      <x:c r="F449" s="2" t="n">
        <x:v>3276421</x:v>
      </x:c>
      <x:c r="G449" s="2" t="str">
        <x:v>WITHIN_BAND</x:v>
      </x:c>
      <x:c r="H449" s="2" t="n">
        <x:v>1</x:v>
      </x:c>
      <x:c r="I449" s="2"/>
      <x:c r="J449" s="2"/>
      <x:c r="K449" s="2"/>
      <x:c r="L449" s="2" t="n">
        <x:f>SUM(IF('Monthly_Data'!A105=A449,IF(ISBLANK('Monthly_Data'!A105)=ISBLANK(A449),0,1),1),IF('Monthly_Data'!B105=B449,IF(ISBLANK('Monthly_Data'!B105)=ISBLANK(B449),0,1),1),IF('Monthly_Data'!C105=C449,IF(ISBLANK('Monthly_Data'!C105)=ISBLANK(C449),0,1),1),IF('Monthly_Data'!D105=D449,IF(ISBLANK('Monthly_Data'!D105)=ISBLANK(D449),0,1),1),IF('Monthly_Data'!E105=E449,IF(ISBLANK('Monthly_Data'!E105)=ISBLANK(E449),0,1),1),IF('Monthly_Data'!F105=F449,IF(ISBLANK('Monthly_Data'!F105)=ISBLANK(F449),0,1),1),IF('Monthly_Data'!G105=G449,IF(ISBLANK('Monthly_Data'!G105)=ISBLANK(G449),0,1),1),IF('Monthly_Data'!H105=H449,IF(ISBLANK('Monthly_Data'!H105)=ISBLANK(H449),0,1),1))</x:f>
        <x:v>0</x:v>
      </x:c>
    </x:row>
    <x:row r="450" ht="23" customHeight="1">
      <x:c r="A450" s="2" t="str">
        <x:v>61091000_KH_202510_IMPORT</x:v>
      </x:c>
      <x:c r="B450" s="2" t="n">
        <x:v>202510</x:v>
      </x:c>
      <x:c r="C450" s="2" t="str">
        <x:v>61091000</x:v>
      </x:c>
      <x:c r="D450" s="2" t="str">
        <x:v>Cambodia</x:v>
      </x:c>
      <x:c r="E450" s="2" t="n">
        <x:v>1407919</x:v>
      </x:c>
      <x:c r="F450" s="2" t="n">
        <x:v>60511</x:v>
      </x:c>
      <x:c r="G450" s="2" t="str">
        <x:v>WITHIN_BAND</x:v>
      </x:c>
      <x:c r="H450" s="2" t="n">
        <x:v>1</x:v>
      </x:c>
      <x:c r="I450" s="2"/>
      <x:c r="J450" s="2"/>
      <x:c r="K450" s="2"/>
      <x:c r="L450" s="2" t="n">
        <x:f>SUM(IF('Monthly_Data'!A106=A450,IF(ISBLANK('Monthly_Data'!A106)=ISBLANK(A450),0,1),1),IF('Monthly_Data'!B106=B450,IF(ISBLANK('Monthly_Data'!B106)=ISBLANK(B450),0,1),1),IF('Monthly_Data'!C106=C450,IF(ISBLANK('Monthly_Data'!C106)=ISBLANK(C450),0,1),1),IF('Monthly_Data'!D106=D450,IF(ISBLANK('Monthly_Data'!D106)=ISBLANK(D450),0,1),1),IF('Monthly_Data'!E106=E450,IF(ISBLANK('Monthly_Data'!E106)=ISBLANK(E450),0,1),1),IF('Monthly_Data'!F106=F450,IF(ISBLANK('Monthly_Data'!F106)=ISBLANK(F450),0,1),1),IF('Monthly_Data'!G106=G450,IF(ISBLANK('Monthly_Data'!G106)=ISBLANK(G450),0,1),1),IF('Monthly_Data'!H106=H450,IF(ISBLANK('Monthly_Data'!H106)=ISBLANK(H450),0,1),1))</x:f>
        <x:v>0</x:v>
      </x:c>
    </x:row>
    <x:row r="451" ht="23" customHeight="1">
      <x:c r="A451" s="2" t="str">
        <x:v>61091000_CN_202510_IMPORT</x:v>
      </x:c>
      <x:c r="B451" s="2" t="n">
        <x:v>202510</x:v>
      </x:c>
      <x:c r="C451" s="2" t="str">
        <x:v>61091000</x:v>
      </x:c>
      <x:c r="D451" s="2" t="str">
        <x:v>China</x:v>
      </x:c>
      <x:c r="E451" s="2" t="n">
        <x:v>3385435</x:v>
      </x:c>
      <x:c r="F451" s="2" t="n">
        <x:v>203612</x:v>
      </x:c>
      <x:c r="G451" s="2" t="str">
        <x:v>WITHIN_BAND</x:v>
      </x:c>
      <x:c r="H451" s="2" t="n">
        <x:v>1</x:v>
      </x:c>
      <x:c r="I451" s="2"/>
      <x:c r="J451" s="2"/>
      <x:c r="K451" s="2"/>
      <x:c r="L451" s="2" t="n">
        <x:f>SUM(IF('Monthly_Data'!A107=A451,IF(ISBLANK('Monthly_Data'!A107)=ISBLANK(A451),0,1),1),IF('Monthly_Data'!B107=B451,IF(ISBLANK('Monthly_Data'!B107)=ISBLANK(B451),0,1),1),IF('Monthly_Data'!C107=C451,IF(ISBLANK('Monthly_Data'!C107)=ISBLANK(C451),0,1),1),IF('Monthly_Data'!D107=D451,IF(ISBLANK('Monthly_Data'!D107)=ISBLANK(D451),0,1),1),IF('Monthly_Data'!E107=E451,IF(ISBLANK('Monthly_Data'!E107)=ISBLANK(E451),0,1),1),IF('Monthly_Data'!F107=F451,IF(ISBLANK('Monthly_Data'!F107)=ISBLANK(F451),0,1),1),IF('Monthly_Data'!G107=G451,IF(ISBLANK('Monthly_Data'!G107)=ISBLANK(G451),0,1),1),IF('Monthly_Data'!H107=H451,IF(ISBLANK('Monthly_Data'!H107)=ISBLANK(H451),0,1),1))</x:f>
        <x:v>0</x:v>
      </x:c>
    </x:row>
    <x:row r="452" ht="23" customHeight="1">
      <x:c r="A452" s="2" t="str">
        <x:v>61091000_IN_202510_IMPORT</x:v>
      </x:c>
      <x:c r="B452" s="2" t="n">
        <x:v>202510</x:v>
      </x:c>
      <x:c r="C452" s="2" t="str">
        <x:v>61091000</x:v>
      </x:c>
      <x:c r="D452" s="2" t="str">
        <x:v>India</x:v>
      </x:c>
      <x:c r="E452" s="2" t="n">
        <x:v>7590084</x:v>
      </x:c>
      <x:c r="F452" s="2" t="n">
        <x:v>611634</x:v>
      </x:c>
      <x:c r="G452" s="2" t="str">
        <x:v>WITHIN_BAND</x:v>
      </x:c>
      <x:c r="H452" s="2" t="n">
        <x:v>1</x:v>
      </x:c>
      <x:c r="I452" s="2"/>
      <x:c r="J452" s="2"/>
      <x:c r="K452" s="2"/>
      <x:c r="L452" s="2" t="n">
        <x:f>SUM(IF('Monthly_Data'!A108=A452,IF(ISBLANK('Monthly_Data'!A108)=ISBLANK(A452),0,1),1),IF('Monthly_Data'!B108=B452,IF(ISBLANK('Monthly_Data'!B108)=ISBLANK(B452),0,1),1),IF('Monthly_Data'!C108=C452,IF(ISBLANK('Monthly_Data'!C108)=ISBLANK(C452),0,1),1),IF('Monthly_Data'!D108=D452,IF(ISBLANK('Monthly_Data'!D108)=ISBLANK(D452),0,1),1),IF('Monthly_Data'!E108=E452,IF(ISBLANK('Monthly_Data'!E108)=ISBLANK(E452),0,1),1),IF('Monthly_Data'!F108=F452,IF(ISBLANK('Monthly_Data'!F108)=ISBLANK(F452),0,1),1),IF('Monthly_Data'!G108=G452,IF(ISBLANK('Monthly_Data'!G108)=ISBLANK(G452),0,1),1),IF('Monthly_Data'!H108=H452,IF(ISBLANK('Monthly_Data'!H108)=ISBLANK(H452),0,1),1))</x:f>
        <x:v>0</x:v>
      </x:c>
    </x:row>
    <x:row r="453" ht="23" customHeight="1">
      <x:c r="A453" s="2" t="str">
        <x:v>61091000_MA_202510_IMPORT</x:v>
      </x:c>
      <x:c r="B453" s="2" t="n">
        <x:v>202510</x:v>
      </x:c>
      <x:c r="C453" s="2" t="str">
        <x:v>61091000</x:v>
      </x:c>
      <x:c r="D453" s="2" t="str">
        <x:v>Morocco</x:v>
      </x:c>
      <x:c r="E453" s="2" t="n">
        <x:v>887550</x:v>
      </x:c>
      <x:c r="F453" s="2" t="n">
        <x:v>81521</x:v>
      </x:c>
      <x:c r="G453" s="2" t="str">
        <x:v>WITHIN_BAND</x:v>
      </x:c>
      <x:c r="H453" s="2" t="n">
        <x:v>1</x:v>
      </x:c>
      <x:c r="I453" s="2"/>
      <x:c r="J453" s="2"/>
      <x:c r="K453" s="2"/>
      <x:c r="L453" s="2" t="n">
        <x:f>SUM(IF('Monthly_Data'!A109=A453,IF(ISBLANK('Monthly_Data'!A109)=ISBLANK(A453),0,1),1),IF('Monthly_Data'!B109=B453,IF(ISBLANK('Monthly_Data'!B109)=ISBLANK(B453),0,1),1),IF('Monthly_Data'!C109=C453,IF(ISBLANK('Monthly_Data'!C109)=ISBLANK(C453),0,1),1),IF('Monthly_Data'!D109=D453,IF(ISBLANK('Monthly_Data'!D109)=ISBLANK(D453),0,1),1),IF('Monthly_Data'!E109=E453,IF(ISBLANK('Monthly_Data'!E109)=ISBLANK(E453),0,1),1),IF('Monthly_Data'!F109=F453,IF(ISBLANK('Monthly_Data'!F109)=ISBLANK(F453),0,1),1),IF('Monthly_Data'!G109=G453,IF(ISBLANK('Monthly_Data'!G109)=ISBLANK(G453),0,1),1),IF('Monthly_Data'!H109=H453,IF(ISBLANK('Monthly_Data'!H109)=ISBLANK(H453),0,1),1))</x:f>
        <x:v>0</x:v>
      </x:c>
    </x:row>
    <x:row r="454" ht="23" customHeight="1">
      <x:c r="A454" s="2" t="str">
        <x:v>61091000_MM_202510_IMPORT</x:v>
      </x:c>
      <x:c r="B454" s="2" t="n">
        <x:v>202510</x:v>
      </x:c>
      <x:c r="C454" s="2" t="str">
        <x:v>61091000</x:v>
      </x:c>
      <x:c r="D454" s="2" t="str">
        <x:v>Myanmar</x:v>
      </x:c>
      <x:c r="E454" s="2" t="n">
        <x:v>17824</x:v>
      </x:c>
      <x:c r="F454" s="2" t="n">
        <x:v>1248</x:v>
      </x:c>
      <x:c r="G454" s="2" t="str">
        <x:v>WITHIN_BAND</x:v>
      </x:c>
      <x:c r="H454" s="2" t="n">
        <x:v>1</x:v>
      </x:c>
      <x:c r="I454" s="2"/>
      <x:c r="J454" s="2"/>
      <x:c r="K454" s="2"/>
      <x:c r="L454" s="2" t="n">
        <x:f>SUM(IF('Monthly_Data'!A110=A454,IF(ISBLANK('Monthly_Data'!A110)=ISBLANK(A454),0,1),1),IF('Monthly_Data'!B110=B454,IF(ISBLANK('Monthly_Data'!B110)=ISBLANK(B454),0,1),1),IF('Monthly_Data'!C110=C454,IF(ISBLANK('Monthly_Data'!C110)=ISBLANK(C454),0,1),1),IF('Monthly_Data'!D110=D454,IF(ISBLANK('Monthly_Data'!D110)=ISBLANK(D454),0,1),1),IF('Monthly_Data'!E110=E454,IF(ISBLANK('Monthly_Data'!E110)=ISBLANK(E454),0,1),1),IF('Monthly_Data'!F110=F454,IF(ISBLANK('Monthly_Data'!F110)=ISBLANK(F454),0,1),1),IF('Monthly_Data'!G110=G454,IF(ISBLANK('Monthly_Data'!G110)=ISBLANK(G454),0,1),1),IF('Monthly_Data'!H110=H454,IF(ISBLANK('Monthly_Data'!H110)=ISBLANK(H454),0,1),1))</x:f>
        <x:v>0</x:v>
      </x:c>
    </x:row>
    <x:row r="455" ht="23" customHeight="1">
      <x:c r="A455" s="2" t="str">
        <x:v>61091000_PK_202510_IMPORT</x:v>
      </x:c>
      <x:c r="B455" s="2" t="n">
        <x:v>202510</x:v>
      </x:c>
      <x:c r="C455" s="2" t="str">
        <x:v>61091000</x:v>
      </x:c>
      <x:c r="D455" s="2" t="str">
        <x:v>Pakistan</x:v>
      </x:c>
      <x:c r="E455" s="2" t="n">
        <x:v>3660321</x:v>
      </x:c>
      <x:c r="F455" s="2" t="n">
        <x:v>303870</x:v>
      </x:c>
      <x:c r="G455" s="2" t="str">
        <x:v>WITHIN_BAND</x:v>
      </x:c>
      <x:c r="H455" s="2" t="n">
        <x:v>1</x:v>
      </x:c>
      <x:c r="I455" s="2"/>
      <x:c r="J455" s="2"/>
      <x:c r="K455" s="2"/>
      <x:c r="L455" s="2" t="n">
        <x:f>SUM(IF('Monthly_Data'!A111=A455,IF(ISBLANK('Monthly_Data'!A111)=ISBLANK(A455),0,1),1),IF('Monthly_Data'!B111=B455,IF(ISBLANK('Monthly_Data'!B111)=ISBLANK(B455),0,1),1),IF('Monthly_Data'!C111=C455,IF(ISBLANK('Monthly_Data'!C111)=ISBLANK(C455),0,1),1),IF('Monthly_Data'!D111=D455,IF(ISBLANK('Monthly_Data'!D111)=ISBLANK(D455),0,1),1),IF('Monthly_Data'!E111=E455,IF(ISBLANK('Monthly_Data'!E111)=ISBLANK(E455),0,1),1),IF('Monthly_Data'!F111=F455,IF(ISBLANK('Monthly_Data'!F111)=ISBLANK(F455),0,1),1),IF('Monthly_Data'!G111=G455,IF(ISBLANK('Monthly_Data'!G111)=ISBLANK(G455),0,1),1),IF('Monthly_Data'!H111=H455,IF(ISBLANK('Monthly_Data'!H111)=ISBLANK(H455),0,1),1))</x:f>
        <x:v>0</x:v>
      </x:c>
    </x:row>
    <x:row r="456" ht="23" customHeight="1">
      <x:c r="A456" s="2" t="str">
        <x:v>61091000_LK_202510_IMPORT</x:v>
      </x:c>
      <x:c r="B456" s="2" t="n">
        <x:v>202510</x:v>
      </x:c>
      <x:c r="C456" s="2" t="str">
        <x:v>61091000</x:v>
      </x:c>
      <x:c r="D456" s="2" t="str">
        <x:v>Sri Lanka</x:v>
      </x:c>
      <x:c r="E456" s="2" t="n">
        <x:v>1630740</x:v>
      </x:c>
      <x:c r="F456" s="2" t="n">
        <x:v>202579</x:v>
      </x:c>
      <x:c r="G456" s="2" t="str">
        <x:v>WITHIN_BAND</x:v>
      </x:c>
      <x:c r="H456" s="2" t="n">
        <x:v>1</x:v>
      </x:c>
      <x:c r="I456" s="2"/>
      <x:c r="J456" s="2"/>
      <x:c r="K456" s="2"/>
      <x:c r="L456" s="2" t="n">
        <x:f>SUM(IF('Monthly_Data'!A112=A456,IF(ISBLANK('Monthly_Data'!A112)=ISBLANK(A456),0,1),1),IF('Monthly_Data'!B112=B456,IF(ISBLANK('Monthly_Data'!B112)=ISBLANK(B456),0,1),1),IF('Monthly_Data'!C112=C456,IF(ISBLANK('Monthly_Data'!C112)=ISBLANK(C456),0,1),1),IF('Monthly_Data'!D112=D456,IF(ISBLANK('Monthly_Data'!D112)=ISBLANK(D456),0,1),1),IF('Monthly_Data'!E112=E456,IF(ISBLANK('Monthly_Data'!E112)=ISBLANK(E456),0,1),1),IF('Monthly_Data'!F112=F456,IF(ISBLANK('Monthly_Data'!F112)=ISBLANK(F456),0,1),1),IF('Monthly_Data'!G112=G456,IF(ISBLANK('Monthly_Data'!G112)=ISBLANK(G456),0,1),1),IF('Monthly_Data'!H112=H456,IF(ISBLANK('Monthly_Data'!H112)=ISBLANK(H456),0,1),1))</x:f>
        <x:v>0</x:v>
      </x:c>
    </x:row>
    <x:row r="457" ht="23" customHeight="1">
      <x:c r="A457" s="2" t="str">
        <x:v>61091000_TR_202510_IMPORT</x:v>
      </x:c>
      <x:c r="B457" s="2" t="n">
        <x:v>202510</x:v>
      </x:c>
      <x:c r="C457" s="2" t="str">
        <x:v>61091000</x:v>
      </x:c>
      <x:c r="D457" s="2" t="str">
        <x:v>Turkey</x:v>
      </x:c>
      <x:c r="E457" s="2" t="n">
        <x:v>7138599</x:v>
      </x:c>
      <x:c r="F457" s="2" t="n">
        <x:v>339530</x:v>
      </x:c>
      <x:c r="G457" s="2" t="str">
        <x:v>WITHIN_BAND</x:v>
      </x:c>
      <x:c r="H457" s="2" t="n">
        <x:v>1</x:v>
      </x:c>
      <x:c r="I457" s="2"/>
      <x:c r="J457" s="2"/>
      <x:c r="K457" s="2"/>
      <x:c r="L457" s="2" t="n">
        <x:f>SUM(IF('Monthly_Data'!A113=A457,IF(ISBLANK('Monthly_Data'!A113)=ISBLANK(A457),0,1),1),IF('Monthly_Data'!B113=B457,IF(ISBLANK('Monthly_Data'!B113)=ISBLANK(B457),0,1),1),IF('Monthly_Data'!C113=C457,IF(ISBLANK('Monthly_Data'!C113)=ISBLANK(C457),0,1),1),IF('Monthly_Data'!D113=D457,IF(ISBLANK('Monthly_Data'!D113)=ISBLANK(D457),0,1),1),IF('Monthly_Data'!E113=E457,IF(ISBLANK('Monthly_Data'!E113)=ISBLANK(E457),0,1),1),IF('Monthly_Data'!F113=F457,IF(ISBLANK('Monthly_Data'!F113)=ISBLANK(F457),0,1),1),IF('Monthly_Data'!G113=G457,IF(ISBLANK('Monthly_Data'!G113)=ISBLANK(G457),0,1),1),IF('Monthly_Data'!H113=H457,IF(ISBLANK('Monthly_Data'!H113)=ISBLANK(H457),0,1),1))</x:f>
        <x:v>0</x:v>
      </x:c>
    </x:row>
    <x:row r="458" ht="23" customHeight="1">
      <x:c r="A458" s="2" t="str">
        <x:v>61091000_VN_202510_IMPORT</x:v>
      </x:c>
      <x:c r="B458" s="2" t="n">
        <x:v>202510</x:v>
      </x:c>
      <x:c r="C458" s="2" t="str">
        <x:v>61091000</x:v>
      </x:c>
      <x:c r="D458" s="2" t="str">
        <x:v>Vietnam</x:v>
      </x:c>
      <x:c r="E458" s="2" t="n">
        <x:v>984572</x:v>
      </x:c>
      <x:c r="F458" s="2" t="n">
        <x:v>48805</x:v>
      </x:c>
      <x:c r="G458" s="2" t="str">
        <x:v>WITHIN_BAND</x:v>
      </x:c>
      <x:c r="H458" s="2" t="n">
        <x:v>1</x:v>
      </x:c>
      <x:c r="I458" s="2"/>
      <x:c r="J458" s="2"/>
      <x:c r="K458" s="2"/>
      <x:c r="L458" s="2" t="n">
        <x:f>SUM(IF('Monthly_Data'!A114=A458,IF(ISBLANK('Monthly_Data'!A114)=ISBLANK(A458),0,1),1),IF('Monthly_Data'!B114=B458,IF(ISBLANK('Monthly_Data'!B114)=ISBLANK(B458),0,1),1),IF('Monthly_Data'!C114=C458,IF(ISBLANK('Monthly_Data'!C114)=ISBLANK(C458),0,1),1),IF('Monthly_Data'!D114=D458,IF(ISBLANK('Monthly_Data'!D114)=ISBLANK(D458),0,1),1),IF('Monthly_Data'!E114=E458,IF(ISBLANK('Monthly_Data'!E114)=ISBLANK(E458),0,1),1),IF('Monthly_Data'!F114=F458,IF(ISBLANK('Monthly_Data'!F114)=ISBLANK(F458),0,1),1),IF('Monthly_Data'!G114=G458,IF(ISBLANK('Monthly_Data'!G114)=ISBLANK(G458),0,1),1),IF('Monthly_Data'!H114=H458,IF(ISBLANK('Monthly_Data'!H114)=ISBLANK(H458),0,1),1))</x:f>
        <x:v>0</x:v>
      </x:c>
    </x:row>
    <x:row r="459" ht="23" customHeight="1">
      <x:c r="A459" s="2" t="str">
        <x:v>61091000_WORLD_202510_IMPORT</x:v>
      </x:c>
      <x:c r="B459" s="2" t="n">
        <x:v>202510</x:v>
      </x:c>
      <x:c r="C459" s="2" t="str">
        <x:v>61091000</x:v>
      </x:c>
      <x:c r="D459" s="2" t="str">
        <x:v>World</x:v>
      </x:c>
      <x:c r="E459" s="2" t="n">
        <x:v>91915424</x:v>
      </x:c>
      <x:c r="F459" s="2" t="n">
        <x:v>6190983</x:v>
      </x:c>
      <x:c r="G459" s="2" t="str">
        <x:v>WITHIN_BAND</x:v>
      </x:c>
      <x:c r="H459" s="2" t="n">
        <x:v>1</x:v>
      </x:c>
      <x:c r="I459" s="2"/>
      <x:c r="J459" s="2"/>
      <x:c r="K459" s="2"/>
      <x:c r="L459" s="2" t="n">
        <x:f>SUM(IF('Monthly_Data'!A115=A459,IF(ISBLANK('Monthly_Data'!A115)=ISBLANK(A459),0,1),1),IF('Monthly_Data'!B115=B459,IF(ISBLANK('Monthly_Data'!B115)=ISBLANK(B459),0,1),1),IF('Monthly_Data'!C115=C459,IF(ISBLANK('Monthly_Data'!C115)=ISBLANK(C459),0,1),1),IF('Monthly_Data'!D115=D459,IF(ISBLANK('Monthly_Data'!D115)=ISBLANK(D459),0,1),1),IF('Monthly_Data'!E115=E459,IF(ISBLANK('Monthly_Data'!E115)=ISBLANK(E459),0,1),1),IF('Monthly_Data'!F115=F459,IF(ISBLANK('Monthly_Data'!F115)=ISBLANK(F459),0,1),1),IF('Monthly_Data'!G115=G459,IF(ISBLANK('Monthly_Data'!G115)=ISBLANK(G459),0,1),1),IF('Monthly_Data'!H115=H459,IF(ISBLANK('Monthly_Data'!H115)=ISBLANK(H459),0,1),1))</x:f>
        <x:v>0</x:v>
      </x:c>
    </x:row>
    <x:row r="460" ht="23" customHeight="1">
      <x:c r="A460" s="2" t="str">
        <x:v>61091000_BD_202511_IMPORT</x:v>
      </x:c>
      <x:c r="B460" s="2" t="n">
        <x:v>202511</x:v>
      </x:c>
      <x:c r="C460" s="2" t="str">
        <x:v>61091000</x:v>
      </x:c>
      <x:c r="D460" s="2" t="str">
        <x:v>Bangladesh</x:v>
      </x:c>
      <x:c r="E460" s="2" t="n">
        <x:v>29640810</x:v>
      </x:c>
      <x:c r="F460" s="2" t="n">
        <x:v>3057922</x:v>
      </x:c>
      <x:c r="G460" s="2" t="str">
        <x:v>WITHIN_BAND</x:v>
      </x:c>
      <x:c r="H460" s="2" t="n">
        <x:v>1</x:v>
      </x:c>
      <x:c r="I460" s="2"/>
      <x:c r="J460" s="2"/>
      <x:c r="K460" s="2"/>
      <x:c r="L460" s="2" t="n">
        <x:f>SUM(IF('Monthly_Data'!A116=A460,IF(ISBLANK('Monthly_Data'!A116)=ISBLANK(A460),0,1),1),IF('Monthly_Data'!B116=B460,IF(ISBLANK('Monthly_Data'!B116)=ISBLANK(B460),0,1),1),IF('Monthly_Data'!C116=C460,IF(ISBLANK('Monthly_Data'!C116)=ISBLANK(C460),0,1),1),IF('Monthly_Data'!D116=D460,IF(ISBLANK('Monthly_Data'!D116)=ISBLANK(D460),0,1),1),IF('Monthly_Data'!E116=E460,IF(ISBLANK('Monthly_Data'!E116)=ISBLANK(E460),0,1),1),IF('Monthly_Data'!F116=F460,IF(ISBLANK('Monthly_Data'!F116)=ISBLANK(F460),0,1),1),IF('Monthly_Data'!G116=G460,IF(ISBLANK('Monthly_Data'!G116)=ISBLANK(G460),0,1),1),IF('Monthly_Data'!H116=H460,IF(ISBLANK('Monthly_Data'!H116)=ISBLANK(H460),0,1),1))</x:f>
        <x:v>0</x:v>
      </x:c>
    </x:row>
    <x:row r="461" ht="23" customHeight="1">
      <x:c r="A461" s="2" t="str">
        <x:v>61091000_KH_202511_IMPORT</x:v>
      </x:c>
      <x:c r="B461" s="2" t="n">
        <x:v>202511</x:v>
      </x:c>
      <x:c r="C461" s="2" t="str">
        <x:v>61091000</x:v>
      </x:c>
      <x:c r="D461" s="2" t="str">
        <x:v>Cambodia</x:v>
      </x:c>
      <x:c r="E461" s="2" t="n">
        <x:v>590069</x:v>
      </x:c>
      <x:c r="F461" s="2" t="n">
        <x:v>28458</x:v>
      </x:c>
      <x:c r="G461" s="2" t="str">
        <x:v>WITHIN_BAND</x:v>
      </x:c>
      <x:c r="H461" s="2" t="n">
        <x:v>1</x:v>
      </x:c>
      <x:c r="I461" s="2"/>
      <x:c r="J461" s="2"/>
      <x:c r="K461" s="2"/>
      <x:c r="L461" s="2" t="n">
        <x:f>SUM(IF('Monthly_Data'!A117=A461,IF(ISBLANK('Monthly_Data'!A117)=ISBLANK(A461),0,1),1),IF('Monthly_Data'!B117=B461,IF(ISBLANK('Monthly_Data'!B117)=ISBLANK(B461),0,1),1),IF('Monthly_Data'!C117=C461,IF(ISBLANK('Monthly_Data'!C117)=ISBLANK(C461),0,1),1),IF('Monthly_Data'!D117=D461,IF(ISBLANK('Monthly_Data'!D117)=ISBLANK(D461),0,1),1),IF('Monthly_Data'!E117=E461,IF(ISBLANK('Monthly_Data'!E117)=ISBLANK(E461),0,1),1),IF('Monthly_Data'!F117=F461,IF(ISBLANK('Monthly_Data'!F117)=ISBLANK(F461),0,1),1),IF('Monthly_Data'!G117=G461,IF(ISBLANK('Monthly_Data'!G117)=ISBLANK(G461),0,1),1),IF('Monthly_Data'!H117=H461,IF(ISBLANK('Monthly_Data'!H117)=ISBLANK(H461),0,1),1))</x:f>
        <x:v>0</x:v>
      </x:c>
    </x:row>
    <x:row r="462" ht="23" customHeight="1">
      <x:c r="A462" s="2" t="str">
        <x:v>61091000_CN_202511_IMPORT</x:v>
      </x:c>
      <x:c r="B462" s="2" t="n">
        <x:v>202511</x:v>
      </x:c>
      <x:c r="C462" s="2" t="str">
        <x:v>61091000</x:v>
      </x:c>
      <x:c r="D462" s="2" t="str">
        <x:v>China</x:v>
      </x:c>
      <x:c r="E462" s="2" t="n">
        <x:v>2550741</x:v>
      </x:c>
      <x:c r="F462" s="2" t="n">
        <x:v>160627</x:v>
      </x:c>
      <x:c r="G462" s="2" t="str">
        <x:v>WITHIN_BAND</x:v>
      </x:c>
      <x:c r="H462" s="2" t="n">
        <x:v>1</x:v>
      </x:c>
      <x:c r="I462" s="2"/>
      <x:c r="J462" s="2"/>
      <x:c r="K462" s="2"/>
      <x:c r="L462" s="2" t="n">
        <x:f>SUM(IF('Monthly_Data'!A118=A462,IF(ISBLANK('Monthly_Data'!A118)=ISBLANK(A462),0,1),1),IF('Monthly_Data'!B118=B462,IF(ISBLANK('Monthly_Data'!B118)=ISBLANK(B462),0,1),1),IF('Monthly_Data'!C118=C462,IF(ISBLANK('Monthly_Data'!C118)=ISBLANK(C462),0,1),1),IF('Monthly_Data'!D118=D462,IF(ISBLANK('Monthly_Data'!D118)=ISBLANK(D462),0,1),1),IF('Monthly_Data'!E118=E462,IF(ISBLANK('Monthly_Data'!E118)=ISBLANK(E462),0,1),1),IF('Monthly_Data'!F118=F462,IF(ISBLANK('Monthly_Data'!F118)=ISBLANK(F462),0,1),1),IF('Monthly_Data'!G118=G462,IF(ISBLANK('Monthly_Data'!G118)=ISBLANK(G462),0,1),1),IF('Monthly_Data'!H118=H462,IF(ISBLANK('Monthly_Data'!H118)=ISBLANK(H462),0,1),1))</x:f>
        <x:v>0</x:v>
      </x:c>
    </x:row>
    <x:row r="463" ht="23" customHeight="1">
      <x:c r="A463" s="2" t="str">
        <x:v>61091000_IN_202511_IMPORT</x:v>
      </x:c>
      <x:c r="B463" s="2" t="n">
        <x:v>202511</x:v>
      </x:c>
      <x:c r="C463" s="2" t="str">
        <x:v>61091000</x:v>
      </x:c>
      <x:c r="D463" s="2" t="str">
        <x:v>India</x:v>
      </x:c>
      <x:c r="E463" s="2" t="n">
        <x:v>6214639</x:v>
      </x:c>
      <x:c r="F463" s="2" t="n">
        <x:v>512627</x:v>
      </x:c>
      <x:c r="G463" s="2" t="str">
        <x:v>WITHIN_BAND</x:v>
      </x:c>
      <x:c r="H463" s="2" t="n">
        <x:v>1</x:v>
      </x:c>
      <x:c r="I463" s="2"/>
      <x:c r="J463" s="2"/>
      <x:c r="K463" s="2"/>
      <x:c r="L463" s="2" t="n">
        <x:f>SUM(IF('Monthly_Data'!A119=A463,IF(ISBLANK('Monthly_Data'!A119)=ISBLANK(A463),0,1),1),IF('Monthly_Data'!B119=B463,IF(ISBLANK('Monthly_Data'!B119)=ISBLANK(B463),0,1),1),IF('Monthly_Data'!C119=C463,IF(ISBLANK('Monthly_Data'!C119)=ISBLANK(C463),0,1),1),IF('Monthly_Data'!D119=D463,IF(ISBLANK('Monthly_Data'!D119)=ISBLANK(D463),0,1),1),IF('Monthly_Data'!E119=E463,IF(ISBLANK('Monthly_Data'!E119)=ISBLANK(E463),0,1),1),IF('Monthly_Data'!F119=F463,IF(ISBLANK('Monthly_Data'!F119)=ISBLANK(F463),0,1),1),IF('Monthly_Data'!G119=G463,IF(ISBLANK('Monthly_Data'!G119)=ISBLANK(G463),0,1),1),IF('Monthly_Data'!H119=H463,IF(ISBLANK('Monthly_Data'!H119)=ISBLANK(H463),0,1),1))</x:f>
        <x:v>0</x:v>
      </x:c>
    </x:row>
    <x:row r="464" ht="23" customHeight="1">
      <x:c r="A464" s="2" t="str">
        <x:v>61091000_MA_202511_IMPORT</x:v>
      </x:c>
      <x:c r="B464" s="2" t="n">
        <x:v>202511</x:v>
      </x:c>
      <x:c r="C464" s="2" t="str">
        <x:v>61091000</x:v>
      </x:c>
      <x:c r="D464" s="2" t="str">
        <x:v>Morocco</x:v>
      </x:c>
      <x:c r="E464" s="2" t="n">
        <x:v>873263</x:v>
      </x:c>
      <x:c r="F464" s="2" t="n">
        <x:v>105461</x:v>
      </x:c>
      <x:c r="G464" s="2" t="str">
        <x:v>WITHIN_BAND</x:v>
      </x:c>
      <x:c r="H464" s="2" t="n">
        <x:v>1</x:v>
      </x:c>
      <x:c r="I464" s="2"/>
      <x:c r="J464" s="2"/>
      <x:c r="K464" s="2"/>
      <x:c r="L464" s="2" t="n">
        <x:f>SUM(IF('Monthly_Data'!A120=A464,IF(ISBLANK('Monthly_Data'!A120)=ISBLANK(A464),0,1),1),IF('Monthly_Data'!B120=B464,IF(ISBLANK('Monthly_Data'!B120)=ISBLANK(B464),0,1),1),IF('Monthly_Data'!C120=C464,IF(ISBLANK('Monthly_Data'!C120)=ISBLANK(C464),0,1),1),IF('Monthly_Data'!D120=D464,IF(ISBLANK('Monthly_Data'!D120)=ISBLANK(D464),0,1),1),IF('Monthly_Data'!E120=E464,IF(ISBLANK('Monthly_Data'!E120)=ISBLANK(E464),0,1),1),IF('Monthly_Data'!F120=F464,IF(ISBLANK('Monthly_Data'!F120)=ISBLANK(F464),0,1),1),IF('Monthly_Data'!G120=G464,IF(ISBLANK('Monthly_Data'!G120)=ISBLANK(G464),0,1),1),IF('Monthly_Data'!H120=H464,IF(ISBLANK('Monthly_Data'!H120)=ISBLANK(H464),0,1),1))</x:f>
        <x:v>0</x:v>
      </x:c>
    </x:row>
    <x:row r="465" ht="23" customHeight="1">
      <x:c r="A465" s="2" t="str">
        <x:v>61091000_MM_202511_IMPORT</x:v>
      </x:c>
      <x:c r="B465" s="2" t="n">
        <x:v>202511</x:v>
      </x:c>
      <x:c r="C465" s="2" t="str">
        <x:v>61091000</x:v>
      </x:c>
      <x:c r="D465" s="2" t="str">
        <x:v>Myanmar</x:v>
      </x:c>
      <x:c r="E465" s="2" t="n">
        <x:v>1255</x:v>
      </x:c>
      <x:c r="F465" s="2" t="n">
        <x:v>38</x:v>
      </x:c>
      <x:c r="G465" s="2" t="str">
        <x:v>WITHIN_BAND</x:v>
      </x:c>
      <x:c r="H465" s="2" t="n">
        <x:v>1</x:v>
      </x:c>
      <x:c r="I465" s="2"/>
      <x:c r="J465" s="2"/>
      <x:c r="K465" s="2"/>
      <x:c r="L465" s="2" t="n">
        <x:f>SUM(IF('Monthly_Data'!A121=A465,IF(ISBLANK('Monthly_Data'!A121)=ISBLANK(A465),0,1),1),IF('Monthly_Data'!B121=B465,IF(ISBLANK('Monthly_Data'!B121)=ISBLANK(B465),0,1),1),IF('Monthly_Data'!C121=C465,IF(ISBLANK('Monthly_Data'!C121)=ISBLANK(C465),0,1),1),IF('Monthly_Data'!D121=D465,IF(ISBLANK('Monthly_Data'!D121)=ISBLANK(D465),0,1),1),IF('Monthly_Data'!E121=E465,IF(ISBLANK('Monthly_Data'!E121)=ISBLANK(E465),0,1),1),IF('Monthly_Data'!F121=F465,IF(ISBLANK('Monthly_Data'!F121)=ISBLANK(F465),0,1),1),IF('Monthly_Data'!G121=G465,IF(ISBLANK('Monthly_Data'!G121)=ISBLANK(G465),0,1),1),IF('Monthly_Data'!H121=H465,IF(ISBLANK('Monthly_Data'!H121)=ISBLANK(H465),0,1),1))</x:f>
        <x:v>0</x:v>
      </x:c>
    </x:row>
    <x:row r="466" ht="23" customHeight="1">
      <x:c r="A466" s="2" t="str">
        <x:v>61091000_PK_202511_IMPORT</x:v>
      </x:c>
      <x:c r="B466" s="2" t="n">
        <x:v>202511</x:v>
      </x:c>
      <x:c r="C466" s="2" t="str">
        <x:v>61091000</x:v>
      </x:c>
      <x:c r="D466" s="2" t="str">
        <x:v>Pakistan</x:v>
      </x:c>
      <x:c r="E466" s="2" t="n">
        <x:v>3103123</x:v>
      </x:c>
      <x:c r="F466" s="2" t="n">
        <x:v>282048</x:v>
      </x:c>
      <x:c r="G466" s="2" t="str">
        <x:v>WITHIN_BAND</x:v>
      </x:c>
      <x:c r="H466" s="2" t="n">
        <x:v>1</x:v>
      </x:c>
      <x:c r="I466" s="2"/>
      <x:c r="J466" s="2"/>
      <x:c r="K466" s="2"/>
      <x:c r="L466" s="2" t="n">
        <x:f>SUM(IF('Monthly_Data'!A122=A466,IF(ISBLANK('Monthly_Data'!A122)=ISBLANK(A466),0,1),1),IF('Monthly_Data'!B122=B466,IF(ISBLANK('Monthly_Data'!B122)=ISBLANK(B466),0,1),1),IF('Monthly_Data'!C122=C466,IF(ISBLANK('Monthly_Data'!C122)=ISBLANK(C466),0,1),1),IF('Monthly_Data'!D122=D466,IF(ISBLANK('Monthly_Data'!D122)=ISBLANK(D466),0,1),1),IF('Monthly_Data'!E122=E466,IF(ISBLANK('Monthly_Data'!E122)=ISBLANK(E466),0,1),1),IF('Monthly_Data'!F122=F466,IF(ISBLANK('Monthly_Data'!F122)=ISBLANK(F466),0,1),1),IF('Monthly_Data'!G122=G466,IF(ISBLANK('Monthly_Data'!G122)=ISBLANK(G466),0,1),1),IF('Monthly_Data'!H122=H466,IF(ISBLANK('Monthly_Data'!H122)=ISBLANK(H466),0,1),1))</x:f>
        <x:v>0</x:v>
      </x:c>
    </x:row>
    <x:row r="467" ht="23" customHeight="1">
      <x:c r="A467" s="2" t="str">
        <x:v>61091000_LK_202511_IMPORT</x:v>
      </x:c>
      <x:c r="B467" s="2" t="n">
        <x:v>202511</x:v>
      </x:c>
      <x:c r="C467" s="2" t="str">
        <x:v>61091000</x:v>
      </x:c>
      <x:c r="D467" s="2" t="str">
        <x:v>Sri Lanka</x:v>
      </x:c>
      <x:c r="E467" s="2" t="n">
        <x:v>1394607</x:v>
      </x:c>
      <x:c r="F467" s="2" t="n">
        <x:v>148930</x:v>
      </x:c>
      <x:c r="G467" s="2" t="str">
        <x:v>WITHIN_BAND</x:v>
      </x:c>
      <x:c r="H467" s="2" t="n">
        <x:v>1</x:v>
      </x:c>
      <x:c r="I467" s="2"/>
      <x:c r="J467" s="2"/>
      <x:c r="K467" s="2"/>
      <x:c r="L467" s="2" t="n">
        <x:f>SUM(IF('Monthly_Data'!A123=A467,IF(ISBLANK('Monthly_Data'!A123)=ISBLANK(A467),0,1),1),IF('Monthly_Data'!B123=B467,IF(ISBLANK('Monthly_Data'!B123)=ISBLANK(B467),0,1),1),IF('Monthly_Data'!C123=C467,IF(ISBLANK('Monthly_Data'!C123)=ISBLANK(C467),0,1),1),IF('Monthly_Data'!D123=D467,IF(ISBLANK('Monthly_Data'!D123)=ISBLANK(D467),0,1),1),IF('Monthly_Data'!E123=E467,IF(ISBLANK('Monthly_Data'!E123)=ISBLANK(E467),0,1),1),IF('Monthly_Data'!F123=F467,IF(ISBLANK('Monthly_Data'!F123)=ISBLANK(F467),0,1),1),IF('Monthly_Data'!G123=G467,IF(ISBLANK('Monthly_Data'!G123)=ISBLANK(G467),0,1),1),IF('Monthly_Data'!H123=H467,IF(ISBLANK('Monthly_Data'!H123)=ISBLANK(H467),0,1),1))</x:f>
        <x:v>0</x:v>
      </x:c>
    </x:row>
    <x:row r="468" ht="23" customHeight="1">
      <x:c r="A468" s="2" t="str">
        <x:v>61091000_TR_202511_IMPORT</x:v>
      </x:c>
      <x:c r="B468" s="2" t="n">
        <x:v>202511</x:v>
      </x:c>
      <x:c r="C468" s="2" t="str">
        <x:v>61091000</x:v>
      </x:c>
      <x:c r="D468" s="2" t="str">
        <x:v>Turkey</x:v>
      </x:c>
      <x:c r="E468" s="2" t="n">
        <x:v>6925124</x:v>
      </x:c>
      <x:c r="F468" s="2" t="n">
        <x:v>320155</x:v>
      </x:c>
      <x:c r="G468" s="2" t="str">
        <x:v>WITHIN_BAND</x:v>
      </x:c>
      <x:c r="H468" s="2" t="n">
        <x:v>1</x:v>
      </x:c>
      <x:c r="I468" s="2"/>
      <x:c r="J468" s="2"/>
      <x:c r="K468" s="2"/>
      <x:c r="L468" s="2" t="n">
        <x:f>SUM(IF('Monthly_Data'!A124=A468,IF(ISBLANK('Monthly_Data'!A124)=ISBLANK(A468),0,1),1),IF('Monthly_Data'!B124=B468,IF(ISBLANK('Monthly_Data'!B124)=ISBLANK(B468),0,1),1),IF('Monthly_Data'!C124=C468,IF(ISBLANK('Monthly_Data'!C124)=ISBLANK(C468),0,1),1),IF('Monthly_Data'!D124=D468,IF(ISBLANK('Monthly_Data'!D124)=ISBLANK(D468),0,1),1),IF('Monthly_Data'!E124=E468,IF(ISBLANK('Monthly_Data'!E124)=ISBLANK(E468),0,1),1),IF('Monthly_Data'!F124=F468,IF(ISBLANK('Monthly_Data'!F124)=ISBLANK(F468),0,1),1),IF('Monthly_Data'!G124=G468,IF(ISBLANK('Monthly_Data'!G124)=ISBLANK(G468),0,1),1),IF('Monthly_Data'!H124=H468,IF(ISBLANK('Monthly_Data'!H124)=ISBLANK(H468),0,1),1))</x:f>
        <x:v>0</x:v>
      </x:c>
    </x:row>
    <x:row r="469" ht="23" customHeight="1">
      <x:c r="A469" s="2" t="str">
        <x:v>61091000_VN_202511_IMPORT</x:v>
      </x:c>
      <x:c r="B469" s="2" t="n">
        <x:v>202511</x:v>
      </x:c>
      <x:c r="C469" s="2" t="str">
        <x:v>61091000</x:v>
      </x:c>
      <x:c r="D469" s="2" t="str">
        <x:v>Vietnam</x:v>
      </x:c>
      <x:c r="E469" s="2" t="n">
        <x:v>1566407</x:v>
      </x:c>
      <x:c r="F469" s="2" t="n">
        <x:v>84622</x:v>
      </x:c>
      <x:c r="G469" s="2" t="str">
        <x:v>WITHIN_BAND</x:v>
      </x:c>
      <x:c r="H469" s="2" t="n">
        <x:v>1</x:v>
      </x:c>
      <x:c r="I469" s="2"/>
      <x:c r="J469" s="2"/>
      <x:c r="K469" s="2"/>
      <x:c r="L469" s="2" t="n">
        <x:f>SUM(IF('Monthly_Data'!A125=A469,IF(ISBLANK('Monthly_Data'!A125)=ISBLANK(A469),0,1),1),IF('Monthly_Data'!B125=B469,IF(ISBLANK('Monthly_Data'!B125)=ISBLANK(B469),0,1),1),IF('Monthly_Data'!C125=C469,IF(ISBLANK('Monthly_Data'!C125)=ISBLANK(C469),0,1),1),IF('Monthly_Data'!D125=D469,IF(ISBLANK('Monthly_Data'!D125)=ISBLANK(D469),0,1),1),IF('Monthly_Data'!E125=E469,IF(ISBLANK('Monthly_Data'!E125)=ISBLANK(E469),0,1),1),IF('Monthly_Data'!F125=F469,IF(ISBLANK('Monthly_Data'!F125)=ISBLANK(F469),0,1),1),IF('Monthly_Data'!G125=G469,IF(ISBLANK('Monthly_Data'!G125)=ISBLANK(G469),0,1),1),IF('Monthly_Data'!H125=H469,IF(ISBLANK('Monthly_Data'!H125)=ISBLANK(H469),0,1),1))</x:f>
        <x:v>0</x:v>
      </x:c>
    </x:row>
    <x:row r="470" ht="23" customHeight="1">
      <x:c r="A470" s="2" t="str">
        <x:v>61091000_WORLD_202511_IMPORT</x:v>
      </x:c>
      <x:c r="B470" s="2" t="n">
        <x:v>202511</x:v>
      </x:c>
      <x:c r="C470" s="2" t="str">
        <x:v>61091000</x:v>
      </x:c>
      <x:c r="D470" s="2" t="str">
        <x:v>World</x:v>
      </x:c>
      <x:c r="E470" s="2" t="n">
        <x:v>80130554</x:v>
      </x:c>
      <x:c r="F470" s="2" t="n">
        <x:v>5606682</x:v>
      </x:c>
      <x:c r="G470" s="2" t="str">
        <x:v>WITHIN_BAND</x:v>
      </x:c>
      <x:c r="H470" s="2" t="n">
        <x:v>1</x:v>
      </x:c>
      <x:c r="I470" s="2"/>
      <x:c r="J470" s="2"/>
      <x:c r="K470" s="2"/>
      <x:c r="L470" s="2" t="n">
        <x:f>SUM(IF('Monthly_Data'!A126=A470,IF(ISBLANK('Monthly_Data'!A126)=ISBLANK(A470),0,1),1),IF('Monthly_Data'!B126=B470,IF(ISBLANK('Monthly_Data'!B126)=ISBLANK(B470),0,1),1),IF('Monthly_Data'!C126=C470,IF(ISBLANK('Monthly_Data'!C126)=ISBLANK(C470),0,1),1),IF('Monthly_Data'!D126=D470,IF(ISBLANK('Monthly_Data'!D126)=ISBLANK(D470),0,1),1),IF('Monthly_Data'!E126=E470,IF(ISBLANK('Monthly_Data'!E126)=ISBLANK(E470),0,1),1),IF('Monthly_Data'!F126=F470,IF(ISBLANK('Monthly_Data'!F126)=ISBLANK(F470),0,1),1),IF('Monthly_Data'!G126=G470,IF(ISBLANK('Monthly_Data'!G126)=ISBLANK(G470),0,1),1),IF('Monthly_Data'!H126=H470,IF(ISBLANK('Monthly_Data'!H126)=ISBLANK(H470),0,1),1))</x:f>
        <x:v>0</x:v>
      </x:c>
    </x:row>
    <x:row r="471" ht="23" customHeight="1">
      <x:c r="A471" s="2" t="str">
        <x:v>61091000_BD_202512_IMPORT</x:v>
      </x:c>
      <x:c r="B471" s="2" t="n">
        <x:v>202512</x:v>
      </x:c>
      <x:c r="C471" s="2" t="str">
        <x:v>61091000</x:v>
      </x:c>
      <x:c r="D471" s="2" t="str">
        <x:v>Bangladesh</x:v>
      </x:c>
      <x:c r="E471" s="2" t="n">
        <x:v>28291120</x:v>
      </x:c>
      <x:c r="F471" s="2" t="n">
        <x:v>2733258</x:v>
      </x:c>
      <x:c r="G471" s="2" t="str">
        <x:v>WITHIN_BAND</x:v>
      </x:c>
      <x:c r="H471" s="2" t="n">
        <x:v>1</x:v>
      </x:c>
      <x:c r="I471" s="2"/>
      <x:c r="J471" s="2"/>
      <x:c r="K471" s="2"/>
      <x:c r="L471" s="2" t="n">
        <x:f>SUM(IF('Monthly_Data'!A127=A471,IF(ISBLANK('Monthly_Data'!A127)=ISBLANK(A471),0,1),1),IF('Monthly_Data'!B127=B471,IF(ISBLANK('Monthly_Data'!B127)=ISBLANK(B471),0,1),1),IF('Monthly_Data'!C127=C471,IF(ISBLANK('Monthly_Data'!C127)=ISBLANK(C471),0,1),1),IF('Monthly_Data'!D127=D471,IF(ISBLANK('Monthly_Data'!D127)=ISBLANK(D471),0,1),1),IF('Monthly_Data'!E127=E471,IF(ISBLANK('Monthly_Data'!E127)=ISBLANK(E471),0,1),1),IF('Monthly_Data'!F127=F471,IF(ISBLANK('Monthly_Data'!F127)=ISBLANK(F471),0,1),1),IF('Monthly_Data'!G127=G471,IF(ISBLANK('Monthly_Data'!G127)=ISBLANK(G471),0,1),1),IF('Monthly_Data'!H127=H471,IF(ISBLANK('Monthly_Data'!H127)=ISBLANK(H471),0,1),1))</x:f>
        <x:v>0</x:v>
      </x:c>
    </x:row>
    <x:row r="472" ht="23" customHeight="1">
      <x:c r="A472" s="2" t="str">
        <x:v>61091000_KH_202512_IMPORT</x:v>
      </x:c>
      <x:c r="B472" s="2" t="n">
        <x:v>202512</x:v>
      </x:c>
      <x:c r="C472" s="2" t="str">
        <x:v>61091000</x:v>
      </x:c>
      <x:c r="D472" s="2" t="str">
        <x:v>Cambodia</x:v>
      </x:c>
      <x:c r="E472" s="2" t="n">
        <x:v>780857</x:v>
      </x:c>
      <x:c r="F472" s="2" t="n">
        <x:v>49281</x:v>
      </x:c>
      <x:c r="G472" s="2" t="str">
        <x:v>WITHIN_BAND</x:v>
      </x:c>
      <x:c r="H472" s="2" t="n">
        <x:v>1</x:v>
      </x:c>
      <x:c r="I472" s="2"/>
      <x:c r="J472" s="2"/>
      <x:c r="K472" s="2"/>
      <x:c r="L472" s="2" t="n">
        <x:f>SUM(IF('Monthly_Data'!A128=A472,IF(ISBLANK('Monthly_Data'!A128)=ISBLANK(A472),0,1),1),IF('Monthly_Data'!B128=B472,IF(ISBLANK('Monthly_Data'!B128)=ISBLANK(B472),0,1),1),IF('Monthly_Data'!C128=C472,IF(ISBLANK('Monthly_Data'!C128)=ISBLANK(C472),0,1),1),IF('Monthly_Data'!D128=D472,IF(ISBLANK('Monthly_Data'!D128)=ISBLANK(D472),0,1),1),IF('Monthly_Data'!E128=E472,IF(ISBLANK('Monthly_Data'!E128)=ISBLANK(E472),0,1),1),IF('Monthly_Data'!F128=F472,IF(ISBLANK('Monthly_Data'!F128)=ISBLANK(F472),0,1),1),IF('Monthly_Data'!G128=G472,IF(ISBLANK('Monthly_Data'!G128)=ISBLANK(G472),0,1),1),IF('Monthly_Data'!H128=H472,IF(ISBLANK('Monthly_Data'!H128)=ISBLANK(H472),0,1),1))</x:f>
        <x:v>0</x:v>
      </x:c>
    </x:row>
    <x:row r="473" ht="23" customHeight="1">
      <x:c r="A473" s="2" t="str">
        <x:v>61091000_CN_202512_IMPORT</x:v>
      </x:c>
      <x:c r="B473" s="2" t="n">
        <x:v>202512</x:v>
      </x:c>
      <x:c r="C473" s="2" t="str">
        <x:v>61091000</x:v>
      </x:c>
      <x:c r="D473" s="2" t="str">
        <x:v>China</x:v>
      </x:c>
      <x:c r="E473" s="2" t="n">
        <x:v>3143285</x:v>
      </x:c>
      <x:c r="F473" s="2" t="n">
        <x:v>168012</x:v>
      </x:c>
      <x:c r="G473" s="2" t="str">
        <x:v>WITHIN_BAND</x:v>
      </x:c>
      <x:c r="H473" s="2" t="n">
        <x:v>1</x:v>
      </x:c>
      <x:c r="I473" s="2"/>
      <x:c r="J473" s="2"/>
      <x:c r="K473" s="2"/>
      <x:c r="L473" s="2" t="n">
        <x:f>SUM(IF('Monthly_Data'!A129=A473,IF(ISBLANK('Monthly_Data'!A129)=ISBLANK(A473),0,1),1),IF('Monthly_Data'!B129=B473,IF(ISBLANK('Monthly_Data'!B129)=ISBLANK(B473),0,1),1),IF('Monthly_Data'!C129=C473,IF(ISBLANK('Monthly_Data'!C129)=ISBLANK(C473),0,1),1),IF('Monthly_Data'!D129=D473,IF(ISBLANK('Monthly_Data'!D129)=ISBLANK(D473),0,1),1),IF('Monthly_Data'!E129=E473,IF(ISBLANK('Monthly_Data'!E129)=ISBLANK(E473),0,1),1),IF('Monthly_Data'!F129=F473,IF(ISBLANK('Monthly_Data'!F129)=ISBLANK(F473),0,1),1),IF('Monthly_Data'!G129=G473,IF(ISBLANK('Monthly_Data'!G129)=ISBLANK(G473),0,1),1),IF('Monthly_Data'!H129=H473,IF(ISBLANK('Monthly_Data'!H129)=ISBLANK(H473),0,1),1))</x:f>
        <x:v>0</x:v>
      </x:c>
    </x:row>
    <x:row r="474" ht="23" customHeight="1">
      <x:c r="A474" s="2" t="str">
        <x:v>61091000_IN_202512_IMPORT</x:v>
      </x:c>
      <x:c r="B474" s="2" t="n">
        <x:v>202512</x:v>
      </x:c>
      <x:c r="C474" s="2" t="str">
        <x:v>61091000</x:v>
      </x:c>
      <x:c r="D474" s="2" t="str">
        <x:v>India</x:v>
      </x:c>
      <x:c r="E474" s="2" t="n">
        <x:v>5595878</x:v>
      </x:c>
      <x:c r="F474" s="2" t="n">
        <x:v>460071</x:v>
      </x:c>
      <x:c r="G474" s="2" t="str">
        <x:v>WITHIN_BAND</x:v>
      </x:c>
      <x:c r="H474" s="2" t="n">
        <x:v>1</x:v>
      </x:c>
      <x:c r="I474" s="2"/>
      <x:c r="J474" s="2"/>
      <x:c r="K474" s="2"/>
      <x:c r="L474" s="2" t="n">
        <x:f>SUM(IF('Monthly_Data'!A130=A474,IF(ISBLANK('Monthly_Data'!A130)=ISBLANK(A474),0,1),1),IF('Monthly_Data'!B130=B474,IF(ISBLANK('Monthly_Data'!B130)=ISBLANK(B474),0,1),1),IF('Monthly_Data'!C130=C474,IF(ISBLANK('Monthly_Data'!C130)=ISBLANK(C474),0,1),1),IF('Monthly_Data'!D130=D474,IF(ISBLANK('Monthly_Data'!D130)=ISBLANK(D474),0,1),1),IF('Monthly_Data'!E130=E474,IF(ISBLANK('Monthly_Data'!E130)=ISBLANK(E474),0,1),1),IF('Monthly_Data'!F130=F474,IF(ISBLANK('Monthly_Data'!F130)=ISBLANK(F474),0,1),1),IF('Monthly_Data'!G130=G474,IF(ISBLANK('Monthly_Data'!G130)=ISBLANK(G474),0,1),1),IF('Monthly_Data'!H130=H474,IF(ISBLANK('Monthly_Data'!H130)=ISBLANK(H474),0,1),1))</x:f>
        <x:v>0</x:v>
      </x:c>
    </x:row>
    <x:row r="475" ht="23" customHeight="1">
      <x:c r="A475" s="2" t="str">
        <x:v>61091000_MA_202512_IMPORT</x:v>
      </x:c>
      <x:c r="B475" s="2" t="n">
        <x:v>202512</x:v>
      </x:c>
      <x:c r="C475" s="2" t="str">
        <x:v>61091000</x:v>
      </x:c>
      <x:c r="D475" s="2" t="str">
        <x:v>Morocco</x:v>
      </x:c>
      <x:c r="E475" s="2" t="n">
        <x:v>291282</x:v>
      </x:c>
      <x:c r="F475" s="2" t="n">
        <x:v>15048</x:v>
      </x:c>
      <x:c r="G475" s="2" t="str">
        <x:v>WITHIN_BAND</x:v>
      </x:c>
      <x:c r="H475" s="2" t="n">
        <x:v>1</x:v>
      </x:c>
      <x:c r="I475" s="2"/>
      <x:c r="J475" s="2"/>
      <x:c r="K475" s="2"/>
      <x:c r="L475" s="2" t="n">
        <x:f>SUM(IF('Monthly_Data'!A131=A475,IF(ISBLANK('Monthly_Data'!A131)=ISBLANK(A475),0,1),1),IF('Monthly_Data'!B131=B475,IF(ISBLANK('Monthly_Data'!B131)=ISBLANK(B475),0,1),1),IF('Monthly_Data'!C131=C475,IF(ISBLANK('Monthly_Data'!C131)=ISBLANK(C475),0,1),1),IF('Monthly_Data'!D131=D475,IF(ISBLANK('Monthly_Data'!D131)=ISBLANK(D475),0,1),1),IF('Monthly_Data'!E131=E475,IF(ISBLANK('Monthly_Data'!E131)=ISBLANK(E475),0,1),1),IF('Monthly_Data'!F131=F475,IF(ISBLANK('Monthly_Data'!F131)=ISBLANK(F475),0,1),1),IF('Monthly_Data'!G131=G475,IF(ISBLANK('Monthly_Data'!G131)=ISBLANK(G475),0,1),1),IF('Monthly_Data'!H131=H475,IF(ISBLANK('Monthly_Data'!H131)=ISBLANK(H475),0,1),1))</x:f>
        <x:v>0</x:v>
      </x:c>
    </x:row>
    <x:row r="476" ht="23" customHeight="1">
      <x:c r="A476" s="2" t="str">
        <x:v>61091000_MM_202512_IMPORT</x:v>
      </x:c>
      <x:c r="B476" s="2" t="n">
        <x:v>202512</x:v>
      </x:c>
      <x:c r="C476" s="2" t="str">
        <x:v>61091000</x:v>
      </x:c>
      <x:c r="D476" s="2" t="str">
        <x:v>Myanmar</x:v>
      </x:c>
      <x:c r="E476" s="2" t="n">
        <x:v>117574</x:v>
      </x:c>
      <x:c r="F476" s="2" t="n">
        <x:v>12338</x:v>
      </x:c>
      <x:c r="G476" s="2" t="str">
        <x:v>WITHIN_BAND</x:v>
      </x:c>
      <x:c r="H476" s="2" t="n">
        <x:v>1</x:v>
      </x:c>
      <x:c r="I476" s="2"/>
      <x:c r="J476" s="2"/>
      <x:c r="K476" s="2"/>
      <x:c r="L476" s="2" t="n">
        <x:f>SUM(IF('Monthly_Data'!A132=A476,IF(ISBLANK('Monthly_Data'!A132)=ISBLANK(A476),0,1),1),IF('Monthly_Data'!B132=B476,IF(ISBLANK('Monthly_Data'!B132)=ISBLANK(B476),0,1),1),IF('Monthly_Data'!C132=C476,IF(ISBLANK('Monthly_Data'!C132)=ISBLANK(C476),0,1),1),IF('Monthly_Data'!D132=D476,IF(ISBLANK('Monthly_Data'!D132)=ISBLANK(D476),0,1),1),IF('Monthly_Data'!E132=E476,IF(ISBLANK('Monthly_Data'!E132)=ISBLANK(E476),0,1),1),IF('Monthly_Data'!F132=F476,IF(ISBLANK('Monthly_Data'!F132)=ISBLANK(F476),0,1),1),IF('Monthly_Data'!G132=G476,IF(ISBLANK('Monthly_Data'!G132)=ISBLANK(G476),0,1),1),IF('Monthly_Data'!H132=H476,IF(ISBLANK('Monthly_Data'!H132)=ISBLANK(H476),0,1),1))</x:f>
        <x:v>0</x:v>
      </x:c>
    </x:row>
    <x:row r="477" ht="23" customHeight="1">
      <x:c r="A477" s="2" t="str">
        <x:v>61091000_PK_202512_IMPORT</x:v>
      </x:c>
      <x:c r="B477" s="2" t="n">
        <x:v>202512</x:v>
      </x:c>
      <x:c r="C477" s="2" t="str">
        <x:v>61091000</x:v>
      </x:c>
      <x:c r="D477" s="2" t="str">
        <x:v>Pakistan</x:v>
      </x:c>
      <x:c r="E477" s="2" t="n">
        <x:v>3321784</x:v>
      </x:c>
      <x:c r="F477" s="2" t="n">
        <x:v>286964</x:v>
      </x:c>
      <x:c r="G477" s="2" t="str">
        <x:v>WITHIN_BAND</x:v>
      </x:c>
      <x:c r="H477" s="2" t="n">
        <x:v>1</x:v>
      </x:c>
      <x:c r="I477" s="2"/>
      <x:c r="J477" s="2"/>
      <x:c r="K477" s="2"/>
      <x:c r="L477" s="2" t="n">
        <x:f>SUM(IF('Monthly_Data'!A133=A477,IF(ISBLANK('Monthly_Data'!A133)=ISBLANK(A477),0,1),1),IF('Monthly_Data'!B133=B477,IF(ISBLANK('Monthly_Data'!B133)=ISBLANK(B477),0,1),1),IF('Monthly_Data'!C133=C477,IF(ISBLANK('Monthly_Data'!C133)=ISBLANK(C477),0,1),1),IF('Monthly_Data'!D133=D477,IF(ISBLANK('Monthly_Data'!D133)=ISBLANK(D477),0,1),1),IF('Monthly_Data'!E133=E477,IF(ISBLANK('Monthly_Data'!E133)=ISBLANK(E477),0,1),1),IF('Monthly_Data'!F133=F477,IF(ISBLANK('Monthly_Data'!F133)=ISBLANK(F477),0,1),1),IF('Monthly_Data'!G133=G477,IF(ISBLANK('Monthly_Data'!G133)=ISBLANK(G477),0,1),1),IF('Monthly_Data'!H133=H477,IF(ISBLANK('Monthly_Data'!H133)=ISBLANK(H477),0,1),1))</x:f>
        <x:v>0</x:v>
      </x:c>
    </x:row>
    <x:row r="478" ht="23" customHeight="1">
      <x:c r="A478" s="2" t="str">
        <x:v>61091000_LK_202512_IMPORT</x:v>
      </x:c>
      <x:c r="B478" s="2" t="n">
        <x:v>202512</x:v>
      </x:c>
      <x:c r="C478" s="2" t="str">
        <x:v>61091000</x:v>
      </x:c>
      <x:c r="D478" s="2" t="str">
        <x:v>Sri Lanka</x:v>
      </x:c>
      <x:c r="E478" s="2" t="n">
        <x:v>987680</x:v>
      </x:c>
      <x:c r="F478" s="2" t="n">
        <x:v>111863</x:v>
      </x:c>
      <x:c r="G478" s="2" t="str">
        <x:v>WITHIN_BAND</x:v>
      </x:c>
      <x:c r="H478" s="2" t="n">
        <x:v>1</x:v>
      </x:c>
      <x:c r="I478" s="2"/>
      <x:c r="J478" s="2"/>
      <x:c r="K478" s="2"/>
      <x:c r="L478" s="2" t="n">
        <x:f>SUM(IF('Monthly_Data'!A134=A478,IF(ISBLANK('Monthly_Data'!A134)=ISBLANK(A478),0,1),1),IF('Monthly_Data'!B134=B478,IF(ISBLANK('Monthly_Data'!B134)=ISBLANK(B478),0,1),1),IF('Monthly_Data'!C134=C478,IF(ISBLANK('Monthly_Data'!C134)=ISBLANK(C478),0,1),1),IF('Monthly_Data'!D134=D478,IF(ISBLANK('Monthly_Data'!D134)=ISBLANK(D478),0,1),1),IF('Monthly_Data'!E134=E478,IF(ISBLANK('Monthly_Data'!E134)=ISBLANK(E478),0,1),1),IF('Monthly_Data'!F134=F478,IF(ISBLANK('Monthly_Data'!F134)=ISBLANK(F478),0,1),1),IF('Monthly_Data'!G134=G478,IF(ISBLANK('Monthly_Data'!G134)=ISBLANK(G478),0,1),1),IF('Monthly_Data'!H134=H478,IF(ISBLANK('Monthly_Data'!H134)=ISBLANK(H478),0,1),1))</x:f>
        <x:v>0</x:v>
      </x:c>
    </x:row>
    <x:row r="479" ht="23" customHeight="1">
      <x:c r="A479" s="2" t="str">
        <x:v>61091000_TR_202512_IMPORT</x:v>
      </x:c>
      <x:c r="B479" s="2" t="n">
        <x:v>202512</x:v>
      </x:c>
      <x:c r="C479" s="2" t="str">
        <x:v>61091000</x:v>
      </x:c>
      <x:c r="D479" s="2" t="str">
        <x:v>Turkey</x:v>
      </x:c>
      <x:c r="E479" s="2" t="n">
        <x:v>5900865</x:v>
      </x:c>
      <x:c r="F479" s="2" t="n">
        <x:v>331548</x:v>
      </x:c>
      <x:c r="G479" s="2" t="str">
        <x:v>WITHIN_BAND</x:v>
      </x:c>
      <x:c r="H479" s="2" t="n">
        <x:v>1</x:v>
      </x:c>
      <x:c r="I479" s="2"/>
      <x:c r="J479" s="2"/>
      <x:c r="K479" s="2"/>
      <x:c r="L479" s="2" t="n">
        <x:f>SUM(IF('Monthly_Data'!A135=A479,IF(ISBLANK('Monthly_Data'!A135)=ISBLANK(A479),0,1),1),IF('Monthly_Data'!B135=B479,IF(ISBLANK('Monthly_Data'!B135)=ISBLANK(B479),0,1),1),IF('Monthly_Data'!C135=C479,IF(ISBLANK('Monthly_Data'!C135)=ISBLANK(C479),0,1),1),IF('Monthly_Data'!D135=D479,IF(ISBLANK('Monthly_Data'!D135)=ISBLANK(D479),0,1),1),IF('Monthly_Data'!E135=E479,IF(ISBLANK('Monthly_Data'!E135)=ISBLANK(E479),0,1),1),IF('Monthly_Data'!F135=F479,IF(ISBLANK('Monthly_Data'!F135)=ISBLANK(F479),0,1),1),IF('Monthly_Data'!G135=G479,IF(ISBLANK('Monthly_Data'!G135)=ISBLANK(G479),0,1),1),IF('Monthly_Data'!H135=H479,IF(ISBLANK('Monthly_Data'!H135)=ISBLANK(H479),0,1),1))</x:f>
        <x:v>0</x:v>
      </x:c>
    </x:row>
    <x:row r="480" ht="23" customHeight="1">
      <x:c r="A480" s="2" t="str">
        <x:v>61091000_VN_202512_IMPORT</x:v>
      </x:c>
      <x:c r="B480" s="2" t="n">
        <x:v>202512</x:v>
      </x:c>
      <x:c r="C480" s="2" t="str">
        <x:v>61091000</x:v>
      </x:c>
      <x:c r="D480" s="2" t="str">
        <x:v>Vietnam</x:v>
      </x:c>
      <x:c r="E480" s="2" t="n">
        <x:v>1834883</x:v>
      </x:c>
      <x:c r="F480" s="2" t="n">
        <x:v>105962</x:v>
      </x:c>
      <x:c r="G480" s="2" t="str">
        <x:v>WITHIN_BAND</x:v>
      </x:c>
      <x:c r="H480" s="2" t="n">
        <x:v>1</x:v>
      </x:c>
      <x:c r="I480" s="2"/>
      <x:c r="J480" s="2"/>
      <x:c r="K480" s="2"/>
      <x:c r="L480" s="2" t="n">
        <x:f>SUM(IF('Monthly_Data'!A136=A480,IF(ISBLANK('Monthly_Data'!A136)=ISBLANK(A480),0,1),1),IF('Monthly_Data'!B136=B480,IF(ISBLANK('Monthly_Data'!B136)=ISBLANK(B480),0,1),1),IF('Monthly_Data'!C136=C480,IF(ISBLANK('Monthly_Data'!C136)=ISBLANK(C480),0,1),1),IF('Monthly_Data'!D136=D480,IF(ISBLANK('Monthly_Data'!D136)=ISBLANK(D480),0,1),1),IF('Monthly_Data'!E136=E480,IF(ISBLANK('Monthly_Data'!E136)=ISBLANK(E480),0,1),1),IF('Monthly_Data'!F136=F480,IF(ISBLANK('Monthly_Data'!F136)=ISBLANK(F480),0,1),1),IF('Monthly_Data'!G136=G480,IF(ISBLANK('Monthly_Data'!G136)=ISBLANK(G480),0,1),1),IF('Monthly_Data'!H136=H480,IF(ISBLANK('Monthly_Data'!H136)=ISBLANK(H480),0,1),1))</x:f>
        <x:v>0</x:v>
      </x:c>
    </x:row>
    <x:row r="481" ht="23" customHeight="1">
      <x:c r="A481" s="2" t="str">
        <x:v>61091000_WORLD_202512_IMPORT</x:v>
      </x:c>
      <x:c r="B481" s="2" t="n">
        <x:v>202512</x:v>
      </x:c>
      <x:c r="C481" s="2" t="str">
        <x:v>61091000</x:v>
      </x:c>
      <x:c r="D481" s="2" t="str">
        <x:v>World</x:v>
      </x:c>
      <x:c r="E481" s="2" t="n">
        <x:v>76978856</x:v>
      </x:c>
      <x:c r="F481" s="2" t="n">
        <x:v>5141103</x:v>
      </x:c>
      <x:c r="G481" s="2" t="str">
        <x:v>WITHIN_BAND</x:v>
      </x:c>
      <x:c r="H481" s="2" t="n">
        <x:v>1</x:v>
      </x:c>
      <x:c r="I481" s="2"/>
      <x:c r="J481" s="2"/>
      <x:c r="K481" s="2"/>
      <x:c r="L481" s="2" t="n">
        <x:f>SUM(IF('Monthly_Data'!A137=A481,IF(ISBLANK('Monthly_Data'!A137)=ISBLANK(A481),0,1),1),IF('Monthly_Data'!B137=B481,IF(ISBLANK('Monthly_Data'!B137)=ISBLANK(B481),0,1),1),IF('Monthly_Data'!C137=C481,IF(ISBLANK('Monthly_Data'!C137)=ISBLANK(C481),0,1),1),IF('Monthly_Data'!D137=D481,IF(ISBLANK('Monthly_Data'!D137)=ISBLANK(D481),0,1),1),IF('Monthly_Data'!E137=E481,IF(ISBLANK('Monthly_Data'!E137)=ISBLANK(E481),0,1),1),IF('Monthly_Data'!F137=F481,IF(ISBLANK('Monthly_Data'!F137)=ISBLANK(F481),0,1),1),IF('Monthly_Data'!G137=G481,IF(ISBLANK('Monthly_Data'!G137)=ISBLANK(G481),0,1),1),IF('Monthly_Data'!H137=H481,IF(ISBLANK('Monthly_Data'!H137)=ISBLANK(H481),0,1),1))</x:f>
        <x:v>0</x:v>
      </x:c>
    </x:row>
    <x:row r="482" ht="23" customHeight="1">
      <x:c r="A482" s="2" t="str">
        <x:v>61091000_BD_202601_IMPORT</x:v>
      </x:c>
      <x:c r="B482" s="2" t="n">
        <x:v>202601</x:v>
      </x:c>
      <x:c r="C482" s="2" t="str">
        <x:v>61091000</x:v>
      </x:c>
      <x:c r="D482" s="2" t="str">
        <x:v>Bangladesh</x:v>
      </x:c>
      <x:c r="E482" s="2" t="n">
        <x:v>32731302</x:v>
      </x:c>
      <x:c r="F482" s="2" t="n">
        <x:v>2974039</x:v>
      </x:c>
      <x:c r="G482" s="2" t="str">
        <x:v>WITHIN_BAND</x:v>
      </x:c>
      <x:c r="H482" s="2" t="n">
        <x:v>1</x:v>
      </x:c>
      <x:c r="I482" s="2"/>
      <x:c r="J482" s="2"/>
      <x:c r="K482" s="2"/>
      <x:c r="L482" s="2" t="n">
        <x:f>SUM(IF('Monthly_Data'!A138=A482,IF(ISBLANK('Monthly_Data'!A138)=ISBLANK(A482),0,1),1),IF('Monthly_Data'!B138=B482,IF(ISBLANK('Monthly_Data'!B138)=ISBLANK(B482),0,1),1),IF('Monthly_Data'!C138=C482,IF(ISBLANK('Monthly_Data'!C138)=ISBLANK(C482),0,1),1),IF('Monthly_Data'!D138=D482,IF(ISBLANK('Monthly_Data'!D138)=ISBLANK(D482),0,1),1),IF('Monthly_Data'!E138=E482,IF(ISBLANK('Monthly_Data'!E138)=ISBLANK(E482),0,1),1),IF('Monthly_Data'!F138=F482,IF(ISBLANK('Monthly_Data'!F138)=ISBLANK(F482),0,1),1),IF('Monthly_Data'!G138=G482,IF(ISBLANK('Monthly_Data'!G138)=ISBLANK(G482),0,1),1),IF('Monthly_Data'!H138=H482,IF(ISBLANK('Monthly_Data'!H138)=ISBLANK(H482),0,1),1))</x:f>
        <x:v>0</x:v>
      </x:c>
    </x:row>
    <x:row r="483" ht="23" customHeight="1">
      <x:c r="A483" s="2" t="str">
        <x:v>61091000_KH_202601_IMPORT</x:v>
      </x:c>
      <x:c r="B483" s="2" t="n">
        <x:v>202601</x:v>
      </x:c>
      <x:c r="C483" s="2" t="str">
        <x:v>61091000</x:v>
      </x:c>
      <x:c r="D483" s="2" t="str">
        <x:v>Cambodia</x:v>
      </x:c>
      <x:c r="E483" s="2" t="n">
        <x:v>836295</x:v>
      </x:c>
      <x:c r="F483" s="2" t="n">
        <x:v>46556</x:v>
      </x:c>
      <x:c r="G483" s="2" t="str">
        <x:v>WITHIN_BAND</x:v>
      </x:c>
      <x:c r="H483" s="2" t="n">
        <x:v>1</x:v>
      </x:c>
      <x:c r="I483" s="2"/>
      <x:c r="J483" s="2"/>
      <x:c r="K483" s="2"/>
      <x:c r="L483" s="2" t="n">
        <x:f>SUM(IF('Monthly_Data'!A139=A483,IF(ISBLANK('Monthly_Data'!A139)=ISBLANK(A483),0,1),1),IF('Monthly_Data'!B139=B483,IF(ISBLANK('Monthly_Data'!B139)=ISBLANK(B483),0,1),1),IF('Monthly_Data'!C139=C483,IF(ISBLANK('Monthly_Data'!C139)=ISBLANK(C483),0,1),1),IF('Monthly_Data'!D139=D483,IF(ISBLANK('Monthly_Data'!D139)=ISBLANK(D483),0,1),1),IF('Monthly_Data'!E139=E483,IF(ISBLANK('Monthly_Data'!E139)=ISBLANK(E483),0,1),1),IF('Monthly_Data'!F139=F483,IF(ISBLANK('Monthly_Data'!F139)=ISBLANK(F483),0,1),1),IF('Monthly_Data'!G139=G483,IF(ISBLANK('Monthly_Data'!G139)=ISBLANK(G483),0,1),1),IF('Monthly_Data'!H139=H483,IF(ISBLANK('Monthly_Data'!H139)=ISBLANK(H483),0,1),1))</x:f>
        <x:v>0</x:v>
      </x:c>
    </x:row>
    <x:row r="484" ht="23" customHeight="1">
      <x:c r="A484" s="2" t="str">
        <x:v>61091000_CN_202601_IMPORT</x:v>
      </x:c>
      <x:c r="B484" s="2" t="n">
        <x:v>202601</x:v>
      </x:c>
      <x:c r="C484" s="2" t="str">
        <x:v>61091000</x:v>
      </x:c>
      <x:c r="D484" s="2" t="str">
        <x:v>China</x:v>
      </x:c>
      <x:c r="E484" s="2" t="n">
        <x:v>4107811</x:v>
      </x:c>
      <x:c r="F484" s="2" t="n">
        <x:v>243744</x:v>
      </x:c>
      <x:c r="G484" s="2" t="str">
        <x:v>WITHIN_BAND</x:v>
      </x:c>
      <x:c r="H484" s="2" t="n">
        <x:v>1</x:v>
      </x:c>
      <x:c r="I484" s="2"/>
      <x:c r="J484" s="2"/>
      <x:c r="K484" s="2"/>
      <x:c r="L484" s="2" t="n">
        <x:f>SUM(IF('Monthly_Data'!A140=A484,IF(ISBLANK('Monthly_Data'!A140)=ISBLANK(A484),0,1),1),IF('Monthly_Data'!B140=B484,IF(ISBLANK('Monthly_Data'!B140)=ISBLANK(B484),0,1),1),IF('Monthly_Data'!C140=C484,IF(ISBLANK('Monthly_Data'!C140)=ISBLANK(C484),0,1),1),IF('Monthly_Data'!D140=D484,IF(ISBLANK('Monthly_Data'!D140)=ISBLANK(D484),0,1),1),IF('Monthly_Data'!E140=E484,IF(ISBLANK('Monthly_Data'!E140)=ISBLANK(E484),0,1),1),IF('Monthly_Data'!F140=F484,IF(ISBLANK('Monthly_Data'!F140)=ISBLANK(F484),0,1),1),IF('Monthly_Data'!G140=G484,IF(ISBLANK('Monthly_Data'!G140)=ISBLANK(G484),0,1),1),IF('Monthly_Data'!H140=H484,IF(ISBLANK('Monthly_Data'!H140)=ISBLANK(H484),0,1),1))</x:f>
        <x:v>0</x:v>
      </x:c>
    </x:row>
    <x:row r="485" ht="23" customHeight="1">
      <x:c r="A485" s="2" t="str">
        <x:v>61091000_IN_202601_IMPORT</x:v>
      </x:c>
      <x:c r="B485" s="2" t="n">
        <x:v>202601</x:v>
      </x:c>
      <x:c r="C485" s="2" t="str">
        <x:v>61091000</x:v>
      </x:c>
      <x:c r="D485" s="2" t="str">
        <x:v>India</x:v>
      </x:c>
      <x:c r="E485" s="2" t="n">
        <x:v>6631996</x:v>
      </x:c>
      <x:c r="F485" s="2" t="n">
        <x:v>533927</x:v>
      </x:c>
      <x:c r="G485" s="2" t="str">
        <x:v>WITHIN_BAND</x:v>
      </x:c>
      <x:c r="H485" s="2" t="n">
        <x:v>1</x:v>
      </x:c>
      <x:c r="I485" s="2"/>
      <x:c r="J485" s="2"/>
      <x:c r="K485" s="2"/>
      <x:c r="L485" s="2" t="n">
        <x:f>SUM(IF('Monthly_Data'!A141=A485,IF(ISBLANK('Monthly_Data'!A141)=ISBLANK(A485),0,1),1),IF('Monthly_Data'!B141=B485,IF(ISBLANK('Monthly_Data'!B141)=ISBLANK(B485),0,1),1),IF('Monthly_Data'!C141=C485,IF(ISBLANK('Monthly_Data'!C141)=ISBLANK(C485),0,1),1),IF('Monthly_Data'!D141=D485,IF(ISBLANK('Monthly_Data'!D141)=ISBLANK(D485),0,1),1),IF('Monthly_Data'!E141=E485,IF(ISBLANK('Monthly_Data'!E141)=ISBLANK(E485),0,1),1),IF('Monthly_Data'!F141=F485,IF(ISBLANK('Monthly_Data'!F141)=ISBLANK(F485),0,1),1),IF('Monthly_Data'!G141=G485,IF(ISBLANK('Monthly_Data'!G141)=ISBLANK(G485),0,1),1),IF('Monthly_Data'!H141=H485,IF(ISBLANK('Monthly_Data'!H141)=ISBLANK(H485),0,1),1))</x:f>
        <x:v>0</x:v>
      </x:c>
    </x:row>
    <x:row r="486" ht="23" customHeight="1">
      <x:c r="A486" s="2" t="str">
        <x:v>61091000_MA_202601_IMPORT</x:v>
      </x:c>
      <x:c r="B486" s="2" t="n">
        <x:v>202601</x:v>
      </x:c>
      <x:c r="C486" s="2" t="str">
        <x:v>61091000</x:v>
      </x:c>
      <x:c r="D486" s="2" t="str">
        <x:v>Morocco</x:v>
      </x:c>
      <x:c r="E486" s="2" t="n">
        <x:v>563745</x:v>
      </x:c>
      <x:c r="F486" s="2" t="n">
        <x:v>43051</x:v>
      </x:c>
      <x:c r="G486" s="2" t="str">
        <x:v>WITHIN_BAND</x:v>
      </x:c>
      <x:c r="H486" s="2" t="n">
        <x:v>1</x:v>
      </x:c>
      <x:c r="I486" s="2"/>
      <x:c r="J486" s="2"/>
      <x:c r="K486" s="2"/>
      <x:c r="L486" s="2" t="n">
        <x:f>SUM(IF('Monthly_Data'!A142=A486,IF(ISBLANK('Monthly_Data'!A142)=ISBLANK(A486),0,1),1),IF('Monthly_Data'!B142=B486,IF(ISBLANK('Monthly_Data'!B142)=ISBLANK(B486),0,1),1),IF('Monthly_Data'!C142=C486,IF(ISBLANK('Monthly_Data'!C142)=ISBLANK(C486),0,1),1),IF('Monthly_Data'!D142=D486,IF(ISBLANK('Monthly_Data'!D142)=ISBLANK(D486),0,1),1),IF('Monthly_Data'!E142=E486,IF(ISBLANK('Monthly_Data'!E142)=ISBLANK(E486),0,1),1),IF('Monthly_Data'!F142=F486,IF(ISBLANK('Monthly_Data'!F142)=ISBLANK(F486),0,1),1),IF('Monthly_Data'!G142=G486,IF(ISBLANK('Monthly_Data'!G142)=ISBLANK(G486),0,1),1),IF('Monthly_Data'!H142=H486,IF(ISBLANK('Monthly_Data'!H142)=ISBLANK(H486),0,1),1))</x:f>
        <x:v>0</x:v>
      </x:c>
    </x:row>
    <x:row r="487" ht="23" customHeight="1">
      <x:c r="A487" s="2" t="str">
        <x:v>61091000_MM_202601_IMPORT</x:v>
      </x:c>
      <x:c r="B487" s="2" t="n">
        <x:v>202601</x:v>
      </x:c>
      <x:c r="C487" s="2" t="str">
        <x:v>61091000</x:v>
      </x:c>
      <x:c r="D487" s="2" t="str">
        <x:v>Myanmar</x:v>
      </x:c>
      <x:c r="E487" s="2" t="n">
        <x:v>207378</x:v>
      </x:c>
      <x:c r="F487" s="2" t="n">
        <x:v>16522</x:v>
      </x:c>
      <x:c r="G487" s="2" t="str">
        <x:v>WITHIN_BAND</x:v>
      </x:c>
      <x:c r="H487" s="2" t="n">
        <x:v>1</x:v>
      </x:c>
      <x:c r="I487" s="2"/>
      <x:c r="J487" s="2"/>
      <x:c r="K487" s="2"/>
      <x:c r="L487" s="2" t="n">
        <x:f>SUM(IF('Monthly_Data'!A143=A487,IF(ISBLANK('Monthly_Data'!A143)=ISBLANK(A487),0,1),1),IF('Monthly_Data'!B143=B487,IF(ISBLANK('Monthly_Data'!B143)=ISBLANK(B487),0,1),1),IF('Monthly_Data'!C143=C487,IF(ISBLANK('Monthly_Data'!C143)=ISBLANK(C487),0,1),1),IF('Monthly_Data'!D143=D487,IF(ISBLANK('Monthly_Data'!D143)=ISBLANK(D487),0,1),1),IF('Monthly_Data'!E143=E487,IF(ISBLANK('Monthly_Data'!E143)=ISBLANK(E487),0,1),1),IF('Monthly_Data'!F143=F487,IF(ISBLANK('Monthly_Data'!F143)=ISBLANK(F487),0,1),1),IF('Monthly_Data'!G143=G487,IF(ISBLANK('Monthly_Data'!G143)=ISBLANK(G487),0,1),1),IF('Monthly_Data'!H143=H487,IF(ISBLANK('Monthly_Data'!H143)=ISBLANK(H487),0,1),1))</x:f>
        <x:v>0</x:v>
      </x:c>
    </x:row>
    <x:row r="488" ht="23" customHeight="1">
      <x:c r="A488" s="2" t="str">
        <x:v>61091000_PK_202601_IMPORT</x:v>
      </x:c>
      <x:c r="B488" s="2" t="n">
        <x:v>202601</x:v>
      </x:c>
      <x:c r="C488" s="2" t="str">
        <x:v>61091000</x:v>
      </x:c>
      <x:c r="D488" s="2" t="str">
        <x:v>Pakistan</x:v>
      </x:c>
      <x:c r="E488" s="2" t="n">
        <x:v>3533043</x:v>
      </x:c>
      <x:c r="F488" s="2" t="n">
        <x:v>235841</x:v>
      </x:c>
      <x:c r="G488" s="2" t="str">
        <x:v>WITHIN_BAND</x:v>
      </x:c>
      <x:c r="H488" s="2" t="n">
        <x:v>1</x:v>
      </x:c>
      <x:c r="I488" s="2"/>
      <x:c r="J488" s="2"/>
      <x:c r="K488" s="2"/>
      <x:c r="L488" s="2" t="n">
        <x:f>SUM(IF('Monthly_Data'!A144=A488,IF(ISBLANK('Monthly_Data'!A144)=ISBLANK(A488),0,1),1),IF('Monthly_Data'!B144=B488,IF(ISBLANK('Monthly_Data'!B144)=ISBLANK(B488),0,1),1),IF('Monthly_Data'!C144=C488,IF(ISBLANK('Monthly_Data'!C144)=ISBLANK(C488),0,1),1),IF('Monthly_Data'!D144=D488,IF(ISBLANK('Monthly_Data'!D144)=ISBLANK(D488),0,1),1),IF('Monthly_Data'!E144=E488,IF(ISBLANK('Monthly_Data'!E144)=ISBLANK(E488),0,1),1),IF('Monthly_Data'!F144=F488,IF(ISBLANK('Monthly_Data'!F144)=ISBLANK(F488),0,1),1),IF('Monthly_Data'!G144=G488,IF(ISBLANK('Monthly_Data'!G144)=ISBLANK(G488),0,1),1),IF('Monthly_Data'!H144=H488,IF(ISBLANK('Monthly_Data'!H144)=ISBLANK(H488),0,1),1))</x:f>
        <x:v>0</x:v>
      </x:c>
    </x:row>
    <x:row r="489" ht="23" customHeight="1">
      <x:c r="A489" s="2" t="str">
        <x:v>61091000_LK_202601_IMPORT</x:v>
      </x:c>
      <x:c r="B489" s="2" t="n">
        <x:v>202601</x:v>
      </x:c>
      <x:c r="C489" s="2" t="str">
        <x:v>61091000</x:v>
      </x:c>
      <x:c r="D489" s="2" t="str">
        <x:v>Sri Lanka</x:v>
      </x:c>
      <x:c r="E489" s="2" t="n">
        <x:v>1712854</x:v>
      </x:c>
      <x:c r="F489" s="2" t="n">
        <x:v>131099</x:v>
      </x:c>
      <x:c r="G489" s="2" t="str">
        <x:v>WITHIN_BAND</x:v>
      </x:c>
      <x:c r="H489" s="2" t="n">
        <x:v>1</x:v>
      </x:c>
      <x:c r="I489" s="2"/>
      <x:c r="J489" s="2"/>
      <x:c r="K489" s="2"/>
      <x:c r="L489" s="2" t="n">
        <x:f>SUM(IF('Monthly_Data'!A145=A489,IF(ISBLANK('Monthly_Data'!A145)=ISBLANK(A489),0,1),1),IF('Monthly_Data'!B145=B489,IF(ISBLANK('Monthly_Data'!B145)=ISBLANK(B489),0,1),1),IF('Monthly_Data'!C145=C489,IF(ISBLANK('Monthly_Data'!C145)=ISBLANK(C489),0,1),1),IF('Monthly_Data'!D145=D489,IF(ISBLANK('Monthly_Data'!D145)=ISBLANK(D489),0,1),1),IF('Monthly_Data'!E145=E489,IF(ISBLANK('Monthly_Data'!E145)=ISBLANK(E489),0,1),1),IF('Monthly_Data'!F145=F489,IF(ISBLANK('Monthly_Data'!F145)=ISBLANK(F489),0,1),1),IF('Monthly_Data'!G145=G489,IF(ISBLANK('Monthly_Data'!G145)=ISBLANK(G489),0,1),1),IF('Monthly_Data'!H145=H489,IF(ISBLANK('Monthly_Data'!H145)=ISBLANK(H489),0,1),1))</x:f>
        <x:v>0</x:v>
      </x:c>
    </x:row>
    <x:row r="490" ht="23" customHeight="1">
      <x:c r="A490" s="2" t="str">
        <x:v>61091000_TR_202601_IMPORT</x:v>
      </x:c>
      <x:c r="B490" s="2" t="n">
        <x:v>202601</x:v>
      </x:c>
      <x:c r="C490" s="2" t="str">
        <x:v>61091000</x:v>
      </x:c>
      <x:c r="D490" s="2" t="str">
        <x:v>Turkey</x:v>
      </x:c>
      <x:c r="E490" s="2" t="n">
        <x:v>8527087</x:v>
      </x:c>
      <x:c r="F490" s="2" t="n">
        <x:v>381224</x:v>
      </x:c>
      <x:c r="G490" s="2" t="str">
        <x:v>WITHIN_BAND</x:v>
      </x:c>
      <x:c r="H490" s="2" t="n">
        <x:v>1</x:v>
      </x:c>
      <x:c r="I490" s="2"/>
      <x:c r="J490" s="2"/>
      <x:c r="K490" s="2"/>
      <x:c r="L490" s="2" t="n">
        <x:f>SUM(IF('Monthly_Data'!A146=A490,IF(ISBLANK('Monthly_Data'!A146)=ISBLANK(A490),0,1),1),IF('Monthly_Data'!B146=B490,IF(ISBLANK('Monthly_Data'!B146)=ISBLANK(B490),0,1),1),IF('Monthly_Data'!C146=C490,IF(ISBLANK('Monthly_Data'!C146)=ISBLANK(C490),0,1),1),IF('Monthly_Data'!D146=D490,IF(ISBLANK('Monthly_Data'!D146)=ISBLANK(D490),0,1),1),IF('Monthly_Data'!E146=E490,IF(ISBLANK('Monthly_Data'!E146)=ISBLANK(E490),0,1),1),IF('Monthly_Data'!F146=F490,IF(ISBLANK('Monthly_Data'!F146)=ISBLANK(F490),0,1),1),IF('Monthly_Data'!G146=G490,IF(ISBLANK('Monthly_Data'!G146)=ISBLANK(G490),0,1),1),IF('Monthly_Data'!H146=H490,IF(ISBLANK('Monthly_Data'!H146)=ISBLANK(H490),0,1),1))</x:f>
        <x:v>0</x:v>
      </x:c>
    </x:row>
    <x:row r="491" ht="23" customHeight="1">
      <x:c r="A491" s="2" t="str">
        <x:v>61091000_VN_202601_IMPORT</x:v>
      </x:c>
      <x:c r="B491" s="2" t="n">
        <x:v>202601</x:v>
      </x:c>
      <x:c r="C491" s="2" t="str">
        <x:v>61091000</x:v>
      </x:c>
      <x:c r="D491" s="2" t="str">
        <x:v>Vietnam</x:v>
      </x:c>
      <x:c r="E491" s="2" t="n">
        <x:v>1472300</x:v>
      </x:c>
      <x:c r="F491" s="2" t="n">
        <x:v>54052</x:v>
      </x:c>
      <x:c r="G491" s="2" t="str">
        <x:v>WITHIN_BAND</x:v>
      </x:c>
      <x:c r="H491" s="2" t="n">
        <x:v>1</x:v>
      </x:c>
      <x:c r="I491" s="2"/>
      <x:c r="J491" s="2"/>
      <x:c r="K491" s="2"/>
      <x:c r="L491" s="2" t="n">
        <x:f>SUM(IF('Monthly_Data'!A147=A491,IF(ISBLANK('Monthly_Data'!A147)=ISBLANK(A491),0,1),1),IF('Monthly_Data'!B147=B491,IF(ISBLANK('Monthly_Data'!B147)=ISBLANK(B491),0,1),1),IF('Monthly_Data'!C147=C491,IF(ISBLANK('Monthly_Data'!C147)=ISBLANK(C491),0,1),1),IF('Monthly_Data'!D147=D491,IF(ISBLANK('Monthly_Data'!D147)=ISBLANK(D491),0,1),1),IF('Monthly_Data'!E147=E491,IF(ISBLANK('Monthly_Data'!E147)=ISBLANK(E491),0,1),1),IF('Monthly_Data'!F147=F491,IF(ISBLANK('Monthly_Data'!F147)=ISBLANK(F491),0,1),1),IF('Monthly_Data'!G147=G491,IF(ISBLANK('Monthly_Data'!G147)=ISBLANK(G491),0,1),1),IF('Monthly_Data'!H147=H491,IF(ISBLANK('Monthly_Data'!H147)=ISBLANK(H491),0,1),1))</x:f>
        <x:v>0</x:v>
      </x:c>
    </x:row>
    <x:row r="492" ht="23" customHeight="1">
      <x:c r="A492" s="2" t="str">
        <x:v>61091000_WORLD_202601_IMPORT</x:v>
      </x:c>
      <x:c r="B492" s="2" t="n">
        <x:v>202601</x:v>
      </x:c>
      <x:c r="C492" s="2" t="str">
        <x:v>61091000</x:v>
      </x:c>
      <x:c r="D492" s="2" t="str">
        <x:v>World</x:v>
      </x:c>
      <x:c r="E492" s="2" t="n">
        <x:v>91453866</x:v>
      </x:c>
      <x:c r="F492" s="2" t="n">
        <x:v>5856894</x:v>
      </x:c>
      <x:c r="G492" s="2" t="str">
        <x:v>WITHIN_BAND</x:v>
      </x:c>
      <x:c r="H492" s="2" t="n">
        <x:v>1</x:v>
      </x:c>
      <x:c r="I492" s="2"/>
      <x:c r="J492" s="2"/>
      <x:c r="K492" s="2"/>
      <x:c r="L492" s="2" t="n">
        <x:f>SUM(IF('Monthly_Data'!A148=A492,IF(ISBLANK('Monthly_Data'!A148)=ISBLANK(A492),0,1),1),IF('Monthly_Data'!B148=B492,IF(ISBLANK('Monthly_Data'!B148)=ISBLANK(B492),0,1),1),IF('Monthly_Data'!C148=C492,IF(ISBLANK('Monthly_Data'!C148)=ISBLANK(C492),0,1),1),IF('Monthly_Data'!D148=D492,IF(ISBLANK('Monthly_Data'!D148)=ISBLANK(D492),0,1),1),IF('Monthly_Data'!E148=E492,IF(ISBLANK('Monthly_Data'!E148)=ISBLANK(E492),0,1),1),IF('Monthly_Data'!F148=F492,IF(ISBLANK('Monthly_Data'!F148)=ISBLANK(F492),0,1),1),IF('Monthly_Data'!G148=G492,IF(ISBLANK('Monthly_Data'!G148)=ISBLANK(G492),0,1),1),IF('Monthly_Data'!H148=H492,IF(ISBLANK('Monthly_Data'!H148)=ISBLANK(H492),0,1),1))</x:f>
        <x:v>0</x:v>
      </x:c>
    </x:row>
    <x:row r="493" ht="23" customHeight="1">
      <x:c r="A493" s="2" t="str">
        <x:v>61091000_BD_202602_IMPORT</x:v>
      </x:c>
      <x:c r="B493" s="2" t="n">
        <x:v>202602</x:v>
      </x:c>
      <x:c r="C493" s="2" t="str">
        <x:v>61091000</x:v>
      </x:c>
      <x:c r="D493" s="2" t="str">
        <x:v>Bangladesh</x:v>
      </x:c>
      <x:c r="E493" s="2" t="n">
        <x:v>39337408</x:v>
      </x:c>
      <x:c r="F493" s="2" t="n">
        <x:v>3489973</x:v>
      </x:c>
      <x:c r="G493" s="2" t="str">
        <x:v>WITHIN_BAND</x:v>
      </x:c>
      <x:c r="H493" s="2" t="n">
        <x:v>1</x:v>
      </x:c>
      <x:c r="I493" s="2"/>
      <x:c r="J493" s="2"/>
      <x:c r="K493" s="2"/>
      <x:c r="L493" s="2" t="n">
        <x:f>SUM(IF('Monthly_Data'!A149=A493,IF(ISBLANK('Monthly_Data'!A149)=ISBLANK(A493),0,1),1),IF('Monthly_Data'!B149=B493,IF(ISBLANK('Monthly_Data'!B149)=ISBLANK(B493),0,1),1),IF('Monthly_Data'!C149=C493,IF(ISBLANK('Monthly_Data'!C149)=ISBLANK(C493),0,1),1),IF('Monthly_Data'!D149=D493,IF(ISBLANK('Monthly_Data'!D149)=ISBLANK(D493),0,1),1),IF('Monthly_Data'!E149=E493,IF(ISBLANK('Monthly_Data'!E149)=ISBLANK(E493),0,1),1),IF('Monthly_Data'!F149=F493,IF(ISBLANK('Monthly_Data'!F149)=ISBLANK(F493),0,1),1),IF('Monthly_Data'!G149=G493,IF(ISBLANK('Monthly_Data'!G149)=ISBLANK(G493),0,1),1),IF('Monthly_Data'!H149=H493,IF(ISBLANK('Monthly_Data'!H149)=ISBLANK(H493),0,1),1))</x:f>
        <x:v>0</x:v>
      </x:c>
    </x:row>
    <x:row r="494" ht="23" customHeight="1">
      <x:c r="A494" s="2" t="str">
        <x:v>61091000_KH_202602_IMPORT</x:v>
      </x:c>
      <x:c r="B494" s="2" t="n">
        <x:v>202602</x:v>
      </x:c>
      <x:c r="C494" s="2" t="str">
        <x:v>61091000</x:v>
      </x:c>
      <x:c r="D494" s="2" t="str">
        <x:v>Cambodia</x:v>
      </x:c>
      <x:c r="E494" s="2" t="n">
        <x:v>715874</x:v>
      </x:c>
      <x:c r="F494" s="2" t="n">
        <x:v>49378</x:v>
      </x:c>
      <x:c r="G494" s="2" t="str">
        <x:v>WITHIN_BAND</x:v>
      </x:c>
      <x:c r="H494" s="2" t="n">
        <x:v>1</x:v>
      </x:c>
      <x:c r="I494" s="2"/>
      <x:c r="J494" s="2"/>
      <x:c r="K494" s="2"/>
      <x:c r="L494" s="2" t="n">
        <x:f>SUM(IF('Monthly_Data'!A150=A494,IF(ISBLANK('Monthly_Data'!A150)=ISBLANK(A494),0,1),1),IF('Monthly_Data'!B150=B494,IF(ISBLANK('Monthly_Data'!B150)=ISBLANK(B494),0,1),1),IF('Monthly_Data'!C150=C494,IF(ISBLANK('Monthly_Data'!C150)=ISBLANK(C494),0,1),1),IF('Monthly_Data'!D150=D494,IF(ISBLANK('Monthly_Data'!D150)=ISBLANK(D494),0,1),1),IF('Monthly_Data'!E150=E494,IF(ISBLANK('Monthly_Data'!E150)=ISBLANK(E494),0,1),1),IF('Monthly_Data'!F150=F494,IF(ISBLANK('Monthly_Data'!F150)=ISBLANK(F494),0,1),1),IF('Monthly_Data'!G150=G494,IF(ISBLANK('Monthly_Data'!G150)=ISBLANK(G494),0,1),1),IF('Monthly_Data'!H150=H494,IF(ISBLANK('Monthly_Data'!H150)=ISBLANK(H494),0,1),1))</x:f>
        <x:v>0</x:v>
      </x:c>
    </x:row>
    <x:row r="495" ht="23" customHeight="1">
      <x:c r="A495" s="2" t="str">
        <x:v>61091000_CN_202602_IMPORT</x:v>
      </x:c>
      <x:c r="B495" s="2" t="n">
        <x:v>202602</x:v>
      </x:c>
      <x:c r="C495" s="2" t="str">
        <x:v>61091000</x:v>
      </x:c>
      <x:c r="D495" s="2" t="str">
        <x:v>China</x:v>
      </x:c>
      <x:c r="E495" s="2" t="n">
        <x:v>4981339</x:v>
      </x:c>
      <x:c r="F495" s="2" t="n">
        <x:v>273363</x:v>
      </x:c>
      <x:c r="G495" s="2" t="str">
        <x:v>WITHIN_BAND</x:v>
      </x:c>
      <x:c r="H495" s="2" t="n">
        <x:v>1</x:v>
      </x:c>
      <x:c r="I495" s="2"/>
      <x:c r="J495" s="2"/>
      <x:c r="K495" s="2"/>
      <x:c r="L495" s="2" t="n">
        <x:f>SUM(IF('Monthly_Data'!A151=A495,IF(ISBLANK('Monthly_Data'!A151)=ISBLANK(A495),0,1),1),IF('Monthly_Data'!B151=B495,IF(ISBLANK('Monthly_Data'!B151)=ISBLANK(B495),0,1),1),IF('Monthly_Data'!C151=C495,IF(ISBLANK('Monthly_Data'!C151)=ISBLANK(C495),0,1),1),IF('Monthly_Data'!D151=D495,IF(ISBLANK('Monthly_Data'!D151)=ISBLANK(D495),0,1),1),IF('Monthly_Data'!E151=E495,IF(ISBLANK('Monthly_Data'!E151)=ISBLANK(E495),0,1),1),IF('Monthly_Data'!F151=F495,IF(ISBLANK('Monthly_Data'!F151)=ISBLANK(F495),0,1),1),IF('Monthly_Data'!G151=G495,IF(ISBLANK('Monthly_Data'!G151)=ISBLANK(G495),0,1),1),IF('Monthly_Data'!H151=H495,IF(ISBLANK('Monthly_Data'!H151)=ISBLANK(H495),0,1),1))</x:f>
        <x:v>0</x:v>
      </x:c>
    </x:row>
    <x:row r="496" ht="23" customHeight="1">
      <x:c r="A496" s="2" t="str">
        <x:v>61091000_IN_202602_IMPORT</x:v>
      </x:c>
      <x:c r="B496" s="2" t="n">
        <x:v>202602</x:v>
      </x:c>
      <x:c r="C496" s="2" t="str">
        <x:v>61091000</x:v>
      </x:c>
      <x:c r="D496" s="2" t="str">
        <x:v>India</x:v>
      </x:c>
      <x:c r="E496" s="2" t="n">
        <x:v>10021231</x:v>
      </x:c>
      <x:c r="F496" s="2" t="n">
        <x:v>786469</x:v>
      </x:c>
      <x:c r="G496" s="2" t="str">
        <x:v>WITHIN_BAND</x:v>
      </x:c>
      <x:c r="H496" s="2" t="n">
        <x:v>1</x:v>
      </x:c>
      <x:c r="I496" s="2"/>
      <x:c r="J496" s="2"/>
      <x:c r="K496" s="2"/>
      <x:c r="L496" s="2" t="n">
        <x:f>SUM(IF('Monthly_Data'!A152=A496,IF(ISBLANK('Monthly_Data'!A152)=ISBLANK(A496),0,1),1),IF('Monthly_Data'!B152=B496,IF(ISBLANK('Monthly_Data'!B152)=ISBLANK(B496),0,1),1),IF('Monthly_Data'!C152=C496,IF(ISBLANK('Monthly_Data'!C152)=ISBLANK(C496),0,1),1),IF('Monthly_Data'!D152=D496,IF(ISBLANK('Monthly_Data'!D152)=ISBLANK(D496),0,1),1),IF('Monthly_Data'!E152=E496,IF(ISBLANK('Monthly_Data'!E152)=ISBLANK(E496),0,1),1),IF('Monthly_Data'!F152=F496,IF(ISBLANK('Monthly_Data'!F152)=ISBLANK(F496),0,1),1),IF('Monthly_Data'!G152=G496,IF(ISBLANK('Monthly_Data'!G152)=ISBLANK(G496),0,1),1),IF('Monthly_Data'!H152=H496,IF(ISBLANK('Monthly_Data'!H152)=ISBLANK(H496),0,1),1))</x:f>
        <x:v>0</x:v>
      </x:c>
    </x:row>
    <x:row r="497" ht="23" customHeight="1">
      <x:c r="A497" s="2" t="str">
        <x:v>61091000_MA_202602_IMPORT</x:v>
      </x:c>
      <x:c r="B497" s="2" t="n">
        <x:v>202602</x:v>
      </x:c>
      <x:c r="C497" s="2" t="str">
        <x:v>61091000</x:v>
      </x:c>
      <x:c r="D497" s="2" t="str">
        <x:v>Morocco</x:v>
      </x:c>
      <x:c r="E497" s="2" t="n">
        <x:v>812099</x:v>
      </x:c>
      <x:c r="F497" s="2" t="n">
        <x:v>108021</x:v>
      </x:c>
      <x:c r="G497" s="2" t="str">
        <x:v>WITHIN_BAND</x:v>
      </x:c>
      <x:c r="H497" s="2" t="n">
        <x:v>1</x:v>
      </x:c>
      <x:c r="I497" s="2"/>
      <x:c r="J497" s="2"/>
      <x:c r="K497" s="2"/>
      <x:c r="L497" s="2" t="n">
        <x:f>SUM(IF('Monthly_Data'!A153=A497,IF(ISBLANK('Monthly_Data'!A153)=ISBLANK(A497),0,1),1),IF('Monthly_Data'!B153=B497,IF(ISBLANK('Monthly_Data'!B153)=ISBLANK(B497),0,1),1),IF('Monthly_Data'!C153=C497,IF(ISBLANK('Monthly_Data'!C153)=ISBLANK(C497),0,1),1),IF('Monthly_Data'!D153=D497,IF(ISBLANK('Monthly_Data'!D153)=ISBLANK(D497),0,1),1),IF('Monthly_Data'!E153=E497,IF(ISBLANK('Monthly_Data'!E153)=ISBLANK(E497),0,1),1),IF('Monthly_Data'!F153=F497,IF(ISBLANK('Monthly_Data'!F153)=ISBLANK(F497),0,1),1),IF('Monthly_Data'!G153=G497,IF(ISBLANK('Monthly_Data'!G153)=ISBLANK(G497),0,1),1),IF('Monthly_Data'!H153=H497,IF(ISBLANK('Monthly_Data'!H153)=ISBLANK(H497),0,1),1))</x:f>
        <x:v>0</x:v>
      </x:c>
    </x:row>
    <x:row r="498" ht="23" customHeight="1">
      <x:c r="A498" s="2" t="str">
        <x:v>61091000_MM_202602_IMPORT</x:v>
      </x:c>
      <x:c r="B498" s="2" t="n">
        <x:v>202602</x:v>
      </x:c>
      <x:c r="C498" s="2" t="str">
        <x:v>61091000</x:v>
      </x:c>
      <x:c r="D498" s="2" t="str">
        <x:v>Myanmar</x:v>
      </x:c>
      <x:c r="E498" s="2" t="n">
        <x:v>42372</x:v>
      </x:c>
      <x:c r="F498" s="2" t="n">
        <x:v>3137</x:v>
      </x:c>
      <x:c r="G498" s="2" t="str">
        <x:v>WITHIN_BAND</x:v>
      </x:c>
      <x:c r="H498" s="2" t="n">
        <x:v>1</x:v>
      </x:c>
      <x:c r="I498" s="2"/>
      <x:c r="J498" s="2"/>
      <x:c r="K498" s="2"/>
      <x:c r="L498" s="2" t="n">
        <x:f>SUM(IF('Monthly_Data'!A154=A498,IF(ISBLANK('Monthly_Data'!A154)=ISBLANK(A498),0,1),1),IF('Monthly_Data'!B154=B498,IF(ISBLANK('Monthly_Data'!B154)=ISBLANK(B498),0,1),1),IF('Monthly_Data'!C154=C498,IF(ISBLANK('Monthly_Data'!C154)=ISBLANK(C498),0,1),1),IF('Monthly_Data'!D154=D498,IF(ISBLANK('Monthly_Data'!D154)=ISBLANK(D498),0,1),1),IF('Monthly_Data'!E154=E498,IF(ISBLANK('Monthly_Data'!E154)=ISBLANK(E498),0,1),1),IF('Monthly_Data'!F154=F498,IF(ISBLANK('Monthly_Data'!F154)=ISBLANK(F498),0,1),1),IF('Monthly_Data'!G154=G498,IF(ISBLANK('Monthly_Data'!G154)=ISBLANK(G498),0,1),1),IF('Monthly_Data'!H154=H498,IF(ISBLANK('Monthly_Data'!H154)=ISBLANK(H498),0,1),1))</x:f>
        <x:v>0</x:v>
      </x:c>
    </x:row>
    <x:row r="499" ht="23" customHeight="1">
      <x:c r="A499" s="2" t="str">
        <x:v>61091000_PK_202602_IMPORT</x:v>
      </x:c>
      <x:c r="B499" s="2" t="n">
        <x:v>202602</x:v>
      </x:c>
      <x:c r="C499" s="2" t="str">
        <x:v>61091000</x:v>
      </x:c>
      <x:c r="D499" s="2" t="str">
        <x:v>Pakistan</x:v>
      </x:c>
      <x:c r="E499" s="2" t="n">
        <x:v>3564591</x:v>
      </x:c>
      <x:c r="F499" s="2" t="n">
        <x:v>289778</x:v>
      </x:c>
      <x:c r="G499" s="2" t="str">
        <x:v>WITHIN_BAND</x:v>
      </x:c>
      <x:c r="H499" s="2" t="n">
        <x:v>1</x:v>
      </x:c>
      <x:c r="I499" s="2"/>
      <x:c r="J499" s="2"/>
      <x:c r="K499" s="2"/>
      <x:c r="L499" s="2" t="n">
        <x:f>SUM(IF('Monthly_Data'!A155=A499,IF(ISBLANK('Monthly_Data'!A155)=ISBLANK(A499),0,1),1),IF('Monthly_Data'!B155=B499,IF(ISBLANK('Monthly_Data'!B155)=ISBLANK(B499),0,1),1),IF('Monthly_Data'!C155=C499,IF(ISBLANK('Monthly_Data'!C155)=ISBLANK(C499),0,1),1),IF('Monthly_Data'!D155=D499,IF(ISBLANK('Monthly_Data'!D155)=ISBLANK(D499),0,1),1),IF('Monthly_Data'!E155=E499,IF(ISBLANK('Monthly_Data'!E155)=ISBLANK(E499),0,1),1),IF('Monthly_Data'!F155=F499,IF(ISBLANK('Monthly_Data'!F155)=ISBLANK(F499),0,1),1),IF('Monthly_Data'!G155=G499,IF(ISBLANK('Monthly_Data'!G155)=ISBLANK(G499),0,1),1),IF('Monthly_Data'!H155=H499,IF(ISBLANK('Monthly_Data'!H155)=ISBLANK(H499),0,1),1))</x:f>
        <x:v>0</x:v>
      </x:c>
    </x:row>
    <x:row r="500" ht="23" customHeight="1">
      <x:c r="A500" s="2" t="str">
        <x:v>61091000_LK_202602_IMPORT</x:v>
      </x:c>
      <x:c r="B500" s="2" t="n">
        <x:v>202602</x:v>
      </x:c>
      <x:c r="C500" s="2" t="str">
        <x:v>61091000</x:v>
      </x:c>
      <x:c r="D500" s="2" t="str">
        <x:v>Sri Lanka</x:v>
      </x:c>
      <x:c r="E500" s="2" t="n">
        <x:v>899655</x:v>
      </x:c>
      <x:c r="F500" s="2" t="n">
        <x:v>80469</x:v>
      </x:c>
      <x:c r="G500" s="2" t="str">
        <x:v>WITHIN_BAND</x:v>
      </x:c>
      <x:c r="H500" s="2" t="n">
        <x:v>1</x:v>
      </x:c>
      <x:c r="I500" s="2"/>
      <x:c r="J500" s="2"/>
      <x:c r="K500" s="2"/>
      <x:c r="L500" s="2" t="n">
        <x:f>SUM(IF('Monthly_Data'!A156=A500,IF(ISBLANK('Monthly_Data'!A156)=ISBLANK(A500),0,1),1),IF('Monthly_Data'!B156=B500,IF(ISBLANK('Monthly_Data'!B156)=ISBLANK(B500),0,1),1),IF('Monthly_Data'!C156=C500,IF(ISBLANK('Monthly_Data'!C156)=ISBLANK(C500),0,1),1),IF('Monthly_Data'!D156=D500,IF(ISBLANK('Monthly_Data'!D156)=ISBLANK(D500),0,1),1),IF('Monthly_Data'!E156=E500,IF(ISBLANK('Monthly_Data'!E156)=ISBLANK(E500),0,1),1),IF('Monthly_Data'!F156=F500,IF(ISBLANK('Monthly_Data'!F156)=ISBLANK(F500),0,1),1),IF('Monthly_Data'!G156=G500,IF(ISBLANK('Monthly_Data'!G156)=ISBLANK(G500),0,1),1),IF('Monthly_Data'!H156=H500,IF(ISBLANK('Monthly_Data'!H156)=ISBLANK(H500),0,1),1))</x:f>
        <x:v>0</x:v>
      </x:c>
    </x:row>
    <x:row r="501" ht="23" customHeight="1">
      <x:c r="A501" s="2" t="str">
        <x:v>61091000_TR_202602_IMPORT</x:v>
      </x:c>
      <x:c r="B501" s="2" t="n">
        <x:v>202602</x:v>
      </x:c>
      <x:c r="C501" s="2" t="str">
        <x:v>61091000</x:v>
      </x:c>
      <x:c r="D501" s="2" t="str">
        <x:v>Turkey</x:v>
      </x:c>
      <x:c r="E501" s="2" t="n">
        <x:v>7564760</x:v>
      </x:c>
      <x:c r="F501" s="2" t="n">
        <x:v>294099</x:v>
      </x:c>
      <x:c r="G501" s="2" t="str">
        <x:v>WITHIN_BAND</x:v>
      </x:c>
      <x:c r="H501" s="2" t="n">
        <x:v>1</x:v>
      </x:c>
      <x:c r="I501" s="2"/>
      <x:c r="J501" s="2"/>
      <x:c r="K501" s="2"/>
      <x:c r="L501" s="2" t="n">
        <x:f>SUM(IF('Monthly_Data'!A157=A501,IF(ISBLANK('Monthly_Data'!A157)=ISBLANK(A501),0,1),1),IF('Monthly_Data'!B157=B501,IF(ISBLANK('Monthly_Data'!B157)=ISBLANK(B501),0,1),1),IF('Monthly_Data'!C157=C501,IF(ISBLANK('Monthly_Data'!C157)=ISBLANK(C501),0,1),1),IF('Monthly_Data'!D157=D501,IF(ISBLANK('Monthly_Data'!D157)=ISBLANK(D501),0,1),1),IF('Monthly_Data'!E157=E501,IF(ISBLANK('Monthly_Data'!E157)=ISBLANK(E501),0,1),1),IF('Monthly_Data'!F157=F501,IF(ISBLANK('Monthly_Data'!F157)=ISBLANK(F501),0,1),1),IF('Monthly_Data'!G157=G501,IF(ISBLANK('Monthly_Data'!G157)=ISBLANK(G501),0,1),1),IF('Monthly_Data'!H157=H501,IF(ISBLANK('Monthly_Data'!H157)=ISBLANK(H501),0,1),1))</x:f>
        <x:v>0</x:v>
      </x:c>
    </x:row>
    <x:row r="502" ht="23" customHeight="1">
      <x:c r="A502" s="2" t="str">
        <x:v>61091000_VN_202602_IMPORT</x:v>
      </x:c>
      <x:c r="B502" s="2" t="n">
        <x:v>202602</x:v>
      </x:c>
      <x:c r="C502" s="2" t="str">
        <x:v>61091000</x:v>
      </x:c>
      <x:c r="D502" s="2" t="str">
        <x:v>Vietnam</x:v>
      </x:c>
      <x:c r="E502" s="2" t="n">
        <x:v>2636146</x:v>
      </x:c>
      <x:c r="F502" s="2" t="n">
        <x:v>111570</x:v>
      </x:c>
      <x:c r="G502" s="2" t="str">
        <x:v>WITHIN_BAND</x:v>
      </x:c>
      <x:c r="H502" s="2" t="n">
        <x:v>1</x:v>
      </x:c>
      <x:c r="I502" s="2"/>
      <x:c r="J502" s="2"/>
      <x:c r="K502" s="2"/>
      <x:c r="L502" s="2" t="n">
        <x:f>SUM(IF('Monthly_Data'!A158=A502,IF(ISBLANK('Monthly_Data'!A158)=ISBLANK(A502),0,1),1),IF('Monthly_Data'!B158=B502,IF(ISBLANK('Monthly_Data'!B158)=ISBLANK(B502),0,1),1),IF('Monthly_Data'!C158=C502,IF(ISBLANK('Monthly_Data'!C158)=ISBLANK(C502),0,1),1),IF('Monthly_Data'!D158=D502,IF(ISBLANK('Monthly_Data'!D158)=ISBLANK(D502),0,1),1),IF('Monthly_Data'!E158=E502,IF(ISBLANK('Monthly_Data'!E158)=ISBLANK(E502),0,1),1),IF('Monthly_Data'!F158=F502,IF(ISBLANK('Monthly_Data'!F158)=ISBLANK(F502),0,1),1),IF('Monthly_Data'!G158=G502,IF(ISBLANK('Monthly_Data'!G158)=ISBLANK(G502),0,1),1),IF('Monthly_Data'!H158=H502,IF(ISBLANK('Monthly_Data'!H158)=ISBLANK(H502),0,1),1))</x:f>
        <x:v>0</x:v>
      </x:c>
    </x:row>
    <x:row r="503" ht="23" customHeight="1">
      <x:c r="A503" s="2" t="str">
        <x:v>61091000_WORLD_202602_IMPORT</x:v>
      </x:c>
      <x:c r="B503" s="2" t="n">
        <x:v>202602</x:v>
      </x:c>
      <x:c r="C503" s="2" t="str">
        <x:v>61091000</x:v>
      </x:c>
      <x:c r="D503" s="2" t="str">
        <x:v>World</x:v>
      </x:c>
      <x:c r="E503" s="2" t="n">
        <x:v>101424211</x:v>
      </x:c>
      <x:c r="F503" s="2" t="n">
        <x:v>6491676</x:v>
      </x:c>
      <x:c r="G503" s="2" t="str">
        <x:v>WITHIN_BAND</x:v>
      </x:c>
      <x:c r="H503" s="2" t="n">
        <x:v>1</x:v>
      </x:c>
      <x:c r="I503" s="2"/>
      <x:c r="J503" s="2"/>
      <x:c r="K503" s="2"/>
      <x:c r="L503" s="2" t="n">
        <x:f>SUM(IF('Monthly_Data'!A159=A503,IF(ISBLANK('Monthly_Data'!A159)=ISBLANK(A503),0,1),1),IF('Monthly_Data'!B159=B503,IF(ISBLANK('Monthly_Data'!B159)=ISBLANK(B503),0,1),1),IF('Monthly_Data'!C159=C503,IF(ISBLANK('Monthly_Data'!C159)=ISBLANK(C503),0,1),1),IF('Monthly_Data'!D159=D503,IF(ISBLANK('Monthly_Data'!D159)=ISBLANK(D503),0,1),1),IF('Monthly_Data'!E159=E503,IF(ISBLANK('Monthly_Data'!E159)=ISBLANK(E503),0,1),1),IF('Monthly_Data'!F159=F503,IF(ISBLANK('Monthly_Data'!F159)=ISBLANK(F503),0,1),1),IF('Monthly_Data'!G159=G503,IF(ISBLANK('Monthly_Data'!G159)=ISBLANK(G503),0,1),1),IF('Monthly_Data'!H159=H503,IF(ISBLANK('Monthly_Data'!H159)=ISBLANK(H503),0,1),1))</x:f>
        <x:v>0</x:v>
      </x:c>
    </x:row>
    <x:row r="504" ht="23" customHeight="1">
      <x:c r="A504" s="2" t="str">
        <x:v>61091000_BD_202603_IMPORT</x:v>
      </x:c>
      <x:c r="B504" s="2" t="n">
        <x:v>202603</x:v>
      </x:c>
      <x:c r="C504" s="2" t="str">
        <x:v>61091000</x:v>
      </x:c>
      <x:c r="D504" s="2" t="str">
        <x:v>Bangladesh</x:v>
      </x:c>
      <x:c r="E504" s="2" t="n">
        <x:v>42747807</x:v>
      </x:c>
      <x:c r="F504" s="2" t="n">
        <x:v>4120835</x:v>
      </x:c>
      <x:c r="G504" s="2" t="str">
        <x:v>WITHIN_BAND</x:v>
      </x:c>
      <x:c r="H504" s="2" t="n">
        <x:v>1</x:v>
      </x:c>
      <x:c r="I504" s="2"/>
      <x:c r="J504" s="2"/>
      <x:c r="K504" s="2"/>
      <x:c r="L504" s="2" t="n">
        <x:f>SUM(IF('Monthly_Data'!A160=A504,IF(ISBLANK('Monthly_Data'!A160)=ISBLANK(A504),0,1),1),IF('Monthly_Data'!B160=B504,IF(ISBLANK('Monthly_Data'!B160)=ISBLANK(B504),0,1),1),IF('Monthly_Data'!C160=C504,IF(ISBLANK('Monthly_Data'!C160)=ISBLANK(C504),0,1),1),IF('Monthly_Data'!D160=D504,IF(ISBLANK('Monthly_Data'!D160)=ISBLANK(D504),0,1),1),IF('Monthly_Data'!E160=E504,IF(ISBLANK('Monthly_Data'!E160)=ISBLANK(E504),0,1),1),IF('Monthly_Data'!F160=F504,IF(ISBLANK('Monthly_Data'!F160)=ISBLANK(F504),0,1),1),IF('Monthly_Data'!G160=G504,IF(ISBLANK('Monthly_Data'!G160)=ISBLANK(G504),0,1),1),IF('Monthly_Data'!H160=H504,IF(ISBLANK('Monthly_Data'!H160)=ISBLANK(H504),0,1),1))</x:f>
        <x:v>0</x:v>
      </x:c>
    </x:row>
    <x:row r="505" ht="23" customHeight="1">
      <x:c r="A505" s="2" t="str">
        <x:v>61091000_KH_202603_IMPORT</x:v>
      </x:c>
      <x:c r="B505" s="2" t="n">
        <x:v>202603</x:v>
      </x:c>
      <x:c r="C505" s="2" t="str">
        <x:v>61091000</x:v>
      </x:c>
      <x:c r="D505" s="2" t="str">
        <x:v>Cambodia</x:v>
      </x:c>
      <x:c r="E505" s="2" t="n">
        <x:v>1270394</x:v>
      </x:c>
      <x:c r="F505" s="2" t="n">
        <x:v>56249</x:v>
      </x:c>
      <x:c r="G505" s="2" t="str">
        <x:v>WITHIN_BAND</x:v>
      </x:c>
      <x:c r="H505" s="2" t="n">
        <x:v>1</x:v>
      </x:c>
      <x:c r="I505" s="2"/>
      <x:c r="J505" s="2"/>
      <x:c r="K505" s="2"/>
      <x:c r="L505" s="2" t="n">
        <x:f>SUM(IF('Monthly_Data'!A161=A505,IF(ISBLANK('Monthly_Data'!A161)=ISBLANK(A505),0,1),1),IF('Monthly_Data'!B161=B505,IF(ISBLANK('Monthly_Data'!B161)=ISBLANK(B505),0,1),1),IF('Monthly_Data'!C161=C505,IF(ISBLANK('Monthly_Data'!C161)=ISBLANK(C505),0,1),1),IF('Monthly_Data'!D161=D505,IF(ISBLANK('Monthly_Data'!D161)=ISBLANK(D505),0,1),1),IF('Monthly_Data'!E161=E505,IF(ISBLANK('Monthly_Data'!E161)=ISBLANK(E505),0,1),1),IF('Monthly_Data'!F161=F505,IF(ISBLANK('Monthly_Data'!F161)=ISBLANK(F505),0,1),1),IF('Monthly_Data'!G161=G505,IF(ISBLANK('Monthly_Data'!G161)=ISBLANK(G505),0,1),1),IF('Monthly_Data'!H161=H505,IF(ISBLANK('Monthly_Data'!H161)=ISBLANK(H505),0,1),1))</x:f>
        <x:v>0</x:v>
      </x:c>
    </x:row>
    <x:row r="506" ht="23" customHeight="1">
      <x:c r="A506" s="2" t="str">
        <x:v>61091000_CN_202603_IMPORT</x:v>
      </x:c>
      <x:c r="B506" s="2" t="n">
        <x:v>202603</x:v>
      </x:c>
      <x:c r="C506" s="2" t="str">
        <x:v>61091000</x:v>
      </x:c>
      <x:c r="D506" s="2" t="str">
        <x:v>China</x:v>
      </x:c>
      <x:c r="E506" s="2" t="n">
        <x:v>4244842</x:v>
      </x:c>
      <x:c r="F506" s="2" t="n">
        <x:v>270295</x:v>
      </x:c>
      <x:c r="G506" s="2" t="str">
        <x:v>WITHIN_BAND</x:v>
      </x:c>
      <x:c r="H506" s="2" t="n">
        <x:v>1</x:v>
      </x:c>
      <x:c r="I506" s="2"/>
      <x:c r="J506" s="2"/>
      <x:c r="K506" s="2"/>
      <x:c r="L506" s="2" t="n">
        <x:f>SUM(IF('Monthly_Data'!A162=A506,IF(ISBLANK('Monthly_Data'!A162)=ISBLANK(A506),0,1),1),IF('Monthly_Data'!B162=B506,IF(ISBLANK('Monthly_Data'!B162)=ISBLANK(B506),0,1),1),IF('Monthly_Data'!C162=C506,IF(ISBLANK('Monthly_Data'!C162)=ISBLANK(C506),0,1),1),IF('Monthly_Data'!D162=D506,IF(ISBLANK('Monthly_Data'!D162)=ISBLANK(D506),0,1),1),IF('Monthly_Data'!E162=E506,IF(ISBLANK('Monthly_Data'!E162)=ISBLANK(E506),0,1),1),IF('Monthly_Data'!F162=F506,IF(ISBLANK('Monthly_Data'!F162)=ISBLANK(F506),0,1),1),IF('Monthly_Data'!G162=G506,IF(ISBLANK('Monthly_Data'!G162)=ISBLANK(G506),0,1),1),IF('Monthly_Data'!H162=H506,IF(ISBLANK('Monthly_Data'!H162)=ISBLANK(H506),0,1),1))</x:f>
        <x:v>0</x:v>
      </x:c>
    </x:row>
    <x:row r="507" ht="23" customHeight="1">
      <x:c r="A507" s="2" t="str">
        <x:v>61091000_IN_202603_IMPORT</x:v>
      </x:c>
      <x:c r="B507" s="2" t="n">
        <x:v>202603</x:v>
      </x:c>
      <x:c r="C507" s="2" t="str">
        <x:v>61091000</x:v>
      </x:c>
      <x:c r="D507" s="2" t="str">
        <x:v>India</x:v>
      </x:c>
      <x:c r="E507" s="2" t="n">
        <x:v>8660388</x:v>
      </x:c>
      <x:c r="F507" s="2" t="n">
        <x:v>702824</x:v>
      </x:c>
      <x:c r="G507" s="2" t="str">
        <x:v>WITHIN_BAND</x:v>
      </x:c>
      <x:c r="H507" s="2" t="n">
        <x:v>1</x:v>
      </x:c>
      <x:c r="I507" s="2"/>
      <x:c r="J507" s="2"/>
      <x:c r="K507" s="2"/>
      <x:c r="L507" s="2" t="n">
        <x:f>SUM(IF('Monthly_Data'!A163=A507,IF(ISBLANK('Monthly_Data'!A163)=ISBLANK(A507),0,1),1),IF('Monthly_Data'!B163=B507,IF(ISBLANK('Monthly_Data'!B163)=ISBLANK(B507),0,1),1),IF('Monthly_Data'!C163=C507,IF(ISBLANK('Monthly_Data'!C163)=ISBLANK(C507),0,1),1),IF('Monthly_Data'!D163=D507,IF(ISBLANK('Monthly_Data'!D163)=ISBLANK(D507),0,1),1),IF('Monthly_Data'!E163=E507,IF(ISBLANK('Monthly_Data'!E163)=ISBLANK(E507),0,1),1),IF('Monthly_Data'!F163=F507,IF(ISBLANK('Monthly_Data'!F163)=ISBLANK(F507),0,1),1),IF('Monthly_Data'!G163=G507,IF(ISBLANK('Monthly_Data'!G163)=ISBLANK(G507),0,1),1),IF('Monthly_Data'!H163=H507,IF(ISBLANK('Monthly_Data'!H163)=ISBLANK(H507),0,1),1))</x:f>
        <x:v>0</x:v>
      </x:c>
    </x:row>
    <x:row r="508" ht="23" customHeight="1">
      <x:c r="A508" s="2" t="str">
        <x:v>61091000_MA_202603_IMPORT</x:v>
      </x:c>
      <x:c r="B508" s="2" t="n">
        <x:v>202603</x:v>
      </x:c>
      <x:c r="C508" s="2" t="str">
        <x:v>61091000</x:v>
      </x:c>
      <x:c r="D508" s="2" t="str">
        <x:v>Morocco</x:v>
      </x:c>
      <x:c r="E508" s="2" t="n">
        <x:v>988437</x:v>
      </x:c>
      <x:c r="F508" s="2" t="n">
        <x:v>111757</x:v>
      </x:c>
      <x:c r="G508" s="2" t="str">
        <x:v>WITHIN_BAND</x:v>
      </x:c>
      <x:c r="H508" s="2" t="n">
        <x:v>1</x:v>
      </x:c>
      <x:c r="I508" s="2"/>
      <x:c r="J508" s="2"/>
      <x:c r="K508" s="2"/>
      <x:c r="L508" s="2" t="n">
        <x:f>SUM(IF('Monthly_Data'!A164=A508,IF(ISBLANK('Monthly_Data'!A164)=ISBLANK(A508),0,1),1),IF('Monthly_Data'!B164=B508,IF(ISBLANK('Monthly_Data'!B164)=ISBLANK(B508),0,1),1),IF('Monthly_Data'!C164=C508,IF(ISBLANK('Monthly_Data'!C164)=ISBLANK(C508),0,1),1),IF('Monthly_Data'!D164=D508,IF(ISBLANK('Monthly_Data'!D164)=ISBLANK(D508),0,1),1),IF('Monthly_Data'!E164=E508,IF(ISBLANK('Monthly_Data'!E164)=ISBLANK(E508),0,1),1),IF('Monthly_Data'!F164=F508,IF(ISBLANK('Monthly_Data'!F164)=ISBLANK(F508),0,1),1),IF('Monthly_Data'!G164=G508,IF(ISBLANK('Monthly_Data'!G164)=ISBLANK(G508),0,1),1),IF('Monthly_Data'!H164=H508,IF(ISBLANK('Monthly_Data'!H164)=ISBLANK(H508),0,1),1))</x:f>
        <x:v>0</x:v>
      </x:c>
    </x:row>
    <x:row r="509" ht="23" customHeight="1">
      <x:c r="A509" s="2" t="str">
        <x:v>61091000_MM_202603_IMPORT</x:v>
      </x:c>
      <x:c r="B509" s="2" t="n">
        <x:v>202603</x:v>
      </x:c>
      <x:c r="C509" s="2" t="str">
        <x:v>61091000</x:v>
      </x:c>
      <x:c r="D509" s="2" t="str">
        <x:v>Myanmar</x:v>
      </x:c>
      <x:c r="E509" s="2" t="n">
        <x:v>92809</x:v>
      </x:c>
      <x:c r="F509" s="2" t="n">
        <x:v>9646</x:v>
      </x:c>
      <x:c r="G509" s="2" t="str">
        <x:v>WITHIN_BAND</x:v>
      </x:c>
      <x:c r="H509" s="2" t="n">
        <x:v>1</x:v>
      </x:c>
      <x:c r="I509" s="2"/>
      <x:c r="J509" s="2"/>
      <x:c r="K509" s="2"/>
      <x:c r="L509" s="2" t="n">
        <x:f>SUM(IF('Monthly_Data'!A165=A509,IF(ISBLANK('Monthly_Data'!A165)=ISBLANK(A509),0,1),1),IF('Monthly_Data'!B165=B509,IF(ISBLANK('Monthly_Data'!B165)=ISBLANK(B509),0,1),1),IF('Monthly_Data'!C165=C509,IF(ISBLANK('Monthly_Data'!C165)=ISBLANK(C509),0,1),1),IF('Monthly_Data'!D165=D509,IF(ISBLANK('Monthly_Data'!D165)=ISBLANK(D509),0,1),1),IF('Monthly_Data'!E165=E509,IF(ISBLANK('Monthly_Data'!E165)=ISBLANK(E509),0,1),1),IF('Monthly_Data'!F165=F509,IF(ISBLANK('Monthly_Data'!F165)=ISBLANK(F509),0,1),1),IF('Monthly_Data'!G165=G509,IF(ISBLANK('Monthly_Data'!G165)=ISBLANK(G509),0,1),1),IF('Monthly_Data'!H165=H509,IF(ISBLANK('Monthly_Data'!H165)=ISBLANK(H509),0,1),1))</x:f>
        <x:v>0</x:v>
      </x:c>
    </x:row>
    <x:row r="510" ht="23" customHeight="1">
      <x:c r="A510" s="2" t="str">
        <x:v>61091000_PK_202603_IMPORT</x:v>
      </x:c>
      <x:c r="B510" s="2" t="n">
        <x:v>202603</x:v>
      </x:c>
      <x:c r="C510" s="2" t="str">
        <x:v>61091000</x:v>
      </x:c>
      <x:c r="D510" s="2" t="str">
        <x:v>Pakistan</x:v>
      </x:c>
      <x:c r="E510" s="2" t="n">
        <x:v>3032936</x:v>
      </x:c>
      <x:c r="F510" s="2" t="n">
        <x:v>291919</x:v>
      </x:c>
      <x:c r="G510" s="2" t="str">
        <x:v>WITHIN_BAND</x:v>
      </x:c>
      <x:c r="H510" s="2" t="n">
        <x:v>1</x:v>
      </x:c>
      <x:c r="I510" s="2"/>
      <x:c r="J510" s="2"/>
      <x:c r="K510" s="2"/>
      <x:c r="L510" s="2" t="n">
        <x:f>SUM(IF('Monthly_Data'!A166=A510,IF(ISBLANK('Monthly_Data'!A166)=ISBLANK(A510),0,1),1),IF('Monthly_Data'!B166=B510,IF(ISBLANK('Monthly_Data'!B166)=ISBLANK(B510),0,1),1),IF('Monthly_Data'!C166=C510,IF(ISBLANK('Monthly_Data'!C166)=ISBLANK(C510),0,1),1),IF('Monthly_Data'!D166=D510,IF(ISBLANK('Monthly_Data'!D166)=ISBLANK(D510),0,1),1),IF('Monthly_Data'!E166=E510,IF(ISBLANK('Monthly_Data'!E166)=ISBLANK(E510),0,1),1),IF('Monthly_Data'!F166=F510,IF(ISBLANK('Monthly_Data'!F166)=ISBLANK(F510),0,1),1),IF('Monthly_Data'!G166=G510,IF(ISBLANK('Monthly_Data'!G166)=ISBLANK(G510),0,1),1),IF('Monthly_Data'!H166=H510,IF(ISBLANK('Monthly_Data'!H166)=ISBLANK(H510),0,1),1))</x:f>
        <x:v>0</x:v>
      </x:c>
    </x:row>
    <x:row r="511" ht="23" customHeight="1">
      <x:c r="A511" s="2" t="str">
        <x:v>61091000_LK_202603_IMPORT</x:v>
      </x:c>
      <x:c r="B511" s="2" t="n">
        <x:v>202603</x:v>
      </x:c>
      <x:c r="C511" s="2" t="str">
        <x:v>61091000</x:v>
      </x:c>
      <x:c r="D511" s="2" t="str">
        <x:v>Sri Lanka</x:v>
      </x:c>
      <x:c r="E511" s="2" t="n">
        <x:v>1837934</x:v>
      </x:c>
      <x:c r="F511" s="2" t="n">
        <x:v>168057</x:v>
      </x:c>
      <x:c r="G511" s="2" t="str">
        <x:v>WITHIN_BAND</x:v>
      </x:c>
      <x:c r="H511" s="2" t="n">
        <x:v>1</x:v>
      </x:c>
      <x:c r="I511" s="2"/>
      <x:c r="J511" s="2"/>
      <x:c r="K511" s="2"/>
      <x:c r="L511" s="2" t="n">
        <x:f>SUM(IF('Monthly_Data'!A167=A511,IF(ISBLANK('Monthly_Data'!A167)=ISBLANK(A511),0,1),1),IF('Monthly_Data'!B167=B511,IF(ISBLANK('Monthly_Data'!B167)=ISBLANK(B511),0,1),1),IF('Monthly_Data'!C167=C511,IF(ISBLANK('Monthly_Data'!C167)=ISBLANK(C511),0,1),1),IF('Monthly_Data'!D167=D511,IF(ISBLANK('Monthly_Data'!D167)=ISBLANK(D511),0,1),1),IF('Monthly_Data'!E167=E511,IF(ISBLANK('Monthly_Data'!E167)=ISBLANK(E511),0,1),1),IF('Monthly_Data'!F167=F511,IF(ISBLANK('Monthly_Data'!F167)=ISBLANK(F511),0,1),1),IF('Monthly_Data'!G167=G511,IF(ISBLANK('Monthly_Data'!G167)=ISBLANK(G511),0,1),1),IF('Monthly_Data'!H167=H511,IF(ISBLANK('Monthly_Data'!H167)=ISBLANK(H511),0,1),1))</x:f>
        <x:v>0</x:v>
      </x:c>
    </x:row>
    <x:row r="512" ht="23" customHeight="1">
      <x:c r="A512" s="2" t="str">
        <x:v>61091000_TR_202603_IMPORT</x:v>
      </x:c>
      <x:c r="B512" s="2" t="n">
        <x:v>202603</x:v>
      </x:c>
      <x:c r="C512" s="2" t="str">
        <x:v>61091000</x:v>
      </x:c>
      <x:c r="D512" s="2" t="str">
        <x:v>Turkey</x:v>
      </x:c>
      <x:c r="E512" s="2" t="n">
        <x:v>10459423</x:v>
      </x:c>
      <x:c r="F512" s="2" t="n">
        <x:v>418647</x:v>
      </x:c>
      <x:c r="G512" s="2" t="str">
        <x:v>WITHIN_BAND</x:v>
      </x:c>
      <x:c r="H512" s="2" t="n">
        <x:v>1</x:v>
      </x:c>
      <x:c r="I512" s="2"/>
      <x:c r="J512" s="2"/>
      <x:c r="K512" s="2"/>
      <x:c r="L512" s="2" t="n">
        <x:f>SUM(IF('Monthly_Data'!A168=A512,IF(ISBLANK('Monthly_Data'!A168)=ISBLANK(A512),0,1),1),IF('Monthly_Data'!B168=B512,IF(ISBLANK('Monthly_Data'!B168)=ISBLANK(B512),0,1),1),IF('Monthly_Data'!C168=C512,IF(ISBLANK('Monthly_Data'!C168)=ISBLANK(C512),0,1),1),IF('Monthly_Data'!D168=D512,IF(ISBLANK('Monthly_Data'!D168)=ISBLANK(D512),0,1),1),IF('Monthly_Data'!E168=E512,IF(ISBLANK('Monthly_Data'!E168)=ISBLANK(E512),0,1),1),IF('Monthly_Data'!F168=F512,IF(ISBLANK('Monthly_Data'!F168)=ISBLANK(F512),0,1),1),IF('Monthly_Data'!G168=G512,IF(ISBLANK('Monthly_Data'!G168)=ISBLANK(G512),0,1),1),IF('Monthly_Data'!H168=H512,IF(ISBLANK('Monthly_Data'!H168)=ISBLANK(H512),0,1),1))</x:f>
        <x:v>0</x:v>
      </x:c>
    </x:row>
    <x:row r="513" ht="23" customHeight="1">
      <x:c r="A513" s="2" t="str">
        <x:v>61091000_VN_202603_IMPORT</x:v>
      </x:c>
      <x:c r="B513" s="2" t="n">
        <x:v>202603</x:v>
      </x:c>
      <x:c r="C513" s="2" t="str">
        <x:v>61091000</x:v>
      </x:c>
      <x:c r="D513" s="2" t="str">
        <x:v>Vietnam</x:v>
      </x:c>
      <x:c r="E513" s="2" t="n">
        <x:v>2696051</x:v>
      </x:c>
      <x:c r="F513" s="2" t="n">
        <x:v>108769</x:v>
      </x:c>
      <x:c r="G513" s="2" t="str">
        <x:v>WITHIN_BAND</x:v>
      </x:c>
      <x:c r="H513" s="2" t="n">
        <x:v>1</x:v>
      </x:c>
      <x:c r="I513" s="2"/>
      <x:c r="J513" s="2"/>
      <x:c r="K513" s="2"/>
      <x:c r="L513" s="2" t="n">
        <x:f>SUM(IF('Monthly_Data'!A169=A513,IF(ISBLANK('Monthly_Data'!A169)=ISBLANK(A513),0,1),1),IF('Monthly_Data'!B169=B513,IF(ISBLANK('Monthly_Data'!B169)=ISBLANK(B513),0,1),1),IF('Monthly_Data'!C169=C513,IF(ISBLANK('Monthly_Data'!C169)=ISBLANK(C513),0,1),1),IF('Monthly_Data'!D169=D513,IF(ISBLANK('Monthly_Data'!D169)=ISBLANK(D513),0,1),1),IF('Monthly_Data'!E169=E513,IF(ISBLANK('Monthly_Data'!E169)=ISBLANK(E513),0,1),1),IF('Monthly_Data'!F169=F513,IF(ISBLANK('Monthly_Data'!F169)=ISBLANK(F513),0,1),1),IF('Monthly_Data'!G169=G513,IF(ISBLANK('Monthly_Data'!G169)=ISBLANK(G513),0,1),1),IF('Monthly_Data'!H169=H513,IF(ISBLANK('Monthly_Data'!H169)=ISBLANK(H513),0,1),1))</x:f>
        <x:v>0</x:v>
      </x:c>
    </x:row>
    <x:row r="514" ht="23" customHeight="1">
      <x:c r="A514" s="2" t="str">
        <x:v>61091000_WORLD_202603_IMPORT</x:v>
      </x:c>
      <x:c r="B514" s="2" t="n">
        <x:v>202603</x:v>
      </x:c>
      <x:c r="C514" s="2" t="str">
        <x:v>61091000</x:v>
      </x:c>
      <x:c r="D514" s="2" t="str">
        <x:v>World</x:v>
      </x:c>
      <x:c r="E514" s="2" t="n">
        <x:v>112421962</x:v>
      </x:c>
      <x:c r="F514" s="2" t="n">
        <x:v>7537773</x:v>
      </x:c>
      <x:c r="G514" s="2" t="str">
        <x:v>WITHIN_BAND</x:v>
      </x:c>
      <x:c r="H514" s="2" t="n">
        <x:v>1</x:v>
      </x:c>
      <x:c r="I514" s="2"/>
      <x:c r="J514" s="2"/>
      <x:c r="K514" s="2"/>
      <x:c r="L514" s="2" t="n">
        <x:f>SUM(IF('Monthly_Data'!A170=A514,IF(ISBLANK('Monthly_Data'!A170)=ISBLANK(A514),0,1),1),IF('Monthly_Data'!B170=B514,IF(ISBLANK('Monthly_Data'!B170)=ISBLANK(B514),0,1),1),IF('Monthly_Data'!C170=C514,IF(ISBLANK('Monthly_Data'!C170)=ISBLANK(C514),0,1),1),IF('Monthly_Data'!D170=D514,IF(ISBLANK('Monthly_Data'!D170)=ISBLANK(D514),0,1),1),IF('Monthly_Data'!E170=E514,IF(ISBLANK('Monthly_Data'!E170)=ISBLANK(E514),0,1),1),IF('Monthly_Data'!F170=F514,IF(ISBLANK('Monthly_Data'!F170)=ISBLANK(F514),0,1),1),IF('Monthly_Data'!G170=G514,IF(ISBLANK('Monthly_Data'!G170)=ISBLANK(G514),0,1),1),IF('Monthly_Data'!H170=H514,IF(ISBLANK('Monthly_Data'!H170)=ISBLANK(H514),0,1),1))</x:f>
        <x:v>0</x:v>
      </x:c>
    </x:row>
    <x:row r="515" ht="23" customHeight="1">
      <x:c r="A515" s="2" t="str">
        <x:v>61091000_BD_202604_IMPORT</x:v>
      </x:c>
      <x:c r="B515" s="2" t="n">
        <x:v>202604</x:v>
      </x:c>
      <x:c r="C515" s="2" t="str">
        <x:v>61091000</x:v>
      </x:c>
      <x:c r="D515" s="2" t="str">
        <x:v>Bangladesh</x:v>
      </x:c>
      <x:c r="E515" s="2" t="n">
        <x:v>57226856</x:v>
      </x:c>
      <x:c r="F515" s="2" t="n">
        <x:v>5576002</x:v>
      </x:c>
      <x:c r="G515" s="2" t="str">
        <x:v>WITHIN_BAND</x:v>
      </x:c>
      <x:c r="H515" s="2" t="n">
        <x:v>1</x:v>
      </x:c>
      <x:c r="I515" s="2"/>
      <x:c r="J515" s="2"/>
      <x:c r="K515" s="2"/>
      <x:c r="L515" s="2" t="n">
        <x:f>SUM(IF('Monthly_Data'!A171=A515,IF(ISBLANK('Monthly_Data'!A171)=ISBLANK(A515),0,1),1),IF('Monthly_Data'!B171=B515,IF(ISBLANK('Monthly_Data'!B171)=ISBLANK(B515),0,1),1),IF('Monthly_Data'!C171=C515,IF(ISBLANK('Monthly_Data'!C171)=ISBLANK(C515),0,1),1),IF('Monthly_Data'!D171=D515,IF(ISBLANK('Monthly_Data'!D171)=ISBLANK(D515),0,1),1),IF('Monthly_Data'!E171=E515,IF(ISBLANK('Monthly_Data'!E171)=ISBLANK(E515),0,1),1),IF('Monthly_Data'!F171=F515,IF(ISBLANK('Monthly_Data'!F171)=ISBLANK(F515),0,1),1),IF('Monthly_Data'!G171=G515,IF(ISBLANK('Monthly_Data'!G171)=ISBLANK(G515),0,1),1),IF('Monthly_Data'!H171=H515,IF(ISBLANK('Monthly_Data'!H171)=ISBLANK(H515),0,1),1))</x:f>
        <x:v>0</x:v>
      </x:c>
    </x:row>
    <x:row r="516" ht="23" customHeight="1">
      <x:c r="A516" s="2" t="str">
        <x:v>61091000_KH_202604_IMPORT</x:v>
      </x:c>
      <x:c r="B516" s="2" t="n">
        <x:v>202604</x:v>
      </x:c>
      <x:c r="C516" s="2" t="str">
        <x:v>61091000</x:v>
      </x:c>
      <x:c r="D516" s="2" t="str">
        <x:v>Cambodia</x:v>
      </x:c>
      <x:c r="E516" s="2" t="n">
        <x:v>1289683</x:v>
      </x:c>
      <x:c r="F516" s="2" t="n">
        <x:v>62201</x:v>
      </x:c>
      <x:c r="G516" s="2" t="str">
        <x:v>WITHIN_BAND</x:v>
      </x:c>
      <x:c r="H516" s="2" t="n">
        <x:v>1</x:v>
      </x:c>
      <x:c r="I516" s="2"/>
      <x:c r="J516" s="2"/>
      <x:c r="K516" s="2"/>
      <x:c r="L516" s="2" t="n">
        <x:f>SUM(IF('Monthly_Data'!A172=A516,IF(ISBLANK('Monthly_Data'!A172)=ISBLANK(A516),0,1),1),IF('Monthly_Data'!B172=B516,IF(ISBLANK('Monthly_Data'!B172)=ISBLANK(B516),0,1),1),IF('Monthly_Data'!C172=C516,IF(ISBLANK('Monthly_Data'!C172)=ISBLANK(C516),0,1),1),IF('Monthly_Data'!D172=D516,IF(ISBLANK('Monthly_Data'!D172)=ISBLANK(D516),0,1),1),IF('Monthly_Data'!E172=E516,IF(ISBLANK('Monthly_Data'!E172)=ISBLANK(E516),0,1),1),IF('Monthly_Data'!F172=F516,IF(ISBLANK('Monthly_Data'!F172)=ISBLANK(F516),0,1),1),IF('Monthly_Data'!G172=G516,IF(ISBLANK('Monthly_Data'!G172)=ISBLANK(G516),0,1),1),IF('Monthly_Data'!H172=H516,IF(ISBLANK('Monthly_Data'!H172)=ISBLANK(H516),0,1),1))</x:f>
        <x:v>0</x:v>
      </x:c>
    </x:row>
    <x:row r="517" ht="23" customHeight="1">
      <x:c r="A517" s="2" t="str">
        <x:v>61091000_CN_202604_IMPORT</x:v>
      </x:c>
      <x:c r="B517" s="2" t="n">
        <x:v>202604</x:v>
      </x:c>
      <x:c r="C517" s="2" t="str">
        <x:v>61091000</x:v>
      </x:c>
      <x:c r="D517" s="2" t="str">
        <x:v>China</x:v>
      </x:c>
      <x:c r="E517" s="2" t="n">
        <x:v>5014181</x:v>
      </x:c>
      <x:c r="F517" s="2" t="n">
        <x:v>290847</x:v>
      </x:c>
      <x:c r="G517" s="2" t="str">
        <x:v>WITHIN_BAND</x:v>
      </x:c>
      <x:c r="H517" s="2" t="n">
        <x:v>1</x:v>
      </x:c>
      <x:c r="I517" s="2"/>
      <x:c r="J517" s="2"/>
      <x:c r="K517" s="2"/>
      <x:c r="L517" s="2" t="n">
        <x:f>SUM(IF('Monthly_Data'!A173=A517,IF(ISBLANK('Monthly_Data'!A173)=ISBLANK(A517),0,1),1),IF('Monthly_Data'!B173=B517,IF(ISBLANK('Monthly_Data'!B173)=ISBLANK(B517),0,1),1),IF('Monthly_Data'!C173=C517,IF(ISBLANK('Monthly_Data'!C173)=ISBLANK(C517),0,1),1),IF('Monthly_Data'!D173=D517,IF(ISBLANK('Monthly_Data'!D173)=ISBLANK(D517),0,1),1),IF('Monthly_Data'!E173=E517,IF(ISBLANK('Monthly_Data'!E173)=ISBLANK(E517),0,1),1),IF('Monthly_Data'!F173=F517,IF(ISBLANK('Monthly_Data'!F173)=ISBLANK(F517),0,1),1),IF('Monthly_Data'!G173=G517,IF(ISBLANK('Monthly_Data'!G173)=ISBLANK(G517),0,1),1),IF('Monthly_Data'!H173=H517,IF(ISBLANK('Monthly_Data'!H173)=ISBLANK(H517),0,1),1))</x:f>
        <x:v>0</x:v>
      </x:c>
    </x:row>
    <x:row r="518" ht="23" customHeight="1">
      <x:c r="A518" s="2" t="str">
        <x:v>61091000_IN_202604_IMPORT</x:v>
      </x:c>
      <x:c r="B518" s="2" t="n">
        <x:v>202604</x:v>
      </x:c>
      <x:c r="C518" s="2" t="str">
        <x:v>61091000</x:v>
      </x:c>
      <x:c r="D518" s="2" t="str">
        <x:v>India</x:v>
      </x:c>
      <x:c r="E518" s="2" t="n">
        <x:v>11733798</x:v>
      </x:c>
      <x:c r="F518" s="2" t="n">
        <x:v>954859</x:v>
      </x:c>
      <x:c r="G518" s="2" t="str">
        <x:v>WITHIN_BAND</x:v>
      </x:c>
      <x:c r="H518" s="2" t="n">
        <x:v>1</x:v>
      </x:c>
      <x:c r="I518" s="2"/>
      <x:c r="J518" s="2"/>
      <x:c r="K518" s="2"/>
      <x:c r="L518" s="2" t="n">
        <x:f>SUM(IF('Monthly_Data'!A174=A518,IF(ISBLANK('Monthly_Data'!A174)=ISBLANK(A518),0,1),1),IF('Monthly_Data'!B174=B518,IF(ISBLANK('Monthly_Data'!B174)=ISBLANK(B518),0,1),1),IF('Monthly_Data'!C174=C518,IF(ISBLANK('Monthly_Data'!C174)=ISBLANK(C518),0,1),1),IF('Monthly_Data'!D174=D518,IF(ISBLANK('Monthly_Data'!D174)=ISBLANK(D518),0,1),1),IF('Monthly_Data'!E174=E518,IF(ISBLANK('Monthly_Data'!E174)=ISBLANK(E518),0,1),1),IF('Monthly_Data'!F174=F518,IF(ISBLANK('Monthly_Data'!F174)=ISBLANK(F518),0,1),1),IF('Monthly_Data'!G174=G518,IF(ISBLANK('Monthly_Data'!G174)=ISBLANK(G518),0,1),1),IF('Monthly_Data'!H174=H518,IF(ISBLANK('Monthly_Data'!H174)=ISBLANK(H518),0,1),1))</x:f>
        <x:v>0</x:v>
      </x:c>
    </x:row>
    <x:row r="519" ht="23" customHeight="1">
      <x:c r="A519" s="2" t="str">
        <x:v>61091000_MA_202604_IMPORT</x:v>
      </x:c>
      <x:c r="B519" s="2" t="n">
        <x:v>202604</x:v>
      </x:c>
      <x:c r="C519" s="2" t="str">
        <x:v>61091000</x:v>
      </x:c>
      <x:c r="D519" s="2" t="str">
        <x:v>Morocco</x:v>
      </x:c>
      <x:c r="E519" s="2" t="n">
        <x:v>834708</x:v>
      </x:c>
      <x:c r="F519" s="2" t="n">
        <x:v>73225</x:v>
      </x:c>
      <x:c r="G519" s="2" t="str">
        <x:v>WITHIN_BAND</x:v>
      </x:c>
      <x:c r="H519" s="2" t="n">
        <x:v>1</x:v>
      </x:c>
      <x:c r="I519" s="2"/>
      <x:c r="J519" s="2"/>
      <x:c r="K519" s="2"/>
      <x:c r="L519" s="2" t="n">
        <x:f>SUM(IF('Monthly_Data'!A175=A519,IF(ISBLANK('Monthly_Data'!A175)=ISBLANK(A519),0,1),1),IF('Monthly_Data'!B175=B519,IF(ISBLANK('Monthly_Data'!B175)=ISBLANK(B519),0,1),1),IF('Monthly_Data'!C175=C519,IF(ISBLANK('Monthly_Data'!C175)=ISBLANK(C519),0,1),1),IF('Monthly_Data'!D175=D519,IF(ISBLANK('Monthly_Data'!D175)=ISBLANK(D519),0,1),1),IF('Monthly_Data'!E175=E519,IF(ISBLANK('Monthly_Data'!E175)=ISBLANK(E519),0,1),1),IF('Monthly_Data'!F175=F519,IF(ISBLANK('Monthly_Data'!F175)=ISBLANK(F519),0,1),1),IF('Monthly_Data'!G175=G519,IF(ISBLANK('Monthly_Data'!G175)=ISBLANK(G519),0,1),1),IF('Monthly_Data'!H175=H519,IF(ISBLANK('Monthly_Data'!H175)=ISBLANK(H519),0,1),1))</x:f>
        <x:v>0</x:v>
      </x:c>
    </x:row>
    <x:row r="520" ht="23" customHeight="1">
      <x:c r="A520" s="2" t="str">
        <x:v>61091000_MM_202604_IMPORT</x:v>
      </x:c>
      <x:c r="B520" s="2" t="n">
        <x:v>202604</x:v>
      </x:c>
      <x:c r="C520" s="2" t="str">
        <x:v>61091000</x:v>
      </x:c>
      <x:c r="D520" s="2" t="str">
        <x:v>Myanmar</x:v>
      </x:c>
      <x:c r="E520" s="2" t="n">
        <x:v>153527</x:v>
      </x:c>
      <x:c r="F520" s="2" t="n">
        <x:v>18380</x:v>
      </x:c>
      <x:c r="G520" s="2" t="str">
        <x:v>WITHIN_BAND</x:v>
      </x:c>
      <x:c r="H520" s="2" t="n">
        <x:v>1</x:v>
      </x:c>
      <x:c r="I520" s="2"/>
      <x:c r="J520" s="2"/>
      <x:c r="K520" s="2"/>
      <x:c r="L520" s="2" t="n">
        <x:f>SUM(IF('Monthly_Data'!A176=A520,IF(ISBLANK('Monthly_Data'!A176)=ISBLANK(A520),0,1),1),IF('Monthly_Data'!B176=B520,IF(ISBLANK('Monthly_Data'!B176)=ISBLANK(B520),0,1),1),IF('Monthly_Data'!C176=C520,IF(ISBLANK('Monthly_Data'!C176)=ISBLANK(C520),0,1),1),IF('Monthly_Data'!D176=D520,IF(ISBLANK('Monthly_Data'!D176)=ISBLANK(D520),0,1),1),IF('Monthly_Data'!E176=E520,IF(ISBLANK('Monthly_Data'!E176)=ISBLANK(E520),0,1),1),IF('Monthly_Data'!F176=F520,IF(ISBLANK('Monthly_Data'!F176)=ISBLANK(F520),0,1),1),IF('Monthly_Data'!G176=G520,IF(ISBLANK('Monthly_Data'!G176)=ISBLANK(G520),0,1),1),IF('Monthly_Data'!H176=H520,IF(ISBLANK('Monthly_Data'!H176)=ISBLANK(H520),0,1),1))</x:f>
        <x:v>0</x:v>
      </x:c>
    </x:row>
    <x:row r="521" ht="23" customHeight="1">
      <x:c r="A521" s="2" t="str">
        <x:v>61091000_PK_202604_IMPORT</x:v>
      </x:c>
      <x:c r="B521" s="2" t="n">
        <x:v>202604</x:v>
      </x:c>
      <x:c r="C521" s="2" t="str">
        <x:v>61091000</x:v>
      </x:c>
      <x:c r="D521" s="2" t="str">
        <x:v>Pakistan</x:v>
      </x:c>
      <x:c r="E521" s="2" t="n">
        <x:v>4104653</x:v>
      </x:c>
      <x:c r="F521" s="2" t="n">
        <x:v>323694</x:v>
      </x:c>
      <x:c r="G521" s="2" t="str">
        <x:v>WITHIN_BAND</x:v>
      </x:c>
      <x:c r="H521" s="2" t="n">
        <x:v>1</x:v>
      </x:c>
      <x:c r="I521" s="2"/>
      <x:c r="J521" s="2"/>
      <x:c r="K521" s="2"/>
      <x:c r="L521" s="2" t="n">
        <x:f>SUM(IF('Monthly_Data'!A177=A521,IF(ISBLANK('Monthly_Data'!A177)=ISBLANK(A521),0,1),1),IF('Monthly_Data'!B177=B521,IF(ISBLANK('Monthly_Data'!B177)=ISBLANK(B521),0,1),1),IF('Monthly_Data'!C177=C521,IF(ISBLANK('Monthly_Data'!C177)=ISBLANK(C521),0,1),1),IF('Monthly_Data'!D177=D521,IF(ISBLANK('Monthly_Data'!D177)=ISBLANK(D521),0,1),1),IF('Monthly_Data'!E177=E521,IF(ISBLANK('Monthly_Data'!E177)=ISBLANK(E521),0,1),1),IF('Monthly_Data'!F177=F521,IF(ISBLANK('Monthly_Data'!F177)=ISBLANK(F521),0,1),1),IF('Monthly_Data'!G177=G521,IF(ISBLANK('Monthly_Data'!G177)=ISBLANK(G521),0,1),1),IF('Monthly_Data'!H177=H521,IF(ISBLANK('Monthly_Data'!H177)=ISBLANK(H521),0,1),1))</x:f>
        <x:v>0</x:v>
      </x:c>
    </x:row>
    <x:row r="522" ht="23" customHeight="1">
      <x:c r="A522" s="2" t="str">
        <x:v>61091000_LK_202604_IMPORT</x:v>
      </x:c>
      <x:c r="B522" s="2" t="n">
        <x:v>202604</x:v>
      </x:c>
      <x:c r="C522" s="2" t="str">
        <x:v>61091000</x:v>
      </x:c>
      <x:c r="D522" s="2" t="str">
        <x:v>Sri Lanka</x:v>
      </x:c>
      <x:c r="E522" s="2" t="n">
        <x:v>1419519</x:v>
      </x:c>
      <x:c r="F522" s="2" t="n">
        <x:v>114510</x:v>
      </x:c>
      <x:c r="G522" s="2" t="str">
        <x:v>WITHIN_BAND</x:v>
      </x:c>
      <x:c r="H522" s="2" t="n">
        <x:v>1</x:v>
      </x:c>
      <x:c r="I522" s="2"/>
      <x:c r="J522" s="2"/>
      <x:c r="K522" s="2"/>
      <x:c r="L522" s="2" t="n">
        <x:f>SUM(IF('Monthly_Data'!A178=A522,IF(ISBLANK('Monthly_Data'!A178)=ISBLANK(A522),0,1),1),IF('Monthly_Data'!B178=B522,IF(ISBLANK('Monthly_Data'!B178)=ISBLANK(B522),0,1),1),IF('Monthly_Data'!C178=C522,IF(ISBLANK('Monthly_Data'!C178)=ISBLANK(C522),0,1),1),IF('Monthly_Data'!D178=D522,IF(ISBLANK('Monthly_Data'!D178)=ISBLANK(D522),0,1),1),IF('Monthly_Data'!E178=E522,IF(ISBLANK('Monthly_Data'!E178)=ISBLANK(E522),0,1),1),IF('Monthly_Data'!F178=F522,IF(ISBLANK('Monthly_Data'!F178)=ISBLANK(F522),0,1),1),IF('Monthly_Data'!G178=G522,IF(ISBLANK('Monthly_Data'!G178)=ISBLANK(G522),0,1),1),IF('Monthly_Data'!H178=H522,IF(ISBLANK('Monthly_Data'!H178)=ISBLANK(H522),0,1),1))</x:f>
        <x:v>0</x:v>
      </x:c>
    </x:row>
    <x:row r="523" ht="23" customHeight="1">
      <x:c r="A523" s="2" t="str">
        <x:v>61091000_TR_202604_IMPORT</x:v>
      </x:c>
      <x:c r="B523" s="2" t="n">
        <x:v>202604</x:v>
      </x:c>
      <x:c r="C523" s="2" t="str">
        <x:v>61091000</x:v>
      </x:c>
      <x:c r="D523" s="2" t="str">
        <x:v>Turkey</x:v>
      </x:c>
      <x:c r="E523" s="2" t="n">
        <x:v>9283012</x:v>
      </x:c>
      <x:c r="F523" s="2" t="n">
        <x:v>379335</x:v>
      </x:c>
      <x:c r="G523" s="2" t="str">
        <x:v>WITHIN_BAND</x:v>
      </x:c>
      <x:c r="H523" s="2" t="n">
        <x:v>1</x:v>
      </x:c>
      <x:c r="I523" s="2"/>
      <x:c r="J523" s="2"/>
      <x:c r="K523" s="2"/>
      <x:c r="L523" s="2" t="n">
        <x:f>SUM(IF('Monthly_Data'!A179=A523,IF(ISBLANK('Monthly_Data'!A179)=ISBLANK(A523),0,1),1),IF('Monthly_Data'!B179=B523,IF(ISBLANK('Monthly_Data'!B179)=ISBLANK(B523),0,1),1),IF('Monthly_Data'!C179=C523,IF(ISBLANK('Monthly_Data'!C179)=ISBLANK(C523),0,1),1),IF('Monthly_Data'!D179=D523,IF(ISBLANK('Monthly_Data'!D179)=ISBLANK(D523),0,1),1),IF('Monthly_Data'!E179=E523,IF(ISBLANK('Monthly_Data'!E179)=ISBLANK(E523),0,1),1),IF('Monthly_Data'!F179=F523,IF(ISBLANK('Monthly_Data'!F179)=ISBLANK(F523),0,1),1),IF('Monthly_Data'!G179=G523,IF(ISBLANK('Monthly_Data'!G179)=ISBLANK(G523),0,1),1),IF('Monthly_Data'!H179=H523,IF(ISBLANK('Monthly_Data'!H179)=ISBLANK(H523),0,1),1))</x:f>
        <x:v>0</x:v>
      </x:c>
    </x:row>
    <x:row r="524" ht="23" customHeight="1">
      <x:c r="A524" s="2" t="str">
        <x:v>61091000_VN_202604_IMPORT</x:v>
      </x:c>
      <x:c r="B524" s="2" t="n">
        <x:v>202604</x:v>
      </x:c>
      <x:c r="C524" s="2" t="str">
        <x:v>61091000</x:v>
      </x:c>
      <x:c r="D524" s="2" t="str">
        <x:v>Vietnam</x:v>
      </x:c>
      <x:c r="E524" s="2" t="n">
        <x:v>2579759</x:v>
      </x:c>
      <x:c r="F524" s="2" t="n">
        <x:v>94686</x:v>
      </x:c>
      <x:c r="G524" s="2" t="str">
        <x:v>WITHIN_BAND</x:v>
      </x:c>
      <x:c r="H524" s="2" t="n">
        <x:v>1</x:v>
      </x:c>
      <x:c r="I524" s="2"/>
      <x:c r="J524" s="2"/>
      <x:c r="K524" s="2"/>
      <x:c r="L524" s="2" t="n">
        <x:f>SUM(IF('Monthly_Data'!A180=A524,IF(ISBLANK('Monthly_Data'!A180)=ISBLANK(A524),0,1),1),IF('Monthly_Data'!B180=B524,IF(ISBLANK('Monthly_Data'!B180)=ISBLANK(B524),0,1),1),IF('Monthly_Data'!C180=C524,IF(ISBLANK('Monthly_Data'!C180)=ISBLANK(C524),0,1),1),IF('Monthly_Data'!D180=D524,IF(ISBLANK('Monthly_Data'!D180)=ISBLANK(D524),0,1),1),IF('Monthly_Data'!E180=E524,IF(ISBLANK('Monthly_Data'!E180)=ISBLANK(E524),0,1),1),IF('Monthly_Data'!F180=F524,IF(ISBLANK('Monthly_Data'!F180)=ISBLANK(F524),0,1),1),IF('Monthly_Data'!G180=G524,IF(ISBLANK('Monthly_Data'!G180)=ISBLANK(G524),0,1),1),IF('Monthly_Data'!H180=H524,IF(ISBLANK('Monthly_Data'!H180)=ISBLANK(H524),0,1),1))</x:f>
        <x:v>0</x:v>
      </x:c>
    </x:row>
    <x:row r="525" ht="23" customHeight="1">
      <x:c r="A525" s="2" t="str">
        <x:v>61091000_WORLD_202604_IMPORT</x:v>
      </x:c>
      <x:c r="B525" s="2" t="n">
        <x:v>202604</x:v>
      </x:c>
      <x:c r="C525" s="2" t="str">
        <x:v>61091000</x:v>
      </x:c>
      <x:c r="D525" s="2" t="str">
        <x:v>World</x:v>
      </x:c>
      <x:c r="E525" s="2" t="n">
        <x:v>128593424</x:v>
      </x:c>
      <x:c r="F525" s="2" t="n">
        <x:v>9256187</x:v>
      </x:c>
      <x:c r="G525" s="2" t="str">
        <x:v>WITHIN_BAND</x:v>
      </x:c>
      <x:c r="H525" s="2" t="n">
        <x:v>1</x:v>
      </x:c>
      <x:c r="I525" s="2"/>
      <x:c r="J525" s="2"/>
      <x:c r="K525" s="2"/>
      <x:c r="L525" s="2" t="n">
        <x:f>SUM(IF('Monthly_Data'!A181=A525,IF(ISBLANK('Monthly_Data'!A181)=ISBLANK(A525),0,1),1),IF('Monthly_Data'!B181=B525,IF(ISBLANK('Monthly_Data'!B181)=ISBLANK(B525),0,1),1),IF('Monthly_Data'!C181=C525,IF(ISBLANK('Monthly_Data'!C181)=ISBLANK(C525),0,1),1),IF('Monthly_Data'!D181=D525,IF(ISBLANK('Monthly_Data'!D181)=ISBLANK(D525),0,1),1),IF('Monthly_Data'!E181=E525,IF(ISBLANK('Monthly_Data'!E181)=ISBLANK(E525),0,1),1),IF('Monthly_Data'!F181=F525,IF(ISBLANK('Monthly_Data'!F181)=ISBLANK(F525),0,1),1),IF('Monthly_Data'!G181=G525,IF(ISBLANK('Monthly_Data'!G181)=ISBLANK(G525),0,1),1),IF('Monthly_Data'!H181=H525,IF(ISBLANK('Monthly_Data'!H181)=ISBLANK(H525),0,1),1))</x:f>
        <x:v>0</x:v>
      </x:c>
    </x:row>
    <x:row r="526" ht="23" customHeight="1">
      <x:c r="A526" s="2" t="str">
        <x:v>61091000_BD_202605_IMPORT</x:v>
      </x:c>
      <x:c r="B526" s="2" t="n">
        <x:v>202605</x:v>
      </x:c>
      <x:c r="C526" s="2" t="str">
        <x:v>61091000</x:v>
      </x:c>
      <x:c r="D526" s="2" t="str">
        <x:v>Bangladesh</x:v>
      </x:c>
      <x:c r="E526" s="2" t="n">
        <x:v>47432008</x:v>
      </x:c>
      <x:c r="F526" s="2" t="n">
        <x:v>4593727</x:v>
      </x:c>
      <x:c r="G526" s="2" t="str">
        <x:v>WITHIN_BAND</x:v>
      </x:c>
      <x:c r="H526" s="2" t="n">
        <x:v>1</x:v>
      </x:c>
      <x:c r="I526" s="2"/>
      <x:c r="J526" s="2"/>
      <x:c r="K526" s="2"/>
      <x:c r="L526" s="2" t="n">
        <x:f>SUM(IF('Monthly_Data'!A182=A526,IF(ISBLANK('Monthly_Data'!A182)=ISBLANK(A526),0,1),1),IF('Monthly_Data'!B182=B526,IF(ISBLANK('Monthly_Data'!B182)=ISBLANK(B526),0,1),1),IF('Monthly_Data'!C182=C526,IF(ISBLANK('Monthly_Data'!C182)=ISBLANK(C526),0,1),1),IF('Monthly_Data'!D182=D526,IF(ISBLANK('Monthly_Data'!D182)=ISBLANK(D526),0,1),1),IF('Monthly_Data'!E182=E526,IF(ISBLANK('Monthly_Data'!E182)=ISBLANK(E526),0,1),1),IF('Monthly_Data'!F182=F526,IF(ISBLANK('Monthly_Data'!F182)=ISBLANK(F526),0,1),1),IF('Monthly_Data'!G182=G526,IF(ISBLANK('Monthly_Data'!G182)=ISBLANK(G526),0,1),1),IF('Monthly_Data'!H182=H526,IF(ISBLANK('Monthly_Data'!H182)=ISBLANK(H526),0,1),1))</x:f>
        <x:v>0</x:v>
      </x:c>
    </x:row>
    <x:row r="527" ht="23" customHeight="1">
      <x:c r="A527" s="2" t="str">
        <x:v>61091000_KH_202605_IMPORT</x:v>
      </x:c>
      <x:c r="B527" s="2" t="n">
        <x:v>202605</x:v>
      </x:c>
      <x:c r="C527" s="2" t="str">
        <x:v>61091000</x:v>
      </x:c>
      <x:c r="D527" s="2" t="str">
        <x:v>Cambodia</x:v>
      </x:c>
      <x:c r="E527" s="2" t="n">
        <x:v>881185</x:v>
      </x:c>
      <x:c r="F527" s="2" t="n">
        <x:v>58493</x:v>
      </x:c>
      <x:c r="G527" s="2" t="str">
        <x:v>WITHIN_BAND</x:v>
      </x:c>
      <x:c r="H527" s="2" t="n">
        <x:v>1</x:v>
      </x:c>
      <x:c r="I527" s="2"/>
      <x:c r="J527" s="2"/>
      <x:c r="K527" s="2"/>
      <x:c r="L527" s="2" t="n">
        <x:f>SUM(IF('Monthly_Data'!A183=A527,IF(ISBLANK('Monthly_Data'!A183)=ISBLANK(A527),0,1),1),IF('Monthly_Data'!B183=B527,IF(ISBLANK('Monthly_Data'!B183)=ISBLANK(B527),0,1),1),IF('Monthly_Data'!C183=C527,IF(ISBLANK('Monthly_Data'!C183)=ISBLANK(C527),0,1),1),IF('Monthly_Data'!D183=D527,IF(ISBLANK('Monthly_Data'!D183)=ISBLANK(D527),0,1),1),IF('Monthly_Data'!E183=E527,IF(ISBLANK('Monthly_Data'!E183)=ISBLANK(E527),0,1),1),IF('Monthly_Data'!F183=F527,IF(ISBLANK('Monthly_Data'!F183)=ISBLANK(F527),0,1),1),IF('Monthly_Data'!G183=G527,IF(ISBLANK('Monthly_Data'!G183)=ISBLANK(G527),0,1),1),IF('Monthly_Data'!H183=H527,IF(ISBLANK('Monthly_Data'!H183)=ISBLANK(H527),0,1),1))</x:f>
        <x:v>0</x:v>
      </x:c>
    </x:row>
    <x:row r="528" ht="23" customHeight="1">
      <x:c r="A528" s="2" t="str">
        <x:v>61091000_CN_202605_IMPORT</x:v>
      </x:c>
      <x:c r="B528" s="2" t="n">
        <x:v>202605</x:v>
      </x:c>
      <x:c r="C528" s="2" t="str">
        <x:v>61091000</x:v>
      </x:c>
      <x:c r="D528" s="2" t="str">
        <x:v>China</x:v>
      </x:c>
      <x:c r="E528" s="2" t="n">
        <x:v>4502206</x:v>
      </x:c>
      <x:c r="F528" s="2" t="n">
        <x:v>287900</x:v>
      </x:c>
      <x:c r="G528" s="2" t="str">
        <x:v>WITHIN_BAND</x:v>
      </x:c>
      <x:c r="H528" s="2" t="n">
        <x:v>1</x:v>
      </x:c>
      <x:c r="I528" s="2"/>
      <x:c r="J528" s="2"/>
      <x:c r="K528" s="2"/>
      <x:c r="L528" s="2" t="n">
        <x:f>SUM(IF('Monthly_Data'!A184=A528,IF(ISBLANK('Monthly_Data'!A184)=ISBLANK(A528),0,1),1),IF('Monthly_Data'!B184=B528,IF(ISBLANK('Monthly_Data'!B184)=ISBLANK(B528),0,1),1),IF('Monthly_Data'!C184=C528,IF(ISBLANK('Monthly_Data'!C184)=ISBLANK(C528),0,1),1),IF('Monthly_Data'!D184=D528,IF(ISBLANK('Monthly_Data'!D184)=ISBLANK(D528),0,1),1),IF('Monthly_Data'!E184=E528,IF(ISBLANK('Monthly_Data'!E184)=ISBLANK(E528),0,1),1),IF('Monthly_Data'!F184=F528,IF(ISBLANK('Monthly_Data'!F184)=ISBLANK(F528),0,1),1),IF('Monthly_Data'!G184=G528,IF(ISBLANK('Monthly_Data'!G184)=ISBLANK(G528),0,1),1),IF('Monthly_Data'!H184=H528,IF(ISBLANK('Monthly_Data'!H184)=ISBLANK(H528),0,1),1))</x:f>
        <x:v>0</x:v>
      </x:c>
    </x:row>
    <x:row r="529" ht="23" customHeight="1">
      <x:c r="A529" s="2" t="str">
        <x:v>61091000_IN_202605_IMPORT</x:v>
      </x:c>
      <x:c r="B529" s="2" t="n">
        <x:v>202605</x:v>
      </x:c>
      <x:c r="C529" s="2" t="str">
        <x:v>61091000</x:v>
      </x:c>
      <x:c r="D529" s="2" t="str">
        <x:v>India</x:v>
      </x:c>
      <x:c r="E529" s="2" t="n">
        <x:v>9888926</x:v>
      </x:c>
      <x:c r="F529" s="2" t="n">
        <x:v>806229</x:v>
      </x:c>
      <x:c r="G529" s="2" t="str">
        <x:v>WITHIN_BAND</x:v>
      </x:c>
      <x:c r="H529" s="2" t="n">
        <x:v>1</x:v>
      </x:c>
      <x:c r="I529" s="2"/>
      <x:c r="J529" s="2"/>
      <x:c r="K529" s="2"/>
      <x:c r="L529" s="2" t="n">
        <x:f>SUM(IF('Monthly_Data'!A185=A529,IF(ISBLANK('Monthly_Data'!A185)=ISBLANK(A529),0,1),1),IF('Monthly_Data'!B185=B529,IF(ISBLANK('Monthly_Data'!B185)=ISBLANK(B529),0,1),1),IF('Monthly_Data'!C185=C529,IF(ISBLANK('Monthly_Data'!C185)=ISBLANK(C529),0,1),1),IF('Monthly_Data'!D185=D529,IF(ISBLANK('Monthly_Data'!D185)=ISBLANK(D529),0,1),1),IF('Monthly_Data'!E185=E529,IF(ISBLANK('Monthly_Data'!E185)=ISBLANK(E529),0,1),1),IF('Monthly_Data'!F185=F529,IF(ISBLANK('Monthly_Data'!F185)=ISBLANK(F529),0,1),1),IF('Monthly_Data'!G185=G529,IF(ISBLANK('Monthly_Data'!G185)=ISBLANK(G529),0,1),1),IF('Monthly_Data'!H185=H529,IF(ISBLANK('Monthly_Data'!H185)=ISBLANK(H529),0,1),1))</x:f>
        <x:v>0</x:v>
      </x:c>
    </x:row>
    <x:row r="530" ht="23" customHeight="1">
      <x:c r="A530" s="2" t="str">
        <x:v>61091000_MA_202605_IMPORT</x:v>
      </x:c>
      <x:c r="B530" s="2" t="n">
        <x:v>202605</x:v>
      </x:c>
      <x:c r="C530" s="2" t="str">
        <x:v>61091000</x:v>
      </x:c>
      <x:c r="D530" s="2" t="str">
        <x:v>Morocco</x:v>
      </x:c>
      <x:c r="E530" s="2" t="n">
        <x:v>841805</x:v>
      </x:c>
      <x:c r="F530" s="2" t="n">
        <x:v>94360</x:v>
      </x:c>
      <x:c r="G530" s="2" t="str">
        <x:v>WITHIN_BAND</x:v>
      </x:c>
      <x:c r="H530" s="2" t="n">
        <x:v>1</x:v>
      </x:c>
      <x:c r="I530" s="2"/>
      <x:c r="J530" s="2"/>
      <x:c r="K530" s="2"/>
      <x:c r="L530" s="2" t="n">
        <x:f>SUM(IF('Monthly_Data'!A186=A530,IF(ISBLANK('Monthly_Data'!A186)=ISBLANK(A530),0,1),1),IF('Monthly_Data'!B186=B530,IF(ISBLANK('Monthly_Data'!B186)=ISBLANK(B530),0,1),1),IF('Monthly_Data'!C186=C530,IF(ISBLANK('Monthly_Data'!C186)=ISBLANK(C530),0,1),1),IF('Monthly_Data'!D186=D530,IF(ISBLANK('Monthly_Data'!D186)=ISBLANK(D530),0,1),1),IF('Monthly_Data'!E186=E530,IF(ISBLANK('Monthly_Data'!E186)=ISBLANK(E530),0,1),1),IF('Monthly_Data'!F186=F530,IF(ISBLANK('Monthly_Data'!F186)=ISBLANK(F530),0,1),1),IF('Monthly_Data'!G186=G530,IF(ISBLANK('Monthly_Data'!G186)=ISBLANK(G530),0,1),1),IF('Monthly_Data'!H186=H530,IF(ISBLANK('Monthly_Data'!H186)=ISBLANK(H530),0,1),1))</x:f>
        <x:v>0</x:v>
      </x:c>
    </x:row>
    <x:row r="531" ht="23" customHeight="1">
      <x:c r="A531" s="2" t="str">
        <x:v>61091000_MM_202605_IMPORT</x:v>
      </x:c>
      <x:c r="B531" s="2" t="n">
        <x:v>202605</x:v>
      </x:c>
      <x:c r="C531" s="2" t="str">
        <x:v>61091000</x:v>
      </x:c>
      <x:c r="D531" s="2" t="str">
        <x:v>Myanmar</x:v>
      </x:c>
      <x:c r="E531" s="2" t="n">
        <x:v>68907</x:v>
      </x:c>
      <x:c r="F531" s="2" t="n">
        <x:v>5279</x:v>
      </x:c>
      <x:c r="G531" s="2" t="str">
        <x:v>WITHIN_BAND</x:v>
      </x:c>
      <x:c r="H531" s="2" t="n">
        <x:v>1</x:v>
      </x:c>
      <x:c r="I531" s="2"/>
      <x:c r="J531" s="2"/>
      <x:c r="K531" s="2"/>
      <x:c r="L531" s="2" t="n">
        <x:f>SUM(IF('Monthly_Data'!A187=A531,IF(ISBLANK('Monthly_Data'!A187)=ISBLANK(A531),0,1),1),IF('Monthly_Data'!B187=B531,IF(ISBLANK('Monthly_Data'!B187)=ISBLANK(B531),0,1),1),IF('Monthly_Data'!C187=C531,IF(ISBLANK('Monthly_Data'!C187)=ISBLANK(C531),0,1),1),IF('Monthly_Data'!D187=D531,IF(ISBLANK('Monthly_Data'!D187)=ISBLANK(D531),0,1),1),IF('Monthly_Data'!E187=E531,IF(ISBLANK('Monthly_Data'!E187)=ISBLANK(E531),0,1),1),IF('Monthly_Data'!F187=F531,IF(ISBLANK('Monthly_Data'!F187)=ISBLANK(F531),0,1),1),IF('Monthly_Data'!G187=G531,IF(ISBLANK('Monthly_Data'!G187)=ISBLANK(G531),0,1),1),IF('Monthly_Data'!H187=H531,IF(ISBLANK('Monthly_Data'!H187)=ISBLANK(H531),0,1),1))</x:f>
        <x:v>0</x:v>
      </x:c>
    </x:row>
    <x:row r="532" ht="23" customHeight="1">
      <x:c r="A532" s="2" t="str">
        <x:v>61091000_PK_202605_IMPORT</x:v>
      </x:c>
      <x:c r="B532" s="2" t="n">
        <x:v>202605</x:v>
      </x:c>
      <x:c r="C532" s="2" t="str">
        <x:v>61091000</x:v>
      </x:c>
      <x:c r="D532" s="2" t="str">
        <x:v>Pakistan</x:v>
      </x:c>
      <x:c r="E532" s="2" t="n">
        <x:v>3747209</x:v>
      </x:c>
      <x:c r="F532" s="2" t="n">
        <x:v>330396</x:v>
      </x:c>
      <x:c r="G532" s="2" t="str">
        <x:v>WITHIN_BAND</x:v>
      </x:c>
      <x:c r="H532" s="2" t="n">
        <x:v>1</x:v>
      </x:c>
      <x:c r="I532" s="2"/>
      <x:c r="J532" s="2"/>
      <x:c r="K532" s="2"/>
      <x:c r="L532" s="2" t="n">
        <x:f>SUM(IF('Monthly_Data'!A188=A532,IF(ISBLANK('Monthly_Data'!A188)=ISBLANK(A532),0,1),1),IF('Monthly_Data'!B188=B532,IF(ISBLANK('Monthly_Data'!B188)=ISBLANK(B532),0,1),1),IF('Monthly_Data'!C188=C532,IF(ISBLANK('Monthly_Data'!C188)=ISBLANK(C532),0,1),1),IF('Monthly_Data'!D188=D532,IF(ISBLANK('Monthly_Data'!D188)=ISBLANK(D532),0,1),1),IF('Monthly_Data'!E188=E532,IF(ISBLANK('Monthly_Data'!E188)=ISBLANK(E532),0,1),1),IF('Monthly_Data'!F188=F532,IF(ISBLANK('Monthly_Data'!F188)=ISBLANK(F532),0,1),1),IF('Monthly_Data'!G188=G532,IF(ISBLANK('Monthly_Data'!G188)=ISBLANK(G532),0,1),1),IF('Monthly_Data'!H188=H532,IF(ISBLANK('Monthly_Data'!H188)=ISBLANK(H532),0,1),1))</x:f>
        <x:v>0</x:v>
      </x:c>
    </x:row>
    <x:row r="533" ht="23" customHeight="1">
      <x:c r="A533" s="2" t="str">
        <x:v>61091000_LK_202605_IMPORT</x:v>
      </x:c>
      <x:c r="B533" s="2" t="n">
        <x:v>202605</x:v>
      </x:c>
      <x:c r="C533" s="2" t="str">
        <x:v>61091000</x:v>
      </x:c>
      <x:c r="D533" s="2" t="str">
        <x:v>Sri Lanka</x:v>
      </x:c>
      <x:c r="E533" s="2" t="n">
        <x:v>1855453</x:v>
      </x:c>
      <x:c r="F533" s="2" t="n">
        <x:v>161314</x:v>
      </x:c>
      <x:c r="G533" s="2" t="str">
        <x:v>WITHIN_BAND</x:v>
      </x:c>
      <x:c r="H533" s="2" t="n">
        <x:v>1</x:v>
      </x:c>
      <x:c r="I533" s="2"/>
      <x:c r="J533" s="2"/>
      <x:c r="K533" s="2"/>
      <x:c r="L533" s="2" t="n">
        <x:f>SUM(IF('Monthly_Data'!A189=A533,IF(ISBLANK('Monthly_Data'!A189)=ISBLANK(A533),0,1),1),IF('Monthly_Data'!B189=B533,IF(ISBLANK('Monthly_Data'!B189)=ISBLANK(B533),0,1),1),IF('Monthly_Data'!C189=C533,IF(ISBLANK('Monthly_Data'!C189)=ISBLANK(C533),0,1),1),IF('Monthly_Data'!D189=D533,IF(ISBLANK('Monthly_Data'!D189)=ISBLANK(D533),0,1),1),IF('Monthly_Data'!E189=E533,IF(ISBLANK('Monthly_Data'!E189)=ISBLANK(E533),0,1),1),IF('Monthly_Data'!F189=F533,IF(ISBLANK('Monthly_Data'!F189)=ISBLANK(F533),0,1),1),IF('Monthly_Data'!G189=G533,IF(ISBLANK('Monthly_Data'!G189)=ISBLANK(G533),0,1),1),IF('Monthly_Data'!H189=H533,IF(ISBLANK('Monthly_Data'!H189)=ISBLANK(H533),0,1),1))</x:f>
        <x:v>0</x:v>
      </x:c>
    </x:row>
    <x:row r="534" ht="23" customHeight="1">
      <x:c r="A534" s="2" t="str">
        <x:v>61091000_TR_202605_IMPORT</x:v>
      </x:c>
      <x:c r="B534" s="2" t="n">
        <x:v>202605</x:v>
      </x:c>
      <x:c r="C534" s="2" t="str">
        <x:v>61091000</x:v>
      </x:c>
      <x:c r="D534" s="2" t="str">
        <x:v>Turkey</x:v>
      </x:c>
      <x:c r="E534" s="2" t="n">
        <x:v>11314572</x:v>
      </x:c>
      <x:c r="F534" s="2" t="n">
        <x:v>476969</x:v>
      </x:c>
      <x:c r="G534" s="2" t="str">
        <x:v>WITHIN_BAND</x:v>
      </x:c>
      <x:c r="H534" s="2" t="n">
        <x:v>1</x:v>
      </x:c>
      <x:c r="I534" s="2"/>
      <x:c r="J534" s="2"/>
      <x:c r="K534" s="2"/>
      <x:c r="L534" s="2" t="n">
        <x:f>SUM(IF('Monthly_Data'!A190=A534,IF(ISBLANK('Monthly_Data'!A190)=ISBLANK(A534),0,1),1),IF('Monthly_Data'!B190=B534,IF(ISBLANK('Monthly_Data'!B190)=ISBLANK(B534),0,1),1),IF('Monthly_Data'!C190=C534,IF(ISBLANK('Monthly_Data'!C190)=ISBLANK(C534),0,1),1),IF('Monthly_Data'!D190=D534,IF(ISBLANK('Monthly_Data'!D190)=ISBLANK(D534),0,1),1),IF('Monthly_Data'!E190=E534,IF(ISBLANK('Monthly_Data'!E190)=ISBLANK(E534),0,1),1),IF('Monthly_Data'!F190=F534,IF(ISBLANK('Monthly_Data'!F190)=ISBLANK(F534),0,1),1),IF('Monthly_Data'!G190=G534,IF(ISBLANK('Monthly_Data'!G190)=ISBLANK(G534),0,1),1),IF('Monthly_Data'!H190=H534,IF(ISBLANK('Monthly_Data'!H190)=ISBLANK(H534),0,1),1))</x:f>
        <x:v>0</x:v>
      </x:c>
    </x:row>
    <x:row r="535" ht="23" customHeight="1">
      <x:c r="A535" s="2" t="str">
        <x:v>61091000_VN_202605_IMPORT</x:v>
      </x:c>
      <x:c r="B535" s="2" t="n">
        <x:v>202605</x:v>
      </x:c>
      <x:c r="C535" s="2" t="str">
        <x:v>61091000</x:v>
      </x:c>
      <x:c r="D535" s="2" t="str">
        <x:v>Vietnam</x:v>
      </x:c>
      <x:c r="E535" s="2" t="n">
        <x:v>1799860</x:v>
      </x:c>
      <x:c r="F535" s="2" t="n">
        <x:v>67752</x:v>
      </x:c>
      <x:c r="G535" s="2" t="str">
        <x:v>WITHIN_BAND</x:v>
      </x:c>
      <x:c r="H535" s="2" t="n">
        <x:v>1</x:v>
      </x:c>
      <x:c r="I535" s="2"/>
      <x:c r="J535" s="2"/>
      <x:c r="K535" s="2"/>
      <x:c r="L535" s="2" t="n">
        <x:f>SUM(IF('Monthly_Data'!A191=A535,IF(ISBLANK('Monthly_Data'!A191)=ISBLANK(A535),0,1),1),IF('Monthly_Data'!B191=B535,IF(ISBLANK('Monthly_Data'!B191)=ISBLANK(B535),0,1),1),IF('Monthly_Data'!C191=C535,IF(ISBLANK('Monthly_Data'!C191)=ISBLANK(C535),0,1),1),IF('Monthly_Data'!D191=D535,IF(ISBLANK('Monthly_Data'!D191)=ISBLANK(D535),0,1),1),IF('Monthly_Data'!E191=E535,IF(ISBLANK('Monthly_Data'!E191)=ISBLANK(E535),0,1),1),IF('Monthly_Data'!F191=F535,IF(ISBLANK('Monthly_Data'!F191)=ISBLANK(F535),0,1),1),IF('Monthly_Data'!G191=G535,IF(ISBLANK('Monthly_Data'!G191)=ISBLANK(G535),0,1),1),IF('Monthly_Data'!H191=H535,IF(ISBLANK('Monthly_Data'!H191)=ISBLANK(H535),0,1),1))</x:f>
        <x:v>0</x:v>
      </x:c>
    </x:row>
    <x:row r="536" ht="23" customHeight="1">
      <x:c r="A536" s="2" t="str">
        <x:v>61091000_WORLD_202605_IMPORT</x:v>
      </x:c>
      <x:c r="B536" s="2" t="n">
        <x:v>202605</x:v>
      </x:c>
      <x:c r="C536" s="2" t="str">
        <x:v>61091000</x:v>
      </x:c>
      <x:c r="D536" s="2" t="str">
        <x:v>World</x:v>
      </x:c>
      <x:c r="E536" s="2" t="n">
        <x:v>121119811</x:v>
      </x:c>
      <x:c r="F536" s="2" t="n">
        <x:v>8524291</x:v>
      </x:c>
      <x:c r="G536" s="2" t="str">
        <x:v>WITHIN_BAND</x:v>
      </x:c>
      <x:c r="H536" s="2" t="n">
        <x:v>1</x:v>
      </x:c>
      <x:c r="I536" s="2"/>
      <x:c r="J536" s="2"/>
      <x:c r="K536" s="2"/>
      <x:c r="L536" s="2" t="n">
        <x:f>SUM(IF('Monthly_Data'!A192=A536,IF(ISBLANK('Monthly_Data'!A192)=ISBLANK(A536),0,1),1),IF('Monthly_Data'!B192=B536,IF(ISBLANK('Monthly_Data'!B192)=ISBLANK(B536),0,1),1),IF('Monthly_Data'!C192=C536,IF(ISBLANK('Monthly_Data'!C192)=ISBLANK(C536),0,1),1),IF('Monthly_Data'!D192=D536,IF(ISBLANK('Monthly_Data'!D192)=ISBLANK(D536),0,1),1),IF('Monthly_Data'!E192=E536,IF(ISBLANK('Monthly_Data'!E192)=ISBLANK(E536),0,1),1),IF('Monthly_Data'!F192=F536,IF(ISBLANK('Monthly_Data'!F192)=ISBLANK(F536),0,1),1),IF('Monthly_Data'!G192=G536,IF(ISBLANK('Monthly_Data'!G192)=ISBLANK(G536),0,1),1),IF('Monthly_Data'!H192=H536,IF(ISBLANK('Monthly_Data'!H192)=ISBLANK(H536),0,1),1))</x:f>
        <x:v>0</x:v>
      </x:c>
    </x:row>
    <x:row r="537" ht="23" customHeight="1">
      <x:c r="A537" s="2" t="str">
        <x:v>61091000_BD_202606_IMPORT</x:v>
      </x:c>
      <x:c r="B537" s="2" t="n">
        <x:v>202606</x:v>
      </x:c>
      <x:c r="C537" s="2" t="str">
        <x:v>61091000</x:v>
      </x:c>
      <x:c r="D537" s="2" t="str">
        <x:v>Bangladesh</x:v>
      </x:c>
      <x:c r="E537" s="2" t="n">
        <x:v>35155921</x:v>
      </x:c>
      <x:c r="F537" s="2" t="n">
        <x:v>3729480</x:v>
      </x:c>
      <x:c r="G537" s="2" t="str">
        <x:v>WITHIN_BAND</x:v>
      </x:c>
      <x:c r="H537" s="2" t="n">
        <x:v>1</x:v>
      </x:c>
      <x:c r="I537" s="2"/>
      <x:c r="J537" s="2"/>
      <x:c r="K537" s="2"/>
      <x:c r="L537" s="2" t="n">
        <x:f>SUM(IF('Monthly_Data'!A193=A537,IF(ISBLANK('Monthly_Data'!A193)=ISBLANK(A537),0,1),1),IF('Monthly_Data'!B193=B537,IF(ISBLANK('Monthly_Data'!B193)=ISBLANK(B537),0,1),1),IF('Monthly_Data'!C193=C537,IF(ISBLANK('Monthly_Data'!C193)=ISBLANK(C537),0,1),1),IF('Monthly_Data'!D193=D537,IF(ISBLANK('Monthly_Data'!D193)=ISBLANK(D537),0,1),1),IF('Monthly_Data'!E193=E537,IF(ISBLANK('Monthly_Data'!E193)=ISBLANK(E537),0,1),1),IF('Monthly_Data'!F193=F537,IF(ISBLANK('Monthly_Data'!F193)=ISBLANK(F537),0,1),1),IF('Monthly_Data'!G193=G537,IF(ISBLANK('Monthly_Data'!G193)=ISBLANK(G537),0,1),1),IF('Monthly_Data'!H193=H537,IF(ISBLANK('Monthly_Data'!H193)=ISBLANK(H537),0,1),1))</x:f>
        <x:v>0</x:v>
      </x:c>
    </x:row>
    <x:row r="538" ht="23" customHeight="1">
      <x:c r="A538" s="2" t="str">
        <x:v>61091000_KH_202606_IMPORT</x:v>
      </x:c>
      <x:c r="B538" s="2" t="n">
        <x:v>202606</x:v>
      </x:c>
      <x:c r="C538" s="2" t="str">
        <x:v>61091000</x:v>
      </x:c>
      <x:c r="D538" s="2" t="str">
        <x:v>Cambodia</x:v>
      </x:c>
      <x:c r="E538" s="2" t="n">
        <x:v>975102</x:v>
      </x:c>
      <x:c r="F538" s="2" t="n">
        <x:v>61817</x:v>
      </x:c>
      <x:c r="G538" s="2" t="str">
        <x:v>WITHIN_BAND</x:v>
      </x:c>
      <x:c r="H538" s="2" t="n">
        <x:v>1</x:v>
      </x:c>
      <x:c r="I538" s="2"/>
      <x:c r="J538" s="2"/>
      <x:c r="K538" s="2"/>
      <x:c r="L538" s="2" t="n">
        <x:f>SUM(IF('Monthly_Data'!A194=A538,IF(ISBLANK('Monthly_Data'!A194)=ISBLANK(A538),0,1),1),IF('Monthly_Data'!B194=B538,IF(ISBLANK('Monthly_Data'!B194)=ISBLANK(B538),0,1),1),IF('Monthly_Data'!C194=C538,IF(ISBLANK('Monthly_Data'!C194)=ISBLANK(C538),0,1),1),IF('Monthly_Data'!D194=D538,IF(ISBLANK('Monthly_Data'!D194)=ISBLANK(D538),0,1),1),IF('Monthly_Data'!E194=E538,IF(ISBLANK('Monthly_Data'!E194)=ISBLANK(E538),0,1),1),IF('Monthly_Data'!F194=F538,IF(ISBLANK('Monthly_Data'!F194)=ISBLANK(F538),0,1),1),IF('Monthly_Data'!G194=G538,IF(ISBLANK('Monthly_Data'!G194)=ISBLANK(G538),0,1),1),IF('Monthly_Data'!H194=H538,IF(ISBLANK('Monthly_Data'!H194)=ISBLANK(H538),0,1),1))</x:f>
        <x:v>0</x:v>
      </x:c>
    </x:row>
    <x:row r="539" ht="23" customHeight="1">
      <x:c r="A539" s="2" t="str">
        <x:v>61091000_CN_202606_IMPORT</x:v>
      </x:c>
      <x:c r="B539" s="2" t="n">
        <x:v>202606</x:v>
      </x:c>
      <x:c r="C539" s="2" t="str">
        <x:v>61091000</x:v>
      </x:c>
      <x:c r="D539" s="2" t="str">
        <x:v>China</x:v>
      </x:c>
      <x:c r="E539" s="2" t="n">
        <x:v>4417684</x:v>
      </x:c>
      <x:c r="F539" s="2" t="n">
        <x:v>245512</x:v>
      </x:c>
      <x:c r="G539" s="2" t="str">
        <x:v>WITHIN_BAND</x:v>
      </x:c>
      <x:c r="H539" s="2" t="n">
        <x:v>1</x:v>
      </x:c>
      <x:c r="I539" s="2"/>
      <x:c r="J539" s="2"/>
      <x:c r="K539" s="2"/>
      <x:c r="L539" s="2" t="n">
        <x:f>SUM(IF('Monthly_Data'!A195=A539,IF(ISBLANK('Monthly_Data'!A195)=ISBLANK(A539),0,1),1),IF('Monthly_Data'!B195=B539,IF(ISBLANK('Monthly_Data'!B195)=ISBLANK(B539),0,1),1),IF('Monthly_Data'!C195=C539,IF(ISBLANK('Monthly_Data'!C195)=ISBLANK(C539),0,1),1),IF('Monthly_Data'!D195=D539,IF(ISBLANK('Monthly_Data'!D195)=ISBLANK(D539),0,1),1),IF('Monthly_Data'!E195=E539,IF(ISBLANK('Monthly_Data'!E195)=ISBLANK(E539),0,1),1),IF('Monthly_Data'!F195=F539,IF(ISBLANK('Monthly_Data'!F195)=ISBLANK(F539),0,1),1),IF('Monthly_Data'!G195=G539,IF(ISBLANK('Monthly_Data'!G195)=ISBLANK(G539),0,1),1),IF('Monthly_Data'!H195=H539,IF(ISBLANK('Monthly_Data'!H195)=ISBLANK(H539),0,1),1))</x:f>
        <x:v>0</x:v>
      </x:c>
    </x:row>
    <x:row r="540" ht="23" customHeight="1">
      <x:c r="A540" s="2" t="str">
        <x:v>61091000_IN_202606_IMPORT</x:v>
      </x:c>
      <x:c r="B540" s="2" t="n">
        <x:v>202606</x:v>
      </x:c>
      <x:c r="C540" s="2" t="str">
        <x:v>61091000</x:v>
      </x:c>
      <x:c r="D540" s="2" t="str">
        <x:v>India</x:v>
      </x:c>
      <x:c r="E540" s="2" t="n">
        <x:v>7480244</x:v>
      </x:c>
      <x:c r="F540" s="2" t="n">
        <x:v>563509</x:v>
      </x:c>
      <x:c r="G540" s="2" t="str">
        <x:v>WITHIN_BAND</x:v>
      </x:c>
      <x:c r="H540" s="2" t="n">
        <x:v>1</x:v>
      </x:c>
      <x:c r="I540" s="2"/>
      <x:c r="J540" s="2"/>
      <x:c r="K540" s="2"/>
      <x:c r="L540" s="2" t="n">
        <x:f>SUM(IF('Monthly_Data'!A196=A540,IF(ISBLANK('Monthly_Data'!A196)=ISBLANK(A540),0,1),1),IF('Monthly_Data'!B196=B540,IF(ISBLANK('Monthly_Data'!B196)=ISBLANK(B540),0,1),1),IF('Monthly_Data'!C196=C540,IF(ISBLANK('Monthly_Data'!C196)=ISBLANK(C540),0,1),1),IF('Monthly_Data'!D196=D540,IF(ISBLANK('Monthly_Data'!D196)=ISBLANK(D540),0,1),1),IF('Monthly_Data'!E196=E540,IF(ISBLANK('Monthly_Data'!E196)=ISBLANK(E540),0,1),1),IF('Monthly_Data'!F196=F540,IF(ISBLANK('Monthly_Data'!F196)=ISBLANK(F540),0,1),1),IF('Monthly_Data'!G196=G540,IF(ISBLANK('Monthly_Data'!G196)=ISBLANK(G540),0,1),1),IF('Monthly_Data'!H196=H540,IF(ISBLANK('Monthly_Data'!H196)=ISBLANK(H540),0,1),1))</x:f>
        <x:v>0</x:v>
      </x:c>
    </x:row>
    <x:row r="541" ht="23" customHeight="1">
      <x:c r="A541" s="2" t="str">
        <x:v>61091000_MA_202606_IMPORT</x:v>
      </x:c>
      <x:c r="B541" s="2" t="n">
        <x:v>202606</x:v>
      </x:c>
      <x:c r="C541" s="2" t="str">
        <x:v>61091000</x:v>
      </x:c>
      <x:c r="D541" s="2" t="str">
        <x:v>Morocco</x:v>
      </x:c>
      <x:c r="E541" s="2" t="n">
        <x:v>916385</x:v>
      </x:c>
      <x:c r="F541" s="2" t="n">
        <x:v>96318</x:v>
      </x:c>
      <x:c r="G541" s="2" t="str">
        <x:v>WITHIN_BAND</x:v>
      </x:c>
      <x:c r="H541" s="2" t="n">
        <x:v>1</x:v>
      </x:c>
      <x:c r="I541" s="2"/>
      <x:c r="J541" s="2"/>
      <x:c r="K541" s="2"/>
      <x:c r="L541" s="2" t="n">
        <x:f>SUM(IF('Monthly_Data'!A197=A541,IF(ISBLANK('Monthly_Data'!A197)=ISBLANK(A541),0,1),1),IF('Monthly_Data'!B197=B541,IF(ISBLANK('Monthly_Data'!B197)=ISBLANK(B541),0,1),1),IF('Monthly_Data'!C197=C541,IF(ISBLANK('Monthly_Data'!C197)=ISBLANK(C541),0,1),1),IF('Monthly_Data'!D197=D541,IF(ISBLANK('Monthly_Data'!D197)=ISBLANK(D541),0,1),1),IF('Monthly_Data'!E197=E541,IF(ISBLANK('Monthly_Data'!E197)=ISBLANK(E541),0,1),1),IF('Monthly_Data'!F197=F541,IF(ISBLANK('Monthly_Data'!F197)=ISBLANK(F541),0,1),1),IF('Monthly_Data'!G197=G541,IF(ISBLANK('Monthly_Data'!G197)=ISBLANK(G541),0,1),1),IF('Monthly_Data'!H197=H541,IF(ISBLANK('Monthly_Data'!H197)=ISBLANK(H541),0,1),1))</x:f>
        <x:v>0</x:v>
      </x:c>
    </x:row>
    <x:row r="542" ht="23" customHeight="1">
      <x:c r="A542" s="2" t="str">
        <x:v>61091000_MM_202606_IMPORT</x:v>
      </x:c>
      <x:c r="B542" s="2" t="n">
        <x:v>202606</x:v>
      </x:c>
      <x:c r="C542" s="2" t="str">
        <x:v>61091000</x:v>
      </x:c>
      <x:c r="D542" s="2" t="str">
        <x:v>Myanmar</x:v>
      </x:c>
      <x:c r="E542" s="2" t="n">
        <x:v>54614</x:v>
      </x:c>
      <x:c r="F542" s="2" t="n">
        <x:v>5397</x:v>
      </x:c>
      <x:c r="G542" s="2" t="str">
        <x:v>WITHIN_BAND</x:v>
      </x:c>
      <x:c r="H542" s="2" t="n">
        <x:v>1</x:v>
      </x:c>
      <x:c r="I542" s="2"/>
      <x:c r="J542" s="2"/>
      <x:c r="K542" s="2"/>
      <x:c r="L542" s="2" t="n">
        <x:f>SUM(IF('Monthly_Data'!A198=A542,IF(ISBLANK('Monthly_Data'!A198)=ISBLANK(A542),0,1),1),IF('Monthly_Data'!B198=B542,IF(ISBLANK('Monthly_Data'!B198)=ISBLANK(B542),0,1),1),IF('Monthly_Data'!C198=C542,IF(ISBLANK('Monthly_Data'!C198)=ISBLANK(C542),0,1),1),IF('Monthly_Data'!D198=D542,IF(ISBLANK('Monthly_Data'!D198)=ISBLANK(D542),0,1),1),IF('Monthly_Data'!E198=E542,IF(ISBLANK('Monthly_Data'!E198)=ISBLANK(E542),0,1),1),IF('Monthly_Data'!F198=F542,IF(ISBLANK('Monthly_Data'!F198)=ISBLANK(F542),0,1),1),IF('Monthly_Data'!G198=G542,IF(ISBLANK('Monthly_Data'!G198)=ISBLANK(G542),0,1),1),IF('Monthly_Data'!H198=H542,IF(ISBLANK('Monthly_Data'!H198)=ISBLANK(H542),0,1),1))</x:f>
        <x:v>0</x:v>
      </x:c>
    </x:row>
    <x:row r="543" ht="23" customHeight="1">
      <x:c r="A543" s="2" t="str">
        <x:v>61091000_PK_202606_IMPORT</x:v>
      </x:c>
      <x:c r="B543" s="2" t="n">
        <x:v>202606</x:v>
      </x:c>
      <x:c r="C543" s="2" t="str">
        <x:v>61091000</x:v>
      </x:c>
      <x:c r="D543" s="2" t="str">
        <x:v>Pakistan</x:v>
      </x:c>
      <x:c r="E543" s="2" t="n">
        <x:v>2885839</x:v>
      </x:c>
      <x:c r="F543" s="2" t="n">
        <x:v>242565</x:v>
      </x:c>
      <x:c r="G543" s="2" t="str">
        <x:v>WITHIN_BAND</x:v>
      </x:c>
      <x:c r="H543" s="2" t="n">
        <x:v>1</x:v>
      </x:c>
      <x:c r="I543" s="2"/>
      <x:c r="J543" s="2"/>
      <x:c r="K543" s="2"/>
      <x:c r="L543" s="2" t="n">
        <x:f>SUM(IF('Monthly_Data'!A199=A543,IF(ISBLANK('Monthly_Data'!A199)=ISBLANK(A543),0,1),1),IF('Monthly_Data'!B199=B543,IF(ISBLANK('Monthly_Data'!B199)=ISBLANK(B543),0,1),1),IF('Monthly_Data'!C199=C543,IF(ISBLANK('Monthly_Data'!C199)=ISBLANK(C543),0,1),1),IF('Monthly_Data'!D199=D543,IF(ISBLANK('Monthly_Data'!D199)=ISBLANK(D543),0,1),1),IF('Monthly_Data'!E199=E543,IF(ISBLANK('Monthly_Data'!E199)=ISBLANK(E543),0,1),1),IF('Monthly_Data'!F199=F543,IF(ISBLANK('Monthly_Data'!F199)=ISBLANK(F543),0,1),1),IF('Monthly_Data'!G199=G543,IF(ISBLANK('Monthly_Data'!G199)=ISBLANK(G543),0,1),1),IF('Monthly_Data'!H199=H543,IF(ISBLANK('Monthly_Data'!H199)=ISBLANK(H543),0,1),1))</x:f>
        <x:v>0</x:v>
      </x:c>
    </x:row>
    <x:row r="544" ht="23" customHeight="1">
      <x:c r="A544" s="2" t="str">
        <x:v>61091000_LK_202606_IMPORT</x:v>
      </x:c>
      <x:c r="B544" s="2" t="n">
        <x:v>202606</x:v>
      </x:c>
      <x:c r="C544" s="2" t="str">
        <x:v>61091000</x:v>
      </x:c>
      <x:c r="D544" s="2" t="str">
        <x:v>Sri Lanka</x:v>
      </x:c>
      <x:c r="E544" s="2" t="n">
        <x:v>1066120</x:v>
      </x:c>
      <x:c r="F544" s="2" t="n">
        <x:v>73687</x:v>
      </x:c>
      <x:c r="G544" s="2" t="str">
        <x:v>WITHIN_BAND</x:v>
      </x:c>
      <x:c r="H544" s="2" t="n">
        <x:v>1</x:v>
      </x:c>
      <x:c r="I544" s="2"/>
      <x:c r="J544" s="2"/>
      <x:c r="K544" s="2"/>
      <x:c r="L544" s="2" t="n">
        <x:f>SUM(IF('Monthly_Data'!A200=A544,IF(ISBLANK('Monthly_Data'!A200)=ISBLANK(A544),0,1),1),IF('Monthly_Data'!B200=B544,IF(ISBLANK('Monthly_Data'!B200)=ISBLANK(B544),0,1),1),IF('Monthly_Data'!C200=C544,IF(ISBLANK('Monthly_Data'!C200)=ISBLANK(C544),0,1),1),IF('Monthly_Data'!D200=D544,IF(ISBLANK('Monthly_Data'!D200)=ISBLANK(D544),0,1),1),IF('Monthly_Data'!E200=E544,IF(ISBLANK('Monthly_Data'!E200)=ISBLANK(E544),0,1),1),IF('Monthly_Data'!F200=F544,IF(ISBLANK('Monthly_Data'!F200)=ISBLANK(F544),0,1),1),IF('Monthly_Data'!G200=G544,IF(ISBLANK('Monthly_Data'!G200)=ISBLANK(G544),0,1),1),IF('Monthly_Data'!H200=H544,IF(ISBLANK('Monthly_Data'!H200)=ISBLANK(H544),0,1),1))</x:f>
        <x:v>0</x:v>
      </x:c>
    </x:row>
    <x:row r="545" ht="23" customHeight="1">
      <x:c r="A545" s="2" t="str">
        <x:v>61091000_TR_202606_IMPORT</x:v>
      </x:c>
      <x:c r="B545" s="2" t="n">
        <x:v>202606</x:v>
      </x:c>
      <x:c r="C545" s="2" t="str">
        <x:v>61091000</x:v>
      </x:c>
      <x:c r="D545" s="2" t="str">
        <x:v>Turkey</x:v>
      </x:c>
      <x:c r="E545" s="2" t="n">
        <x:v>11235208</x:v>
      </x:c>
      <x:c r="F545" s="2" t="n">
        <x:v>499768</x:v>
      </x:c>
      <x:c r="G545" s="2" t="str">
        <x:v>WITHIN_BAND</x:v>
      </x:c>
      <x:c r="H545" s="2" t="n">
        <x:v>1</x:v>
      </x:c>
      <x:c r="I545" s="2"/>
      <x:c r="J545" s="2"/>
      <x:c r="K545" s="2"/>
      <x:c r="L545" s="2" t="n">
        <x:f>SUM(IF('Monthly_Data'!A201=A545,IF(ISBLANK('Monthly_Data'!A201)=ISBLANK(A545),0,1),1),IF('Monthly_Data'!B201=B545,IF(ISBLANK('Monthly_Data'!B201)=ISBLANK(B545),0,1),1),IF('Monthly_Data'!C201=C545,IF(ISBLANK('Monthly_Data'!C201)=ISBLANK(C545),0,1),1),IF('Monthly_Data'!D201=D545,IF(ISBLANK('Monthly_Data'!D201)=ISBLANK(D545),0,1),1),IF('Monthly_Data'!E201=E545,IF(ISBLANK('Monthly_Data'!E201)=ISBLANK(E545),0,1),1),IF('Monthly_Data'!F201=F545,IF(ISBLANK('Monthly_Data'!F201)=ISBLANK(F545),0,1),1),IF('Monthly_Data'!G201=G545,IF(ISBLANK('Monthly_Data'!G201)=ISBLANK(G545),0,1),1),IF('Monthly_Data'!H201=H545,IF(ISBLANK('Monthly_Data'!H201)=ISBLANK(H545),0,1),1))</x:f>
        <x:v>0</x:v>
      </x:c>
    </x:row>
    <x:row r="546" ht="23" customHeight="1">
      <x:c r="A546" s="2" t="str">
        <x:v>61091000_VN_202606_IMPORT</x:v>
      </x:c>
      <x:c r="B546" s="2" t="n">
        <x:v>202606</x:v>
      </x:c>
      <x:c r="C546" s="2" t="str">
        <x:v>61091000</x:v>
      </x:c>
      <x:c r="D546" s="2" t="str">
        <x:v>Vietnam</x:v>
      </x:c>
      <x:c r="E546" s="2" t="n">
        <x:v>2472058</x:v>
      </x:c>
      <x:c r="F546" s="2" t="n">
        <x:v>95795</x:v>
      </x:c>
      <x:c r="G546" s="2" t="str">
        <x:v>WITHIN_BAND</x:v>
      </x:c>
      <x:c r="H546" s="2" t="n">
        <x:v>1</x:v>
      </x:c>
      <x:c r="I546" s="2"/>
      <x:c r="J546" s="2"/>
      <x:c r="K546" s="2"/>
      <x:c r="L546" s="2" t="n">
        <x:f>SUM(IF('Monthly_Data'!A202=A546,IF(ISBLANK('Monthly_Data'!A202)=ISBLANK(A546),0,1),1),IF('Monthly_Data'!B202=B546,IF(ISBLANK('Monthly_Data'!B202)=ISBLANK(B546),0,1),1),IF('Monthly_Data'!C202=C546,IF(ISBLANK('Monthly_Data'!C202)=ISBLANK(C546),0,1),1),IF('Monthly_Data'!D202=D546,IF(ISBLANK('Monthly_Data'!D202)=ISBLANK(D546),0,1),1),IF('Monthly_Data'!E202=E546,IF(ISBLANK('Monthly_Data'!E202)=ISBLANK(E546),0,1),1),IF('Monthly_Data'!F202=F546,IF(ISBLANK('Monthly_Data'!F202)=ISBLANK(F546),0,1),1),IF('Monthly_Data'!G202=G546,IF(ISBLANK('Monthly_Data'!G202)=ISBLANK(G546),0,1),1),IF('Monthly_Data'!H202=H546,IF(ISBLANK('Monthly_Data'!H202)=ISBLANK(H546),0,1),1))</x:f>
        <x:v>0</x:v>
      </x:c>
    </x:row>
    <x:row r="547" ht="23" customHeight="1">
      <x:c r="A547" s="2" t="str">
        <x:v>61091000_WORLD_202606_IMPORT</x:v>
      </x:c>
      <x:c r="B547" s="2" t="n">
        <x:v>202606</x:v>
      </x:c>
      <x:c r="C547" s="2" t="str">
        <x:v>61091000</x:v>
      </x:c>
      <x:c r="D547" s="2" t="str">
        <x:v>World</x:v>
      </x:c>
      <x:c r="E547" s="2" t="n">
        <x:v>106455514</x:v>
      </x:c>
      <x:c r="F547" s="2" t="n">
        <x:v>7481470</x:v>
      </x:c>
      <x:c r="G547" s="2" t="str">
        <x:v>WITHIN_BAND</x:v>
      </x:c>
      <x:c r="H547" s="2" t="n">
        <x:v>1</x:v>
      </x:c>
      <x:c r="I547" s="2"/>
      <x:c r="J547" s="2"/>
      <x:c r="K547" s="2"/>
      <x:c r="L547" s="2" t="n">
        <x:f>SUM(IF('Monthly_Data'!A203=A547,IF(ISBLANK('Monthly_Data'!A203)=ISBLANK(A547),0,1),1),IF('Monthly_Data'!B203=B547,IF(ISBLANK('Monthly_Data'!B203)=ISBLANK(B547),0,1),1),IF('Monthly_Data'!C203=C547,IF(ISBLANK('Monthly_Data'!C203)=ISBLANK(C547),0,1),1),IF('Monthly_Data'!D203=D547,IF(ISBLANK('Monthly_Data'!D203)=ISBLANK(D547),0,1),1),IF('Monthly_Data'!E203=E547,IF(ISBLANK('Monthly_Data'!E203)=ISBLANK(E547),0,1),1),IF('Monthly_Data'!F203=F547,IF(ISBLANK('Monthly_Data'!F203)=ISBLANK(F547),0,1),1),IF('Monthly_Data'!G203=G547,IF(ISBLANK('Monthly_Data'!G203)=ISBLANK(G547),0,1),1),IF('Monthly_Data'!H203=H547,IF(ISBLANK('Monthly_Data'!H203)=ISBLANK(H547),0,1),1))</x:f>
        <x:v>0</x:v>
      </x:c>
    </x:row>
    <x:row r="548" ht="23" customHeight="1">
      <x:c r="A548" s="2" t="str">
        <x:v>61103099_BD_202501_IMPORT</x:v>
      </x:c>
      <x:c r="B548" s="2" t="n">
        <x:v>202501</x:v>
      </x:c>
      <x:c r="C548" s="2" t="str">
        <x:v>61103099</x:v>
      </x:c>
      <x:c r="D548" s="2" t="str">
        <x:v>Bangladesh</x:v>
      </x:c>
      <x:c r="E548" s="2" t="n">
        <x:v>13038706</x:v>
      </x:c>
      <x:c r="F548" s="2" t="n">
        <x:v>1028966</x:v>
      </x:c>
      <x:c r="G548" s="2" t="str">
        <x:v>WITHIN_BAND</x:v>
      </x:c>
      <x:c r="H548" s="2" t="n">
        <x:v>1</x:v>
      </x:c>
      <x:c r="I548" s="2"/>
      <x:c r="J548" s="2"/>
      <x:c r="K548" s="2"/>
      <x:c r="L548" s="2" t="n">
        <x:f>SUM(IF('Monthly_Data'!A204=A548,IF(ISBLANK('Monthly_Data'!A204)=ISBLANK(A548),0,1),1),IF('Monthly_Data'!B204=B548,IF(ISBLANK('Monthly_Data'!B204)=ISBLANK(B548),0,1),1),IF('Monthly_Data'!C204=C548,IF(ISBLANK('Monthly_Data'!C204)=ISBLANK(C548),0,1),1),IF('Monthly_Data'!D204=D548,IF(ISBLANK('Monthly_Data'!D204)=ISBLANK(D548),0,1),1),IF('Monthly_Data'!E204=E548,IF(ISBLANK('Monthly_Data'!E204)=ISBLANK(E548),0,1),1),IF('Monthly_Data'!F204=F548,IF(ISBLANK('Monthly_Data'!F204)=ISBLANK(F548),0,1),1),IF('Monthly_Data'!G204=G548,IF(ISBLANK('Monthly_Data'!G204)=ISBLANK(G548),0,1),1),IF('Monthly_Data'!H204=H548,IF(ISBLANK('Monthly_Data'!H204)=ISBLANK(H548),0,1),1))</x:f>
        <x:v>0</x:v>
      </x:c>
    </x:row>
    <x:row r="549" ht="23" customHeight="1">
      <x:c r="A549" s="2" t="str">
        <x:v>61103099_KH_202501_IMPORT</x:v>
      </x:c>
      <x:c r="B549" s="2" t="n">
        <x:v>202501</x:v>
      </x:c>
      <x:c r="C549" s="2" t="str">
        <x:v>61103099</x:v>
      </x:c>
      <x:c r="D549" s="2" t="str">
        <x:v>Cambodia</x:v>
      </x:c>
      <x:c r="E549" s="2" t="n">
        <x:v>6159923</x:v>
      </x:c>
      <x:c r="F549" s="2" t="n">
        <x:v>500438</x:v>
      </x:c>
      <x:c r="G549" s="2" t="str">
        <x:v>WITHIN_BAND</x:v>
      </x:c>
      <x:c r="H549" s="2" t="n">
        <x:v>1</x:v>
      </x:c>
      <x:c r="I549" s="2"/>
      <x:c r="J549" s="2"/>
      <x:c r="K549" s="2"/>
      <x:c r="L549" s="2" t="n">
        <x:f>SUM(IF('Monthly_Data'!A205=A549,IF(ISBLANK('Monthly_Data'!A205)=ISBLANK(A549),0,1),1),IF('Monthly_Data'!B205=B549,IF(ISBLANK('Monthly_Data'!B205)=ISBLANK(B549),0,1),1),IF('Monthly_Data'!C205=C549,IF(ISBLANK('Monthly_Data'!C205)=ISBLANK(C549),0,1),1),IF('Monthly_Data'!D205=D549,IF(ISBLANK('Monthly_Data'!D205)=ISBLANK(D549),0,1),1),IF('Monthly_Data'!E205=E549,IF(ISBLANK('Monthly_Data'!E205)=ISBLANK(E549),0,1),1),IF('Monthly_Data'!F205=F549,IF(ISBLANK('Monthly_Data'!F205)=ISBLANK(F549),0,1),1),IF('Monthly_Data'!G205=G549,IF(ISBLANK('Monthly_Data'!G205)=ISBLANK(G549),0,1),1),IF('Monthly_Data'!H205=H549,IF(ISBLANK('Monthly_Data'!H205)=ISBLANK(H549),0,1),1))</x:f>
        <x:v>0</x:v>
      </x:c>
    </x:row>
    <x:row r="550" ht="23" customHeight="1">
      <x:c r="A550" s="2" t="str">
        <x:v>61103099_CN_202501_IMPORT</x:v>
      </x:c>
      <x:c r="B550" s="2" t="n">
        <x:v>202501</x:v>
      </x:c>
      <x:c r="C550" s="2" t="str">
        <x:v>61103099</x:v>
      </x:c>
      <x:c r="D550" s="2" t="str">
        <x:v>China</x:v>
      </x:c>
      <x:c r="E550" s="2" t="n">
        <x:v>15651913</x:v>
      </x:c>
      <x:c r="F550" s="2" t="n">
        <x:v>942937</x:v>
      </x:c>
      <x:c r="G550" s="2" t="str">
        <x:v>WITHIN_BAND</x:v>
      </x:c>
      <x:c r="H550" s="2" t="n">
        <x:v>1</x:v>
      </x:c>
      <x:c r="I550" s="2"/>
      <x:c r="J550" s="2"/>
      <x:c r="K550" s="2"/>
      <x:c r="L550" s="2" t="n">
        <x:f>SUM(IF('Monthly_Data'!A206=A550,IF(ISBLANK('Monthly_Data'!A206)=ISBLANK(A550),0,1),1),IF('Monthly_Data'!B206=B550,IF(ISBLANK('Monthly_Data'!B206)=ISBLANK(B550),0,1),1),IF('Monthly_Data'!C206=C550,IF(ISBLANK('Monthly_Data'!C206)=ISBLANK(C550),0,1),1),IF('Monthly_Data'!D206=D550,IF(ISBLANK('Monthly_Data'!D206)=ISBLANK(D550),0,1),1),IF('Monthly_Data'!E206=E550,IF(ISBLANK('Monthly_Data'!E206)=ISBLANK(E550),0,1),1),IF('Monthly_Data'!F206=F550,IF(ISBLANK('Monthly_Data'!F206)=ISBLANK(F550),0,1),1),IF('Monthly_Data'!G206=G550,IF(ISBLANK('Monthly_Data'!G206)=ISBLANK(G550),0,1),1),IF('Monthly_Data'!H206=H550,IF(ISBLANK('Monthly_Data'!H206)=ISBLANK(H550),0,1),1))</x:f>
        <x:v>0</x:v>
      </x:c>
    </x:row>
    <x:row r="551" ht="23" customHeight="1">
      <x:c r="A551" s="2" t="str">
        <x:v>61103099_IN_202501_IMPORT</x:v>
      </x:c>
      <x:c r="B551" s="2" t="n">
        <x:v>202501</x:v>
      </x:c>
      <x:c r="C551" s="2" t="str">
        <x:v>61103099</x:v>
      </x:c>
      <x:c r="D551" s="2" t="str">
        <x:v>India</x:v>
      </x:c>
      <x:c r="E551" s="2" t="n">
        <x:v>87159</x:v>
      </x:c>
      <x:c r="F551" s="2" t="n">
        <x:v>7078</x:v>
      </x:c>
      <x:c r="G551" s="2" t="str">
        <x:v>WITHIN_BAND</x:v>
      </x:c>
      <x:c r="H551" s="2" t="n">
        <x:v>1</x:v>
      </x:c>
      <x:c r="I551" s="2"/>
      <x:c r="J551" s="2"/>
      <x:c r="K551" s="2"/>
      <x:c r="L551" s="2" t="n">
        <x:f>SUM(IF('Monthly_Data'!A207=A551,IF(ISBLANK('Monthly_Data'!A207)=ISBLANK(A551),0,1),1),IF('Monthly_Data'!B207=B551,IF(ISBLANK('Monthly_Data'!B207)=ISBLANK(B551),0,1),1),IF('Monthly_Data'!C207=C551,IF(ISBLANK('Monthly_Data'!C207)=ISBLANK(C551),0,1),1),IF('Monthly_Data'!D207=D551,IF(ISBLANK('Monthly_Data'!D207)=ISBLANK(D551),0,1),1),IF('Monthly_Data'!E207=E551,IF(ISBLANK('Monthly_Data'!E207)=ISBLANK(E551),0,1),1),IF('Monthly_Data'!F207=F551,IF(ISBLANK('Monthly_Data'!F207)=ISBLANK(F551),0,1),1),IF('Monthly_Data'!G207=G551,IF(ISBLANK('Monthly_Data'!G207)=ISBLANK(G551),0,1),1),IF('Monthly_Data'!H207=H551,IF(ISBLANK('Monthly_Data'!H207)=ISBLANK(H551),0,1),1))</x:f>
        <x:v>0</x:v>
      </x:c>
    </x:row>
    <x:row r="552" ht="23" customHeight="1">
      <x:c r="A552" s="2" t="str">
        <x:v>61103099_MA_202501_IMPORT</x:v>
      </x:c>
      <x:c r="B552" s="2" t="n">
        <x:v>202501</x:v>
      </x:c>
      <x:c r="C552" s="2" t="str">
        <x:v>61103099</x:v>
      </x:c>
      <x:c r="D552" s="2" t="str">
        <x:v>Morocco</x:v>
      </x:c>
      <x:c r="E552" s="2" t="n">
        <x:v>23195</x:v>
      </x:c>
      <x:c r="F552" s="2" t="n">
        <x:v>1925</x:v>
      </x:c>
      <x:c r="G552" s="2" t="str">
        <x:v>WITHIN_BAND</x:v>
      </x:c>
      <x:c r="H552" s="2" t="n">
        <x:v>1</x:v>
      </x:c>
      <x:c r="I552" s="2"/>
      <x:c r="J552" s="2"/>
      <x:c r="K552" s="2"/>
      <x:c r="L552" s="2" t="n">
        <x:f>SUM(IF('Monthly_Data'!A208=A552,IF(ISBLANK('Monthly_Data'!A208)=ISBLANK(A552),0,1),1),IF('Monthly_Data'!B208=B552,IF(ISBLANK('Monthly_Data'!B208)=ISBLANK(B552),0,1),1),IF('Monthly_Data'!C208=C552,IF(ISBLANK('Monthly_Data'!C208)=ISBLANK(C552),0,1),1),IF('Monthly_Data'!D208=D552,IF(ISBLANK('Monthly_Data'!D208)=ISBLANK(D552),0,1),1),IF('Monthly_Data'!E208=E552,IF(ISBLANK('Monthly_Data'!E208)=ISBLANK(E552),0,1),1),IF('Monthly_Data'!F208=F552,IF(ISBLANK('Monthly_Data'!F208)=ISBLANK(F552),0,1),1),IF('Monthly_Data'!G208=G552,IF(ISBLANK('Monthly_Data'!G208)=ISBLANK(G552),0,1),1),IF('Monthly_Data'!H208=H552,IF(ISBLANK('Monthly_Data'!H208)=ISBLANK(H552),0,1),1))</x:f>
        <x:v>0</x:v>
      </x:c>
    </x:row>
    <x:row r="553" ht="23" customHeight="1">
      <x:c r="A553" s="2" t="str">
        <x:v>61103099_MM_202501_IMPORT</x:v>
      </x:c>
      <x:c r="B553" s="2" t="n">
        <x:v>202501</x:v>
      </x:c>
      <x:c r="C553" s="2" t="str">
        <x:v>61103099</x:v>
      </x:c>
      <x:c r="D553" s="2" t="str">
        <x:v>Myanmar</x:v>
      </x:c>
      <x:c r="E553" s="2" t="n">
        <x:v>579394</x:v>
      </x:c>
      <x:c r="F553" s="2" t="n">
        <x:v>35512</x:v>
      </x:c>
      <x:c r="G553" s="2" t="str">
        <x:v>WITHIN_BAND</x:v>
      </x:c>
      <x:c r="H553" s="2" t="n">
        <x:v>1</x:v>
      </x:c>
      <x:c r="I553" s="2"/>
      <x:c r="J553" s="2"/>
      <x:c r="K553" s="2"/>
      <x:c r="L553" s="2" t="n">
        <x:f>SUM(IF('Monthly_Data'!A209=A553,IF(ISBLANK('Monthly_Data'!A209)=ISBLANK(A553),0,1),1),IF('Monthly_Data'!B209=B553,IF(ISBLANK('Monthly_Data'!B209)=ISBLANK(B553),0,1),1),IF('Monthly_Data'!C209=C553,IF(ISBLANK('Monthly_Data'!C209)=ISBLANK(C553),0,1),1),IF('Monthly_Data'!D209=D553,IF(ISBLANK('Monthly_Data'!D209)=ISBLANK(D553),0,1),1),IF('Monthly_Data'!E209=E553,IF(ISBLANK('Monthly_Data'!E209)=ISBLANK(E553),0,1),1),IF('Monthly_Data'!F209=F553,IF(ISBLANK('Monthly_Data'!F209)=ISBLANK(F553),0,1),1),IF('Monthly_Data'!G209=G553,IF(ISBLANK('Monthly_Data'!G209)=ISBLANK(G553),0,1),1),IF('Monthly_Data'!H209=H553,IF(ISBLANK('Monthly_Data'!H209)=ISBLANK(H553),0,1),1))</x:f>
        <x:v>0</x:v>
      </x:c>
    </x:row>
    <x:row r="554" ht="23" customHeight="1">
      <x:c r="A554" s="2" t="str">
        <x:v>61103099_PK_202501_IMPORT</x:v>
      </x:c>
      <x:c r="B554" s="2" t="n">
        <x:v>202501</x:v>
      </x:c>
      <x:c r="C554" s="2" t="str">
        <x:v>61103099</x:v>
      </x:c>
      <x:c r="D554" s="2" t="str">
        <x:v>Pakistan</x:v>
      </x:c>
      <x:c r="E554" s="2" t="n">
        <x:v>497226</x:v>
      </x:c>
      <x:c r="F554" s="2" t="n">
        <x:v>37474</x:v>
      </x:c>
      <x:c r="G554" s="2" t="str">
        <x:v>WITHIN_BAND</x:v>
      </x:c>
      <x:c r="H554" s="2" t="n">
        <x:v>1</x:v>
      </x:c>
      <x:c r="I554" s="2"/>
      <x:c r="J554" s="2"/>
      <x:c r="K554" s="2"/>
      <x:c r="L554" s="2" t="n">
        <x:f>SUM(IF('Monthly_Data'!A210=A554,IF(ISBLANK('Monthly_Data'!A210)=ISBLANK(A554),0,1),1),IF('Monthly_Data'!B210=B554,IF(ISBLANK('Monthly_Data'!B210)=ISBLANK(B554),0,1),1),IF('Monthly_Data'!C210=C554,IF(ISBLANK('Monthly_Data'!C210)=ISBLANK(C554),0,1),1),IF('Monthly_Data'!D210=D554,IF(ISBLANK('Monthly_Data'!D210)=ISBLANK(D554),0,1),1),IF('Monthly_Data'!E210=E554,IF(ISBLANK('Monthly_Data'!E210)=ISBLANK(E554),0,1),1),IF('Monthly_Data'!F210=F554,IF(ISBLANK('Monthly_Data'!F210)=ISBLANK(F554),0,1),1),IF('Monthly_Data'!G210=G554,IF(ISBLANK('Monthly_Data'!G210)=ISBLANK(G554),0,1),1),IF('Monthly_Data'!H210=H554,IF(ISBLANK('Monthly_Data'!H210)=ISBLANK(H554),0,1),1))</x:f>
        <x:v>0</x:v>
      </x:c>
    </x:row>
    <x:row r="555" ht="23" customHeight="1">
      <x:c r="A555" s="2" t="str">
        <x:v>61103099_LK_202501_IMPORT</x:v>
      </x:c>
      <x:c r="B555" s="2" t="n">
        <x:v>202501</x:v>
      </x:c>
      <x:c r="C555" s="2" t="str">
        <x:v>61103099</x:v>
      </x:c>
      <x:c r="D555" s="2" t="str">
        <x:v>Sri Lanka</x:v>
      </x:c>
      <x:c r="E555" s="2" t="n">
        <x:v>236140</x:v>
      </x:c>
      <x:c r="F555" s="2" t="n">
        <x:v>14460</x:v>
      </x:c>
      <x:c r="G555" s="2" t="str">
        <x:v>WITHIN_BAND</x:v>
      </x:c>
      <x:c r="H555" s="2" t="n">
        <x:v>1</x:v>
      </x:c>
      <x:c r="I555" s="2"/>
      <x:c r="J555" s="2"/>
      <x:c r="K555" s="2"/>
      <x:c r="L555" s="2" t="n">
        <x:f>SUM(IF('Monthly_Data'!A211=A555,IF(ISBLANK('Monthly_Data'!A211)=ISBLANK(A555),0,1),1),IF('Monthly_Data'!B211=B555,IF(ISBLANK('Monthly_Data'!B211)=ISBLANK(B555),0,1),1),IF('Monthly_Data'!C211=C555,IF(ISBLANK('Monthly_Data'!C211)=ISBLANK(C555),0,1),1),IF('Monthly_Data'!D211=D555,IF(ISBLANK('Monthly_Data'!D211)=ISBLANK(D555),0,1),1),IF('Monthly_Data'!E211=E555,IF(ISBLANK('Monthly_Data'!E211)=ISBLANK(E555),0,1),1),IF('Monthly_Data'!F211=F555,IF(ISBLANK('Monthly_Data'!F211)=ISBLANK(F555),0,1),1),IF('Monthly_Data'!G211=G555,IF(ISBLANK('Monthly_Data'!G211)=ISBLANK(G555),0,1),1),IF('Monthly_Data'!H211=H555,IF(ISBLANK('Monthly_Data'!H211)=ISBLANK(H555),0,1),1))</x:f>
        <x:v>0</x:v>
      </x:c>
    </x:row>
    <x:row r="556" ht="23" customHeight="1">
      <x:c r="A556" s="2" t="str">
        <x:v>61103099_TR_202501_IMPORT</x:v>
      </x:c>
      <x:c r="B556" s="2" t="n">
        <x:v>202501</x:v>
      </x:c>
      <x:c r="C556" s="2" t="str">
        <x:v>61103099</x:v>
      </x:c>
      <x:c r="D556" s="2" t="str">
        <x:v>Turkey</x:v>
      </x:c>
      <x:c r="E556" s="2" t="n">
        <x:v>6744495</x:v>
      </x:c>
      <x:c r="F556" s="2" t="n">
        <x:v>438028</x:v>
      </x:c>
      <x:c r="G556" s="2" t="str">
        <x:v>WITHIN_BAND</x:v>
      </x:c>
      <x:c r="H556" s="2" t="n">
        <x:v>1</x:v>
      </x:c>
      <x:c r="I556" s="2"/>
      <x:c r="J556" s="2"/>
      <x:c r="K556" s="2"/>
      <x:c r="L556" s="2" t="n">
        <x:f>SUM(IF('Monthly_Data'!A212=A556,IF(ISBLANK('Monthly_Data'!A212)=ISBLANK(A556),0,1),1),IF('Monthly_Data'!B212=B556,IF(ISBLANK('Monthly_Data'!B212)=ISBLANK(B556),0,1),1),IF('Monthly_Data'!C212=C556,IF(ISBLANK('Monthly_Data'!C212)=ISBLANK(C556),0,1),1),IF('Monthly_Data'!D212=D556,IF(ISBLANK('Monthly_Data'!D212)=ISBLANK(D556),0,1),1),IF('Monthly_Data'!E212=E556,IF(ISBLANK('Monthly_Data'!E212)=ISBLANK(E556),0,1),1),IF('Monthly_Data'!F212=F556,IF(ISBLANK('Monthly_Data'!F212)=ISBLANK(F556),0,1),1),IF('Monthly_Data'!G212=G556,IF(ISBLANK('Monthly_Data'!G212)=ISBLANK(G556),0,1),1),IF('Monthly_Data'!H212=H556,IF(ISBLANK('Monthly_Data'!H212)=ISBLANK(H556),0,1),1))</x:f>
        <x:v>0</x:v>
      </x:c>
    </x:row>
    <x:row r="557" ht="23" customHeight="1">
      <x:c r="A557" s="2" t="str">
        <x:v>61103099_VN_202501_IMPORT</x:v>
      </x:c>
      <x:c r="B557" s="2" t="n">
        <x:v>202501</x:v>
      </x:c>
      <x:c r="C557" s="2" t="str">
        <x:v>61103099</x:v>
      </x:c>
      <x:c r="D557" s="2" t="str">
        <x:v>Vietnam</x:v>
      </x:c>
      <x:c r="E557" s="2" t="n">
        <x:v>1020005</x:v>
      </x:c>
      <x:c r="F557" s="2" t="n">
        <x:v>36573</x:v>
      </x:c>
      <x:c r="G557" s="2" t="str">
        <x:v>WITHIN_BAND</x:v>
      </x:c>
      <x:c r="H557" s="2" t="n">
        <x:v>1</x:v>
      </x:c>
      <x:c r="I557" s="2"/>
      <x:c r="J557" s="2"/>
      <x:c r="K557" s="2"/>
      <x:c r="L557" s="2" t="n">
        <x:f>SUM(IF('Monthly_Data'!A213=A557,IF(ISBLANK('Monthly_Data'!A213)=ISBLANK(A557),0,1),1),IF('Monthly_Data'!B213=B557,IF(ISBLANK('Monthly_Data'!B213)=ISBLANK(B557),0,1),1),IF('Monthly_Data'!C213=C557,IF(ISBLANK('Monthly_Data'!C213)=ISBLANK(C557),0,1),1),IF('Monthly_Data'!D213=D557,IF(ISBLANK('Monthly_Data'!D213)=ISBLANK(D557),0,1),1),IF('Monthly_Data'!E213=E557,IF(ISBLANK('Monthly_Data'!E213)=ISBLANK(E557),0,1),1),IF('Monthly_Data'!F213=F557,IF(ISBLANK('Monthly_Data'!F213)=ISBLANK(F557),0,1),1),IF('Monthly_Data'!G213=G557,IF(ISBLANK('Monthly_Data'!G213)=ISBLANK(G557),0,1),1),IF('Monthly_Data'!H213=H557,IF(ISBLANK('Monthly_Data'!H213)=ISBLANK(H557),0,1),1))</x:f>
        <x:v>0</x:v>
      </x:c>
    </x:row>
    <x:row r="558" ht="23" customHeight="1">
      <x:c r="A558" s="2" t="str">
        <x:v>61103099_WORLD_202501_IMPORT</x:v>
      </x:c>
      <x:c r="B558" s="2" t="n">
        <x:v>202501</x:v>
      </x:c>
      <x:c r="C558" s="2" t="str">
        <x:v>61103099</x:v>
      </x:c>
      <x:c r="D558" s="2" t="str">
        <x:v>World</x:v>
      </x:c>
      <x:c r="E558" s="2" t="n">
        <x:v>57827679</x:v>
      </x:c>
      <x:c r="F558" s="2" t="n">
        <x:v>3736903</x:v>
      </x:c>
      <x:c r="G558" s="2" t="str">
        <x:v>WITHIN_BAND</x:v>
      </x:c>
      <x:c r="H558" s="2" t="n">
        <x:v>1</x:v>
      </x:c>
      <x:c r="I558" s="2"/>
      <x:c r="J558" s="2"/>
      <x:c r="K558" s="2"/>
      <x:c r="L558" s="2" t="n">
        <x:f>SUM(IF('Monthly_Data'!A214=A558,IF(ISBLANK('Monthly_Data'!A214)=ISBLANK(A558),0,1),1),IF('Monthly_Data'!B214=B558,IF(ISBLANK('Monthly_Data'!B214)=ISBLANK(B558),0,1),1),IF('Monthly_Data'!C214=C558,IF(ISBLANK('Monthly_Data'!C214)=ISBLANK(C558),0,1),1),IF('Monthly_Data'!D214=D558,IF(ISBLANK('Monthly_Data'!D214)=ISBLANK(D558),0,1),1),IF('Monthly_Data'!E214=E558,IF(ISBLANK('Monthly_Data'!E214)=ISBLANK(E558),0,1),1),IF('Monthly_Data'!F214=F558,IF(ISBLANK('Monthly_Data'!F214)=ISBLANK(F558),0,1),1),IF('Monthly_Data'!G214=G558,IF(ISBLANK('Monthly_Data'!G214)=ISBLANK(G558),0,1),1),IF('Monthly_Data'!H214=H558,IF(ISBLANK('Monthly_Data'!H214)=ISBLANK(H558),0,1),1))</x:f>
        <x:v>0</x:v>
      </x:c>
    </x:row>
    <x:row r="559" ht="23" customHeight="1">
      <x:c r="A559" s="2" t="str">
        <x:v>61103099_BD_202502_IMPORT</x:v>
      </x:c>
      <x:c r="B559" s="2" t="n">
        <x:v>202502</x:v>
      </x:c>
      <x:c r="C559" s="2" t="str">
        <x:v>61103099</x:v>
      </x:c>
      <x:c r="D559" s="2" t="str">
        <x:v>Bangladesh</x:v>
      </x:c>
      <x:c r="E559" s="2" t="n">
        <x:v>6341666</x:v>
      </x:c>
      <x:c r="F559" s="2" t="n">
        <x:v>466974</x:v>
      </x:c>
      <x:c r="G559" s="2" t="str">
        <x:v>WITHIN_BAND</x:v>
      </x:c>
      <x:c r="H559" s="2" t="n">
        <x:v>1</x:v>
      </x:c>
      <x:c r="I559" s="2"/>
      <x:c r="J559" s="2"/>
      <x:c r="K559" s="2"/>
      <x:c r="L559" s="2" t="n">
        <x:f>SUM(IF('Monthly_Data'!A215=A559,IF(ISBLANK('Monthly_Data'!A215)=ISBLANK(A559),0,1),1),IF('Monthly_Data'!B215=B559,IF(ISBLANK('Monthly_Data'!B215)=ISBLANK(B559),0,1),1),IF('Monthly_Data'!C215=C559,IF(ISBLANK('Monthly_Data'!C215)=ISBLANK(C559),0,1),1),IF('Monthly_Data'!D215=D559,IF(ISBLANK('Monthly_Data'!D215)=ISBLANK(D559),0,1),1),IF('Monthly_Data'!E215=E559,IF(ISBLANK('Monthly_Data'!E215)=ISBLANK(E559),0,1),1),IF('Monthly_Data'!F215=F559,IF(ISBLANK('Monthly_Data'!F215)=ISBLANK(F559),0,1),1),IF('Monthly_Data'!G215=G559,IF(ISBLANK('Monthly_Data'!G215)=ISBLANK(G559),0,1),1),IF('Monthly_Data'!H215=H559,IF(ISBLANK('Monthly_Data'!H215)=ISBLANK(H559),0,1),1))</x:f>
        <x:v>0</x:v>
      </x:c>
    </x:row>
    <x:row r="560" ht="23" customHeight="1">
      <x:c r="A560" s="2" t="str">
        <x:v>61103099_KH_202502_IMPORT</x:v>
      </x:c>
      <x:c r="B560" s="2" t="n">
        <x:v>202502</x:v>
      </x:c>
      <x:c r="C560" s="2" t="str">
        <x:v>61103099</x:v>
      </x:c>
      <x:c r="D560" s="2" t="str">
        <x:v>Cambodia</x:v>
      </x:c>
      <x:c r="E560" s="2" t="n">
        <x:v>4493884</x:v>
      </x:c>
      <x:c r="F560" s="2" t="n">
        <x:v>412110</x:v>
      </x:c>
      <x:c r="G560" s="2" t="str">
        <x:v>WITHIN_BAND</x:v>
      </x:c>
      <x:c r="H560" s="2" t="n">
        <x:v>1</x:v>
      </x:c>
      <x:c r="I560" s="2"/>
      <x:c r="J560" s="2"/>
      <x:c r="K560" s="2"/>
      <x:c r="L560" s="2" t="n">
        <x:f>SUM(IF('Monthly_Data'!A216=A560,IF(ISBLANK('Monthly_Data'!A216)=ISBLANK(A560),0,1),1),IF('Monthly_Data'!B216=B560,IF(ISBLANK('Monthly_Data'!B216)=ISBLANK(B560),0,1),1),IF('Monthly_Data'!C216=C560,IF(ISBLANK('Monthly_Data'!C216)=ISBLANK(C560),0,1),1),IF('Monthly_Data'!D216=D560,IF(ISBLANK('Monthly_Data'!D216)=ISBLANK(D560),0,1),1),IF('Monthly_Data'!E216=E560,IF(ISBLANK('Monthly_Data'!E216)=ISBLANK(E560),0,1),1),IF('Monthly_Data'!F216=F560,IF(ISBLANK('Monthly_Data'!F216)=ISBLANK(F560),0,1),1),IF('Monthly_Data'!G216=G560,IF(ISBLANK('Monthly_Data'!G216)=ISBLANK(G560),0,1),1),IF('Monthly_Data'!H216=H560,IF(ISBLANK('Monthly_Data'!H216)=ISBLANK(H560),0,1),1))</x:f>
        <x:v>0</x:v>
      </x:c>
    </x:row>
    <x:row r="561" ht="23" customHeight="1">
      <x:c r="A561" s="2" t="str">
        <x:v>61103099_CN_202502_IMPORT</x:v>
      </x:c>
      <x:c r="B561" s="2" t="n">
        <x:v>202502</x:v>
      </x:c>
      <x:c r="C561" s="2" t="str">
        <x:v>61103099</x:v>
      </x:c>
      <x:c r="D561" s="2" t="str">
        <x:v>China</x:v>
      </x:c>
      <x:c r="E561" s="2" t="n">
        <x:v>9706182</x:v>
      </x:c>
      <x:c r="F561" s="2" t="n">
        <x:v>551375</x:v>
      </x:c>
      <x:c r="G561" s="2" t="str">
        <x:v>WITHIN_BAND</x:v>
      </x:c>
      <x:c r="H561" s="2" t="n">
        <x:v>1</x:v>
      </x:c>
      <x:c r="I561" s="2"/>
      <x:c r="J561" s="2"/>
      <x:c r="K561" s="2"/>
      <x:c r="L561" s="2" t="n">
        <x:f>SUM(IF('Monthly_Data'!A217=A561,IF(ISBLANK('Monthly_Data'!A217)=ISBLANK(A561),0,1),1),IF('Monthly_Data'!B217=B561,IF(ISBLANK('Monthly_Data'!B217)=ISBLANK(B561),0,1),1),IF('Monthly_Data'!C217=C561,IF(ISBLANK('Monthly_Data'!C217)=ISBLANK(C561),0,1),1),IF('Monthly_Data'!D217=D561,IF(ISBLANK('Monthly_Data'!D217)=ISBLANK(D561),0,1),1),IF('Monthly_Data'!E217=E561,IF(ISBLANK('Monthly_Data'!E217)=ISBLANK(E561),0,1),1),IF('Monthly_Data'!F217=F561,IF(ISBLANK('Monthly_Data'!F217)=ISBLANK(F561),0,1),1),IF('Monthly_Data'!G217=G561,IF(ISBLANK('Monthly_Data'!G217)=ISBLANK(G561),0,1),1),IF('Monthly_Data'!H217=H561,IF(ISBLANK('Monthly_Data'!H217)=ISBLANK(H561),0,1),1))</x:f>
        <x:v>0</x:v>
      </x:c>
    </x:row>
    <x:row r="562" ht="23" customHeight="1">
      <x:c r="A562" s="2" t="str">
        <x:v>61103099_IN_202502_IMPORT</x:v>
      </x:c>
      <x:c r="B562" s="2" t="n">
        <x:v>202502</x:v>
      </x:c>
      <x:c r="C562" s="2" t="str">
        <x:v>61103099</x:v>
      </x:c>
      <x:c r="D562" s="2" t="str">
        <x:v>India</x:v>
      </x:c>
      <x:c r="E562" s="2" t="n">
        <x:v>201338</x:v>
      </x:c>
      <x:c r="F562" s="2" t="n">
        <x:v>14866</x:v>
      </x:c>
      <x:c r="G562" s="2" t="str">
        <x:v>WITHIN_BAND</x:v>
      </x:c>
      <x:c r="H562" s="2" t="n">
        <x:v>1</x:v>
      </x:c>
      <x:c r="I562" s="2"/>
      <x:c r="J562" s="2"/>
      <x:c r="K562" s="2"/>
      <x:c r="L562" s="2" t="n">
        <x:f>SUM(IF('Monthly_Data'!A218=A562,IF(ISBLANK('Monthly_Data'!A218)=ISBLANK(A562),0,1),1),IF('Monthly_Data'!B218=B562,IF(ISBLANK('Monthly_Data'!B218)=ISBLANK(B562),0,1),1),IF('Monthly_Data'!C218=C562,IF(ISBLANK('Monthly_Data'!C218)=ISBLANK(C562),0,1),1),IF('Monthly_Data'!D218=D562,IF(ISBLANK('Monthly_Data'!D218)=ISBLANK(D562),0,1),1),IF('Monthly_Data'!E218=E562,IF(ISBLANK('Monthly_Data'!E218)=ISBLANK(E562),0,1),1),IF('Monthly_Data'!F218=F562,IF(ISBLANK('Monthly_Data'!F218)=ISBLANK(F562),0,1),1),IF('Monthly_Data'!G218=G562,IF(ISBLANK('Monthly_Data'!G218)=ISBLANK(G562),0,1),1),IF('Monthly_Data'!H218=H562,IF(ISBLANK('Monthly_Data'!H218)=ISBLANK(H562),0,1),1))</x:f>
        <x:v>0</x:v>
      </x:c>
    </x:row>
    <x:row r="563" ht="23" customHeight="1">
      <x:c r="A563" s="2" t="str">
        <x:v>61103099_MA_202502_IMPORT</x:v>
      </x:c>
      <x:c r="B563" s="2" t="n">
        <x:v>202502</x:v>
      </x:c>
      <x:c r="C563" s="2" t="str">
        <x:v>61103099</x:v>
      </x:c>
      <x:c r="D563" s="2" t="str">
        <x:v>Morocco</x:v>
      </x:c>
      <x:c r="E563" s="2" t="n">
        <x:v>12068</x:v>
      </x:c>
      <x:c r="F563" s="2" t="n">
        <x:v>1033</x:v>
      </x:c>
      <x:c r="G563" s="2" t="str">
        <x:v>WITHIN_BAND</x:v>
      </x:c>
      <x:c r="H563" s="2" t="n">
        <x:v>1</x:v>
      </x:c>
      <x:c r="I563" s="2"/>
      <x:c r="J563" s="2"/>
      <x:c r="K563" s="2"/>
      <x:c r="L563" s="2" t="n">
        <x:f>SUM(IF('Monthly_Data'!A219=A563,IF(ISBLANK('Monthly_Data'!A219)=ISBLANK(A563),0,1),1),IF('Monthly_Data'!B219=B563,IF(ISBLANK('Monthly_Data'!B219)=ISBLANK(B563),0,1),1),IF('Monthly_Data'!C219=C563,IF(ISBLANK('Monthly_Data'!C219)=ISBLANK(C563),0,1),1),IF('Monthly_Data'!D219=D563,IF(ISBLANK('Monthly_Data'!D219)=ISBLANK(D563),0,1),1),IF('Monthly_Data'!E219=E563,IF(ISBLANK('Monthly_Data'!E219)=ISBLANK(E563),0,1),1),IF('Monthly_Data'!F219=F563,IF(ISBLANK('Monthly_Data'!F219)=ISBLANK(F563),0,1),1),IF('Monthly_Data'!G219=G563,IF(ISBLANK('Monthly_Data'!G219)=ISBLANK(G563),0,1),1),IF('Monthly_Data'!H219=H563,IF(ISBLANK('Monthly_Data'!H219)=ISBLANK(H563),0,1),1))</x:f>
        <x:v>0</x:v>
      </x:c>
    </x:row>
    <x:row r="564" ht="23" customHeight="1">
      <x:c r="A564" s="2" t="str">
        <x:v>61103099_MM_202502_IMPORT</x:v>
      </x:c>
      <x:c r="B564" s="2" t="n">
        <x:v>202502</x:v>
      </x:c>
      <x:c r="C564" s="2" t="str">
        <x:v>61103099</x:v>
      </x:c>
      <x:c r="D564" s="2" t="str">
        <x:v>Myanmar</x:v>
      </x:c>
      <x:c r="E564" s="2" t="n">
        <x:v>261800</x:v>
      </x:c>
      <x:c r="F564" s="2" t="n">
        <x:v>16842</x:v>
      </x:c>
      <x:c r="G564" s="2" t="str">
        <x:v>WITHIN_BAND</x:v>
      </x:c>
      <x:c r="H564" s="2" t="n">
        <x:v>1</x:v>
      </x:c>
      <x:c r="I564" s="2"/>
      <x:c r="J564" s="2"/>
      <x:c r="K564" s="2"/>
      <x:c r="L564" s="2" t="n">
        <x:f>SUM(IF('Monthly_Data'!A220=A564,IF(ISBLANK('Monthly_Data'!A220)=ISBLANK(A564),0,1),1),IF('Monthly_Data'!B220=B564,IF(ISBLANK('Monthly_Data'!B220)=ISBLANK(B564),0,1),1),IF('Monthly_Data'!C220=C564,IF(ISBLANK('Monthly_Data'!C220)=ISBLANK(C564),0,1),1),IF('Monthly_Data'!D220=D564,IF(ISBLANK('Monthly_Data'!D220)=ISBLANK(D564),0,1),1),IF('Monthly_Data'!E220=E564,IF(ISBLANK('Monthly_Data'!E220)=ISBLANK(E564),0,1),1),IF('Monthly_Data'!F220=F564,IF(ISBLANK('Monthly_Data'!F220)=ISBLANK(F564),0,1),1),IF('Monthly_Data'!G220=G564,IF(ISBLANK('Monthly_Data'!G220)=ISBLANK(G564),0,1),1),IF('Monthly_Data'!H220=H564,IF(ISBLANK('Monthly_Data'!H220)=ISBLANK(H564),0,1),1))</x:f>
        <x:v>0</x:v>
      </x:c>
    </x:row>
    <x:row r="565" ht="23" customHeight="1">
      <x:c r="A565" s="2" t="str">
        <x:v>61103099_PK_202502_IMPORT</x:v>
      </x:c>
      <x:c r="B565" s="2" t="n">
        <x:v>202502</x:v>
      </x:c>
      <x:c r="C565" s="2" t="str">
        <x:v>61103099</x:v>
      </x:c>
      <x:c r="D565" s="2" t="str">
        <x:v>Pakistan</x:v>
      </x:c>
      <x:c r="E565" s="2" t="n">
        <x:v>451588</x:v>
      </x:c>
      <x:c r="F565" s="2" t="n">
        <x:v>37557</x:v>
      </x:c>
      <x:c r="G565" s="2" t="str">
        <x:v>WITHIN_BAND</x:v>
      </x:c>
      <x:c r="H565" s="2" t="n">
        <x:v>1</x:v>
      </x:c>
      <x:c r="I565" s="2"/>
      <x:c r="J565" s="2"/>
      <x:c r="K565" s="2"/>
      <x:c r="L565" s="2" t="n">
        <x:f>SUM(IF('Monthly_Data'!A221=A565,IF(ISBLANK('Monthly_Data'!A221)=ISBLANK(A565),0,1),1),IF('Monthly_Data'!B221=B565,IF(ISBLANK('Monthly_Data'!B221)=ISBLANK(B565),0,1),1),IF('Monthly_Data'!C221=C565,IF(ISBLANK('Monthly_Data'!C221)=ISBLANK(C565),0,1),1),IF('Monthly_Data'!D221=D565,IF(ISBLANK('Monthly_Data'!D221)=ISBLANK(D565),0,1),1),IF('Monthly_Data'!E221=E565,IF(ISBLANK('Monthly_Data'!E221)=ISBLANK(E565),0,1),1),IF('Monthly_Data'!F221=F565,IF(ISBLANK('Monthly_Data'!F221)=ISBLANK(F565),0,1),1),IF('Monthly_Data'!G221=G565,IF(ISBLANK('Monthly_Data'!G221)=ISBLANK(G565),0,1),1),IF('Monthly_Data'!H221=H565,IF(ISBLANK('Monthly_Data'!H221)=ISBLANK(H565),0,1),1))</x:f>
        <x:v>0</x:v>
      </x:c>
    </x:row>
    <x:row r="566" ht="23" customHeight="1">
      <x:c r="A566" s="2" t="str">
        <x:v>61103099_LK_202502_IMPORT</x:v>
      </x:c>
      <x:c r="B566" s="2" t="n">
        <x:v>202502</x:v>
      </x:c>
      <x:c r="C566" s="2" t="str">
        <x:v>61103099</x:v>
      </x:c>
      <x:c r="D566" s="2" t="str">
        <x:v>Sri Lanka</x:v>
      </x:c>
      <x:c r="E566" s="2" t="n">
        <x:v>72233</x:v>
      </x:c>
      <x:c r="F566" s="2" t="n">
        <x:v>3406</x:v>
      </x:c>
      <x:c r="G566" s="2" t="str">
        <x:v>WITHIN_BAND</x:v>
      </x:c>
      <x:c r="H566" s="2" t="n">
        <x:v>1</x:v>
      </x:c>
      <x:c r="I566" s="2"/>
      <x:c r="J566" s="2"/>
      <x:c r="K566" s="2"/>
      <x:c r="L566" s="2" t="n">
        <x:f>SUM(IF('Monthly_Data'!A222=A566,IF(ISBLANK('Monthly_Data'!A222)=ISBLANK(A566),0,1),1),IF('Monthly_Data'!B222=B566,IF(ISBLANK('Monthly_Data'!B222)=ISBLANK(B566),0,1),1),IF('Monthly_Data'!C222=C566,IF(ISBLANK('Monthly_Data'!C222)=ISBLANK(C566),0,1),1),IF('Monthly_Data'!D222=D566,IF(ISBLANK('Monthly_Data'!D222)=ISBLANK(D566),0,1),1),IF('Monthly_Data'!E222=E566,IF(ISBLANK('Monthly_Data'!E222)=ISBLANK(E566),0,1),1),IF('Monthly_Data'!F222=F566,IF(ISBLANK('Monthly_Data'!F222)=ISBLANK(F566),0,1),1),IF('Monthly_Data'!G222=G566,IF(ISBLANK('Monthly_Data'!G222)=ISBLANK(G566),0,1),1),IF('Monthly_Data'!H222=H566,IF(ISBLANK('Monthly_Data'!H222)=ISBLANK(H566),0,1),1))</x:f>
        <x:v>0</x:v>
      </x:c>
    </x:row>
    <x:row r="567" ht="23" customHeight="1">
      <x:c r="A567" s="2" t="str">
        <x:v>61103099_TR_202502_IMPORT</x:v>
      </x:c>
      <x:c r="B567" s="2" t="n">
        <x:v>202502</x:v>
      </x:c>
      <x:c r="C567" s="2" t="str">
        <x:v>61103099</x:v>
      </x:c>
      <x:c r="D567" s="2" t="str">
        <x:v>Turkey</x:v>
      </x:c>
      <x:c r="E567" s="2" t="n">
        <x:v>3809624</x:v>
      </x:c>
      <x:c r="F567" s="2" t="n">
        <x:v>195878</x:v>
      </x:c>
      <x:c r="G567" s="2" t="str">
        <x:v>WITHIN_BAND</x:v>
      </x:c>
      <x:c r="H567" s="2" t="n">
        <x:v>1</x:v>
      </x:c>
      <x:c r="I567" s="2"/>
      <x:c r="J567" s="2"/>
      <x:c r="K567" s="2"/>
      <x:c r="L567" s="2" t="n">
        <x:f>SUM(IF('Monthly_Data'!A223=A567,IF(ISBLANK('Monthly_Data'!A223)=ISBLANK(A567),0,1),1),IF('Monthly_Data'!B223=B567,IF(ISBLANK('Monthly_Data'!B223)=ISBLANK(B567),0,1),1),IF('Monthly_Data'!C223=C567,IF(ISBLANK('Monthly_Data'!C223)=ISBLANK(C567),0,1),1),IF('Monthly_Data'!D223=D567,IF(ISBLANK('Monthly_Data'!D223)=ISBLANK(D567),0,1),1),IF('Monthly_Data'!E223=E567,IF(ISBLANK('Monthly_Data'!E223)=ISBLANK(E567),0,1),1),IF('Monthly_Data'!F223=F567,IF(ISBLANK('Monthly_Data'!F223)=ISBLANK(F567),0,1),1),IF('Monthly_Data'!G223=G567,IF(ISBLANK('Monthly_Data'!G223)=ISBLANK(G567),0,1),1),IF('Monthly_Data'!H223=H567,IF(ISBLANK('Monthly_Data'!H223)=ISBLANK(H567),0,1),1))</x:f>
        <x:v>0</x:v>
      </x:c>
    </x:row>
    <x:row r="568" ht="23" customHeight="1">
      <x:c r="A568" s="2" t="str">
        <x:v>61103099_VN_202502_IMPORT</x:v>
      </x:c>
      <x:c r="B568" s="2" t="n">
        <x:v>202502</x:v>
      </x:c>
      <x:c r="C568" s="2" t="str">
        <x:v>61103099</x:v>
      </x:c>
      <x:c r="D568" s="2" t="str">
        <x:v>Vietnam</x:v>
      </x:c>
      <x:c r="E568" s="2" t="n">
        <x:v>418158</x:v>
      </x:c>
      <x:c r="F568" s="2" t="n">
        <x:v>12904</x:v>
      </x:c>
      <x:c r="G568" s="2" t="str">
        <x:v>WITHIN_BAND</x:v>
      </x:c>
      <x:c r="H568" s="2" t="n">
        <x:v>1</x:v>
      </x:c>
      <x:c r="I568" s="2"/>
      <x:c r="J568" s="2"/>
      <x:c r="K568" s="2"/>
      <x:c r="L568" s="2" t="n">
        <x:f>SUM(IF('Monthly_Data'!A224=A568,IF(ISBLANK('Monthly_Data'!A224)=ISBLANK(A568),0,1),1),IF('Monthly_Data'!B224=B568,IF(ISBLANK('Monthly_Data'!B224)=ISBLANK(B568),0,1),1),IF('Monthly_Data'!C224=C568,IF(ISBLANK('Monthly_Data'!C224)=ISBLANK(C568),0,1),1),IF('Monthly_Data'!D224=D568,IF(ISBLANK('Monthly_Data'!D224)=ISBLANK(D568),0,1),1),IF('Monthly_Data'!E224=E568,IF(ISBLANK('Monthly_Data'!E224)=ISBLANK(E568),0,1),1),IF('Monthly_Data'!F224=F568,IF(ISBLANK('Monthly_Data'!F224)=ISBLANK(F568),0,1),1),IF('Monthly_Data'!G224=G568,IF(ISBLANK('Monthly_Data'!G224)=ISBLANK(G568),0,1),1),IF('Monthly_Data'!H224=H568,IF(ISBLANK('Monthly_Data'!H224)=ISBLANK(H568),0,1),1))</x:f>
        <x:v>0</x:v>
      </x:c>
    </x:row>
    <x:row r="569" ht="23" customHeight="1">
      <x:c r="A569" s="2" t="str">
        <x:v>61103099_WORLD_202502_IMPORT</x:v>
      </x:c>
      <x:c r="B569" s="2" t="n">
        <x:v>202502</x:v>
      </x:c>
      <x:c r="C569" s="2" t="str">
        <x:v>61103099</x:v>
      </x:c>
      <x:c r="D569" s="2" t="str">
        <x:v>World</x:v>
      </x:c>
      <x:c r="E569" s="2" t="n">
        <x:v>36438649</x:v>
      </x:c>
      <x:c r="F569" s="2" t="n">
        <x:v>2180030</x:v>
      </x:c>
      <x:c r="G569" s="2" t="str">
        <x:v>WITHIN_BAND</x:v>
      </x:c>
      <x:c r="H569" s="2" t="n">
        <x:v>1</x:v>
      </x:c>
      <x:c r="I569" s="2"/>
      <x:c r="J569" s="2"/>
      <x:c r="K569" s="2"/>
      <x:c r="L569" s="2" t="n">
        <x:f>SUM(IF('Monthly_Data'!A225=A569,IF(ISBLANK('Monthly_Data'!A225)=ISBLANK(A569),0,1),1),IF('Monthly_Data'!B225=B569,IF(ISBLANK('Monthly_Data'!B225)=ISBLANK(B569),0,1),1),IF('Monthly_Data'!C225=C569,IF(ISBLANK('Monthly_Data'!C225)=ISBLANK(C569),0,1),1),IF('Monthly_Data'!D225=D569,IF(ISBLANK('Monthly_Data'!D225)=ISBLANK(D569),0,1),1),IF('Monthly_Data'!E225=E569,IF(ISBLANK('Monthly_Data'!E225)=ISBLANK(E569),0,1),1),IF('Monthly_Data'!F225=F569,IF(ISBLANK('Monthly_Data'!F225)=ISBLANK(F569),0,1),1),IF('Monthly_Data'!G225=G569,IF(ISBLANK('Monthly_Data'!G225)=ISBLANK(G569),0,1),1),IF('Monthly_Data'!H225=H569,IF(ISBLANK('Monthly_Data'!H225)=ISBLANK(H569),0,1),1))</x:f>
        <x:v>0</x:v>
      </x:c>
    </x:row>
    <x:row r="570" ht="23" customHeight="1">
      <x:c r="A570" s="2" t="str">
        <x:v>61103099_BD_202503_IMPORT</x:v>
      </x:c>
      <x:c r="B570" s="2" t="n">
        <x:v>202503</x:v>
      </x:c>
      <x:c r="C570" s="2" t="str">
        <x:v>61103099</x:v>
      </x:c>
      <x:c r="D570" s="2" t="str">
        <x:v>Bangladesh</x:v>
      </x:c>
      <x:c r="E570" s="2" t="n">
        <x:v>5403751</x:v>
      </x:c>
      <x:c r="F570" s="2" t="n">
        <x:v>460113</x:v>
      </x:c>
      <x:c r="G570" s="2" t="str">
        <x:v>WITHIN_BAND</x:v>
      </x:c>
      <x:c r="H570" s="2" t="n">
        <x:v>1</x:v>
      </x:c>
      <x:c r="I570" s="2"/>
      <x:c r="J570" s="2"/>
      <x:c r="K570" s="2"/>
      <x:c r="L570" s="2" t="n">
        <x:f>SUM(IF('Monthly_Data'!A226=A570,IF(ISBLANK('Monthly_Data'!A226)=ISBLANK(A570),0,1),1),IF('Monthly_Data'!B226=B570,IF(ISBLANK('Monthly_Data'!B226)=ISBLANK(B570),0,1),1),IF('Monthly_Data'!C226=C570,IF(ISBLANK('Monthly_Data'!C226)=ISBLANK(C570),0,1),1),IF('Monthly_Data'!D226=D570,IF(ISBLANK('Monthly_Data'!D226)=ISBLANK(D570),0,1),1),IF('Monthly_Data'!E226=E570,IF(ISBLANK('Monthly_Data'!E226)=ISBLANK(E570),0,1),1),IF('Monthly_Data'!F226=F570,IF(ISBLANK('Monthly_Data'!F226)=ISBLANK(F570),0,1),1),IF('Monthly_Data'!G226=G570,IF(ISBLANK('Monthly_Data'!G226)=ISBLANK(G570),0,1),1),IF('Monthly_Data'!H226=H570,IF(ISBLANK('Monthly_Data'!H226)=ISBLANK(H570),0,1),1))</x:f>
        <x:v>0</x:v>
      </x:c>
    </x:row>
    <x:row r="571" ht="23" customHeight="1">
      <x:c r="A571" s="2" t="str">
        <x:v>61103099_KH_202503_IMPORT</x:v>
      </x:c>
      <x:c r="B571" s="2" t="n">
        <x:v>202503</x:v>
      </x:c>
      <x:c r="C571" s="2" t="str">
        <x:v>61103099</x:v>
      </x:c>
      <x:c r="D571" s="2" t="str">
        <x:v>Cambodia</x:v>
      </x:c>
      <x:c r="E571" s="2" t="n">
        <x:v>3776401</x:v>
      </x:c>
      <x:c r="F571" s="2" t="n">
        <x:v>358447</x:v>
      </x:c>
      <x:c r="G571" s="2" t="str">
        <x:v>WITHIN_BAND</x:v>
      </x:c>
      <x:c r="H571" s="2" t="n">
        <x:v>1</x:v>
      </x:c>
      <x:c r="I571" s="2"/>
      <x:c r="J571" s="2"/>
      <x:c r="K571" s="2"/>
      <x:c r="L571" s="2" t="n">
        <x:f>SUM(IF('Monthly_Data'!A227=A571,IF(ISBLANK('Monthly_Data'!A227)=ISBLANK(A571),0,1),1),IF('Monthly_Data'!B227=B571,IF(ISBLANK('Monthly_Data'!B227)=ISBLANK(B571),0,1),1),IF('Monthly_Data'!C227=C571,IF(ISBLANK('Monthly_Data'!C227)=ISBLANK(C571),0,1),1),IF('Monthly_Data'!D227=D571,IF(ISBLANK('Monthly_Data'!D227)=ISBLANK(D571),0,1),1),IF('Monthly_Data'!E227=E571,IF(ISBLANK('Monthly_Data'!E227)=ISBLANK(E571),0,1),1),IF('Monthly_Data'!F227=F571,IF(ISBLANK('Monthly_Data'!F227)=ISBLANK(F571),0,1),1),IF('Monthly_Data'!G227=G571,IF(ISBLANK('Monthly_Data'!G227)=ISBLANK(G571),0,1),1),IF('Monthly_Data'!H227=H571,IF(ISBLANK('Monthly_Data'!H227)=ISBLANK(H571),0,1),1))</x:f>
        <x:v>0</x:v>
      </x:c>
    </x:row>
    <x:row r="572" ht="23" customHeight="1">
      <x:c r="A572" s="2" t="str">
        <x:v>61103099_CN_202503_IMPORT</x:v>
      </x:c>
      <x:c r="B572" s="2" t="n">
        <x:v>202503</x:v>
      </x:c>
      <x:c r="C572" s="2" t="str">
        <x:v>61103099</x:v>
      </x:c>
      <x:c r="D572" s="2" t="str">
        <x:v>China</x:v>
      </x:c>
      <x:c r="E572" s="2" t="n">
        <x:v>6755114</x:v>
      </x:c>
      <x:c r="F572" s="2" t="n">
        <x:v>364189</x:v>
      </x:c>
      <x:c r="G572" s="2" t="str">
        <x:v>WITHIN_BAND</x:v>
      </x:c>
      <x:c r="H572" s="2" t="n">
        <x:v>1</x:v>
      </x:c>
      <x:c r="I572" s="2"/>
      <x:c r="J572" s="2"/>
      <x:c r="K572" s="2"/>
      <x:c r="L572" s="2" t="n">
        <x:f>SUM(IF('Monthly_Data'!A228=A572,IF(ISBLANK('Monthly_Data'!A228)=ISBLANK(A572),0,1),1),IF('Monthly_Data'!B228=B572,IF(ISBLANK('Monthly_Data'!B228)=ISBLANK(B572),0,1),1),IF('Monthly_Data'!C228=C572,IF(ISBLANK('Monthly_Data'!C228)=ISBLANK(C572),0,1),1),IF('Monthly_Data'!D228=D572,IF(ISBLANK('Monthly_Data'!D228)=ISBLANK(D572),0,1),1),IF('Monthly_Data'!E228=E572,IF(ISBLANK('Monthly_Data'!E228)=ISBLANK(E572),0,1),1),IF('Monthly_Data'!F228=F572,IF(ISBLANK('Monthly_Data'!F228)=ISBLANK(F572),0,1),1),IF('Monthly_Data'!G228=G572,IF(ISBLANK('Monthly_Data'!G228)=ISBLANK(G572),0,1),1),IF('Monthly_Data'!H228=H572,IF(ISBLANK('Monthly_Data'!H228)=ISBLANK(H572),0,1),1))</x:f>
        <x:v>0</x:v>
      </x:c>
    </x:row>
    <x:row r="573" ht="23" customHeight="1">
      <x:c r="A573" s="2" t="str">
        <x:v>61103099_IN_202503_IMPORT</x:v>
      </x:c>
      <x:c r="B573" s="2" t="n">
        <x:v>202503</x:v>
      </x:c>
      <x:c r="C573" s="2" t="str">
        <x:v>61103099</x:v>
      </x:c>
      <x:c r="D573" s="2" t="str">
        <x:v>India</x:v>
      </x:c>
      <x:c r="E573" s="2" t="n">
        <x:v>168659</x:v>
      </x:c>
      <x:c r="F573" s="2" t="n">
        <x:v>11533</x:v>
      </x:c>
      <x:c r="G573" s="2" t="str">
        <x:v>WITHIN_BAND</x:v>
      </x:c>
      <x:c r="H573" s="2" t="n">
        <x:v>1</x:v>
      </x:c>
      <x:c r="I573" s="2"/>
      <x:c r="J573" s="2"/>
      <x:c r="K573" s="2"/>
      <x:c r="L573" s="2" t="n">
        <x:f>SUM(IF('Monthly_Data'!A229=A573,IF(ISBLANK('Monthly_Data'!A229)=ISBLANK(A573),0,1),1),IF('Monthly_Data'!B229=B573,IF(ISBLANK('Monthly_Data'!B229)=ISBLANK(B573),0,1),1),IF('Monthly_Data'!C229=C573,IF(ISBLANK('Monthly_Data'!C229)=ISBLANK(C573),0,1),1),IF('Monthly_Data'!D229=D573,IF(ISBLANK('Monthly_Data'!D229)=ISBLANK(D573),0,1),1),IF('Monthly_Data'!E229=E573,IF(ISBLANK('Monthly_Data'!E229)=ISBLANK(E573),0,1),1),IF('Monthly_Data'!F229=F573,IF(ISBLANK('Monthly_Data'!F229)=ISBLANK(F573),0,1),1),IF('Monthly_Data'!G229=G573,IF(ISBLANK('Monthly_Data'!G229)=ISBLANK(G573),0,1),1),IF('Monthly_Data'!H229=H573,IF(ISBLANK('Monthly_Data'!H229)=ISBLANK(H573),0,1),1))</x:f>
        <x:v>0</x:v>
      </x:c>
    </x:row>
    <x:row r="574" ht="23" customHeight="1">
      <x:c r="A574" s="2" t="str">
        <x:v>61103099_MA_202503_IMPORT</x:v>
      </x:c>
      <x:c r="B574" s="2" t="n">
        <x:v>202503</x:v>
      </x:c>
      <x:c r="C574" s="2" t="str">
        <x:v>61103099</x:v>
      </x:c>
      <x:c r="D574" s="2" t="str">
        <x:v>Morocco</x:v>
      </x:c>
      <x:c r="E574" s="2" t="n">
        <x:v>34687</x:v>
      </x:c>
      <x:c r="F574" s="2" t="n">
        <x:v>3476</x:v>
      </x:c>
      <x:c r="G574" s="2" t="str">
        <x:v>WITHIN_BAND</x:v>
      </x:c>
      <x:c r="H574" s="2" t="n">
        <x:v>1</x:v>
      </x:c>
      <x:c r="I574" s="2"/>
      <x:c r="J574" s="2"/>
      <x:c r="K574" s="2"/>
      <x:c r="L574" s="2" t="n">
        <x:f>SUM(IF('Monthly_Data'!A230=A574,IF(ISBLANK('Monthly_Data'!A230)=ISBLANK(A574),0,1),1),IF('Monthly_Data'!B230=B574,IF(ISBLANK('Monthly_Data'!B230)=ISBLANK(B574),0,1),1),IF('Monthly_Data'!C230=C574,IF(ISBLANK('Monthly_Data'!C230)=ISBLANK(C574),0,1),1),IF('Monthly_Data'!D230=D574,IF(ISBLANK('Monthly_Data'!D230)=ISBLANK(D574),0,1),1),IF('Monthly_Data'!E230=E574,IF(ISBLANK('Monthly_Data'!E230)=ISBLANK(E574),0,1),1),IF('Monthly_Data'!F230=F574,IF(ISBLANK('Monthly_Data'!F230)=ISBLANK(F574),0,1),1),IF('Monthly_Data'!G230=G574,IF(ISBLANK('Monthly_Data'!G230)=ISBLANK(G574),0,1),1),IF('Monthly_Data'!H230=H574,IF(ISBLANK('Monthly_Data'!H230)=ISBLANK(H574),0,1),1))</x:f>
        <x:v>0</x:v>
      </x:c>
    </x:row>
    <x:row r="575" ht="23" customHeight="1">
      <x:c r="A575" s="2" t="str">
        <x:v>61103099_MM_202503_IMPORT</x:v>
      </x:c>
      <x:c r="B575" s="2" t="n">
        <x:v>202503</x:v>
      </x:c>
      <x:c r="C575" s="2" t="str">
        <x:v>61103099</x:v>
      </x:c>
      <x:c r="D575" s="2" t="str">
        <x:v>Myanmar</x:v>
      </x:c>
      <x:c r="E575" s="2" t="n">
        <x:v>149026</x:v>
      </x:c>
      <x:c r="F575" s="2" t="n">
        <x:v>7412</x:v>
      </x:c>
      <x:c r="G575" s="2" t="str">
        <x:v>WITHIN_BAND</x:v>
      </x:c>
      <x:c r="H575" s="2" t="n">
        <x:v>1</x:v>
      </x:c>
      <x:c r="I575" s="2"/>
      <x:c r="J575" s="2"/>
      <x:c r="K575" s="2"/>
      <x:c r="L575" s="2" t="n">
        <x:f>SUM(IF('Monthly_Data'!A231=A575,IF(ISBLANK('Monthly_Data'!A231)=ISBLANK(A575),0,1),1),IF('Monthly_Data'!B231=B575,IF(ISBLANK('Monthly_Data'!B231)=ISBLANK(B575),0,1),1),IF('Monthly_Data'!C231=C575,IF(ISBLANK('Monthly_Data'!C231)=ISBLANK(C575),0,1),1),IF('Monthly_Data'!D231=D575,IF(ISBLANK('Monthly_Data'!D231)=ISBLANK(D575),0,1),1),IF('Monthly_Data'!E231=E575,IF(ISBLANK('Monthly_Data'!E231)=ISBLANK(E575),0,1),1),IF('Monthly_Data'!F231=F575,IF(ISBLANK('Monthly_Data'!F231)=ISBLANK(F575),0,1),1),IF('Monthly_Data'!G231=G575,IF(ISBLANK('Monthly_Data'!G231)=ISBLANK(G575),0,1),1),IF('Monthly_Data'!H231=H575,IF(ISBLANK('Monthly_Data'!H231)=ISBLANK(H575),0,1),1))</x:f>
        <x:v>0</x:v>
      </x:c>
    </x:row>
    <x:row r="576" ht="23" customHeight="1">
      <x:c r="A576" s="2" t="str">
        <x:v>61103099_PK_202503_IMPORT</x:v>
      </x:c>
      <x:c r="B576" s="2" t="n">
        <x:v>202503</x:v>
      </x:c>
      <x:c r="C576" s="2" t="str">
        <x:v>61103099</x:v>
      </x:c>
      <x:c r="D576" s="2" t="str">
        <x:v>Pakistan</x:v>
      </x:c>
      <x:c r="E576" s="2" t="n">
        <x:v>638965</x:v>
      </x:c>
      <x:c r="F576" s="2" t="n">
        <x:v>46045</x:v>
      </x:c>
      <x:c r="G576" s="2" t="str">
        <x:v>WITHIN_BAND</x:v>
      </x:c>
      <x:c r="H576" s="2" t="n">
        <x:v>1</x:v>
      </x:c>
      <x:c r="I576" s="2"/>
      <x:c r="J576" s="2"/>
      <x:c r="K576" s="2"/>
      <x:c r="L576" s="2" t="n">
        <x:f>SUM(IF('Monthly_Data'!A232=A576,IF(ISBLANK('Monthly_Data'!A232)=ISBLANK(A576),0,1),1),IF('Monthly_Data'!B232=B576,IF(ISBLANK('Monthly_Data'!B232)=ISBLANK(B576),0,1),1),IF('Monthly_Data'!C232=C576,IF(ISBLANK('Monthly_Data'!C232)=ISBLANK(C576),0,1),1),IF('Monthly_Data'!D232=D576,IF(ISBLANK('Monthly_Data'!D232)=ISBLANK(D576),0,1),1),IF('Monthly_Data'!E232=E576,IF(ISBLANK('Monthly_Data'!E232)=ISBLANK(E576),0,1),1),IF('Monthly_Data'!F232=F576,IF(ISBLANK('Monthly_Data'!F232)=ISBLANK(F576),0,1),1),IF('Monthly_Data'!G232=G576,IF(ISBLANK('Monthly_Data'!G232)=ISBLANK(G576),0,1),1),IF('Monthly_Data'!H232=H576,IF(ISBLANK('Monthly_Data'!H232)=ISBLANK(H576),0,1),1))</x:f>
        <x:v>0</x:v>
      </x:c>
    </x:row>
    <x:row r="577" ht="23" customHeight="1">
      <x:c r="A577" s="2" t="str">
        <x:v>61103099_LK_202503_IMPORT</x:v>
      </x:c>
      <x:c r="B577" s="2" t="n">
        <x:v>202503</x:v>
      </x:c>
      <x:c r="C577" s="2" t="str">
        <x:v>61103099</x:v>
      </x:c>
      <x:c r="D577" s="2" t="str">
        <x:v>Sri Lanka</x:v>
      </x:c>
      <x:c r="E577" s="2" t="n">
        <x:v>148580</x:v>
      </x:c>
      <x:c r="F577" s="2" t="n">
        <x:v>6043</x:v>
      </x:c>
      <x:c r="G577" s="2" t="str">
        <x:v>WITHIN_BAND</x:v>
      </x:c>
      <x:c r="H577" s="2" t="n">
        <x:v>1</x:v>
      </x:c>
      <x:c r="I577" s="2"/>
      <x:c r="J577" s="2"/>
      <x:c r="K577" s="2"/>
      <x:c r="L577" s="2" t="n">
        <x:f>SUM(IF('Monthly_Data'!A233=A577,IF(ISBLANK('Monthly_Data'!A233)=ISBLANK(A577),0,1),1),IF('Monthly_Data'!B233=B577,IF(ISBLANK('Monthly_Data'!B233)=ISBLANK(B577),0,1),1),IF('Monthly_Data'!C233=C577,IF(ISBLANK('Monthly_Data'!C233)=ISBLANK(C577),0,1),1),IF('Monthly_Data'!D233=D577,IF(ISBLANK('Monthly_Data'!D233)=ISBLANK(D577),0,1),1),IF('Monthly_Data'!E233=E577,IF(ISBLANK('Monthly_Data'!E233)=ISBLANK(E577),0,1),1),IF('Monthly_Data'!F233=F577,IF(ISBLANK('Monthly_Data'!F233)=ISBLANK(F577),0,1),1),IF('Monthly_Data'!G233=G577,IF(ISBLANK('Monthly_Data'!G233)=ISBLANK(G577),0,1),1),IF('Monthly_Data'!H233=H577,IF(ISBLANK('Monthly_Data'!H233)=ISBLANK(H577),0,1),1))</x:f>
        <x:v>0</x:v>
      </x:c>
    </x:row>
    <x:row r="578" ht="23" customHeight="1">
      <x:c r="A578" s="2" t="str">
        <x:v>61103099_TR_202503_IMPORT</x:v>
      </x:c>
      <x:c r="B578" s="2" t="n">
        <x:v>202503</x:v>
      </x:c>
      <x:c r="C578" s="2" t="str">
        <x:v>61103099</x:v>
      </x:c>
      <x:c r="D578" s="2" t="str">
        <x:v>Turkey</x:v>
      </x:c>
      <x:c r="E578" s="2" t="n">
        <x:v>2265412</x:v>
      </x:c>
      <x:c r="F578" s="2" t="n">
        <x:v>93167</x:v>
      </x:c>
      <x:c r="G578" s="2" t="str">
        <x:v>WITHIN_BAND</x:v>
      </x:c>
      <x:c r="H578" s="2" t="n">
        <x:v>1</x:v>
      </x:c>
      <x:c r="I578" s="2"/>
      <x:c r="J578" s="2"/>
      <x:c r="K578" s="2"/>
      <x:c r="L578" s="2" t="n">
        <x:f>SUM(IF('Monthly_Data'!A234=A578,IF(ISBLANK('Monthly_Data'!A234)=ISBLANK(A578),0,1),1),IF('Monthly_Data'!B234=B578,IF(ISBLANK('Monthly_Data'!B234)=ISBLANK(B578),0,1),1),IF('Monthly_Data'!C234=C578,IF(ISBLANK('Monthly_Data'!C234)=ISBLANK(C578),0,1),1),IF('Monthly_Data'!D234=D578,IF(ISBLANK('Monthly_Data'!D234)=ISBLANK(D578),0,1),1),IF('Monthly_Data'!E234=E578,IF(ISBLANK('Monthly_Data'!E234)=ISBLANK(E578),0,1),1),IF('Monthly_Data'!F234=F578,IF(ISBLANK('Monthly_Data'!F234)=ISBLANK(F578),0,1),1),IF('Monthly_Data'!G234=G578,IF(ISBLANK('Monthly_Data'!G234)=ISBLANK(G578),0,1),1),IF('Monthly_Data'!H234=H578,IF(ISBLANK('Monthly_Data'!H234)=ISBLANK(H578),0,1),1))</x:f>
        <x:v>0</x:v>
      </x:c>
    </x:row>
    <x:row r="579" ht="23" customHeight="1">
      <x:c r="A579" s="2" t="str">
        <x:v>61103099_VN_202503_IMPORT</x:v>
      </x:c>
      <x:c r="B579" s="2" t="n">
        <x:v>202503</x:v>
      </x:c>
      <x:c r="C579" s="2" t="str">
        <x:v>61103099</x:v>
      </x:c>
      <x:c r="D579" s="2" t="str">
        <x:v>Vietnam</x:v>
      </x:c>
      <x:c r="E579" s="2" t="n">
        <x:v>578346</x:v>
      </x:c>
      <x:c r="F579" s="2" t="n">
        <x:v>23093</x:v>
      </x:c>
      <x:c r="G579" s="2" t="str">
        <x:v>WITHIN_BAND</x:v>
      </x:c>
      <x:c r="H579" s="2" t="n">
        <x:v>1</x:v>
      </x:c>
      <x:c r="I579" s="2"/>
      <x:c r="J579" s="2"/>
      <x:c r="K579" s="2"/>
      <x:c r="L579" s="2" t="n">
        <x:f>SUM(IF('Monthly_Data'!A235=A579,IF(ISBLANK('Monthly_Data'!A235)=ISBLANK(A579),0,1),1),IF('Monthly_Data'!B235=B579,IF(ISBLANK('Monthly_Data'!B235)=ISBLANK(B579),0,1),1),IF('Monthly_Data'!C235=C579,IF(ISBLANK('Monthly_Data'!C235)=ISBLANK(C579),0,1),1),IF('Monthly_Data'!D235=D579,IF(ISBLANK('Monthly_Data'!D235)=ISBLANK(D579),0,1),1),IF('Monthly_Data'!E235=E579,IF(ISBLANK('Monthly_Data'!E235)=ISBLANK(E579),0,1),1),IF('Monthly_Data'!F235=F579,IF(ISBLANK('Monthly_Data'!F235)=ISBLANK(F579),0,1),1),IF('Monthly_Data'!G235=G579,IF(ISBLANK('Monthly_Data'!G235)=ISBLANK(G579),0,1),1),IF('Monthly_Data'!H235=H579,IF(ISBLANK('Monthly_Data'!H235)=ISBLANK(H579),0,1),1))</x:f>
        <x:v>0</x:v>
      </x:c>
    </x:row>
    <x:row r="580" ht="23" customHeight="1">
      <x:c r="A580" s="2" t="str">
        <x:v>61103099_WORLD_202503_IMPORT</x:v>
      </x:c>
      <x:c r="B580" s="2" t="n">
        <x:v>202503</x:v>
      </x:c>
      <x:c r="C580" s="2" t="str">
        <x:v>61103099</x:v>
      </x:c>
      <x:c r="D580" s="2" t="str">
        <x:v>World</x:v>
      </x:c>
      <x:c r="E580" s="2" t="n">
        <x:v>28808132</x:v>
      </x:c>
      <x:c r="F580" s="2" t="n">
        <x:v>1724720</x:v>
      </x:c>
      <x:c r="G580" s="2" t="str">
        <x:v>WITHIN_BAND</x:v>
      </x:c>
      <x:c r="H580" s="2" t="n">
        <x:v>1</x:v>
      </x:c>
      <x:c r="I580" s="2"/>
      <x:c r="J580" s="2"/>
      <x:c r="K580" s="2"/>
      <x:c r="L580" s="2" t="n">
        <x:f>SUM(IF('Monthly_Data'!A236=A580,IF(ISBLANK('Monthly_Data'!A236)=ISBLANK(A580),0,1),1),IF('Monthly_Data'!B236=B580,IF(ISBLANK('Monthly_Data'!B236)=ISBLANK(B580),0,1),1),IF('Monthly_Data'!C236=C580,IF(ISBLANK('Monthly_Data'!C236)=ISBLANK(C580),0,1),1),IF('Monthly_Data'!D236=D580,IF(ISBLANK('Monthly_Data'!D236)=ISBLANK(D580),0,1),1),IF('Monthly_Data'!E236=E580,IF(ISBLANK('Monthly_Data'!E236)=ISBLANK(E580),0,1),1),IF('Monthly_Data'!F236=F580,IF(ISBLANK('Monthly_Data'!F236)=ISBLANK(F580),0,1),1),IF('Monthly_Data'!G236=G580,IF(ISBLANK('Monthly_Data'!G236)=ISBLANK(G580),0,1),1),IF('Monthly_Data'!H236=H580,IF(ISBLANK('Monthly_Data'!H236)=ISBLANK(H580),0,1),1))</x:f>
        <x:v>0</x:v>
      </x:c>
    </x:row>
    <x:row r="581" ht="23" customHeight="1">
      <x:c r="A581" s="2" t="str">
        <x:v>61103099_BD_202504_IMPORT</x:v>
      </x:c>
      <x:c r="B581" s="2" t="n">
        <x:v>202504</x:v>
      </x:c>
      <x:c r="C581" s="2" t="str">
        <x:v>61103099</x:v>
      </x:c>
      <x:c r="D581" s="2" t="str">
        <x:v>Bangladesh</x:v>
      </x:c>
      <x:c r="E581" s="2" t="n">
        <x:v>3720743</x:v>
      </x:c>
      <x:c r="F581" s="2" t="n">
        <x:v>293389</x:v>
      </x:c>
      <x:c r="G581" s="2" t="str">
        <x:v>WITHIN_BAND</x:v>
      </x:c>
      <x:c r="H581" s="2" t="n">
        <x:v>1</x:v>
      </x:c>
      <x:c r="I581" s="2"/>
      <x:c r="J581" s="2"/>
      <x:c r="K581" s="2"/>
      <x:c r="L581" s="2" t="n">
        <x:f>SUM(IF('Monthly_Data'!A237=A581,IF(ISBLANK('Monthly_Data'!A237)=ISBLANK(A581),0,1),1),IF('Monthly_Data'!B237=B581,IF(ISBLANK('Monthly_Data'!B237)=ISBLANK(B581),0,1),1),IF('Monthly_Data'!C237=C581,IF(ISBLANK('Monthly_Data'!C237)=ISBLANK(C581),0,1),1),IF('Monthly_Data'!D237=D581,IF(ISBLANK('Monthly_Data'!D237)=ISBLANK(D581),0,1),1),IF('Monthly_Data'!E237=E581,IF(ISBLANK('Monthly_Data'!E237)=ISBLANK(E581),0,1),1),IF('Monthly_Data'!F237=F581,IF(ISBLANK('Monthly_Data'!F237)=ISBLANK(F581),0,1),1),IF('Monthly_Data'!G237=G581,IF(ISBLANK('Monthly_Data'!G237)=ISBLANK(G581),0,1),1),IF('Monthly_Data'!H237=H581,IF(ISBLANK('Monthly_Data'!H237)=ISBLANK(H581),0,1),1))</x:f>
        <x:v>0</x:v>
      </x:c>
    </x:row>
    <x:row r="582" ht="23" customHeight="1">
      <x:c r="A582" s="2" t="str">
        <x:v>61103099_KH_202504_IMPORT</x:v>
      </x:c>
      <x:c r="B582" s="2" t="n">
        <x:v>202504</x:v>
      </x:c>
      <x:c r="C582" s="2" t="str">
        <x:v>61103099</x:v>
      </x:c>
      <x:c r="D582" s="2" t="str">
        <x:v>Cambodia</x:v>
      </x:c>
      <x:c r="E582" s="2" t="n">
        <x:v>3330771</x:v>
      </x:c>
      <x:c r="F582" s="2" t="n">
        <x:v>269036</x:v>
      </x:c>
      <x:c r="G582" s="2" t="str">
        <x:v>WITHIN_BAND</x:v>
      </x:c>
      <x:c r="H582" s="2" t="n">
        <x:v>1</x:v>
      </x:c>
      <x:c r="I582" s="2"/>
      <x:c r="J582" s="2"/>
      <x:c r="K582" s="2"/>
      <x:c r="L582" s="2" t="n">
        <x:f>SUM(IF('Monthly_Data'!A238=A582,IF(ISBLANK('Monthly_Data'!A238)=ISBLANK(A582),0,1),1),IF('Monthly_Data'!B238=B582,IF(ISBLANK('Monthly_Data'!B238)=ISBLANK(B582),0,1),1),IF('Monthly_Data'!C238=C582,IF(ISBLANK('Monthly_Data'!C238)=ISBLANK(C582),0,1),1),IF('Monthly_Data'!D238=D582,IF(ISBLANK('Monthly_Data'!D238)=ISBLANK(D582),0,1),1),IF('Monthly_Data'!E238=E582,IF(ISBLANK('Monthly_Data'!E238)=ISBLANK(E582),0,1),1),IF('Monthly_Data'!F238=F582,IF(ISBLANK('Monthly_Data'!F238)=ISBLANK(F582),0,1),1),IF('Monthly_Data'!G238=G582,IF(ISBLANK('Monthly_Data'!G238)=ISBLANK(G582),0,1),1),IF('Monthly_Data'!H238=H582,IF(ISBLANK('Monthly_Data'!H238)=ISBLANK(H582),0,1),1))</x:f>
        <x:v>0</x:v>
      </x:c>
    </x:row>
    <x:row r="583" ht="23" customHeight="1">
      <x:c r="A583" s="2" t="str">
        <x:v>61103099_CN_202504_IMPORT</x:v>
      </x:c>
      <x:c r="B583" s="2" t="n">
        <x:v>202504</x:v>
      </x:c>
      <x:c r="C583" s="2" t="str">
        <x:v>61103099</x:v>
      </x:c>
      <x:c r="D583" s="2" t="str">
        <x:v>China</x:v>
      </x:c>
      <x:c r="E583" s="2" t="n">
        <x:v>4443136</x:v>
      </x:c>
      <x:c r="F583" s="2" t="n">
        <x:v>223372</x:v>
      </x:c>
      <x:c r="G583" s="2" t="str">
        <x:v>WITHIN_BAND</x:v>
      </x:c>
      <x:c r="H583" s="2" t="n">
        <x:v>1</x:v>
      </x:c>
      <x:c r="I583" s="2"/>
      <x:c r="J583" s="2"/>
      <x:c r="K583" s="2"/>
      <x:c r="L583" s="2" t="n">
        <x:f>SUM(IF('Monthly_Data'!A239=A583,IF(ISBLANK('Monthly_Data'!A239)=ISBLANK(A583),0,1),1),IF('Monthly_Data'!B239=B583,IF(ISBLANK('Monthly_Data'!B239)=ISBLANK(B583),0,1),1),IF('Monthly_Data'!C239=C583,IF(ISBLANK('Monthly_Data'!C239)=ISBLANK(C583),0,1),1),IF('Monthly_Data'!D239=D583,IF(ISBLANK('Monthly_Data'!D239)=ISBLANK(D583),0,1),1),IF('Monthly_Data'!E239=E583,IF(ISBLANK('Monthly_Data'!E239)=ISBLANK(E583),0,1),1),IF('Monthly_Data'!F239=F583,IF(ISBLANK('Monthly_Data'!F239)=ISBLANK(F583),0,1),1),IF('Monthly_Data'!G239=G583,IF(ISBLANK('Monthly_Data'!G239)=ISBLANK(G583),0,1),1),IF('Monthly_Data'!H239=H583,IF(ISBLANK('Monthly_Data'!H239)=ISBLANK(H583),0,1),1))</x:f>
        <x:v>0</x:v>
      </x:c>
    </x:row>
    <x:row r="584" ht="23" customHeight="1">
      <x:c r="A584" s="2" t="str">
        <x:v>61103099_IN_202504_IMPORT</x:v>
      </x:c>
      <x:c r="B584" s="2" t="n">
        <x:v>202504</x:v>
      </x:c>
      <x:c r="C584" s="2" t="str">
        <x:v>61103099</x:v>
      </x:c>
      <x:c r="D584" s="2" t="str">
        <x:v>India</x:v>
      </x:c>
      <x:c r="E584" s="2" t="n">
        <x:v>88853</x:v>
      </x:c>
      <x:c r="F584" s="2" t="n">
        <x:v>6510</x:v>
      </x:c>
      <x:c r="G584" s="2" t="str">
        <x:v>WITHIN_BAND</x:v>
      </x:c>
      <x:c r="H584" s="2" t="n">
        <x:v>1</x:v>
      </x:c>
      <x:c r="I584" s="2"/>
      <x:c r="J584" s="2"/>
      <x:c r="K584" s="2"/>
      <x:c r="L584" s="2" t="n">
        <x:f>SUM(IF('Monthly_Data'!A240=A584,IF(ISBLANK('Monthly_Data'!A240)=ISBLANK(A584),0,1),1),IF('Monthly_Data'!B240=B584,IF(ISBLANK('Monthly_Data'!B240)=ISBLANK(B584),0,1),1),IF('Monthly_Data'!C240=C584,IF(ISBLANK('Monthly_Data'!C240)=ISBLANK(C584),0,1),1),IF('Monthly_Data'!D240=D584,IF(ISBLANK('Monthly_Data'!D240)=ISBLANK(D584),0,1),1),IF('Monthly_Data'!E240=E584,IF(ISBLANK('Monthly_Data'!E240)=ISBLANK(E584),0,1),1),IF('Monthly_Data'!F240=F584,IF(ISBLANK('Monthly_Data'!F240)=ISBLANK(F584),0,1),1),IF('Monthly_Data'!G240=G584,IF(ISBLANK('Monthly_Data'!G240)=ISBLANK(G584),0,1),1),IF('Monthly_Data'!H240=H584,IF(ISBLANK('Monthly_Data'!H240)=ISBLANK(H584),0,1),1))</x:f>
        <x:v>0</x:v>
      </x:c>
    </x:row>
    <x:row r="585" ht="23" customHeight="1">
      <x:c r="A585" s="2" t="str">
        <x:v>61103099_MA_202504_IMPORT</x:v>
      </x:c>
      <x:c r="B585" s="2" t="n">
        <x:v>202504</x:v>
      </x:c>
      <x:c r="C585" s="2" t="str">
        <x:v>61103099</x:v>
      </x:c>
      <x:c r="D585" s="2" t="str">
        <x:v>Morocco</x:v>
      </x:c>
      <x:c r="E585" s="2" t="n">
        <x:v>17091</x:v>
      </x:c>
      <x:c r="F585" s="2" t="n">
        <x:v>1380</x:v>
      </x:c>
      <x:c r="G585" s="2" t="str">
        <x:v>WITHIN_BAND</x:v>
      </x:c>
      <x:c r="H585" s="2" t="n">
        <x:v>1</x:v>
      </x:c>
      <x:c r="I585" s="2"/>
      <x:c r="J585" s="2"/>
      <x:c r="K585" s="2"/>
      <x:c r="L585" s="2" t="n">
        <x:f>SUM(IF('Monthly_Data'!A241=A585,IF(ISBLANK('Monthly_Data'!A241)=ISBLANK(A585),0,1),1),IF('Monthly_Data'!B241=B585,IF(ISBLANK('Monthly_Data'!B241)=ISBLANK(B585),0,1),1),IF('Monthly_Data'!C241=C585,IF(ISBLANK('Monthly_Data'!C241)=ISBLANK(C585),0,1),1),IF('Monthly_Data'!D241=D585,IF(ISBLANK('Monthly_Data'!D241)=ISBLANK(D585),0,1),1),IF('Monthly_Data'!E241=E585,IF(ISBLANK('Monthly_Data'!E241)=ISBLANK(E585),0,1),1),IF('Monthly_Data'!F241=F585,IF(ISBLANK('Monthly_Data'!F241)=ISBLANK(F585),0,1),1),IF('Monthly_Data'!G241=G585,IF(ISBLANK('Monthly_Data'!G241)=ISBLANK(G585),0,1),1),IF('Monthly_Data'!H241=H585,IF(ISBLANK('Monthly_Data'!H241)=ISBLANK(H585),0,1),1))</x:f>
        <x:v>0</x:v>
      </x:c>
    </x:row>
    <x:row r="586" ht="23" customHeight="1">
      <x:c r="A586" s="2" t="str">
        <x:v>61103099_MM_202504_IMPORT</x:v>
      </x:c>
      <x:c r="B586" s="2" t="n">
        <x:v>202504</x:v>
      </x:c>
      <x:c r="C586" s="2" t="str">
        <x:v>61103099</x:v>
      </x:c>
      <x:c r="D586" s="2" t="str">
        <x:v>Myanmar</x:v>
      </x:c>
      <x:c r="E586" s="2" t="n">
        <x:v>56824</x:v>
      </x:c>
      <x:c r="F586" s="2" t="n">
        <x:v>2869</x:v>
      </x:c>
      <x:c r="G586" s="2" t="str">
        <x:v>WITHIN_BAND</x:v>
      </x:c>
      <x:c r="H586" s="2" t="n">
        <x:v>1</x:v>
      </x:c>
      <x:c r="I586" s="2"/>
      <x:c r="J586" s="2"/>
      <x:c r="K586" s="2"/>
      <x:c r="L586" s="2" t="n">
        <x:f>SUM(IF('Monthly_Data'!A242=A586,IF(ISBLANK('Monthly_Data'!A242)=ISBLANK(A586),0,1),1),IF('Monthly_Data'!B242=B586,IF(ISBLANK('Monthly_Data'!B242)=ISBLANK(B586),0,1),1),IF('Monthly_Data'!C242=C586,IF(ISBLANK('Monthly_Data'!C242)=ISBLANK(C586),0,1),1),IF('Monthly_Data'!D242=D586,IF(ISBLANK('Monthly_Data'!D242)=ISBLANK(D586),0,1),1),IF('Monthly_Data'!E242=E586,IF(ISBLANK('Monthly_Data'!E242)=ISBLANK(E586),0,1),1),IF('Monthly_Data'!F242=F586,IF(ISBLANK('Monthly_Data'!F242)=ISBLANK(F586),0,1),1),IF('Monthly_Data'!G242=G586,IF(ISBLANK('Monthly_Data'!G242)=ISBLANK(G586),0,1),1),IF('Monthly_Data'!H242=H586,IF(ISBLANK('Monthly_Data'!H242)=ISBLANK(H586),0,1),1))</x:f>
        <x:v>0</x:v>
      </x:c>
    </x:row>
    <x:row r="587" ht="23" customHeight="1">
      <x:c r="A587" s="2" t="str">
        <x:v>61103099_PK_202504_IMPORT</x:v>
      </x:c>
      <x:c r="B587" s="2" t="n">
        <x:v>202504</x:v>
      </x:c>
      <x:c r="C587" s="2" t="str">
        <x:v>61103099</x:v>
      </x:c>
      <x:c r="D587" s="2" t="str">
        <x:v>Pakistan</x:v>
      </x:c>
      <x:c r="E587" s="2" t="n">
        <x:v>574970</x:v>
      </x:c>
      <x:c r="F587" s="2" t="n">
        <x:v>41373</x:v>
      </x:c>
      <x:c r="G587" s="2" t="str">
        <x:v>WITHIN_BAND</x:v>
      </x:c>
      <x:c r="H587" s="2" t="n">
        <x:v>1</x:v>
      </x:c>
      <x:c r="I587" s="2"/>
      <x:c r="J587" s="2"/>
      <x:c r="K587" s="2"/>
      <x:c r="L587" s="2" t="n">
        <x:f>SUM(IF('Monthly_Data'!A243=A587,IF(ISBLANK('Monthly_Data'!A243)=ISBLANK(A587),0,1),1),IF('Monthly_Data'!B243=B587,IF(ISBLANK('Monthly_Data'!B243)=ISBLANK(B587),0,1),1),IF('Monthly_Data'!C243=C587,IF(ISBLANK('Monthly_Data'!C243)=ISBLANK(C587),0,1),1),IF('Monthly_Data'!D243=D587,IF(ISBLANK('Monthly_Data'!D243)=ISBLANK(D587),0,1),1),IF('Monthly_Data'!E243=E587,IF(ISBLANK('Monthly_Data'!E243)=ISBLANK(E587),0,1),1),IF('Monthly_Data'!F243=F587,IF(ISBLANK('Monthly_Data'!F243)=ISBLANK(F587),0,1),1),IF('Monthly_Data'!G243=G587,IF(ISBLANK('Monthly_Data'!G243)=ISBLANK(G587),0,1),1),IF('Monthly_Data'!H243=H587,IF(ISBLANK('Monthly_Data'!H243)=ISBLANK(H587),0,1),1))</x:f>
        <x:v>0</x:v>
      </x:c>
    </x:row>
    <x:row r="588" ht="23" customHeight="1">
      <x:c r="A588" s="2" t="str">
        <x:v>61103099_LK_202504_IMPORT</x:v>
      </x:c>
      <x:c r="B588" s="2" t="n">
        <x:v>202504</x:v>
      </x:c>
      <x:c r="C588" s="2" t="str">
        <x:v>61103099</x:v>
      </x:c>
      <x:c r="D588" s="2" t="str">
        <x:v>Sri Lanka</x:v>
      </x:c>
      <x:c r="E588" s="2" t="n">
        <x:v>111619</x:v>
      </x:c>
      <x:c r="F588" s="2" t="n">
        <x:v>5891</x:v>
      </x:c>
      <x:c r="G588" s="2" t="str">
        <x:v>WITHIN_BAND</x:v>
      </x:c>
      <x:c r="H588" s="2" t="n">
        <x:v>1</x:v>
      </x:c>
      <x:c r="I588" s="2"/>
      <x:c r="J588" s="2"/>
      <x:c r="K588" s="2"/>
      <x:c r="L588" s="2" t="n">
        <x:f>SUM(IF('Monthly_Data'!A244=A588,IF(ISBLANK('Monthly_Data'!A244)=ISBLANK(A588),0,1),1),IF('Monthly_Data'!B244=B588,IF(ISBLANK('Monthly_Data'!B244)=ISBLANK(B588),0,1),1),IF('Monthly_Data'!C244=C588,IF(ISBLANK('Monthly_Data'!C244)=ISBLANK(C588),0,1),1),IF('Monthly_Data'!D244=D588,IF(ISBLANK('Monthly_Data'!D244)=ISBLANK(D588),0,1),1),IF('Monthly_Data'!E244=E588,IF(ISBLANK('Monthly_Data'!E244)=ISBLANK(E588),0,1),1),IF('Monthly_Data'!F244=F588,IF(ISBLANK('Monthly_Data'!F244)=ISBLANK(F588),0,1),1),IF('Monthly_Data'!G244=G588,IF(ISBLANK('Monthly_Data'!G244)=ISBLANK(G588),0,1),1),IF('Monthly_Data'!H244=H588,IF(ISBLANK('Monthly_Data'!H244)=ISBLANK(H588),0,1),1))</x:f>
        <x:v>0</x:v>
      </x:c>
    </x:row>
    <x:row r="589" ht="23" customHeight="1">
      <x:c r="A589" s="2" t="str">
        <x:v>61103099_TR_202504_IMPORT</x:v>
      </x:c>
      <x:c r="B589" s="2" t="n">
        <x:v>202504</x:v>
      </x:c>
      <x:c r="C589" s="2" t="str">
        <x:v>61103099</x:v>
      </x:c>
      <x:c r="D589" s="2" t="str">
        <x:v>Turkey</x:v>
      </x:c>
      <x:c r="E589" s="2" t="n">
        <x:v>1168634</x:v>
      </x:c>
      <x:c r="F589" s="2" t="n">
        <x:v>51383</x:v>
      </x:c>
      <x:c r="G589" s="2" t="str">
        <x:v>WITHIN_BAND</x:v>
      </x:c>
      <x:c r="H589" s="2" t="n">
        <x:v>1</x:v>
      </x:c>
      <x:c r="I589" s="2"/>
      <x:c r="J589" s="2"/>
      <x:c r="K589" s="2"/>
      <x:c r="L589" s="2" t="n">
        <x:f>SUM(IF('Monthly_Data'!A245=A589,IF(ISBLANK('Monthly_Data'!A245)=ISBLANK(A589),0,1),1),IF('Monthly_Data'!B245=B589,IF(ISBLANK('Monthly_Data'!B245)=ISBLANK(B589),0,1),1),IF('Monthly_Data'!C245=C589,IF(ISBLANK('Monthly_Data'!C245)=ISBLANK(C589),0,1),1),IF('Monthly_Data'!D245=D589,IF(ISBLANK('Monthly_Data'!D245)=ISBLANK(D589),0,1),1),IF('Monthly_Data'!E245=E589,IF(ISBLANK('Monthly_Data'!E245)=ISBLANK(E589),0,1),1),IF('Monthly_Data'!F245=F589,IF(ISBLANK('Monthly_Data'!F245)=ISBLANK(F589),0,1),1),IF('Monthly_Data'!G245=G589,IF(ISBLANK('Monthly_Data'!G245)=ISBLANK(G589),0,1),1),IF('Monthly_Data'!H245=H589,IF(ISBLANK('Monthly_Data'!H245)=ISBLANK(H589),0,1),1))</x:f>
        <x:v>0</x:v>
      </x:c>
    </x:row>
    <x:row r="590" ht="23" customHeight="1">
      <x:c r="A590" s="2" t="str">
        <x:v>61103099_VN_202504_IMPORT</x:v>
      </x:c>
      <x:c r="B590" s="2" t="n">
        <x:v>202504</x:v>
      </x:c>
      <x:c r="C590" s="2" t="str">
        <x:v>61103099</x:v>
      </x:c>
      <x:c r="D590" s="2" t="str">
        <x:v>Vietnam</x:v>
      </x:c>
      <x:c r="E590" s="2" t="n">
        <x:v>309626</x:v>
      </x:c>
      <x:c r="F590" s="2" t="n">
        <x:v>9954</x:v>
      </x:c>
      <x:c r="G590" s="2" t="str">
        <x:v>WITHIN_BAND</x:v>
      </x:c>
      <x:c r="H590" s="2" t="n">
        <x:v>1</x:v>
      </x:c>
      <x:c r="I590" s="2"/>
      <x:c r="J590" s="2"/>
      <x:c r="K590" s="2"/>
      <x:c r="L590" s="2" t="n">
        <x:f>SUM(IF('Monthly_Data'!A246=A590,IF(ISBLANK('Monthly_Data'!A246)=ISBLANK(A590),0,1),1),IF('Monthly_Data'!B246=B590,IF(ISBLANK('Monthly_Data'!B246)=ISBLANK(B590),0,1),1),IF('Monthly_Data'!C246=C590,IF(ISBLANK('Monthly_Data'!C246)=ISBLANK(C590),0,1),1),IF('Monthly_Data'!D246=D590,IF(ISBLANK('Monthly_Data'!D246)=ISBLANK(D590),0,1),1),IF('Monthly_Data'!E246=E590,IF(ISBLANK('Monthly_Data'!E246)=ISBLANK(E590),0,1),1),IF('Monthly_Data'!F246=F590,IF(ISBLANK('Monthly_Data'!F246)=ISBLANK(F590),0,1),1),IF('Monthly_Data'!G246=G590,IF(ISBLANK('Monthly_Data'!G246)=ISBLANK(G590),0,1),1),IF('Monthly_Data'!H246=H590,IF(ISBLANK('Monthly_Data'!H246)=ISBLANK(H590),0,1),1))</x:f>
        <x:v>0</x:v>
      </x:c>
    </x:row>
    <x:row r="591" ht="23" customHeight="1">
      <x:c r="A591" s="2" t="str">
        <x:v>61103099_WORLD_202504_IMPORT</x:v>
      </x:c>
      <x:c r="B591" s="2" t="n">
        <x:v>202504</x:v>
      </x:c>
      <x:c r="C591" s="2" t="str">
        <x:v>61103099</x:v>
      </x:c>
      <x:c r="D591" s="2" t="str">
        <x:v>World</x:v>
      </x:c>
      <x:c r="E591" s="2" t="n">
        <x:v>21378689</x:v>
      </x:c>
      <x:c r="F591" s="2" t="n">
        <x:v>1212120</x:v>
      </x:c>
      <x:c r="G591" s="2" t="str">
        <x:v>WITHIN_BAND</x:v>
      </x:c>
      <x:c r="H591" s="2" t="n">
        <x:v>1</x:v>
      </x:c>
      <x:c r="I591" s="2"/>
      <x:c r="J591" s="2"/>
      <x:c r="K591" s="2"/>
      <x:c r="L591" s="2" t="n">
        <x:f>SUM(IF('Monthly_Data'!A247=A591,IF(ISBLANK('Monthly_Data'!A247)=ISBLANK(A591),0,1),1),IF('Monthly_Data'!B247=B591,IF(ISBLANK('Monthly_Data'!B247)=ISBLANK(B591),0,1),1),IF('Monthly_Data'!C247=C591,IF(ISBLANK('Monthly_Data'!C247)=ISBLANK(C591),0,1),1),IF('Monthly_Data'!D247=D591,IF(ISBLANK('Monthly_Data'!D247)=ISBLANK(D591),0,1),1),IF('Monthly_Data'!E247=E591,IF(ISBLANK('Monthly_Data'!E247)=ISBLANK(E591),0,1),1),IF('Monthly_Data'!F247=F591,IF(ISBLANK('Monthly_Data'!F247)=ISBLANK(F591),0,1),1),IF('Monthly_Data'!G247=G591,IF(ISBLANK('Monthly_Data'!G247)=ISBLANK(G591),0,1),1),IF('Monthly_Data'!H247=H591,IF(ISBLANK('Monthly_Data'!H247)=ISBLANK(H591),0,1),1))</x:f>
        <x:v>0</x:v>
      </x:c>
    </x:row>
    <x:row r="592" ht="23" customHeight="1">
      <x:c r="A592" s="2" t="str">
        <x:v>61103099_BD_202505_IMPORT</x:v>
      </x:c>
      <x:c r="B592" s="2" t="n">
        <x:v>202505</x:v>
      </x:c>
      <x:c r="C592" s="2" t="str">
        <x:v>61103099</x:v>
      </x:c>
      <x:c r="D592" s="2" t="str">
        <x:v>Bangladesh</x:v>
      </x:c>
      <x:c r="E592" s="2" t="n">
        <x:v>5456472</x:v>
      </x:c>
      <x:c r="F592" s="2" t="n">
        <x:v>435917</x:v>
      </x:c>
      <x:c r="G592" s="2" t="str">
        <x:v>WITHIN_BAND</x:v>
      </x:c>
      <x:c r="H592" s="2" t="n">
        <x:v>1</x:v>
      </x:c>
      <x:c r="I592" s="2"/>
      <x:c r="J592" s="2"/>
      <x:c r="K592" s="2"/>
      <x:c r="L592" s="2" t="n">
        <x:f>SUM(IF('Monthly_Data'!A248=A592,IF(ISBLANK('Monthly_Data'!A248)=ISBLANK(A592),0,1),1),IF('Monthly_Data'!B248=B592,IF(ISBLANK('Monthly_Data'!B248)=ISBLANK(B592),0,1),1),IF('Monthly_Data'!C248=C592,IF(ISBLANK('Monthly_Data'!C248)=ISBLANK(C592),0,1),1),IF('Monthly_Data'!D248=D592,IF(ISBLANK('Monthly_Data'!D248)=ISBLANK(D592),0,1),1),IF('Monthly_Data'!E248=E592,IF(ISBLANK('Monthly_Data'!E248)=ISBLANK(E592),0,1),1),IF('Monthly_Data'!F248=F592,IF(ISBLANK('Monthly_Data'!F248)=ISBLANK(F592),0,1),1),IF('Monthly_Data'!G248=G592,IF(ISBLANK('Monthly_Data'!G248)=ISBLANK(G592),0,1),1),IF('Monthly_Data'!H248=H592,IF(ISBLANK('Monthly_Data'!H248)=ISBLANK(H592),0,1),1))</x:f>
        <x:v>0</x:v>
      </x:c>
    </x:row>
    <x:row r="593" ht="23" customHeight="1">
      <x:c r="A593" s="2" t="str">
        <x:v>61103099_KH_202505_IMPORT</x:v>
      </x:c>
      <x:c r="B593" s="2" t="n">
        <x:v>202505</x:v>
      </x:c>
      <x:c r="C593" s="2" t="str">
        <x:v>61103099</x:v>
      </x:c>
      <x:c r="D593" s="2" t="str">
        <x:v>Cambodia</x:v>
      </x:c>
      <x:c r="E593" s="2" t="n">
        <x:v>1891545</x:v>
      </x:c>
      <x:c r="F593" s="2" t="n">
        <x:v>157646</x:v>
      </x:c>
      <x:c r="G593" s="2" t="str">
        <x:v>WITHIN_BAND</x:v>
      </x:c>
      <x:c r="H593" s="2" t="n">
        <x:v>1</x:v>
      </x:c>
      <x:c r="I593" s="2"/>
      <x:c r="J593" s="2"/>
      <x:c r="K593" s="2"/>
      <x:c r="L593" s="2" t="n">
        <x:f>SUM(IF('Monthly_Data'!A249=A593,IF(ISBLANK('Monthly_Data'!A249)=ISBLANK(A593),0,1),1),IF('Monthly_Data'!B249=B593,IF(ISBLANK('Monthly_Data'!B249)=ISBLANK(B593),0,1),1),IF('Monthly_Data'!C249=C593,IF(ISBLANK('Monthly_Data'!C249)=ISBLANK(C593),0,1),1),IF('Monthly_Data'!D249=D593,IF(ISBLANK('Monthly_Data'!D249)=ISBLANK(D593),0,1),1),IF('Monthly_Data'!E249=E593,IF(ISBLANK('Monthly_Data'!E249)=ISBLANK(E593),0,1),1),IF('Monthly_Data'!F249=F593,IF(ISBLANK('Monthly_Data'!F249)=ISBLANK(F593),0,1),1),IF('Monthly_Data'!G249=G593,IF(ISBLANK('Monthly_Data'!G249)=ISBLANK(G593),0,1),1),IF('Monthly_Data'!H249=H593,IF(ISBLANK('Monthly_Data'!H249)=ISBLANK(H593),0,1),1))</x:f>
        <x:v>0</x:v>
      </x:c>
    </x:row>
    <x:row r="594" ht="23" customHeight="1">
      <x:c r="A594" s="2" t="str">
        <x:v>61103099_CN_202505_IMPORT</x:v>
      </x:c>
      <x:c r="B594" s="2" t="n">
        <x:v>202505</x:v>
      </x:c>
      <x:c r="C594" s="2" t="str">
        <x:v>61103099</x:v>
      </x:c>
      <x:c r="D594" s="2" t="str">
        <x:v>China</x:v>
      </x:c>
      <x:c r="E594" s="2" t="n">
        <x:v>3700448</x:v>
      </x:c>
      <x:c r="F594" s="2" t="n">
        <x:v>207042</x:v>
      </x:c>
      <x:c r="G594" s="2" t="str">
        <x:v>WITHIN_BAND</x:v>
      </x:c>
      <x:c r="H594" s="2" t="n">
        <x:v>1</x:v>
      </x:c>
      <x:c r="I594" s="2"/>
      <x:c r="J594" s="2"/>
      <x:c r="K594" s="2"/>
      <x:c r="L594" s="2" t="n">
        <x:f>SUM(IF('Monthly_Data'!A250=A594,IF(ISBLANK('Monthly_Data'!A250)=ISBLANK(A594),0,1),1),IF('Monthly_Data'!B250=B594,IF(ISBLANK('Monthly_Data'!B250)=ISBLANK(B594),0,1),1),IF('Monthly_Data'!C250=C594,IF(ISBLANK('Monthly_Data'!C250)=ISBLANK(C594),0,1),1),IF('Monthly_Data'!D250=D594,IF(ISBLANK('Monthly_Data'!D250)=ISBLANK(D594),0,1),1),IF('Monthly_Data'!E250=E594,IF(ISBLANK('Monthly_Data'!E250)=ISBLANK(E594),0,1),1),IF('Monthly_Data'!F250=F594,IF(ISBLANK('Monthly_Data'!F250)=ISBLANK(F594),0,1),1),IF('Monthly_Data'!G250=G594,IF(ISBLANK('Monthly_Data'!G250)=ISBLANK(G594),0,1),1),IF('Monthly_Data'!H250=H594,IF(ISBLANK('Monthly_Data'!H250)=ISBLANK(H594),0,1),1))</x:f>
        <x:v>0</x:v>
      </x:c>
    </x:row>
    <x:row r="595" ht="23" customHeight="1">
      <x:c r="A595" s="2" t="str">
        <x:v>61103099_IN_202505_IMPORT</x:v>
      </x:c>
      <x:c r="B595" s="2" t="n">
        <x:v>202505</x:v>
      </x:c>
      <x:c r="C595" s="2" t="str">
        <x:v>61103099</x:v>
      </x:c>
      <x:c r="D595" s="2" t="str">
        <x:v>India</x:v>
      </x:c>
      <x:c r="E595" s="2" t="n">
        <x:v>237269</x:v>
      </x:c>
      <x:c r="F595" s="2" t="n">
        <x:v>16041</x:v>
      </x:c>
      <x:c r="G595" s="2" t="str">
        <x:v>WITHIN_BAND</x:v>
      </x:c>
      <x:c r="H595" s="2" t="n">
        <x:v>1</x:v>
      </x:c>
      <x:c r="I595" s="2"/>
      <x:c r="J595" s="2"/>
      <x:c r="K595" s="2"/>
      <x:c r="L595" s="2" t="n">
        <x:f>SUM(IF('Monthly_Data'!A251=A595,IF(ISBLANK('Monthly_Data'!A251)=ISBLANK(A595),0,1),1),IF('Monthly_Data'!B251=B595,IF(ISBLANK('Monthly_Data'!B251)=ISBLANK(B595),0,1),1),IF('Monthly_Data'!C251=C595,IF(ISBLANK('Monthly_Data'!C251)=ISBLANK(C595),0,1),1),IF('Monthly_Data'!D251=D595,IF(ISBLANK('Monthly_Data'!D251)=ISBLANK(D595),0,1),1),IF('Monthly_Data'!E251=E595,IF(ISBLANK('Monthly_Data'!E251)=ISBLANK(E595),0,1),1),IF('Monthly_Data'!F251=F595,IF(ISBLANK('Monthly_Data'!F251)=ISBLANK(F595),0,1),1),IF('Monthly_Data'!G251=G595,IF(ISBLANK('Monthly_Data'!G251)=ISBLANK(G595),0,1),1),IF('Monthly_Data'!H251=H595,IF(ISBLANK('Monthly_Data'!H251)=ISBLANK(H595),0,1),1))</x:f>
        <x:v>0</x:v>
      </x:c>
    </x:row>
    <x:row r="596" ht="23" customHeight="1">
      <x:c r="A596" s="2" t="str">
        <x:v>61103099_MA_202505_IMPORT</x:v>
      </x:c>
      <x:c r="B596" s="2" t="n">
        <x:v>202505</x:v>
      </x:c>
      <x:c r="C596" s="2" t="str">
        <x:v>61103099</x:v>
      </x:c>
      <x:c r="D596" s="2" t="str">
        <x:v>Morocco</x:v>
      </x:c>
      <x:c r="E596" s="2" t="n">
        <x:v>18217</x:v>
      </x:c>
      <x:c r="F596" s="2" t="n">
        <x:v>1239</x:v>
      </x:c>
      <x:c r="G596" s="2" t="str">
        <x:v>WITHIN_BAND</x:v>
      </x:c>
      <x:c r="H596" s="2" t="n">
        <x:v>1</x:v>
      </x:c>
      <x:c r="I596" s="2"/>
      <x:c r="J596" s="2"/>
      <x:c r="K596" s="2"/>
      <x:c r="L596" s="2" t="n">
        <x:f>SUM(IF('Monthly_Data'!A252=A596,IF(ISBLANK('Monthly_Data'!A252)=ISBLANK(A596),0,1),1),IF('Monthly_Data'!B252=B596,IF(ISBLANK('Monthly_Data'!B252)=ISBLANK(B596),0,1),1),IF('Monthly_Data'!C252=C596,IF(ISBLANK('Monthly_Data'!C252)=ISBLANK(C596),0,1),1),IF('Monthly_Data'!D252=D596,IF(ISBLANK('Monthly_Data'!D252)=ISBLANK(D596),0,1),1),IF('Monthly_Data'!E252=E596,IF(ISBLANK('Monthly_Data'!E252)=ISBLANK(E596),0,1),1),IF('Monthly_Data'!F252=F596,IF(ISBLANK('Monthly_Data'!F252)=ISBLANK(F596),0,1),1),IF('Monthly_Data'!G252=G596,IF(ISBLANK('Monthly_Data'!G252)=ISBLANK(G596),0,1),1),IF('Monthly_Data'!H252=H596,IF(ISBLANK('Monthly_Data'!H252)=ISBLANK(H596),0,1),1))</x:f>
        <x:v>0</x:v>
      </x:c>
    </x:row>
    <x:row r="597" ht="23" customHeight="1">
      <x:c r="A597" s="2" t="str">
        <x:v>61103099_MM_202505_IMPORT</x:v>
      </x:c>
      <x:c r="B597" s="2" t="n">
        <x:v>202505</x:v>
      </x:c>
      <x:c r="C597" s="2" t="str">
        <x:v>61103099</x:v>
      </x:c>
      <x:c r="D597" s="2" t="str">
        <x:v>Myanmar</x:v>
      </x:c>
      <x:c r="E597" s="2" t="n">
        <x:v>161453</x:v>
      </x:c>
      <x:c r="F597" s="2" t="n">
        <x:v>8132</x:v>
      </x:c>
      <x:c r="G597" s="2" t="str">
        <x:v>WITHIN_BAND</x:v>
      </x:c>
      <x:c r="H597" s="2" t="n">
        <x:v>1</x:v>
      </x:c>
      <x:c r="I597" s="2"/>
      <x:c r="J597" s="2"/>
      <x:c r="K597" s="2"/>
      <x:c r="L597" s="2" t="n">
        <x:f>SUM(IF('Monthly_Data'!A253=A597,IF(ISBLANK('Monthly_Data'!A253)=ISBLANK(A597),0,1),1),IF('Monthly_Data'!B253=B597,IF(ISBLANK('Monthly_Data'!B253)=ISBLANK(B597),0,1),1),IF('Monthly_Data'!C253=C597,IF(ISBLANK('Monthly_Data'!C253)=ISBLANK(C597),0,1),1),IF('Monthly_Data'!D253=D597,IF(ISBLANK('Monthly_Data'!D253)=ISBLANK(D597),0,1),1),IF('Monthly_Data'!E253=E597,IF(ISBLANK('Monthly_Data'!E253)=ISBLANK(E597),0,1),1),IF('Monthly_Data'!F253=F597,IF(ISBLANK('Monthly_Data'!F253)=ISBLANK(F597),0,1),1),IF('Monthly_Data'!G253=G597,IF(ISBLANK('Monthly_Data'!G253)=ISBLANK(G597),0,1),1),IF('Monthly_Data'!H253=H597,IF(ISBLANK('Monthly_Data'!H253)=ISBLANK(H597),0,1),1))</x:f>
        <x:v>0</x:v>
      </x:c>
    </x:row>
    <x:row r="598" ht="23" customHeight="1">
      <x:c r="A598" s="2" t="str">
        <x:v>61103099_PK_202505_IMPORT</x:v>
      </x:c>
      <x:c r="B598" s="2" t="n">
        <x:v>202505</x:v>
      </x:c>
      <x:c r="C598" s="2" t="str">
        <x:v>61103099</x:v>
      </x:c>
      <x:c r="D598" s="2" t="str">
        <x:v>Pakistan</x:v>
      </x:c>
      <x:c r="E598" s="2" t="n">
        <x:v>468630</x:v>
      </x:c>
      <x:c r="F598" s="2" t="n">
        <x:v>27817</x:v>
      </x:c>
      <x:c r="G598" s="2" t="str">
        <x:v>WITHIN_BAND</x:v>
      </x:c>
      <x:c r="H598" s="2" t="n">
        <x:v>1</x:v>
      </x:c>
      <x:c r="I598" s="2"/>
      <x:c r="J598" s="2"/>
      <x:c r="K598" s="2"/>
      <x:c r="L598" s="2" t="n">
        <x:f>SUM(IF('Monthly_Data'!A254=A598,IF(ISBLANK('Monthly_Data'!A254)=ISBLANK(A598),0,1),1),IF('Monthly_Data'!B254=B598,IF(ISBLANK('Monthly_Data'!B254)=ISBLANK(B598),0,1),1),IF('Monthly_Data'!C254=C598,IF(ISBLANK('Monthly_Data'!C254)=ISBLANK(C598),0,1),1),IF('Monthly_Data'!D254=D598,IF(ISBLANK('Monthly_Data'!D254)=ISBLANK(D598),0,1),1),IF('Monthly_Data'!E254=E598,IF(ISBLANK('Monthly_Data'!E254)=ISBLANK(E598),0,1),1),IF('Monthly_Data'!F254=F598,IF(ISBLANK('Monthly_Data'!F254)=ISBLANK(F598),0,1),1),IF('Monthly_Data'!G254=G598,IF(ISBLANK('Monthly_Data'!G254)=ISBLANK(G598),0,1),1),IF('Monthly_Data'!H254=H598,IF(ISBLANK('Monthly_Data'!H254)=ISBLANK(H598),0,1),1))</x:f>
        <x:v>0</x:v>
      </x:c>
    </x:row>
    <x:row r="599" ht="23" customHeight="1">
      <x:c r="A599" s="2" t="str">
        <x:v>61103099_LK_202505_IMPORT</x:v>
      </x:c>
      <x:c r="B599" s="2" t="n">
        <x:v>202505</x:v>
      </x:c>
      <x:c r="C599" s="2" t="str">
        <x:v>61103099</x:v>
      </x:c>
      <x:c r="D599" s="2" t="str">
        <x:v>Sri Lanka</x:v>
      </x:c>
      <x:c r="E599" s="2" t="n">
        <x:v>61104</x:v>
      </x:c>
      <x:c r="F599" s="2" t="n">
        <x:v>3651</x:v>
      </x:c>
      <x:c r="G599" s="2" t="str">
        <x:v>WITHIN_BAND</x:v>
      </x:c>
      <x:c r="H599" s="2" t="n">
        <x:v>1</x:v>
      </x:c>
      <x:c r="I599" s="2"/>
      <x:c r="J599" s="2"/>
      <x:c r="K599" s="2"/>
      <x:c r="L599" s="2" t="n">
        <x:f>SUM(IF('Monthly_Data'!A255=A599,IF(ISBLANK('Monthly_Data'!A255)=ISBLANK(A599),0,1),1),IF('Monthly_Data'!B255=B599,IF(ISBLANK('Monthly_Data'!B255)=ISBLANK(B599),0,1),1),IF('Monthly_Data'!C255=C599,IF(ISBLANK('Monthly_Data'!C255)=ISBLANK(C599),0,1),1),IF('Monthly_Data'!D255=D599,IF(ISBLANK('Monthly_Data'!D255)=ISBLANK(D599),0,1),1),IF('Monthly_Data'!E255=E599,IF(ISBLANK('Monthly_Data'!E255)=ISBLANK(E599),0,1),1),IF('Monthly_Data'!F255=F599,IF(ISBLANK('Monthly_Data'!F255)=ISBLANK(F599),0,1),1),IF('Monthly_Data'!G255=G599,IF(ISBLANK('Monthly_Data'!G255)=ISBLANK(G599),0,1),1),IF('Monthly_Data'!H255=H599,IF(ISBLANK('Monthly_Data'!H255)=ISBLANK(H599),0,1),1))</x:f>
        <x:v>0</x:v>
      </x:c>
    </x:row>
    <x:row r="600" ht="23" customHeight="1">
      <x:c r="A600" s="2" t="str">
        <x:v>61103099_TR_202505_IMPORT</x:v>
      </x:c>
      <x:c r="B600" s="2" t="n">
        <x:v>202505</x:v>
      </x:c>
      <x:c r="C600" s="2" t="str">
        <x:v>61103099</x:v>
      </x:c>
      <x:c r="D600" s="2" t="str">
        <x:v>Turkey</x:v>
      </x:c>
      <x:c r="E600" s="2" t="n">
        <x:v>2715855</x:v>
      </x:c>
      <x:c r="F600" s="2" t="n">
        <x:v>117056</x:v>
      </x:c>
      <x:c r="G600" s="2" t="str">
        <x:v>WITHIN_BAND</x:v>
      </x:c>
      <x:c r="H600" s="2" t="n">
        <x:v>1</x:v>
      </x:c>
      <x:c r="I600" s="2"/>
      <x:c r="J600" s="2"/>
      <x:c r="K600" s="2"/>
      <x:c r="L600" s="2" t="n">
        <x:f>SUM(IF('Monthly_Data'!A256=A600,IF(ISBLANK('Monthly_Data'!A256)=ISBLANK(A600),0,1),1),IF('Monthly_Data'!B256=B600,IF(ISBLANK('Monthly_Data'!B256)=ISBLANK(B600),0,1),1),IF('Monthly_Data'!C256=C600,IF(ISBLANK('Monthly_Data'!C256)=ISBLANK(C600),0,1),1),IF('Monthly_Data'!D256=D600,IF(ISBLANK('Monthly_Data'!D256)=ISBLANK(D600),0,1),1),IF('Monthly_Data'!E256=E600,IF(ISBLANK('Monthly_Data'!E256)=ISBLANK(E600),0,1),1),IF('Monthly_Data'!F256=F600,IF(ISBLANK('Monthly_Data'!F256)=ISBLANK(F600),0,1),1),IF('Monthly_Data'!G256=G600,IF(ISBLANK('Monthly_Data'!G256)=ISBLANK(G600),0,1),1),IF('Monthly_Data'!H256=H600,IF(ISBLANK('Monthly_Data'!H256)=ISBLANK(H600),0,1),1))</x:f>
        <x:v>0</x:v>
      </x:c>
    </x:row>
    <x:row r="601" ht="23" customHeight="1">
      <x:c r="A601" s="2" t="str">
        <x:v>61103099_VN_202505_IMPORT</x:v>
      </x:c>
      <x:c r="B601" s="2" t="n">
        <x:v>202505</x:v>
      </x:c>
      <x:c r="C601" s="2" t="str">
        <x:v>61103099</x:v>
      </x:c>
      <x:c r="D601" s="2" t="str">
        <x:v>Vietnam</x:v>
      </x:c>
      <x:c r="E601" s="2" t="n">
        <x:v>680217</x:v>
      </x:c>
      <x:c r="F601" s="2" t="n">
        <x:v>18045</x:v>
      </x:c>
      <x:c r="G601" s="2" t="str">
        <x:v>WITHIN_BAND</x:v>
      </x:c>
      <x:c r="H601" s="2" t="n">
        <x:v>1</x:v>
      </x:c>
      <x:c r="I601" s="2"/>
      <x:c r="J601" s="2"/>
      <x:c r="K601" s="2"/>
      <x:c r="L601" s="2" t="n">
        <x:f>SUM(IF('Monthly_Data'!A257=A601,IF(ISBLANK('Monthly_Data'!A257)=ISBLANK(A601),0,1),1),IF('Monthly_Data'!B257=B601,IF(ISBLANK('Monthly_Data'!B257)=ISBLANK(B601),0,1),1),IF('Monthly_Data'!C257=C601,IF(ISBLANK('Monthly_Data'!C257)=ISBLANK(C601),0,1),1),IF('Monthly_Data'!D257=D601,IF(ISBLANK('Monthly_Data'!D257)=ISBLANK(D601),0,1),1),IF('Monthly_Data'!E257=E601,IF(ISBLANK('Monthly_Data'!E257)=ISBLANK(E601),0,1),1),IF('Monthly_Data'!F257=F601,IF(ISBLANK('Monthly_Data'!F257)=ISBLANK(F601),0,1),1),IF('Monthly_Data'!G257=G601,IF(ISBLANK('Monthly_Data'!G257)=ISBLANK(G601),0,1),1),IF('Monthly_Data'!H257=H601,IF(ISBLANK('Monthly_Data'!H257)=ISBLANK(H601),0,1),1))</x:f>
        <x:v>0</x:v>
      </x:c>
    </x:row>
    <x:row r="602" ht="23" customHeight="1">
      <x:c r="A602" s="2" t="str">
        <x:v>61103099_WORLD_202505_IMPORT</x:v>
      </x:c>
      <x:c r="B602" s="2" t="n">
        <x:v>202505</x:v>
      </x:c>
      <x:c r="C602" s="2" t="str">
        <x:v>61103099</x:v>
      </x:c>
      <x:c r="D602" s="2" t="str">
        <x:v>World</x:v>
      </x:c>
      <x:c r="E602" s="2" t="n">
        <x:v>23022069</x:v>
      </x:c>
      <x:c r="F602" s="2" t="n">
        <x:v>1260517</x:v>
      </x:c>
      <x:c r="G602" s="2" t="str">
        <x:v>WITHIN_BAND</x:v>
      </x:c>
      <x:c r="H602" s="2" t="n">
        <x:v>1</x:v>
      </x:c>
      <x:c r="I602" s="2"/>
      <x:c r="J602" s="2"/>
      <x:c r="K602" s="2"/>
      <x:c r="L602" s="2" t="n">
        <x:f>SUM(IF('Monthly_Data'!A258=A602,IF(ISBLANK('Monthly_Data'!A258)=ISBLANK(A602),0,1),1),IF('Monthly_Data'!B258=B602,IF(ISBLANK('Monthly_Data'!B258)=ISBLANK(B602),0,1),1),IF('Monthly_Data'!C258=C602,IF(ISBLANK('Monthly_Data'!C258)=ISBLANK(C602),0,1),1),IF('Monthly_Data'!D258=D602,IF(ISBLANK('Monthly_Data'!D258)=ISBLANK(D602),0,1),1),IF('Monthly_Data'!E258=E602,IF(ISBLANK('Monthly_Data'!E258)=ISBLANK(E602),0,1),1),IF('Monthly_Data'!F258=F602,IF(ISBLANK('Monthly_Data'!F258)=ISBLANK(F602),0,1),1),IF('Monthly_Data'!G258=G602,IF(ISBLANK('Monthly_Data'!G258)=ISBLANK(G602),0,1),1),IF('Monthly_Data'!H258=H602,IF(ISBLANK('Monthly_Data'!H258)=ISBLANK(H602),0,1),1))</x:f>
        <x:v>0</x:v>
      </x:c>
    </x:row>
    <x:row r="603" ht="23" customHeight="1">
      <x:c r="A603" s="2" t="str">
        <x:v>61103099_BD_202506_IMPORT</x:v>
      </x:c>
      <x:c r="B603" s="2" t="n">
        <x:v>202506</x:v>
      </x:c>
      <x:c r="C603" s="2" t="str">
        <x:v>61103099</x:v>
      </x:c>
      <x:c r="D603" s="2" t="str">
        <x:v>Bangladesh</x:v>
      </x:c>
      <x:c r="E603" s="2" t="n">
        <x:v>9270715</x:v>
      </x:c>
      <x:c r="F603" s="2" t="n">
        <x:v>739072</x:v>
      </x:c>
      <x:c r="G603" s="2" t="str">
        <x:v>WITHIN_BAND</x:v>
      </x:c>
      <x:c r="H603" s="2" t="n">
        <x:v>1</x:v>
      </x:c>
      <x:c r="I603" s="2"/>
      <x:c r="J603" s="2"/>
      <x:c r="K603" s="2"/>
      <x:c r="L603" s="2" t="n">
        <x:f>SUM(IF('Monthly_Data'!A259=A603,IF(ISBLANK('Monthly_Data'!A259)=ISBLANK(A603),0,1),1),IF('Monthly_Data'!B259=B603,IF(ISBLANK('Monthly_Data'!B259)=ISBLANK(B603),0,1),1),IF('Monthly_Data'!C259=C603,IF(ISBLANK('Monthly_Data'!C259)=ISBLANK(C603),0,1),1),IF('Monthly_Data'!D259=D603,IF(ISBLANK('Monthly_Data'!D259)=ISBLANK(D603),0,1),1),IF('Monthly_Data'!E259=E603,IF(ISBLANK('Monthly_Data'!E259)=ISBLANK(E603),0,1),1),IF('Monthly_Data'!F259=F603,IF(ISBLANK('Monthly_Data'!F259)=ISBLANK(F603),0,1),1),IF('Monthly_Data'!G259=G603,IF(ISBLANK('Monthly_Data'!G259)=ISBLANK(G603),0,1),1),IF('Monthly_Data'!H259=H603,IF(ISBLANK('Monthly_Data'!H259)=ISBLANK(H603),0,1),1))</x:f>
        <x:v>0</x:v>
      </x:c>
    </x:row>
    <x:row r="604" ht="23" customHeight="1">
      <x:c r="A604" s="2" t="str">
        <x:v>61103099_KH_202506_IMPORT</x:v>
      </x:c>
      <x:c r="B604" s="2" t="n">
        <x:v>202506</x:v>
      </x:c>
      <x:c r="C604" s="2" t="str">
        <x:v>61103099</x:v>
      </x:c>
      <x:c r="D604" s="2" t="str">
        <x:v>Cambodia</x:v>
      </x:c>
      <x:c r="E604" s="2" t="n">
        <x:v>6495396</x:v>
      </x:c>
      <x:c r="F604" s="2" t="n">
        <x:v>590275</x:v>
      </x:c>
      <x:c r="G604" s="2" t="str">
        <x:v>WITHIN_BAND</x:v>
      </x:c>
      <x:c r="H604" s="2" t="n">
        <x:v>1</x:v>
      </x:c>
      <x:c r="I604" s="2"/>
      <x:c r="J604" s="2"/>
      <x:c r="K604" s="2"/>
      <x:c r="L604" s="2" t="n">
        <x:f>SUM(IF('Monthly_Data'!A260=A604,IF(ISBLANK('Monthly_Data'!A260)=ISBLANK(A604),0,1),1),IF('Monthly_Data'!B260=B604,IF(ISBLANK('Monthly_Data'!B260)=ISBLANK(B604),0,1),1),IF('Monthly_Data'!C260=C604,IF(ISBLANK('Monthly_Data'!C260)=ISBLANK(C604),0,1),1),IF('Monthly_Data'!D260=D604,IF(ISBLANK('Monthly_Data'!D260)=ISBLANK(D604),0,1),1),IF('Monthly_Data'!E260=E604,IF(ISBLANK('Monthly_Data'!E260)=ISBLANK(E604),0,1),1),IF('Monthly_Data'!F260=F604,IF(ISBLANK('Monthly_Data'!F260)=ISBLANK(F604),0,1),1),IF('Monthly_Data'!G260=G604,IF(ISBLANK('Monthly_Data'!G260)=ISBLANK(G604),0,1),1),IF('Monthly_Data'!H260=H604,IF(ISBLANK('Monthly_Data'!H260)=ISBLANK(H604),0,1),1))</x:f>
        <x:v>0</x:v>
      </x:c>
    </x:row>
    <x:row r="605" ht="23" customHeight="1">
      <x:c r="A605" s="2" t="str">
        <x:v>61103099_CN_202506_IMPORT</x:v>
      </x:c>
      <x:c r="B605" s="2" t="n">
        <x:v>202506</x:v>
      </x:c>
      <x:c r="C605" s="2" t="str">
        <x:v>61103099</x:v>
      </x:c>
      <x:c r="D605" s="2" t="str">
        <x:v>China</x:v>
      </x:c>
      <x:c r="E605" s="2" t="n">
        <x:v>8044558</x:v>
      </x:c>
      <x:c r="F605" s="2" t="n">
        <x:v>540943</x:v>
      </x:c>
      <x:c r="G605" s="2" t="str">
        <x:v>WITHIN_BAND</x:v>
      </x:c>
      <x:c r="H605" s="2" t="n">
        <x:v>1</x:v>
      </x:c>
      <x:c r="I605" s="2"/>
      <x:c r="J605" s="2"/>
      <x:c r="K605" s="2"/>
      <x:c r="L605" s="2" t="n">
        <x:f>SUM(IF('Monthly_Data'!A261=A605,IF(ISBLANK('Monthly_Data'!A261)=ISBLANK(A605),0,1),1),IF('Monthly_Data'!B261=B605,IF(ISBLANK('Monthly_Data'!B261)=ISBLANK(B605),0,1),1),IF('Monthly_Data'!C261=C605,IF(ISBLANK('Monthly_Data'!C261)=ISBLANK(C605),0,1),1),IF('Monthly_Data'!D261=D605,IF(ISBLANK('Monthly_Data'!D261)=ISBLANK(D605),0,1),1),IF('Monthly_Data'!E261=E605,IF(ISBLANK('Monthly_Data'!E261)=ISBLANK(E605),0,1),1),IF('Monthly_Data'!F261=F605,IF(ISBLANK('Monthly_Data'!F261)=ISBLANK(F605),0,1),1),IF('Monthly_Data'!G261=G605,IF(ISBLANK('Monthly_Data'!G261)=ISBLANK(G605),0,1),1),IF('Monthly_Data'!H261=H605,IF(ISBLANK('Monthly_Data'!H261)=ISBLANK(H605),0,1),1))</x:f>
        <x:v>0</x:v>
      </x:c>
    </x:row>
    <x:row r="606" ht="23" customHeight="1">
      <x:c r="A606" s="2" t="str">
        <x:v>61103099_IN_202506_IMPORT</x:v>
      </x:c>
      <x:c r="B606" s="2" t="n">
        <x:v>202506</x:v>
      </x:c>
      <x:c r="C606" s="2" t="str">
        <x:v>61103099</x:v>
      </x:c>
      <x:c r="D606" s="2" t="str">
        <x:v>India</x:v>
      </x:c>
      <x:c r="E606" s="2" t="n">
        <x:v>149523</x:v>
      </x:c>
      <x:c r="F606" s="2" t="n">
        <x:v>8873</x:v>
      </x:c>
      <x:c r="G606" s="2" t="str">
        <x:v>WITHIN_BAND</x:v>
      </x:c>
      <x:c r="H606" s="2" t="n">
        <x:v>1</x:v>
      </x:c>
      <x:c r="I606" s="2"/>
      <x:c r="J606" s="2"/>
      <x:c r="K606" s="2"/>
      <x:c r="L606" s="2" t="n">
        <x:f>SUM(IF('Monthly_Data'!A262=A606,IF(ISBLANK('Monthly_Data'!A262)=ISBLANK(A606),0,1),1),IF('Monthly_Data'!B262=B606,IF(ISBLANK('Monthly_Data'!B262)=ISBLANK(B606),0,1),1),IF('Monthly_Data'!C262=C606,IF(ISBLANK('Monthly_Data'!C262)=ISBLANK(C606),0,1),1),IF('Monthly_Data'!D262=D606,IF(ISBLANK('Monthly_Data'!D262)=ISBLANK(D606),0,1),1),IF('Monthly_Data'!E262=E606,IF(ISBLANK('Monthly_Data'!E262)=ISBLANK(E606),0,1),1),IF('Monthly_Data'!F262=F606,IF(ISBLANK('Monthly_Data'!F262)=ISBLANK(F606),0,1),1),IF('Monthly_Data'!G262=G606,IF(ISBLANK('Monthly_Data'!G262)=ISBLANK(G606),0,1),1),IF('Monthly_Data'!H262=H606,IF(ISBLANK('Monthly_Data'!H262)=ISBLANK(H606),0,1),1))</x:f>
        <x:v>0</x:v>
      </x:c>
    </x:row>
    <x:row r="607" ht="23" customHeight="1">
      <x:c r="A607" s="2" t="str">
        <x:v>61103099_MA_202506_IMPORT</x:v>
      </x:c>
      <x:c r="B607" s="2" t="n">
        <x:v>202506</x:v>
      </x:c>
      <x:c r="C607" s="2" t="str">
        <x:v>61103099</x:v>
      </x:c>
      <x:c r="D607" s="2" t="str">
        <x:v>Morocco</x:v>
      </x:c>
      <x:c r="E607" s="2" t="n">
        <x:v>71895</x:v>
      </x:c>
      <x:c r="F607" s="2" t="n">
        <x:v>3800</x:v>
      </x:c>
      <x:c r="G607" s="2" t="str">
        <x:v>WITHIN_BAND</x:v>
      </x:c>
      <x:c r="H607" s="2" t="n">
        <x:v>1</x:v>
      </x:c>
      <x:c r="I607" s="2"/>
      <x:c r="J607" s="2"/>
      <x:c r="K607" s="2"/>
      <x:c r="L607" s="2" t="n">
        <x:f>SUM(IF('Monthly_Data'!A263=A607,IF(ISBLANK('Monthly_Data'!A263)=ISBLANK(A607),0,1),1),IF('Monthly_Data'!B263=B607,IF(ISBLANK('Monthly_Data'!B263)=ISBLANK(B607),0,1),1),IF('Monthly_Data'!C263=C607,IF(ISBLANK('Monthly_Data'!C263)=ISBLANK(C607),0,1),1),IF('Monthly_Data'!D263=D607,IF(ISBLANK('Monthly_Data'!D263)=ISBLANK(D607),0,1),1),IF('Monthly_Data'!E263=E607,IF(ISBLANK('Monthly_Data'!E263)=ISBLANK(E607),0,1),1),IF('Monthly_Data'!F263=F607,IF(ISBLANK('Monthly_Data'!F263)=ISBLANK(F607),0,1),1),IF('Monthly_Data'!G263=G607,IF(ISBLANK('Monthly_Data'!G263)=ISBLANK(G607),0,1),1),IF('Monthly_Data'!H263=H607,IF(ISBLANK('Monthly_Data'!H263)=ISBLANK(H607),0,1),1))</x:f>
        <x:v>0</x:v>
      </x:c>
    </x:row>
    <x:row r="608" ht="23" customHeight="1">
      <x:c r="A608" s="2" t="str">
        <x:v>61103099_MM_202506_IMPORT</x:v>
      </x:c>
      <x:c r="B608" s="2" t="n">
        <x:v>202506</x:v>
      </x:c>
      <x:c r="C608" s="2" t="str">
        <x:v>61103099</x:v>
      </x:c>
      <x:c r="D608" s="2" t="str">
        <x:v>Myanmar</x:v>
      </x:c>
      <x:c r="E608" s="2" t="n">
        <x:v>69478</x:v>
      </x:c>
      <x:c r="F608" s="2" t="n">
        <x:v>4305</x:v>
      </x:c>
      <x:c r="G608" s="2" t="str">
        <x:v>WITHIN_BAND</x:v>
      </x:c>
      <x:c r="H608" s="2" t="n">
        <x:v>1</x:v>
      </x:c>
      <x:c r="I608" s="2"/>
      <x:c r="J608" s="2"/>
      <x:c r="K608" s="2"/>
      <x:c r="L608" s="2" t="n">
        <x:f>SUM(IF('Monthly_Data'!A264=A608,IF(ISBLANK('Monthly_Data'!A264)=ISBLANK(A608),0,1),1),IF('Monthly_Data'!B264=B608,IF(ISBLANK('Monthly_Data'!B264)=ISBLANK(B608),0,1),1),IF('Monthly_Data'!C264=C608,IF(ISBLANK('Monthly_Data'!C264)=ISBLANK(C608),0,1),1),IF('Monthly_Data'!D264=D608,IF(ISBLANK('Monthly_Data'!D264)=ISBLANK(D608),0,1),1),IF('Monthly_Data'!E264=E608,IF(ISBLANK('Monthly_Data'!E264)=ISBLANK(E608),0,1),1),IF('Monthly_Data'!F264=F608,IF(ISBLANK('Monthly_Data'!F264)=ISBLANK(F608),0,1),1),IF('Monthly_Data'!G264=G608,IF(ISBLANK('Monthly_Data'!G264)=ISBLANK(G608),0,1),1),IF('Monthly_Data'!H264=H608,IF(ISBLANK('Monthly_Data'!H264)=ISBLANK(H608),0,1),1))</x:f>
        <x:v>0</x:v>
      </x:c>
    </x:row>
    <x:row r="609" ht="23" customHeight="1">
      <x:c r="A609" s="2" t="str">
        <x:v>61103099_PK_202506_IMPORT</x:v>
      </x:c>
      <x:c r="B609" s="2" t="n">
        <x:v>202506</x:v>
      </x:c>
      <x:c r="C609" s="2" t="str">
        <x:v>61103099</x:v>
      </x:c>
      <x:c r="D609" s="2" t="str">
        <x:v>Pakistan</x:v>
      </x:c>
      <x:c r="E609" s="2" t="n">
        <x:v>232253</x:v>
      </x:c>
      <x:c r="F609" s="2" t="n">
        <x:v>18731</x:v>
      </x:c>
      <x:c r="G609" s="2" t="str">
        <x:v>WITHIN_BAND</x:v>
      </x:c>
      <x:c r="H609" s="2" t="n">
        <x:v>1</x:v>
      </x:c>
      <x:c r="I609" s="2"/>
      <x:c r="J609" s="2"/>
      <x:c r="K609" s="2"/>
      <x:c r="L609" s="2" t="n">
        <x:f>SUM(IF('Monthly_Data'!A265=A609,IF(ISBLANK('Monthly_Data'!A265)=ISBLANK(A609),0,1),1),IF('Monthly_Data'!B265=B609,IF(ISBLANK('Monthly_Data'!B265)=ISBLANK(B609),0,1),1),IF('Monthly_Data'!C265=C609,IF(ISBLANK('Monthly_Data'!C265)=ISBLANK(C609),0,1),1),IF('Monthly_Data'!D265=D609,IF(ISBLANK('Monthly_Data'!D265)=ISBLANK(D609),0,1),1),IF('Monthly_Data'!E265=E609,IF(ISBLANK('Monthly_Data'!E265)=ISBLANK(E609),0,1),1),IF('Monthly_Data'!F265=F609,IF(ISBLANK('Monthly_Data'!F265)=ISBLANK(F609),0,1),1),IF('Monthly_Data'!G265=G609,IF(ISBLANK('Monthly_Data'!G265)=ISBLANK(G609),0,1),1),IF('Monthly_Data'!H265=H609,IF(ISBLANK('Monthly_Data'!H265)=ISBLANK(H609),0,1),1))</x:f>
        <x:v>0</x:v>
      </x:c>
    </x:row>
    <x:row r="610" ht="23" customHeight="1">
      <x:c r="A610" s="2" t="str">
        <x:v>61103099_LK_202506_IMPORT</x:v>
      </x:c>
      <x:c r="B610" s="2" t="n">
        <x:v>202506</x:v>
      </x:c>
      <x:c r="C610" s="2" t="str">
        <x:v>61103099</x:v>
      </x:c>
      <x:c r="D610" s="2" t="str">
        <x:v>Sri Lanka</x:v>
      </x:c>
      <x:c r="E610" s="2" t="n">
        <x:v>77517</x:v>
      </x:c>
      <x:c r="F610" s="2" t="n">
        <x:v>4501</x:v>
      </x:c>
      <x:c r="G610" s="2" t="str">
        <x:v>WITHIN_BAND</x:v>
      </x:c>
      <x:c r="H610" s="2" t="n">
        <x:v>1</x:v>
      </x:c>
      <x:c r="I610" s="2"/>
      <x:c r="J610" s="2"/>
      <x:c r="K610" s="2"/>
      <x:c r="L610" s="2" t="n">
        <x:f>SUM(IF('Monthly_Data'!A266=A610,IF(ISBLANK('Monthly_Data'!A266)=ISBLANK(A610),0,1),1),IF('Monthly_Data'!B266=B610,IF(ISBLANK('Monthly_Data'!B266)=ISBLANK(B610),0,1),1),IF('Monthly_Data'!C266=C610,IF(ISBLANK('Monthly_Data'!C266)=ISBLANK(C610),0,1),1),IF('Monthly_Data'!D266=D610,IF(ISBLANK('Monthly_Data'!D266)=ISBLANK(D610),0,1),1),IF('Monthly_Data'!E266=E610,IF(ISBLANK('Monthly_Data'!E266)=ISBLANK(E610),0,1),1),IF('Monthly_Data'!F266=F610,IF(ISBLANK('Monthly_Data'!F266)=ISBLANK(F610),0,1),1),IF('Monthly_Data'!G266=G610,IF(ISBLANK('Monthly_Data'!G266)=ISBLANK(G610),0,1),1),IF('Monthly_Data'!H266=H610,IF(ISBLANK('Monthly_Data'!H266)=ISBLANK(H610),0,1),1))</x:f>
        <x:v>0</x:v>
      </x:c>
    </x:row>
    <x:row r="611" ht="23" customHeight="1">
      <x:c r="A611" s="2" t="str">
        <x:v>61103099_TR_202506_IMPORT</x:v>
      </x:c>
      <x:c r="B611" s="2" t="n">
        <x:v>202506</x:v>
      </x:c>
      <x:c r="C611" s="2" t="str">
        <x:v>61103099</x:v>
      </x:c>
      <x:c r="D611" s="2" t="str">
        <x:v>Turkey</x:v>
      </x:c>
      <x:c r="E611" s="2" t="n">
        <x:v>3177465</x:v>
      </x:c>
      <x:c r="F611" s="2" t="n">
        <x:v>192015</x:v>
      </x:c>
      <x:c r="G611" s="2" t="str">
        <x:v>WITHIN_BAND</x:v>
      </x:c>
      <x:c r="H611" s="2" t="n">
        <x:v>1</x:v>
      </x:c>
      <x:c r="I611" s="2"/>
      <x:c r="J611" s="2"/>
      <x:c r="K611" s="2"/>
      <x:c r="L611" s="2" t="n">
        <x:f>SUM(IF('Monthly_Data'!A267=A611,IF(ISBLANK('Monthly_Data'!A267)=ISBLANK(A611),0,1),1),IF('Monthly_Data'!B267=B611,IF(ISBLANK('Monthly_Data'!B267)=ISBLANK(B611),0,1),1),IF('Monthly_Data'!C267=C611,IF(ISBLANK('Monthly_Data'!C267)=ISBLANK(C611),0,1),1),IF('Monthly_Data'!D267=D611,IF(ISBLANK('Monthly_Data'!D267)=ISBLANK(D611),0,1),1),IF('Monthly_Data'!E267=E611,IF(ISBLANK('Monthly_Data'!E267)=ISBLANK(E611),0,1),1),IF('Monthly_Data'!F267=F611,IF(ISBLANK('Monthly_Data'!F267)=ISBLANK(F611),0,1),1),IF('Monthly_Data'!G267=G611,IF(ISBLANK('Monthly_Data'!G267)=ISBLANK(G611),0,1),1),IF('Monthly_Data'!H267=H611,IF(ISBLANK('Monthly_Data'!H267)=ISBLANK(H611),0,1),1))</x:f>
        <x:v>0</x:v>
      </x:c>
    </x:row>
    <x:row r="612" ht="23" customHeight="1">
      <x:c r="A612" s="2" t="str">
        <x:v>61103099_VN_202506_IMPORT</x:v>
      </x:c>
      <x:c r="B612" s="2" t="n">
        <x:v>202506</x:v>
      </x:c>
      <x:c r="C612" s="2" t="str">
        <x:v>61103099</x:v>
      </x:c>
      <x:c r="D612" s="2" t="str">
        <x:v>Vietnam</x:v>
      </x:c>
      <x:c r="E612" s="2" t="n">
        <x:v>1263945</x:v>
      </x:c>
      <x:c r="F612" s="2" t="n">
        <x:v>50918</x:v>
      </x:c>
      <x:c r="G612" s="2" t="str">
        <x:v>WITHIN_BAND</x:v>
      </x:c>
      <x:c r="H612" s="2" t="n">
        <x:v>1</x:v>
      </x:c>
      <x:c r="I612" s="2"/>
      <x:c r="J612" s="2"/>
      <x:c r="K612" s="2"/>
      <x:c r="L612" s="2" t="n">
        <x:f>SUM(IF('Monthly_Data'!A268=A612,IF(ISBLANK('Monthly_Data'!A268)=ISBLANK(A612),0,1),1),IF('Monthly_Data'!B268=B612,IF(ISBLANK('Monthly_Data'!B268)=ISBLANK(B612),0,1),1),IF('Monthly_Data'!C268=C612,IF(ISBLANK('Monthly_Data'!C268)=ISBLANK(C612),0,1),1),IF('Monthly_Data'!D268=D612,IF(ISBLANK('Monthly_Data'!D268)=ISBLANK(D612),0,1),1),IF('Monthly_Data'!E268=E612,IF(ISBLANK('Monthly_Data'!E268)=ISBLANK(E612),0,1),1),IF('Monthly_Data'!F268=F612,IF(ISBLANK('Monthly_Data'!F268)=ISBLANK(F612),0,1),1),IF('Monthly_Data'!G268=G612,IF(ISBLANK('Monthly_Data'!G268)=ISBLANK(G612),0,1),1),IF('Monthly_Data'!H268=H612,IF(ISBLANK('Monthly_Data'!H268)=ISBLANK(H612),0,1),1))</x:f>
        <x:v>0</x:v>
      </x:c>
    </x:row>
    <x:row r="613" ht="23" customHeight="1">
      <x:c r="A613" s="2" t="str">
        <x:v>61103099_WORLD_202506_IMPORT</x:v>
      </x:c>
      <x:c r="B613" s="2" t="n">
        <x:v>202506</x:v>
      </x:c>
      <x:c r="C613" s="2" t="str">
        <x:v>61103099</x:v>
      </x:c>
      <x:c r="D613" s="2" t="str">
        <x:v>World</x:v>
      </x:c>
      <x:c r="E613" s="2" t="n">
        <x:v>35066860</x:v>
      </x:c>
      <x:c r="F613" s="2" t="n">
        <x:v>2364969</x:v>
      </x:c>
      <x:c r="G613" s="2" t="str">
        <x:v>WITHIN_BAND</x:v>
      </x:c>
      <x:c r="H613" s="2" t="n">
        <x:v>1</x:v>
      </x:c>
      <x:c r="I613" s="2"/>
      <x:c r="J613" s="2"/>
      <x:c r="K613" s="2"/>
      <x:c r="L613" s="2" t="n">
        <x:f>SUM(IF('Monthly_Data'!A269=A613,IF(ISBLANK('Monthly_Data'!A269)=ISBLANK(A613),0,1),1),IF('Monthly_Data'!B269=B613,IF(ISBLANK('Monthly_Data'!B269)=ISBLANK(B613),0,1),1),IF('Monthly_Data'!C269=C613,IF(ISBLANK('Monthly_Data'!C269)=ISBLANK(C613),0,1),1),IF('Monthly_Data'!D269=D613,IF(ISBLANK('Monthly_Data'!D269)=ISBLANK(D613),0,1),1),IF('Monthly_Data'!E269=E613,IF(ISBLANK('Monthly_Data'!E269)=ISBLANK(E613),0,1),1),IF('Monthly_Data'!F269=F613,IF(ISBLANK('Monthly_Data'!F269)=ISBLANK(F613),0,1),1),IF('Monthly_Data'!G269=G613,IF(ISBLANK('Monthly_Data'!G269)=ISBLANK(G613),0,1),1),IF('Monthly_Data'!H269=H613,IF(ISBLANK('Monthly_Data'!H269)=ISBLANK(H613),0,1),1))</x:f>
        <x:v>0</x:v>
      </x:c>
    </x:row>
    <x:row r="614" ht="23" customHeight="1">
      <x:c r="A614" s="2" t="str">
        <x:v>61103099_BD_202507_IMPORT</x:v>
      </x:c>
      <x:c r="B614" s="2" t="n">
        <x:v>202507</x:v>
      </x:c>
      <x:c r="C614" s="2" t="str">
        <x:v>61103099</x:v>
      </x:c>
      <x:c r="D614" s="2" t="str">
        <x:v>Bangladesh</x:v>
      </x:c>
      <x:c r="E614" s="2" t="n">
        <x:v>18364149</x:v>
      </x:c>
      <x:c r="F614" s="2" t="n">
        <x:v>1278474</x:v>
      </x:c>
      <x:c r="G614" s="2" t="str">
        <x:v>WITHIN_BAND</x:v>
      </x:c>
      <x:c r="H614" s="2" t="n">
        <x:v>1</x:v>
      </x:c>
      <x:c r="I614" s="2"/>
      <x:c r="J614" s="2"/>
      <x:c r="K614" s="2"/>
      <x:c r="L614" s="2" t="n">
        <x:f>SUM(IF('Monthly_Data'!A270=A614,IF(ISBLANK('Monthly_Data'!A270)=ISBLANK(A614),0,1),1),IF('Monthly_Data'!B270=B614,IF(ISBLANK('Monthly_Data'!B270)=ISBLANK(B614),0,1),1),IF('Monthly_Data'!C270=C614,IF(ISBLANK('Monthly_Data'!C270)=ISBLANK(C614),0,1),1),IF('Monthly_Data'!D270=D614,IF(ISBLANK('Monthly_Data'!D270)=ISBLANK(D614),0,1),1),IF('Monthly_Data'!E270=E614,IF(ISBLANK('Monthly_Data'!E270)=ISBLANK(E614),0,1),1),IF('Monthly_Data'!F270=F614,IF(ISBLANK('Monthly_Data'!F270)=ISBLANK(F614),0,1),1),IF('Monthly_Data'!G270=G614,IF(ISBLANK('Monthly_Data'!G270)=ISBLANK(G614),0,1),1),IF('Monthly_Data'!H270=H614,IF(ISBLANK('Monthly_Data'!H270)=ISBLANK(H614),0,1),1))</x:f>
        <x:v>0</x:v>
      </x:c>
    </x:row>
    <x:row r="615" ht="23" customHeight="1">
      <x:c r="A615" s="2" t="str">
        <x:v>61103099_KH_202507_IMPORT</x:v>
      </x:c>
      <x:c r="B615" s="2" t="n">
        <x:v>202507</x:v>
      </x:c>
      <x:c r="C615" s="2" t="str">
        <x:v>61103099</x:v>
      </x:c>
      <x:c r="D615" s="2" t="str">
        <x:v>Cambodia</x:v>
      </x:c>
      <x:c r="E615" s="2" t="n">
        <x:v>6953899</x:v>
      </x:c>
      <x:c r="F615" s="2" t="n">
        <x:v>690995</x:v>
      </x:c>
      <x:c r="G615" s="2" t="str">
        <x:v>WITHIN_BAND</x:v>
      </x:c>
      <x:c r="H615" s="2" t="n">
        <x:v>1</x:v>
      </x:c>
      <x:c r="I615" s="2"/>
      <x:c r="J615" s="2"/>
      <x:c r="K615" s="2"/>
      <x:c r="L615" s="2" t="n">
        <x:f>SUM(IF('Monthly_Data'!A271=A615,IF(ISBLANK('Monthly_Data'!A271)=ISBLANK(A615),0,1),1),IF('Monthly_Data'!B271=B615,IF(ISBLANK('Monthly_Data'!B271)=ISBLANK(B615),0,1),1),IF('Monthly_Data'!C271=C615,IF(ISBLANK('Monthly_Data'!C271)=ISBLANK(C615),0,1),1),IF('Monthly_Data'!D271=D615,IF(ISBLANK('Monthly_Data'!D271)=ISBLANK(D615),0,1),1),IF('Monthly_Data'!E271=E615,IF(ISBLANK('Monthly_Data'!E271)=ISBLANK(E615),0,1),1),IF('Monthly_Data'!F271=F615,IF(ISBLANK('Monthly_Data'!F271)=ISBLANK(F615),0,1),1),IF('Monthly_Data'!G271=G615,IF(ISBLANK('Monthly_Data'!G271)=ISBLANK(G615),0,1),1),IF('Monthly_Data'!H271=H615,IF(ISBLANK('Monthly_Data'!H271)=ISBLANK(H615),0,1),1))</x:f>
        <x:v>0</x:v>
      </x:c>
    </x:row>
    <x:row r="616" ht="23" customHeight="1">
      <x:c r="A616" s="2" t="str">
        <x:v>61103099_CN_202507_IMPORT</x:v>
      </x:c>
      <x:c r="B616" s="2" t="n">
        <x:v>202507</x:v>
      </x:c>
      <x:c r="C616" s="2" t="str">
        <x:v>61103099</x:v>
      </x:c>
      <x:c r="D616" s="2" t="str">
        <x:v>China</x:v>
      </x:c>
      <x:c r="E616" s="2" t="n">
        <x:v>23065185</x:v>
      </x:c>
      <x:c r="F616" s="2" t="n">
        <x:v>1682750</x:v>
      </x:c>
      <x:c r="G616" s="2" t="str">
        <x:v>WITHIN_BAND</x:v>
      </x:c>
      <x:c r="H616" s="2" t="n">
        <x:v>1</x:v>
      </x:c>
      <x:c r="I616" s="2"/>
      <x:c r="J616" s="2"/>
      <x:c r="K616" s="2"/>
      <x:c r="L616" s="2" t="n">
        <x:f>SUM(IF('Monthly_Data'!A272=A616,IF(ISBLANK('Monthly_Data'!A272)=ISBLANK(A616),0,1),1),IF('Monthly_Data'!B272=B616,IF(ISBLANK('Monthly_Data'!B272)=ISBLANK(B616),0,1),1),IF('Monthly_Data'!C272=C616,IF(ISBLANK('Monthly_Data'!C272)=ISBLANK(C616),0,1),1),IF('Monthly_Data'!D272=D616,IF(ISBLANK('Monthly_Data'!D272)=ISBLANK(D616),0,1),1),IF('Monthly_Data'!E272=E616,IF(ISBLANK('Monthly_Data'!E272)=ISBLANK(E616),0,1),1),IF('Monthly_Data'!F272=F616,IF(ISBLANK('Monthly_Data'!F272)=ISBLANK(F616),0,1),1),IF('Monthly_Data'!G272=G616,IF(ISBLANK('Monthly_Data'!G272)=ISBLANK(G616),0,1),1),IF('Monthly_Data'!H272=H616,IF(ISBLANK('Monthly_Data'!H272)=ISBLANK(H616),0,1),1))</x:f>
        <x:v>0</x:v>
      </x:c>
    </x:row>
    <x:row r="617" ht="23" customHeight="1">
      <x:c r="A617" s="2" t="str">
        <x:v>61103099_IN_202507_IMPORT</x:v>
      </x:c>
      <x:c r="B617" s="2" t="n">
        <x:v>202507</x:v>
      </x:c>
      <x:c r="C617" s="2" t="str">
        <x:v>61103099</x:v>
      </x:c>
      <x:c r="D617" s="2" t="str">
        <x:v>India</x:v>
      </x:c>
      <x:c r="E617" s="2" t="n">
        <x:v>201411</x:v>
      </x:c>
      <x:c r="F617" s="2" t="n">
        <x:v>12424</x:v>
      </x:c>
      <x:c r="G617" s="2" t="str">
        <x:v>WITHIN_BAND</x:v>
      </x:c>
      <x:c r="H617" s="2" t="n">
        <x:v>1</x:v>
      </x:c>
      <x:c r="I617" s="2"/>
      <x:c r="J617" s="2"/>
      <x:c r="K617" s="2"/>
      <x:c r="L617" s="2" t="n">
        <x:f>SUM(IF('Monthly_Data'!A273=A617,IF(ISBLANK('Monthly_Data'!A273)=ISBLANK(A617),0,1),1),IF('Monthly_Data'!B273=B617,IF(ISBLANK('Monthly_Data'!B273)=ISBLANK(B617),0,1),1),IF('Monthly_Data'!C273=C617,IF(ISBLANK('Monthly_Data'!C273)=ISBLANK(C617),0,1),1),IF('Monthly_Data'!D273=D617,IF(ISBLANK('Monthly_Data'!D273)=ISBLANK(D617),0,1),1),IF('Monthly_Data'!E273=E617,IF(ISBLANK('Monthly_Data'!E273)=ISBLANK(E617),0,1),1),IF('Monthly_Data'!F273=F617,IF(ISBLANK('Monthly_Data'!F273)=ISBLANK(F617),0,1),1),IF('Monthly_Data'!G273=G617,IF(ISBLANK('Monthly_Data'!G273)=ISBLANK(G617),0,1),1),IF('Monthly_Data'!H273=H617,IF(ISBLANK('Monthly_Data'!H273)=ISBLANK(H617),0,1),1))</x:f>
        <x:v>0</x:v>
      </x:c>
    </x:row>
    <x:row r="618" ht="23" customHeight="1">
      <x:c r="A618" s="2" t="str">
        <x:v>61103099_MA_202507_IMPORT</x:v>
      </x:c>
      <x:c r="B618" s="2" t="n">
        <x:v>202507</x:v>
      </x:c>
      <x:c r="C618" s="2" t="str">
        <x:v>61103099</x:v>
      </x:c>
      <x:c r="D618" s="2" t="str">
        <x:v>Morocco</x:v>
      </x:c>
      <x:c r="E618" s="2" t="n">
        <x:v>25985</x:v>
      </x:c>
      <x:c r="F618" s="2" t="n">
        <x:v>897</x:v>
      </x:c>
      <x:c r="G618" s="2" t="str">
        <x:v>WITHIN_BAND</x:v>
      </x:c>
      <x:c r="H618" s="2" t="n">
        <x:v>1</x:v>
      </x:c>
      <x:c r="I618" s="2"/>
      <x:c r="J618" s="2"/>
      <x:c r="K618" s="2"/>
      <x:c r="L618" s="2" t="n">
        <x:f>SUM(IF('Monthly_Data'!A274=A618,IF(ISBLANK('Monthly_Data'!A274)=ISBLANK(A618),0,1),1),IF('Monthly_Data'!B274=B618,IF(ISBLANK('Monthly_Data'!B274)=ISBLANK(B618),0,1),1),IF('Monthly_Data'!C274=C618,IF(ISBLANK('Monthly_Data'!C274)=ISBLANK(C618),0,1),1),IF('Monthly_Data'!D274=D618,IF(ISBLANK('Monthly_Data'!D274)=ISBLANK(D618),0,1),1),IF('Monthly_Data'!E274=E618,IF(ISBLANK('Monthly_Data'!E274)=ISBLANK(E618),0,1),1),IF('Monthly_Data'!F274=F618,IF(ISBLANK('Monthly_Data'!F274)=ISBLANK(F618),0,1),1),IF('Monthly_Data'!G274=G618,IF(ISBLANK('Monthly_Data'!G274)=ISBLANK(G618),0,1),1),IF('Monthly_Data'!H274=H618,IF(ISBLANK('Monthly_Data'!H274)=ISBLANK(H618),0,1),1))</x:f>
        <x:v>0</x:v>
      </x:c>
    </x:row>
    <x:row r="619" ht="23" customHeight="1">
      <x:c r="A619" s="2" t="str">
        <x:v>61103099_MM_202507_IMPORT</x:v>
      </x:c>
      <x:c r="B619" s="2" t="n">
        <x:v>202507</x:v>
      </x:c>
      <x:c r="C619" s="2" t="str">
        <x:v>61103099</x:v>
      </x:c>
      <x:c r="D619" s="2" t="str">
        <x:v>Myanmar</x:v>
      </x:c>
      <x:c r="E619" s="2" t="n">
        <x:v>894673</x:v>
      </x:c>
      <x:c r="F619" s="2" t="n">
        <x:v>57570</x:v>
      </x:c>
      <x:c r="G619" s="2" t="str">
        <x:v>WITHIN_BAND</x:v>
      </x:c>
      <x:c r="H619" s="2" t="n">
        <x:v>1</x:v>
      </x:c>
      <x:c r="I619" s="2"/>
      <x:c r="J619" s="2"/>
      <x:c r="K619" s="2"/>
      <x:c r="L619" s="2" t="n">
        <x:f>SUM(IF('Monthly_Data'!A275=A619,IF(ISBLANK('Monthly_Data'!A275)=ISBLANK(A619),0,1),1),IF('Monthly_Data'!B275=B619,IF(ISBLANK('Monthly_Data'!B275)=ISBLANK(B619),0,1),1),IF('Monthly_Data'!C275=C619,IF(ISBLANK('Monthly_Data'!C275)=ISBLANK(C619),0,1),1),IF('Monthly_Data'!D275=D619,IF(ISBLANK('Monthly_Data'!D275)=ISBLANK(D619),0,1),1),IF('Monthly_Data'!E275=E619,IF(ISBLANK('Monthly_Data'!E275)=ISBLANK(E619),0,1),1),IF('Monthly_Data'!F275=F619,IF(ISBLANK('Monthly_Data'!F275)=ISBLANK(F619),0,1),1),IF('Monthly_Data'!G275=G619,IF(ISBLANK('Monthly_Data'!G275)=ISBLANK(G619),0,1),1),IF('Monthly_Data'!H275=H619,IF(ISBLANK('Monthly_Data'!H275)=ISBLANK(H619),0,1),1))</x:f>
        <x:v>0</x:v>
      </x:c>
    </x:row>
    <x:row r="620" ht="23" customHeight="1">
      <x:c r="A620" s="2" t="str">
        <x:v>61103099_PK_202507_IMPORT</x:v>
      </x:c>
      <x:c r="B620" s="2" t="n">
        <x:v>202507</x:v>
      </x:c>
      <x:c r="C620" s="2" t="str">
        <x:v>61103099</x:v>
      </x:c>
      <x:c r="D620" s="2" t="str">
        <x:v>Pakistan</x:v>
      </x:c>
      <x:c r="E620" s="2" t="n">
        <x:v>400007</x:v>
      </x:c>
      <x:c r="F620" s="2" t="n">
        <x:v>22916</x:v>
      </x:c>
      <x:c r="G620" s="2" t="str">
        <x:v>WITHIN_BAND</x:v>
      </x:c>
      <x:c r="H620" s="2" t="n">
        <x:v>1</x:v>
      </x:c>
      <x:c r="I620" s="2"/>
      <x:c r="J620" s="2"/>
      <x:c r="K620" s="2"/>
      <x:c r="L620" s="2" t="n">
        <x:f>SUM(IF('Monthly_Data'!A276=A620,IF(ISBLANK('Monthly_Data'!A276)=ISBLANK(A620),0,1),1),IF('Monthly_Data'!B276=B620,IF(ISBLANK('Monthly_Data'!B276)=ISBLANK(B620),0,1),1),IF('Monthly_Data'!C276=C620,IF(ISBLANK('Monthly_Data'!C276)=ISBLANK(C620),0,1),1),IF('Monthly_Data'!D276=D620,IF(ISBLANK('Monthly_Data'!D276)=ISBLANK(D620),0,1),1),IF('Monthly_Data'!E276=E620,IF(ISBLANK('Monthly_Data'!E276)=ISBLANK(E620),0,1),1),IF('Monthly_Data'!F276=F620,IF(ISBLANK('Monthly_Data'!F276)=ISBLANK(F620),0,1),1),IF('Monthly_Data'!G276=G620,IF(ISBLANK('Monthly_Data'!G276)=ISBLANK(G620),0,1),1),IF('Monthly_Data'!H276=H620,IF(ISBLANK('Monthly_Data'!H276)=ISBLANK(H620),0,1),1))</x:f>
        <x:v>0</x:v>
      </x:c>
    </x:row>
    <x:row r="621" ht="23" customHeight="1">
      <x:c r="A621" s="2" t="str">
        <x:v>61103099_LK_202507_IMPORT</x:v>
      </x:c>
      <x:c r="B621" s="2" t="n">
        <x:v>202507</x:v>
      </x:c>
      <x:c r="C621" s="2" t="str">
        <x:v>61103099</x:v>
      </x:c>
      <x:c r="D621" s="2" t="str">
        <x:v>Sri Lanka</x:v>
      </x:c>
      <x:c r="E621" s="2" t="n">
        <x:v>395210</x:v>
      </x:c>
      <x:c r="F621" s="2" t="n">
        <x:v>23898</x:v>
      </x:c>
      <x:c r="G621" s="2" t="str">
        <x:v>WITHIN_BAND</x:v>
      </x:c>
      <x:c r="H621" s="2" t="n">
        <x:v>1</x:v>
      </x:c>
      <x:c r="I621" s="2"/>
      <x:c r="J621" s="2"/>
      <x:c r="K621" s="2"/>
      <x:c r="L621" s="2" t="n">
        <x:f>SUM(IF('Monthly_Data'!A277=A621,IF(ISBLANK('Monthly_Data'!A277)=ISBLANK(A621),0,1),1),IF('Monthly_Data'!B277=B621,IF(ISBLANK('Monthly_Data'!B277)=ISBLANK(B621),0,1),1),IF('Monthly_Data'!C277=C621,IF(ISBLANK('Monthly_Data'!C277)=ISBLANK(C621),0,1),1),IF('Monthly_Data'!D277=D621,IF(ISBLANK('Monthly_Data'!D277)=ISBLANK(D621),0,1),1),IF('Monthly_Data'!E277=E621,IF(ISBLANK('Monthly_Data'!E277)=ISBLANK(E621),0,1),1),IF('Monthly_Data'!F277=F621,IF(ISBLANK('Monthly_Data'!F277)=ISBLANK(F621),0,1),1),IF('Monthly_Data'!G277=G621,IF(ISBLANK('Monthly_Data'!G277)=ISBLANK(G621),0,1),1),IF('Monthly_Data'!H277=H621,IF(ISBLANK('Monthly_Data'!H277)=ISBLANK(H621),0,1),1))</x:f>
        <x:v>0</x:v>
      </x:c>
    </x:row>
    <x:row r="622" ht="23" customHeight="1">
      <x:c r="A622" s="2" t="str">
        <x:v>61103099_TR_202507_IMPORT</x:v>
      </x:c>
      <x:c r="B622" s="2" t="n">
        <x:v>202507</x:v>
      </x:c>
      <x:c r="C622" s="2" t="str">
        <x:v>61103099</x:v>
      </x:c>
      <x:c r="D622" s="2" t="str">
        <x:v>Turkey</x:v>
      </x:c>
      <x:c r="E622" s="2" t="n">
        <x:v>3433516</x:v>
      </x:c>
      <x:c r="F622" s="2" t="n">
        <x:v>2758582</x:v>
      </x:c>
      <x:c r="G622" s="2" t="str">
        <x:v>REVIEW</x:v>
      </x:c>
      <x:c r="H622" s="2" t="n">
        <x:v>1</x:v>
      </x:c>
      <x:c r="I622" s="2"/>
      <x:c r="J622" s="2"/>
      <x:c r="K622" s="2"/>
      <x:c r="L622" s="2" t="n">
        <x:f>SUM(IF('Monthly_Data'!A278=A622,IF(ISBLANK('Monthly_Data'!A278)=ISBLANK(A622),0,1),1),IF('Monthly_Data'!B278=B622,IF(ISBLANK('Monthly_Data'!B278)=ISBLANK(B622),0,1),1),IF('Monthly_Data'!C278=C622,IF(ISBLANK('Monthly_Data'!C278)=ISBLANK(C622),0,1),1),IF('Monthly_Data'!D278=D622,IF(ISBLANK('Monthly_Data'!D278)=ISBLANK(D622),0,1),1),IF('Monthly_Data'!E278=E622,IF(ISBLANK('Monthly_Data'!E278)=ISBLANK(E622),0,1),1),IF('Monthly_Data'!F278=F622,IF(ISBLANK('Monthly_Data'!F278)=ISBLANK(F622),0,1),1),IF('Monthly_Data'!G278=G622,IF(ISBLANK('Monthly_Data'!G278)=ISBLANK(G622),0,1),1),IF('Monthly_Data'!H278=H622,IF(ISBLANK('Monthly_Data'!H278)=ISBLANK(H622),0,1),1))</x:f>
        <x:v>0</x:v>
      </x:c>
    </x:row>
    <x:row r="623" ht="23" customHeight="1">
      <x:c r="A623" s="2" t="str">
        <x:v>61103099_VN_202507_IMPORT</x:v>
      </x:c>
      <x:c r="B623" s="2" t="n">
        <x:v>202507</x:v>
      </x:c>
      <x:c r="C623" s="2" t="str">
        <x:v>61103099</x:v>
      </x:c>
      <x:c r="D623" s="2" t="str">
        <x:v>Vietnam</x:v>
      </x:c>
      <x:c r="E623" s="2" t="n">
        <x:v>811836</x:v>
      </x:c>
      <x:c r="F623" s="2" t="n">
        <x:v>38354</x:v>
      </x:c>
      <x:c r="G623" s="2" t="str">
        <x:v>WITHIN_BAND</x:v>
      </x:c>
      <x:c r="H623" s="2" t="n">
        <x:v>1</x:v>
      </x:c>
      <x:c r="I623" s="2"/>
      <x:c r="J623" s="2"/>
      <x:c r="K623" s="2"/>
      <x:c r="L623" s="2" t="n">
        <x:f>SUM(IF('Monthly_Data'!A279=A623,IF(ISBLANK('Monthly_Data'!A279)=ISBLANK(A623),0,1),1),IF('Monthly_Data'!B279=B623,IF(ISBLANK('Monthly_Data'!B279)=ISBLANK(B623),0,1),1),IF('Monthly_Data'!C279=C623,IF(ISBLANK('Monthly_Data'!C279)=ISBLANK(C623),0,1),1),IF('Monthly_Data'!D279=D623,IF(ISBLANK('Monthly_Data'!D279)=ISBLANK(D623),0,1),1),IF('Monthly_Data'!E279=E623,IF(ISBLANK('Monthly_Data'!E279)=ISBLANK(E623),0,1),1),IF('Monthly_Data'!F279=F623,IF(ISBLANK('Monthly_Data'!F279)=ISBLANK(F623),0,1),1),IF('Monthly_Data'!G279=G623,IF(ISBLANK('Monthly_Data'!G279)=ISBLANK(G623),0,1),1),IF('Monthly_Data'!H279=H623,IF(ISBLANK('Monthly_Data'!H279)=ISBLANK(H623),0,1),1))</x:f>
        <x:v>0</x:v>
      </x:c>
    </x:row>
    <x:row r="624" ht="23" customHeight="1">
      <x:c r="A624" s="2" t="str">
        <x:v>61103099_WORLD_202507_IMPORT</x:v>
      </x:c>
      <x:c r="B624" s="2" t="n">
        <x:v>202507</x:v>
      </x:c>
      <x:c r="C624" s="2" t="str">
        <x:v>61103099</x:v>
      </x:c>
      <x:c r="D624" s="2" t="str">
        <x:v>World</x:v>
      </x:c>
      <x:c r="E624" s="2" t="n">
        <x:v>63059661</x:v>
      </x:c>
      <x:c r="F624" s="2" t="n">
        <x:v>6950782</x:v>
      </x:c>
      <x:c r="G624" s="2" t="str">
        <x:v>WITHIN_BAND</x:v>
      </x:c>
      <x:c r="H624" s="2" t="n">
        <x:v>1</x:v>
      </x:c>
      <x:c r="I624" s="2"/>
      <x:c r="J624" s="2"/>
      <x:c r="K624" s="2"/>
      <x:c r="L624" s="2" t="n">
        <x:f>SUM(IF('Monthly_Data'!A280=A624,IF(ISBLANK('Monthly_Data'!A280)=ISBLANK(A624),0,1),1),IF('Monthly_Data'!B280=B624,IF(ISBLANK('Monthly_Data'!B280)=ISBLANK(B624),0,1),1),IF('Monthly_Data'!C280=C624,IF(ISBLANK('Monthly_Data'!C280)=ISBLANK(C624),0,1),1),IF('Monthly_Data'!D280=D624,IF(ISBLANK('Monthly_Data'!D280)=ISBLANK(D624),0,1),1),IF('Monthly_Data'!E280=E624,IF(ISBLANK('Monthly_Data'!E280)=ISBLANK(E624),0,1),1),IF('Monthly_Data'!F280=F624,IF(ISBLANK('Monthly_Data'!F280)=ISBLANK(F624),0,1),1),IF('Monthly_Data'!G280=G624,IF(ISBLANK('Monthly_Data'!G280)=ISBLANK(G624),0,1),1),IF('Monthly_Data'!H280=H624,IF(ISBLANK('Monthly_Data'!H280)=ISBLANK(H624),0,1),1))</x:f>
        <x:v>0</x:v>
      </x:c>
    </x:row>
    <x:row r="625" ht="23" customHeight="1">
      <x:c r="A625" s="2" t="str">
        <x:v>61103099_BD_202508_IMPORT</x:v>
      </x:c>
      <x:c r="B625" s="2" t="n">
        <x:v>202508</x:v>
      </x:c>
      <x:c r="C625" s="2" t="str">
        <x:v>61103099</x:v>
      </x:c>
      <x:c r="D625" s="2" t="str">
        <x:v>Bangladesh</x:v>
      </x:c>
      <x:c r="E625" s="2" t="n">
        <x:v>18131145</x:v>
      </x:c>
      <x:c r="F625" s="2" t="n">
        <x:v>1436909</x:v>
      </x:c>
      <x:c r="G625" s="2" t="str">
        <x:v>WITHIN_BAND</x:v>
      </x:c>
      <x:c r="H625" s="2" t="n">
        <x:v>1</x:v>
      </x:c>
      <x:c r="I625" s="2"/>
      <x:c r="J625" s="2"/>
      <x:c r="K625" s="2"/>
      <x:c r="L625" s="2" t="n">
        <x:f>SUM(IF('Monthly_Data'!A281=A625,IF(ISBLANK('Monthly_Data'!A281)=ISBLANK(A625),0,1),1),IF('Monthly_Data'!B281=B625,IF(ISBLANK('Monthly_Data'!B281)=ISBLANK(B625),0,1),1),IF('Monthly_Data'!C281=C625,IF(ISBLANK('Monthly_Data'!C281)=ISBLANK(C625),0,1),1),IF('Monthly_Data'!D281=D625,IF(ISBLANK('Monthly_Data'!D281)=ISBLANK(D625),0,1),1),IF('Monthly_Data'!E281=E625,IF(ISBLANK('Monthly_Data'!E281)=ISBLANK(E625),0,1),1),IF('Monthly_Data'!F281=F625,IF(ISBLANK('Monthly_Data'!F281)=ISBLANK(F625),0,1),1),IF('Monthly_Data'!G281=G625,IF(ISBLANK('Monthly_Data'!G281)=ISBLANK(G625),0,1),1),IF('Monthly_Data'!H281=H625,IF(ISBLANK('Monthly_Data'!H281)=ISBLANK(H625),0,1),1))</x:f>
        <x:v>0</x:v>
      </x:c>
    </x:row>
    <x:row r="626" ht="23" customHeight="1">
      <x:c r="A626" s="2" t="str">
        <x:v>61103099_KH_202508_IMPORT</x:v>
      </x:c>
      <x:c r="B626" s="2" t="n">
        <x:v>202508</x:v>
      </x:c>
      <x:c r="C626" s="2" t="str">
        <x:v>61103099</x:v>
      </x:c>
      <x:c r="D626" s="2" t="str">
        <x:v>Cambodia</x:v>
      </x:c>
      <x:c r="E626" s="2" t="n">
        <x:v>9512606</x:v>
      </x:c>
      <x:c r="F626" s="2" t="n">
        <x:v>818492</x:v>
      </x:c>
      <x:c r="G626" s="2" t="str">
        <x:v>WITHIN_BAND</x:v>
      </x:c>
      <x:c r="H626" s="2" t="n">
        <x:v>1</x:v>
      </x:c>
      <x:c r="I626" s="2"/>
      <x:c r="J626" s="2"/>
      <x:c r="K626" s="2"/>
      <x:c r="L626" s="2" t="n">
        <x:f>SUM(IF('Monthly_Data'!A282=A626,IF(ISBLANK('Monthly_Data'!A282)=ISBLANK(A626),0,1),1),IF('Monthly_Data'!B282=B626,IF(ISBLANK('Monthly_Data'!B282)=ISBLANK(B626),0,1),1),IF('Monthly_Data'!C282=C626,IF(ISBLANK('Monthly_Data'!C282)=ISBLANK(C626),0,1),1),IF('Monthly_Data'!D282=D626,IF(ISBLANK('Monthly_Data'!D282)=ISBLANK(D626),0,1),1),IF('Monthly_Data'!E282=E626,IF(ISBLANK('Monthly_Data'!E282)=ISBLANK(E626),0,1),1),IF('Monthly_Data'!F282=F626,IF(ISBLANK('Monthly_Data'!F282)=ISBLANK(F626),0,1),1),IF('Monthly_Data'!G282=G626,IF(ISBLANK('Monthly_Data'!G282)=ISBLANK(G626),0,1),1),IF('Monthly_Data'!H282=H626,IF(ISBLANK('Monthly_Data'!H282)=ISBLANK(H626),0,1),1))</x:f>
        <x:v>0</x:v>
      </x:c>
    </x:row>
    <x:row r="627" ht="23" customHeight="1">
      <x:c r="A627" s="2" t="str">
        <x:v>61103099_CN_202508_IMPORT</x:v>
      </x:c>
      <x:c r="B627" s="2" t="n">
        <x:v>202508</x:v>
      </x:c>
      <x:c r="C627" s="2" t="str">
        <x:v>61103099</x:v>
      </x:c>
      <x:c r="D627" s="2" t="str">
        <x:v>China</x:v>
      </x:c>
      <x:c r="E627" s="2" t="n">
        <x:v>37300013</x:v>
      </x:c>
      <x:c r="F627" s="2" t="n">
        <x:v>2753499</x:v>
      </x:c>
      <x:c r="G627" s="2" t="str">
        <x:v>WITHIN_BAND</x:v>
      </x:c>
      <x:c r="H627" s="2" t="n">
        <x:v>1</x:v>
      </x:c>
      <x:c r="I627" s="2"/>
      <x:c r="J627" s="2"/>
      <x:c r="K627" s="2"/>
      <x:c r="L627" s="2" t="n">
        <x:f>SUM(IF('Monthly_Data'!A283=A627,IF(ISBLANK('Monthly_Data'!A283)=ISBLANK(A627),0,1),1),IF('Monthly_Data'!B283=B627,IF(ISBLANK('Monthly_Data'!B283)=ISBLANK(B627),0,1),1),IF('Monthly_Data'!C283=C627,IF(ISBLANK('Monthly_Data'!C283)=ISBLANK(C627),0,1),1),IF('Monthly_Data'!D283=D627,IF(ISBLANK('Monthly_Data'!D283)=ISBLANK(D627),0,1),1),IF('Monthly_Data'!E283=E627,IF(ISBLANK('Monthly_Data'!E283)=ISBLANK(E627),0,1),1),IF('Monthly_Data'!F283=F627,IF(ISBLANK('Monthly_Data'!F283)=ISBLANK(F627),0,1),1),IF('Monthly_Data'!G283=G627,IF(ISBLANK('Monthly_Data'!G283)=ISBLANK(G627),0,1),1),IF('Monthly_Data'!H283=H627,IF(ISBLANK('Monthly_Data'!H283)=ISBLANK(H627),0,1),1))</x:f>
        <x:v>0</x:v>
      </x:c>
    </x:row>
    <x:row r="628" ht="23" customHeight="1">
      <x:c r="A628" s="2" t="str">
        <x:v>61103099_IN_202508_IMPORT</x:v>
      </x:c>
      <x:c r="B628" s="2" t="n">
        <x:v>202508</x:v>
      </x:c>
      <x:c r="C628" s="2" t="str">
        <x:v>61103099</x:v>
      </x:c>
      <x:c r="D628" s="2" t="str">
        <x:v>India</x:v>
      </x:c>
      <x:c r="E628" s="2" t="n">
        <x:v>163170</x:v>
      </x:c>
      <x:c r="F628" s="2" t="n">
        <x:v>10612</x:v>
      </x:c>
      <x:c r="G628" s="2" t="str">
        <x:v>WITHIN_BAND</x:v>
      </x:c>
      <x:c r="H628" s="2" t="n">
        <x:v>1</x:v>
      </x:c>
      <x:c r="I628" s="2"/>
      <x:c r="J628" s="2"/>
      <x:c r="K628" s="2"/>
      <x:c r="L628" s="2" t="n">
        <x:f>SUM(IF('Monthly_Data'!A284=A628,IF(ISBLANK('Monthly_Data'!A284)=ISBLANK(A628),0,1),1),IF('Monthly_Data'!B284=B628,IF(ISBLANK('Monthly_Data'!B284)=ISBLANK(B628),0,1),1),IF('Monthly_Data'!C284=C628,IF(ISBLANK('Monthly_Data'!C284)=ISBLANK(C628),0,1),1),IF('Monthly_Data'!D284=D628,IF(ISBLANK('Monthly_Data'!D284)=ISBLANK(D628),0,1),1),IF('Monthly_Data'!E284=E628,IF(ISBLANK('Monthly_Data'!E284)=ISBLANK(E628),0,1),1),IF('Monthly_Data'!F284=F628,IF(ISBLANK('Monthly_Data'!F284)=ISBLANK(F628),0,1),1),IF('Monthly_Data'!G284=G628,IF(ISBLANK('Monthly_Data'!G284)=ISBLANK(G628),0,1),1),IF('Monthly_Data'!H284=H628,IF(ISBLANK('Monthly_Data'!H284)=ISBLANK(H628),0,1),1))</x:f>
        <x:v>0</x:v>
      </x:c>
    </x:row>
    <x:row r="629" ht="23" customHeight="1">
      <x:c r="A629" s="2" t="str">
        <x:v>61103099_MA_202508_IMPORT</x:v>
      </x:c>
      <x:c r="B629" s="2" t="n">
        <x:v>202508</x:v>
      </x:c>
      <x:c r="C629" s="2" t="str">
        <x:v>61103099</x:v>
      </x:c>
      <x:c r="D629" s="2" t="str">
        <x:v>Morocco</x:v>
      </x:c>
      <x:c r="E629" s="2" t="n">
        <x:v>7365</x:v>
      </x:c>
      <x:c r="F629" s="2" t="n">
        <x:v>420</x:v>
      </x:c>
      <x:c r="G629" s="2" t="str">
        <x:v>WITHIN_BAND</x:v>
      </x:c>
      <x:c r="H629" s="2" t="n">
        <x:v>1</x:v>
      </x:c>
      <x:c r="I629" s="2"/>
      <x:c r="J629" s="2"/>
      <x:c r="K629" s="2"/>
      <x:c r="L629" s="2" t="n">
        <x:f>SUM(IF('Monthly_Data'!A285=A629,IF(ISBLANK('Monthly_Data'!A285)=ISBLANK(A629),0,1),1),IF('Monthly_Data'!B285=B629,IF(ISBLANK('Monthly_Data'!B285)=ISBLANK(B629),0,1),1),IF('Monthly_Data'!C285=C629,IF(ISBLANK('Monthly_Data'!C285)=ISBLANK(C629),0,1),1),IF('Monthly_Data'!D285=D629,IF(ISBLANK('Monthly_Data'!D285)=ISBLANK(D629),0,1),1),IF('Monthly_Data'!E285=E629,IF(ISBLANK('Monthly_Data'!E285)=ISBLANK(E629),0,1),1),IF('Monthly_Data'!F285=F629,IF(ISBLANK('Monthly_Data'!F285)=ISBLANK(F629),0,1),1),IF('Monthly_Data'!G285=G629,IF(ISBLANK('Monthly_Data'!G285)=ISBLANK(G629),0,1),1),IF('Monthly_Data'!H285=H629,IF(ISBLANK('Monthly_Data'!H285)=ISBLANK(H629),0,1),1))</x:f>
        <x:v>0</x:v>
      </x:c>
    </x:row>
    <x:row r="630" ht="23" customHeight="1">
      <x:c r="A630" s="2" t="str">
        <x:v>61103099_MM_202508_IMPORT</x:v>
      </x:c>
      <x:c r="B630" s="2" t="n">
        <x:v>202508</x:v>
      </x:c>
      <x:c r="C630" s="2" t="str">
        <x:v>61103099</x:v>
      </x:c>
      <x:c r="D630" s="2" t="str">
        <x:v>Myanmar</x:v>
      </x:c>
      <x:c r="E630" s="2" t="n">
        <x:v>1577006</x:v>
      </x:c>
      <x:c r="F630" s="2" t="n">
        <x:v>102987</x:v>
      </x:c>
      <x:c r="G630" s="2" t="str">
        <x:v>WITHIN_BAND</x:v>
      </x:c>
      <x:c r="H630" s="2" t="n">
        <x:v>1</x:v>
      </x:c>
      <x:c r="I630" s="2"/>
      <x:c r="J630" s="2"/>
      <x:c r="K630" s="2"/>
      <x:c r="L630" s="2" t="n">
        <x:f>SUM(IF('Monthly_Data'!A286=A630,IF(ISBLANK('Monthly_Data'!A286)=ISBLANK(A630),0,1),1),IF('Monthly_Data'!B286=B630,IF(ISBLANK('Monthly_Data'!B286)=ISBLANK(B630),0,1),1),IF('Monthly_Data'!C286=C630,IF(ISBLANK('Monthly_Data'!C286)=ISBLANK(C630),0,1),1),IF('Monthly_Data'!D286=D630,IF(ISBLANK('Monthly_Data'!D286)=ISBLANK(D630),0,1),1),IF('Monthly_Data'!E286=E630,IF(ISBLANK('Monthly_Data'!E286)=ISBLANK(E630),0,1),1),IF('Monthly_Data'!F286=F630,IF(ISBLANK('Monthly_Data'!F286)=ISBLANK(F630),0,1),1),IF('Monthly_Data'!G286=G630,IF(ISBLANK('Monthly_Data'!G286)=ISBLANK(G630),0,1),1),IF('Monthly_Data'!H286=H630,IF(ISBLANK('Monthly_Data'!H286)=ISBLANK(H630),0,1),1))</x:f>
        <x:v>0</x:v>
      </x:c>
    </x:row>
    <x:row r="631" ht="23" customHeight="1">
      <x:c r="A631" s="2" t="str">
        <x:v>61103099_PK_202508_IMPORT</x:v>
      </x:c>
      <x:c r="B631" s="2" t="n">
        <x:v>202508</x:v>
      </x:c>
      <x:c r="C631" s="2" t="str">
        <x:v>61103099</x:v>
      </x:c>
      <x:c r="D631" s="2" t="str">
        <x:v>Pakistan</x:v>
      </x:c>
      <x:c r="E631" s="2" t="n">
        <x:v>432077</x:v>
      </x:c>
      <x:c r="F631" s="2" t="n">
        <x:v>36886</x:v>
      </x:c>
      <x:c r="G631" s="2" t="str">
        <x:v>WITHIN_BAND</x:v>
      </x:c>
      <x:c r="H631" s="2" t="n">
        <x:v>1</x:v>
      </x:c>
      <x:c r="I631" s="2"/>
      <x:c r="J631" s="2"/>
      <x:c r="K631" s="2"/>
      <x:c r="L631" s="2" t="n">
        <x:f>SUM(IF('Monthly_Data'!A287=A631,IF(ISBLANK('Monthly_Data'!A287)=ISBLANK(A631),0,1),1),IF('Monthly_Data'!B287=B631,IF(ISBLANK('Monthly_Data'!B287)=ISBLANK(B631),0,1),1),IF('Monthly_Data'!C287=C631,IF(ISBLANK('Monthly_Data'!C287)=ISBLANK(C631),0,1),1),IF('Monthly_Data'!D287=D631,IF(ISBLANK('Monthly_Data'!D287)=ISBLANK(D631),0,1),1),IF('Monthly_Data'!E287=E631,IF(ISBLANK('Monthly_Data'!E287)=ISBLANK(E631),0,1),1),IF('Monthly_Data'!F287=F631,IF(ISBLANK('Monthly_Data'!F287)=ISBLANK(F631),0,1),1),IF('Monthly_Data'!G287=G631,IF(ISBLANK('Monthly_Data'!G287)=ISBLANK(G631),0,1),1),IF('Monthly_Data'!H287=H631,IF(ISBLANK('Monthly_Data'!H287)=ISBLANK(H631),0,1),1))</x:f>
        <x:v>0</x:v>
      </x:c>
    </x:row>
    <x:row r="632" ht="23" customHeight="1">
      <x:c r="A632" s="2" t="str">
        <x:v>61103099_LK_202508_IMPORT</x:v>
      </x:c>
      <x:c r="B632" s="2" t="n">
        <x:v>202508</x:v>
      </x:c>
      <x:c r="C632" s="2" t="str">
        <x:v>61103099</x:v>
      </x:c>
      <x:c r="D632" s="2" t="str">
        <x:v>Sri Lanka</x:v>
      </x:c>
      <x:c r="E632" s="2" t="n">
        <x:v>68911</x:v>
      </x:c>
      <x:c r="F632" s="2" t="n">
        <x:v>3398</x:v>
      </x:c>
      <x:c r="G632" s="2" t="str">
        <x:v>WITHIN_BAND</x:v>
      </x:c>
      <x:c r="H632" s="2" t="n">
        <x:v>1</x:v>
      </x:c>
      <x:c r="I632" s="2"/>
      <x:c r="J632" s="2"/>
      <x:c r="K632" s="2"/>
      <x:c r="L632" s="2" t="n">
        <x:f>SUM(IF('Monthly_Data'!A288=A632,IF(ISBLANK('Monthly_Data'!A288)=ISBLANK(A632),0,1),1),IF('Monthly_Data'!B288=B632,IF(ISBLANK('Monthly_Data'!B288)=ISBLANK(B632),0,1),1),IF('Monthly_Data'!C288=C632,IF(ISBLANK('Monthly_Data'!C288)=ISBLANK(C632),0,1),1),IF('Monthly_Data'!D288=D632,IF(ISBLANK('Monthly_Data'!D288)=ISBLANK(D632),0,1),1),IF('Monthly_Data'!E288=E632,IF(ISBLANK('Monthly_Data'!E288)=ISBLANK(E632),0,1),1),IF('Monthly_Data'!F288=F632,IF(ISBLANK('Monthly_Data'!F288)=ISBLANK(F632),0,1),1),IF('Monthly_Data'!G288=G632,IF(ISBLANK('Monthly_Data'!G288)=ISBLANK(G632),0,1),1),IF('Monthly_Data'!H288=H632,IF(ISBLANK('Monthly_Data'!H288)=ISBLANK(H632),0,1),1))</x:f>
        <x:v>0</x:v>
      </x:c>
    </x:row>
    <x:row r="633" ht="23" customHeight="1">
      <x:c r="A633" s="2" t="str">
        <x:v>61103099_TR_202508_IMPORT</x:v>
      </x:c>
      <x:c r="B633" s="2" t="n">
        <x:v>202508</x:v>
      </x:c>
      <x:c r="C633" s="2" t="str">
        <x:v>61103099</x:v>
      </x:c>
      <x:c r="D633" s="2" t="str">
        <x:v>Turkey</x:v>
      </x:c>
      <x:c r="E633" s="2" t="n">
        <x:v>8488866</x:v>
      </x:c>
      <x:c r="F633" s="2" t="n">
        <x:v>1921449</x:v>
      </x:c>
      <x:c r="G633" s="2" t="str">
        <x:v>REVIEW</x:v>
      </x:c>
      <x:c r="H633" s="2" t="n">
        <x:v>1</x:v>
      </x:c>
      <x:c r="I633" s="2"/>
      <x:c r="J633" s="2"/>
      <x:c r="K633" s="2"/>
      <x:c r="L633" s="2" t="n">
        <x:f>SUM(IF('Monthly_Data'!A289=A633,IF(ISBLANK('Monthly_Data'!A289)=ISBLANK(A633),0,1),1),IF('Monthly_Data'!B289=B633,IF(ISBLANK('Monthly_Data'!B289)=ISBLANK(B633),0,1),1),IF('Monthly_Data'!C289=C633,IF(ISBLANK('Monthly_Data'!C289)=ISBLANK(C633),0,1),1),IF('Monthly_Data'!D289=D633,IF(ISBLANK('Monthly_Data'!D289)=ISBLANK(D633),0,1),1),IF('Monthly_Data'!E289=E633,IF(ISBLANK('Monthly_Data'!E289)=ISBLANK(E633),0,1),1),IF('Monthly_Data'!F289=F633,IF(ISBLANK('Monthly_Data'!F289)=ISBLANK(F633),0,1),1),IF('Monthly_Data'!G289=G633,IF(ISBLANK('Monthly_Data'!G289)=ISBLANK(G633),0,1),1),IF('Monthly_Data'!H289=H633,IF(ISBLANK('Monthly_Data'!H289)=ISBLANK(H633),0,1),1))</x:f>
        <x:v>0</x:v>
      </x:c>
    </x:row>
    <x:row r="634" ht="23" customHeight="1">
      <x:c r="A634" s="2" t="str">
        <x:v>61103099_VN_202508_IMPORT</x:v>
      </x:c>
      <x:c r="B634" s="2" t="n">
        <x:v>202508</x:v>
      </x:c>
      <x:c r="C634" s="2" t="str">
        <x:v>61103099</x:v>
      </x:c>
      <x:c r="D634" s="2" t="str">
        <x:v>Vietnam</x:v>
      </x:c>
      <x:c r="E634" s="2" t="n">
        <x:v>741469</x:v>
      </x:c>
      <x:c r="F634" s="2" t="n">
        <x:v>34307</x:v>
      </x:c>
      <x:c r="G634" s="2" t="str">
        <x:v>WITHIN_BAND</x:v>
      </x:c>
      <x:c r="H634" s="2" t="n">
        <x:v>1</x:v>
      </x:c>
      <x:c r="I634" s="2"/>
      <x:c r="J634" s="2"/>
      <x:c r="K634" s="2"/>
      <x:c r="L634" s="2" t="n">
        <x:f>SUM(IF('Monthly_Data'!A290=A634,IF(ISBLANK('Monthly_Data'!A290)=ISBLANK(A634),0,1),1),IF('Monthly_Data'!B290=B634,IF(ISBLANK('Monthly_Data'!B290)=ISBLANK(B634),0,1),1),IF('Monthly_Data'!C290=C634,IF(ISBLANK('Monthly_Data'!C290)=ISBLANK(C634),0,1),1),IF('Monthly_Data'!D290=D634,IF(ISBLANK('Monthly_Data'!D290)=ISBLANK(D634),0,1),1),IF('Monthly_Data'!E290=E634,IF(ISBLANK('Monthly_Data'!E290)=ISBLANK(E634),0,1),1),IF('Monthly_Data'!F290=F634,IF(ISBLANK('Monthly_Data'!F290)=ISBLANK(F634),0,1),1),IF('Monthly_Data'!G290=G634,IF(ISBLANK('Monthly_Data'!G290)=ISBLANK(G634),0,1),1),IF('Monthly_Data'!H290=H634,IF(ISBLANK('Monthly_Data'!H290)=ISBLANK(H634),0,1),1))</x:f>
        <x:v>0</x:v>
      </x:c>
    </x:row>
    <x:row r="635" ht="23" customHeight="1">
      <x:c r="A635" s="2" t="str">
        <x:v>61103099_WORLD_202508_IMPORT</x:v>
      </x:c>
      <x:c r="B635" s="2" t="n">
        <x:v>202508</x:v>
      </x:c>
      <x:c r="C635" s="2" t="str">
        <x:v>61103099</x:v>
      </x:c>
      <x:c r="D635" s="2" t="str">
        <x:v>World</x:v>
      </x:c>
      <x:c r="E635" s="2" t="n">
        <x:v>91240384</x:v>
      </x:c>
      <x:c r="F635" s="2" t="n">
        <x:v>7683850</x:v>
      </x:c>
      <x:c r="G635" s="2" t="str">
        <x:v>WITHIN_BAND</x:v>
      </x:c>
      <x:c r="H635" s="2" t="n">
        <x:v>1</x:v>
      </x:c>
      <x:c r="I635" s="2"/>
      <x:c r="J635" s="2"/>
      <x:c r="K635" s="2"/>
      <x:c r="L635" s="2" t="n">
        <x:f>SUM(IF('Monthly_Data'!A291=A635,IF(ISBLANK('Monthly_Data'!A291)=ISBLANK(A635),0,1),1),IF('Monthly_Data'!B291=B635,IF(ISBLANK('Monthly_Data'!B291)=ISBLANK(B635),0,1),1),IF('Monthly_Data'!C291=C635,IF(ISBLANK('Monthly_Data'!C291)=ISBLANK(C635),0,1),1),IF('Monthly_Data'!D291=D635,IF(ISBLANK('Monthly_Data'!D291)=ISBLANK(D635),0,1),1),IF('Monthly_Data'!E291=E635,IF(ISBLANK('Monthly_Data'!E291)=ISBLANK(E635),0,1),1),IF('Monthly_Data'!F291=F635,IF(ISBLANK('Monthly_Data'!F291)=ISBLANK(F635),0,1),1),IF('Monthly_Data'!G291=G635,IF(ISBLANK('Monthly_Data'!G291)=ISBLANK(G635),0,1),1),IF('Monthly_Data'!H291=H635,IF(ISBLANK('Monthly_Data'!H291)=ISBLANK(H635),0,1),1))</x:f>
        <x:v>0</x:v>
      </x:c>
    </x:row>
    <x:row r="636" ht="23" customHeight="1">
      <x:c r="A636" s="2" t="str">
        <x:v>61103099_BD_202509_IMPORT</x:v>
      </x:c>
      <x:c r="B636" s="2" t="n">
        <x:v>202509</x:v>
      </x:c>
      <x:c r="C636" s="2" t="str">
        <x:v>61103099</x:v>
      </x:c>
      <x:c r="D636" s="2" t="str">
        <x:v>Bangladesh</x:v>
      </x:c>
      <x:c r="E636" s="2" t="n">
        <x:v>23852860</x:v>
      </x:c>
      <x:c r="F636" s="2" t="n">
        <x:v>2011947</x:v>
      </x:c>
      <x:c r="G636" s="2" t="str">
        <x:v>WITHIN_BAND</x:v>
      </x:c>
      <x:c r="H636" s="2" t="n">
        <x:v>1</x:v>
      </x:c>
      <x:c r="I636" s="2"/>
      <x:c r="J636" s="2"/>
      <x:c r="K636" s="2"/>
      <x:c r="L636" s="2" t="n">
        <x:f>SUM(IF('Monthly_Data'!A292=A636,IF(ISBLANK('Monthly_Data'!A292)=ISBLANK(A636),0,1),1),IF('Monthly_Data'!B292=B636,IF(ISBLANK('Monthly_Data'!B292)=ISBLANK(B636),0,1),1),IF('Monthly_Data'!C292=C636,IF(ISBLANK('Monthly_Data'!C292)=ISBLANK(C636),0,1),1),IF('Monthly_Data'!D292=D636,IF(ISBLANK('Monthly_Data'!D292)=ISBLANK(D636),0,1),1),IF('Monthly_Data'!E292=E636,IF(ISBLANK('Monthly_Data'!E292)=ISBLANK(E636),0,1),1),IF('Monthly_Data'!F292=F636,IF(ISBLANK('Monthly_Data'!F292)=ISBLANK(F636),0,1),1),IF('Monthly_Data'!G292=G636,IF(ISBLANK('Monthly_Data'!G292)=ISBLANK(G636),0,1),1),IF('Monthly_Data'!H292=H636,IF(ISBLANK('Monthly_Data'!H292)=ISBLANK(H636),0,1),1))</x:f>
        <x:v>0</x:v>
      </x:c>
    </x:row>
    <x:row r="637" ht="23" customHeight="1">
      <x:c r="A637" s="2" t="str">
        <x:v>61103099_KH_202509_IMPORT</x:v>
      </x:c>
      <x:c r="B637" s="2" t="n">
        <x:v>202509</x:v>
      </x:c>
      <x:c r="C637" s="2" t="str">
        <x:v>61103099</x:v>
      </x:c>
      <x:c r="D637" s="2" t="str">
        <x:v>Cambodia</x:v>
      </x:c>
      <x:c r="E637" s="2" t="n">
        <x:v>9676676</x:v>
      </x:c>
      <x:c r="F637" s="2" t="n">
        <x:v>904414</x:v>
      </x:c>
      <x:c r="G637" s="2" t="str">
        <x:v>WITHIN_BAND</x:v>
      </x:c>
      <x:c r="H637" s="2" t="n">
        <x:v>1</x:v>
      </x:c>
      <x:c r="I637" s="2"/>
      <x:c r="J637" s="2"/>
      <x:c r="K637" s="2"/>
      <x:c r="L637" s="2" t="n">
        <x:f>SUM(IF('Monthly_Data'!A293=A637,IF(ISBLANK('Monthly_Data'!A293)=ISBLANK(A637),0,1),1),IF('Monthly_Data'!B293=B637,IF(ISBLANK('Monthly_Data'!B293)=ISBLANK(B637),0,1),1),IF('Monthly_Data'!C293=C637,IF(ISBLANK('Monthly_Data'!C293)=ISBLANK(C637),0,1),1),IF('Monthly_Data'!D293=D637,IF(ISBLANK('Monthly_Data'!D293)=ISBLANK(D637),0,1),1),IF('Monthly_Data'!E293=E637,IF(ISBLANK('Monthly_Data'!E293)=ISBLANK(E637),0,1),1),IF('Monthly_Data'!F293=F637,IF(ISBLANK('Monthly_Data'!F293)=ISBLANK(F637),0,1),1),IF('Monthly_Data'!G293=G637,IF(ISBLANK('Monthly_Data'!G293)=ISBLANK(G637),0,1),1),IF('Monthly_Data'!H293=H637,IF(ISBLANK('Monthly_Data'!H293)=ISBLANK(H637),0,1),1))</x:f>
        <x:v>0</x:v>
      </x:c>
    </x:row>
    <x:row r="638" ht="23" customHeight="1">
      <x:c r="A638" s="2" t="str">
        <x:v>61103099_CN_202509_IMPORT</x:v>
      </x:c>
      <x:c r="B638" s="2" t="n">
        <x:v>202509</x:v>
      </x:c>
      <x:c r="C638" s="2" t="str">
        <x:v>61103099</x:v>
      </x:c>
      <x:c r="D638" s="2" t="str">
        <x:v>China</x:v>
      </x:c>
      <x:c r="E638" s="2" t="n">
        <x:v>37774855</x:v>
      </x:c>
      <x:c r="F638" s="2" t="n">
        <x:v>2854925</x:v>
      </x:c>
      <x:c r="G638" s="2" t="str">
        <x:v>WITHIN_BAND</x:v>
      </x:c>
      <x:c r="H638" s="2" t="n">
        <x:v>1</x:v>
      </x:c>
      <x:c r="I638" s="2"/>
      <x:c r="J638" s="2"/>
      <x:c r="K638" s="2"/>
      <x:c r="L638" s="2" t="n">
        <x:f>SUM(IF('Monthly_Data'!A294=A638,IF(ISBLANK('Monthly_Data'!A294)=ISBLANK(A638),0,1),1),IF('Monthly_Data'!B294=B638,IF(ISBLANK('Monthly_Data'!B294)=ISBLANK(B638),0,1),1),IF('Monthly_Data'!C294=C638,IF(ISBLANK('Monthly_Data'!C294)=ISBLANK(C638),0,1),1),IF('Monthly_Data'!D294=D638,IF(ISBLANK('Monthly_Data'!D294)=ISBLANK(D638),0,1),1),IF('Monthly_Data'!E294=E638,IF(ISBLANK('Monthly_Data'!E294)=ISBLANK(E638),0,1),1),IF('Monthly_Data'!F294=F638,IF(ISBLANK('Monthly_Data'!F294)=ISBLANK(F638),0,1),1),IF('Monthly_Data'!G294=G638,IF(ISBLANK('Monthly_Data'!G294)=ISBLANK(G638),0,1),1),IF('Monthly_Data'!H294=H638,IF(ISBLANK('Monthly_Data'!H294)=ISBLANK(H638),0,1),1))</x:f>
        <x:v>0</x:v>
      </x:c>
    </x:row>
    <x:row r="639" ht="23" customHeight="1">
      <x:c r="A639" s="2" t="str">
        <x:v>61103099_IN_202509_IMPORT</x:v>
      </x:c>
      <x:c r="B639" s="2" t="n">
        <x:v>202509</x:v>
      </x:c>
      <x:c r="C639" s="2" t="str">
        <x:v>61103099</x:v>
      </x:c>
      <x:c r="D639" s="2" t="str">
        <x:v>India</x:v>
      </x:c>
      <x:c r="E639" s="2" t="n">
        <x:v>231117</x:v>
      </x:c>
      <x:c r="F639" s="2" t="n">
        <x:v>20388</x:v>
      </x:c>
      <x:c r="G639" s="2" t="str">
        <x:v>WITHIN_BAND</x:v>
      </x:c>
      <x:c r="H639" s="2" t="n">
        <x:v>1</x:v>
      </x:c>
      <x:c r="I639" s="2"/>
      <x:c r="J639" s="2"/>
      <x:c r="K639" s="2"/>
      <x:c r="L639" s="2" t="n">
        <x:f>SUM(IF('Monthly_Data'!A295=A639,IF(ISBLANK('Monthly_Data'!A295)=ISBLANK(A639),0,1),1),IF('Monthly_Data'!B295=B639,IF(ISBLANK('Monthly_Data'!B295)=ISBLANK(B639),0,1),1),IF('Monthly_Data'!C295=C639,IF(ISBLANK('Monthly_Data'!C295)=ISBLANK(C639),0,1),1),IF('Monthly_Data'!D295=D639,IF(ISBLANK('Monthly_Data'!D295)=ISBLANK(D639),0,1),1),IF('Monthly_Data'!E295=E639,IF(ISBLANK('Monthly_Data'!E295)=ISBLANK(E639),0,1),1),IF('Monthly_Data'!F295=F639,IF(ISBLANK('Monthly_Data'!F295)=ISBLANK(F639),0,1),1),IF('Monthly_Data'!G295=G639,IF(ISBLANK('Monthly_Data'!G295)=ISBLANK(G639),0,1),1),IF('Monthly_Data'!H295=H639,IF(ISBLANK('Monthly_Data'!H295)=ISBLANK(H639),0,1),1))</x:f>
        <x:v>0</x:v>
      </x:c>
    </x:row>
    <x:row r="640" ht="23" customHeight="1">
      <x:c r="A640" s="2" t="str">
        <x:v>61103099_MA_202509_IMPORT</x:v>
      </x:c>
      <x:c r="B640" s="2" t="n">
        <x:v>202509</x:v>
      </x:c>
      <x:c r="C640" s="2" t="str">
        <x:v>61103099</x:v>
      </x:c>
      <x:c r="D640" s="2" t="str">
        <x:v>Morocco</x:v>
      </x:c>
      <x:c r="E640" s="2" t="n">
        <x:v>31882</x:v>
      </x:c>
      <x:c r="F640" s="2" t="n">
        <x:v>780</x:v>
      </x:c>
      <x:c r="G640" s="2" t="str">
        <x:v>REVIEW</x:v>
      </x:c>
      <x:c r="H640" s="2" t="n">
        <x:v>1</x:v>
      </x:c>
      <x:c r="I640" s="2"/>
      <x:c r="J640" s="2"/>
      <x:c r="K640" s="2"/>
      <x:c r="L640" s="2" t="n">
        <x:f>SUM(IF('Monthly_Data'!A296=A640,IF(ISBLANK('Monthly_Data'!A296)=ISBLANK(A640),0,1),1),IF('Monthly_Data'!B296=B640,IF(ISBLANK('Monthly_Data'!B296)=ISBLANK(B640),0,1),1),IF('Monthly_Data'!C296=C640,IF(ISBLANK('Monthly_Data'!C296)=ISBLANK(C640),0,1),1),IF('Monthly_Data'!D296=D640,IF(ISBLANK('Monthly_Data'!D296)=ISBLANK(D640),0,1),1),IF('Monthly_Data'!E296=E640,IF(ISBLANK('Monthly_Data'!E296)=ISBLANK(E640),0,1),1),IF('Monthly_Data'!F296=F640,IF(ISBLANK('Monthly_Data'!F296)=ISBLANK(F640),0,1),1),IF('Monthly_Data'!G296=G640,IF(ISBLANK('Monthly_Data'!G296)=ISBLANK(G640),0,1),1),IF('Monthly_Data'!H296=H640,IF(ISBLANK('Monthly_Data'!H296)=ISBLANK(H640),0,1),1))</x:f>
        <x:v>0</x:v>
      </x:c>
    </x:row>
    <x:row r="641" ht="23" customHeight="1">
      <x:c r="A641" s="2" t="str">
        <x:v>61103099_MM_202509_IMPORT</x:v>
      </x:c>
      <x:c r="B641" s="2" t="n">
        <x:v>202509</x:v>
      </x:c>
      <x:c r="C641" s="2" t="str">
        <x:v>61103099</x:v>
      </x:c>
      <x:c r="D641" s="2" t="str">
        <x:v>Myanmar</x:v>
      </x:c>
      <x:c r="E641" s="2" t="n">
        <x:v>1065081</x:v>
      </x:c>
      <x:c r="F641" s="2" t="n">
        <x:v>65094</x:v>
      </x:c>
      <x:c r="G641" s="2" t="str">
        <x:v>WITHIN_BAND</x:v>
      </x:c>
      <x:c r="H641" s="2" t="n">
        <x:v>1</x:v>
      </x:c>
      <x:c r="I641" s="2"/>
      <x:c r="J641" s="2"/>
      <x:c r="K641" s="2"/>
      <x:c r="L641" s="2" t="n">
        <x:f>SUM(IF('Monthly_Data'!A297=A641,IF(ISBLANK('Monthly_Data'!A297)=ISBLANK(A641),0,1),1),IF('Monthly_Data'!B297=B641,IF(ISBLANK('Monthly_Data'!B297)=ISBLANK(B641),0,1),1),IF('Monthly_Data'!C297=C641,IF(ISBLANK('Monthly_Data'!C297)=ISBLANK(C641),0,1),1),IF('Monthly_Data'!D297=D641,IF(ISBLANK('Monthly_Data'!D297)=ISBLANK(D641),0,1),1),IF('Monthly_Data'!E297=E641,IF(ISBLANK('Monthly_Data'!E297)=ISBLANK(E641),0,1),1),IF('Monthly_Data'!F297=F641,IF(ISBLANK('Monthly_Data'!F297)=ISBLANK(F641),0,1),1),IF('Monthly_Data'!G297=G641,IF(ISBLANK('Monthly_Data'!G297)=ISBLANK(G641),0,1),1),IF('Monthly_Data'!H297=H641,IF(ISBLANK('Monthly_Data'!H297)=ISBLANK(H641),0,1),1))</x:f>
        <x:v>0</x:v>
      </x:c>
    </x:row>
    <x:row r="642" ht="23" customHeight="1">
      <x:c r="A642" s="2" t="str">
        <x:v>61103099_PK_202509_IMPORT</x:v>
      </x:c>
      <x:c r="B642" s="2" t="n">
        <x:v>202509</x:v>
      </x:c>
      <x:c r="C642" s="2" t="str">
        <x:v>61103099</x:v>
      </x:c>
      <x:c r="D642" s="2" t="str">
        <x:v>Pakistan</x:v>
      </x:c>
      <x:c r="E642" s="2" t="n">
        <x:v>359476</x:v>
      </x:c>
      <x:c r="F642" s="2" t="n">
        <x:v>28322</x:v>
      </x:c>
      <x:c r="G642" s="2" t="str">
        <x:v>WITHIN_BAND</x:v>
      </x:c>
      <x:c r="H642" s="2" t="n">
        <x:v>1</x:v>
      </x:c>
      <x:c r="I642" s="2"/>
      <x:c r="J642" s="2"/>
      <x:c r="K642" s="2"/>
      <x:c r="L642" s="2" t="n">
        <x:f>SUM(IF('Monthly_Data'!A298=A642,IF(ISBLANK('Monthly_Data'!A298)=ISBLANK(A642),0,1),1),IF('Monthly_Data'!B298=B642,IF(ISBLANK('Monthly_Data'!B298)=ISBLANK(B642),0,1),1),IF('Monthly_Data'!C298=C642,IF(ISBLANK('Monthly_Data'!C298)=ISBLANK(C642),0,1),1),IF('Monthly_Data'!D298=D642,IF(ISBLANK('Monthly_Data'!D298)=ISBLANK(D642),0,1),1),IF('Monthly_Data'!E298=E642,IF(ISBLANK('Monthly_Data'!E298)=ISBLANK(E642),0,1),1),IF('Monthly_Data'!F298=F642,IF(ISBLANK('Monthly_Data'!F298)=ISBLANK(F642),0,1),1),IF('Monthly_Data'!G298=G642,IF(ISBLANK('Monthly_Data'!G298)=ISBLANK(G642),0,1),1),IF('Monthly_Data'!H298=H642,IF(ISBLANK('Monthly_Data'!H298)=ISBLANK(H642),0,1),1))</x:f>
        <x:v>0</x:v>
      </x:c>
    </x:row>
    <x:row r="643" ht="23" customHeight="1">
      <x:c r="A643" s="2" t="str">
        <x:v>61103099_LK_202509_IMPORT</x:v>
      </x:c>
      <x:c r="B643" s="2" t="n">
        <x:v>202509</x:v>
      </x:c>
      <x:c r="C643" s="2" t="str">
        <x:v>61103099</x:v>
      </x:c>
      <x:c r="D643" s="2" t="str">
        <x:v>Sri Lanka</x:v>
      </x:c>
      <x:c r="E643" s="2" t="n">
        <x:v>140764</x:v>
      </x:c>
      <x:c r="F643" s="2" t="n">
        <x:v>9396</x:v>
      </x:c>
      <x:c r="G643" s="2" t="str">
        <x:v>WITHIN_BAND</x:v>
      </x:c>
      <x:c r="H643" s="2" t="n">
        <x:v>1</x:v>
      </x:c>
      <x:c r="I643" s="2"/>
      <x:c r="J643" s="2"/>
      <x:c r="K643" s="2"/>
      <x:c r="L643" s="2" t="n">
        <x:f>SUM(IF('Monthly_Data'!A299=A643,IF(ISBLANK('Monthly_Data'!A299)=ISBLANK(A643),0,1),1),IF('Monthly_Data'!B299=B643,IF(ISBLANK('Monthly_Data'!B299)=ISBLANK(B643),0,1),1),IF('Monthly_Data'!C299=C643,IF(ISBLANK('Monthly_Data'!C299)=ISBLANK(C643),0,1),1),IF('Monthly_Data'!D299=D643,IF(ISBLANK('Monthly_Data'!D299)=ISBLANK(D643),0,1),1),IF('Monthly_Data'!E299=E643,IF(ISBLANK('Monthly_Data'!E299)=ISBLANK(E643),0,1),1),IF('Monthly_Data'!F299=F643,IF(ISBLANK('Monthly_Data'!F299)=ISBLANK(F643),0,1),1),IF('Monthly_Data'!G299=G643,IF(ISBLANK('Monthly_Data'!G299)=ISBLANK(G643),0,1),1),IF('Monthly_Data'!H299=H643,IF(ISBLANK('Monthly_Data'!H299)=ISBLANK(H643),0,1),1))</x:f>
        <x:v>0</x:v>
      </x:c>
    </x:row>
    <x:row r="644" ht="23" customHeight="1">
      <x:c r="A644" s="2" t="str">
        <x:v>61103099_TR_202509_IMPORT</x:v>
      </x:c>
      <x:c r="B644" s="2" t="n">
        <x:v>202509</x:v>
      </x:c>
      <x:c r="C644" s="2" t="str">
        <x:v>61103099</x:v>
      </x:c>
      <x:c r="D644" s="2" t="str">
        <x:v>Turkey</x:v>
      </x:c>
      <x:c r="E644" s="2" t="n">
        <x:v>7090362</x:v>
      </x:c>
      <x:c r="F644" s="2" t="n">
        <x:v>472002</x:v>
      </x:c>
      <x:c r="G644" s="2" t="str">
        <x:v>WITHIN_BAND</x:v>
      </x:c>
      <x:c r="H644" s="2" t="n">
        <x:v>1</x:v>
      </x:c>
      <x:c r="I644" s="2"/>
      <x:c r="J644" s="2"/>
      <x:c r="K644" s="2"/>
      <x:c r="L644" s="2" t="n">
        <x:f>SUM(IF('Monthly_Data'!A300=A644,IF(ISBLANK('Monthly_Data'!A300)=ISBLANK(A644),0,1),1),IF('Monthly_Data'!B300=B644,IF(ISBLANK('Monthly_Data'!B300)=ISBLANK(B644),0,1),1),IF('Monthly_Data'!C300=C644,IF(ISBLANK('Monthly_Data'!C300)=ISBLANK(C644),0,1),1),IF('Monthly_Data'!D300=D644,IF(ISBLANK('Monthly_Data'!D300)=ISBLANK(D644),0,1),1),IF('Monthly_Data'!E300=E644,IF(ISBLANK('Monthly_Data'!E300)=ISBLANK(E644),0,1),1),IF('Monthly_Data'!F300=F644,IF(ISBLANK('Monthly_Data'!F300)=ISBLANK(F644),0,1),1),IF('Monthly_Data'!G300=G644,IF(ISBLANK('Monthly_Data'!G300)=ISBLANK(G644),0,1),1),IF('Monthly_Data'!H300=H644,IF(ISBLANK('Monthly_Data'!H300)=ISBLANK(H644),0,1),1))</x:f>
        <x:v>0</x:v>
      </x:c>
    </x:row>
    <x:row r="645" ht="23" customHeight="1">
      <x:c r="A645" s="2" t="str">
        <x:v>61103099_VN_202509_IMPORT</x:v>
      </x:c>
      <x:c r="B645" s="2" t="n">
        <x:v>202509</x:v>
      </x:c>
      <x:c r="C645" s="2" t="str">
        <x:v>61103099</x:v>
      </x:c>
      <x:c r="D645" s="2" t="str">
        <x:v>Vietnam</x:v>
      </x:c>
      <x:c r="E645" s="2" t="n">
        <x:v>1114920</x:v>
      </x:c>
      <x:c r="F645" s="2" t="n">
        <x:v>46262</x:v>
      </x:c>
      <x:c r="G645" s="2" t="str">
        <x:v>WITHIN_BAND</x:v>
      </x:c>
      <x:c r="H645" s="2" t="n">
        <x:v>1</x:v>
      </x:c>
      <x:c r="I645" s="2"/>
      <x:c r="J645" s="2"/>
      <x:c r="K645" s="2"/>
      <x:c r="L645" s="2" t="n">
        <x:f>SUM(IF('Monthly_Data'!A301=A645,IF(ISBLANK('Monthly_Data'!A301)=ISBLANK(A645),0,1),1),IF('Monthly_Data'!B301=B645,IF(ISBLANK('Monthly_Data'!B301)=ISBLANK(B645),0,1),1),IF('Monthly_Data'!C301=C645,IF(ISBLANK('Monthly_Data'!C301)=ISBLANK(C645),0,1),1),IF('Monthly_Data'!D301=D645,IF(ISBLANK('Monthly_Data'!D301)=ISBLANK(D645),0,1),1),IF('Monthly_Data'!E301=E645,IF(ISBLANK('Monthly_Data'!E301)=ISBLANK(E645),0,1),1),IF('Monthly_Data'!F301=F645,IF(ISBLANK('Monthly_Data'!F301)=ISBLANK(F645),0,1),1),IF('Monthly_Data'!G301=G645,IF(ISBLANK('Monthly_Data'!G301)=ISBLANK(G645),0,1),1),IF('Monthly_Data'!H301=H645,IF(ISBLANK('Monthly_Data'!H301)=ISBLANK(H645),0,1),1))</x:f>
        <x:v>0</x:v>
      </x:c>
    </x:row>
    <x:row r="646" ht="23" customHeight="1">
      <x:c r="A646" s="2" t="str">
        <x:v>61103099_WORLD_202509_IMPORT</x:v>
      </x:c>
      <x:c r="B646" s="2" t="n">
        <x:v>202509</x:v>
      </x:c>
      <x:c r="C646" s="2" t="str">
        <x:v>61103099</x:v>
      </x:c>
      <x:c r="D646" s="2" t="str">
        <x:v>World</x:v>
      </x:c>
      <x:c r="E646" s="2" t="n">
        <x:v>100361337</x:v>
      </x:c>
      <x:c r="F646" s="2" t="n">
        <x:v>7237379</x:v>
      </x:c>
      <x:c r="G646" s="2" t="str">
        <x:v>WITHIN_BAND</x:v>
      </x:c>
      <x:c r="H646" s="2" t="n">
        <x:v>1</x:v>
      </x:c>
      <x:c r="I646" s="2"/>
      <x:c r="J646" s="2"/>
      <x:c r="K646" s="2"/>
      <x:c r="L646" s="2" t="n">
        <x:f>SUM(IF('Monthly_Data'!A302=A646,IF(ISBLANK('Monthly_Data'!A302)=ISBLANK(A646),0,1),1),IF('Monthly_Data'!B302=B646,IF(ISBLANK('Monthly_Data'!B302)=ISBLANK(B646),0,1),1),IF('Monthly_Data'!C302=C646,IF(ISBLANK('Monthly_Data'!C302)=ISBLANK(C646),0,1),1),IF('Monthly_Data'!D302=D646,IF(ISBLANK('Monthly_Data'!D302)=ISBLANK(D646),0,1),1),IF('Monthly_Data'!E302=E646,IF(ISBLANK('Monthly_Data'!E302)=ISBLANK(E646),0,1),1),IF('Monthly_Data'!F302=F646,IF(ISBLANK('Monthly_Data'!F302)=ISBLANK(F646),0,1),1),IF('Monthly_Data'!G302=G646,IF(ISBLANK('Monthly_Data'!G302)=ISBLANK(G646),0,1),1),IF('Monthly_Data'!H302=H646,IF(ISBLANK('Monthly_Data'!H302)=ISBLANK(H646),0,1),1))</x:f>
        <x:v>0</x:v>
      </x:c>
    </x:row>
    <x:row r="647" ht="23" customHeight="1">
      <x:c r="A647" s="2" t="str">
        <x:v>61103099_BD_202510_IMPORT</x:v>
      </x:c>
      <x:c r="B647" s="2" t="n">
        <x:v>202510</x:v>
      </x:c>
      <x:c r="C647" s="2" t="str">
        <x:v>61103099</x:v>
      </x:c>
      <x:c r="D647" s="2" t="str">
        <x:v>Bangladesh</x:v>
      </x:c>
      <x:c r="E647" s="2" t="n">
        <x:v>27270957</x:v>
      </x:c>
      <x:c r="F647" s="2" t="n">
        <x:v>2244331</x:v>
      </x:c>
      <x:c r="G647" s="2" t="str">
        <x:v>WITHIN_BAND</x:v>
      </x:c>
      <x:c r="H647" s="2" t="n">
        <x:v>1</x:v>
      </x:c>
      <x:c r="I647" s="2"/>
      <x:c r="J647" s="2"/>
      <x:c r="K647" s="2"/>
      <x:c r="L647" s="2" t="n">
        <x:f>SUM(IF('Monthly_Data'!A303=A647,IF(ISBLANK('Monthly_Data'!A303)=ISBLANK(A647),0,1),1),IF('Monthly_Data'!B303=B647,IF(ISBLANK('Monthly_Data'!B303)=ISBLANK(B647),0,1),1),IF('Monthly_Data'!C303=C647,IF(ISBLANK('Monthly_Data'!C303)=ISBLANK(C647),0,1),1),IF('Monthly_Data'!D303=D647,IF(ISBLANK('Monthly_Data'!D303)=ISBLANK(D647),0,1),1),IF('Monthly_Data'!E303=E647,IF(ISBLANK('Monthly_Data'!E303)=ISBLANK(E647),0,1),1),IF('Monthly_Data'!F303=F647,IF(ISBLANK('Monthly_Data'!F303)=ISBLANK(F647),0,1),1),IF('Monthly_Data'!G303=G647,IF(ISBLANK('Monthly_Data'!G303)=ISBLANK(G647),0,1),1),IF('Monthly_Data'!H303=H647,IF(ISBLANK('Monthly_Data'!H303)=ISBLANK(H647),0,1),1))</x:f>
        <x:v>0</x:v>
      </x:c>
    </x:row>
    <x:row r="648" ht="23" customHeight="1">
      <x:c r="A648" s="2" t="str">
        <x:v>61103099_KH_202510_IMPORT</x:v>
      </x:c>
      <x:c r="B648" s="2" t="n">
        <x:v>202510</x:v>
      </x:c>
      <x:c r="C648" s="2" t="str">
        <x:v>61103099</x:v>
      </x:c>
      <x:c r="D648" s="2" t="str">
        <x:v>Cambodia</x:v>
      </x:c>
      <x:c r="E648" s="2" t="n">
        <x:v>8431674</x:v>
      </x:c>
      <x:c r="F648" s="2" t="n">
        <x:v>680292</x:v>
      </x:c>
      <x:c r="G648" s="2" t="str">
        <x:v>WITHIN_BAND</x:v>
      </x:c>
      <x:c r="H648" s="2" t="n">
        <x:v>1</x:v>
      </x:c>
      <x:c r="I648" s="2"/>
      <x:c r="J648" s="2"/>
      <x:c r="K648" s="2"/>
      <x:c r="L648" s="2" t="n">
        <x:f>SUM(IF('Monthly_Data'!A304=A648,IF(ISBLANK('Monthly_Data'!A304)=ISBLANK(A648),0,1),1),IF('Monthly_Data'!B304=B648,IF(ISBLANK('Monthly_Data'!B304)=ISBLANK(B648),0,1),1),IF('Monthly_Data'!C304=C648,IF(ISBLANK('Monthly_Data'!C304)=ISBLANK(C648),0,1),1),IF('Monthly_Data'!D304=D648,IF(ISBLANK('Monthly_Data'!D304)=ISBLANK(D648),0,1),1),IF('Monthly_Data'!E304=E648,IF(ISBLANK('Monthly_Data'!E304)=ISBLANK(E648),0,1),1),IF('Monthly_Data'!F304=F648,IF(ISBLANK('Monthly_Data'!F304)=ISBLANK(F648),0,1),1),IF('Monthly_Data'!G304=G648,IF(ISBLANK('Monthly_Data'!G304)=ISBLANK(G648),0,1),1),IF('Monthly_Data'!H304=H648,IF(ISBLANK('Monthly_Data'!H304)=ISBLANK(H648),0,1),1))</x:f>
        <x:v>0</x:v>
      </x:c>
    </x:row>
    <x:row r="649" ht="23" customHeight="1">
      <x:c r="A649" s="2" t="str">
        <x:v>61103099_CN_202510_IMPORT</x:v>
      </x:c>
      <x:c r="B649" s="2" t="n">
        <x:v>202510</x:v>
      </x:c>
      <x:c r="C649" s="2" t="str">
        <x:v>61103099</x:v>
      </x:c>
      <x:c r="D649" s="2" t="str">
        <x:v>China</x:v>
      </x:c>
      <x:c r="E649" s="2" t="n">
        <x:v>38578336</x:v>
      </x:c>
      <x:c r="F649" s="2" t="n">
        <x:v>2827955</x:v>
      </x:c>
      <x:c r="G649" s="2" t="str">
        <x:v>WITHIN_BAND</x:v>
      </x:c>
      <x:c r="H649" s="2" t="n">
        <x:v>1</x:v>
      </x:c>
      <x:c r="I649" s="2"/>
      <x:c r="J649" s="2"/>
      <x:c r="K649" s="2"/>
      <x:c r="L649" s="2" t="n">
        <x:f>SUM(IF('Monthly_Data'!A305=A649,IF(ISBLANK('Monthly_Data'!A305)=ISBLANK(A649),0,1),1),IF('Monthly_Data'!B305=B649,IF(ISBLANK('Monthly_Data'!B305)=ISBLANK(B649),0,1),1),IF('Monthly_Data'!C305=C649,IF(ISBLANK('Monthly_Data'!C305)=ISBLANK(C649),0,1),1),IF('Monthly_Data'!D305=D649,IF(ISBLANK('Monthly_Data'!D305)=ISBLANK(D649),0,1),1),IF('Monthly_Data'!E305=E649,IF(ISBLANK('Monthly_Data'!E305)=ISBLANK(E649),0,1),1),IF('Monthly_Data'!F305=F649,IF(ISBLANK('Monthly_Data'!F305)=ISBLANK(F649),0,1),1),IF('Monthly_Data'!G305=G649,IF(ISBLANK('Monthly_Data'!G305)=ISBLANK(G649),0,1),1),IF('Monthly_Data'!H305=H649,IF(ISBLANK('Monthly_Data'!H305)=ISBLANK(H649),0,1),1))</x:f>
        <x:v>0</x:v>
      </x:c>
    </x:row>
    <x:row r="650" ht="23" customHeight="1">
      <x:c r="A650" s="2" t="str">
        <x:v>61103099_IN_202510_IMPORT</x:v>
      </x:c>
      <x:c r="B650" s="2" t="n">
        <x:v>202510</x:v>
      </x:c>
      <x:c r="C650" s="2" t="str">
        <x:v>61103099</x:v>
      </x:c>
      <x:c r="D650" s="2" t="str">
        <x:v>India</x:v>
      </x:c>
      <x:c r="E650" s="2" t="n">
        <x:v>198871</x:v>
      </x:c>
      <x:c r="F650" s="2" t="n">
        <x:v>11890</x:v>
      </x:c>
      <x:c r="G650" s="2" t="str">
        <x:v>WITHIN_BAND</x:v>
      </x:c>
      <x:c r="H650" s="2" t="n">
        <x:v>1</x:v>
      </x:c>
      <x:c r="I650" s="2"/>
      <x:c r="J650" s="2"/>
      <x:c r="K650" s="2"/>
      <x:c r="L650" s="2" t="n">
        <x:f>SUM(IF('Monthly_Data'!A306=A650,IF(ISBLANK('Monthly_Data'!A306)=ISBLANK(A650),0,1),1),IF('Monthly_Data'!B306=B650,IF(ISBLANK('Monthly_Data'!B306)=ISBLANK(B650),0,1),1),IF('Monthly_Data'!C306=C650,IF(ISBLANK('Monthly_Data'!C306)=ISBLANK(C650),0,1),1),IF('Monthly_Data'!D306=D650,IF(ISBLANK('Monthly_Data'!D306)=ISBLANK(D650),0,1),1),IF('Monthly_Data'!E306=E650,IF(ISBLANK('Monthly_Data'!E306)=ISBLANK(E650),0,1),1),IF('Monthly_Data'!F306=F650,IF(ISBLANK('Monthly_Data'!F306)=ISBLANK(F650),0,1),1),IF('Monthly_Data'!G306=G650,IF(ISBLANK('Monthly_Data'!G306)=ISBLANK(G650),0,1),1),IF('Monthly_Data'!H306=H650,IF(ISBLANK('Monthly_Data'!H306)=ISBLANK(H650),0,1),1))</x:f>
        <x:v>0</x:v>
      </x:c>
    </x:row>
    <x:row r="651" ht="23" customHeight="1">
      <x:c r="A651" s="2" t="str">
        <x:v>61103099_MA_202510_IMPORT</x:v>
      </x:c>
      <x:c r="B651" s="2" t="n">
        <x:v>202510</x:v>
      </x:c>
      <x:c r="C651" s="2" t="str">
        <x:v>61103099</x:v>
      </x:c>
      <x:c r="D651" s="2" t="str">
        <x:v>Morocco</x:v>
      </x:c>
      <x:c r="E651" s="2" t="n">
        <x:v>35459</x:v>
      </x:c>
      <x:c r="F651" s="2" t="n">
        <x:v>1279</x:v>
      </x:c>
      <x:c r="G651" s="2" t="str">
        <x:v>WITHIN_BAND</x:v>
      </x:c>
      <x:c r="H651" s="2" t="n">
        <x:v>1</x:v>
      </x:c>
      <x:c r="I651" s="2"/>
      <x:c r="J651" s="2"/>
      <x:c r="K651" s="2"/>
      <x:c r="L651" s="2" t="n">
        <x:f>SUM(IF('Monthly_Data'!A307=A651,IF(ISBLANK('Monthly_Data'!A307)=ISBLANK(A651),0,1),1),IF('Monthly_Data'!B307=B651,IF(ISBLANK('Monthly_Data'!B307)=ISBLANK(B651),0,1),1),IF('Monthly_Data'!C307=C651,IF(ISBLANK('Monthly_Data'!C307)=ISBLANK(C651),0,1),1),IF('Monthly_Data'!D307=D651,IF(ISBLANK('Monthly_Data'!D307)=ISBLANK(D651),0,1),1),IF('Monthly_Data'!E307=E651,IF(ISBLANK('Monthly_Data'!E307)=ISBLANK(E651),0,1),1),IF('Monthly_Data'!F307=F651,IF(ISBLANK('Monthly_Data'!F307)=ISBLANK(F651),0,1),1),IF('Monthly_Data'!G307=G651,IF(ISBLANK('Monthly_Data'!G307)=ISBLANK(G651),0,1),1),IF('Monthly_Data'!H307=H651,IF(ISBLANK('Monthly_Data'!H307)=ISBLANK(H651),0,1),1))</x:f>
        <x:v>0</x:v>
      </x:c>
    </x:row>
    <x:row r="652" ht="23" customHeight="1">
      <x:c r="A652" s="2" t="str">
        <x:v>61103099_MM_202510_IMPORT</x:v>
      </x:c>
      <x:c r="B652" s="2" t="n">
        <x:v>202510</x:v>
      </x:c>
      <x:c r="C652" s="2" t="str">
        <x:v>61103099</x:v>
      </x:c>
      <x:c r="D652" s="2" t="str">
        <x:v>Myanmar</x:v>
      </x:c>
      <x:c r="E652" s="2" t="n">
        <x:v>1259915</x:v>
      </x:c>
      <x:c r="F652" s="2" t="n">
        <x:v>76911</x:v>
      </x:c>
      <x:c r="G652" s="2" t="str">
        <x:v>WITHIN_BAND</x:v>
      </x:c>
      <x:c r="H652" s="2" t="n">
        <x:v>1</x:v>
      </x:c>
      <x:c r="I652" s="2"/>
      <x:c r="J652" s="2"/>
      <x:c r="K652" s="2"/>
      <x:c r="L652" s="2" t="n">
        <x:f>SUM(IF('Monthly_Data'!A308=A652,IF(ISBLANK('Monthly_Data'!A308)=ISBLANK(A652),0,1),1),IF('Monthly_Data'!B308=B652,IF(ISBLANK('Monthly_Data'!B308)=ISBLANK(B652),0,1),1),IF('Monthly_Data'!C308=C652,IF(ISBLANK('Monthly_Data'!C308)=ISBLANK(C652),0,1),1),IF('Monthly_Data'!D308=D652,IF(ISBLANK('Monthly_Data'!D308)=ISBLANK(D652),0,1),1),IF('Monthly_Data'!E308=E652,IF(ISBLANK('Monthly_Data'!E308)=ISBLANK(E652),0,1),1),IF('Monthly_Data'!F308=F652,IF(ISBLANK('Monthly_Data'!F308)=ISBLANK(F652),0,1),1),IF('Monthly_Data'!G308=G652,IF(ISBLANK('Monthly_Data'!G308)=ISBLANK(G652),0,1),1),IF('Monthly_Data'!H308=H652,IF(ISBLANK('Monthly_Data'!H308)=ISBLANK(H652),0,1),1))</x:f>
        <x:v>0</x:v>
      </x:c>
    </x:row>
    <x:row r="653" ht="23" customHeight="1">
      <x:c r="A653" s="2" t="str">
        <x:v>61103099_PK_202510_IMPORT</x:v>
      </x:c>
      <x:c r="B653" s="2" t="n">
        <x:v>202510</x:v>
      </x:c>
      <x:c r="C653" s="2" t="str">
        <x:v>61103099</x:v>
      </x:c>
      <x:c r="D653" s="2" t="str">
        <x:v>Pakistan</x:v>
      </x:c>
      <x:c r="E653" s="2" t="n">
        <x:v>419266</x:v>
      </x:c>
      <x:c r="F653" s="2" t="n">
        <x:v>30502</x:v>
      </x:c>
      <x:c r="G653" s="2" t="str">
        <x:v>WITHIN_BAND</x:v>
      </x:c>
      <x:c r="H653" s="2" t="n">
        <x:v>1</x:v>
      </x:c>
      <x:c r="I653" s="2"/>
      <x:c r="J653" s="2"/>
      <x:c r="K653" s="2"/>
      <x:c r="L653" s="2" t="n">
        <x:f>SUM(IF('Monthly_Data'!A309=A653,IF(ISBLANK('Monthly_Data'!A309)=ISBLANK(A653),0,1),1),IF('Monthly_Data'!B309=B653,IF(ISBLANK('Monthly_Data'!B309)=ISBLANK(B653),0,1),1),IF('Monthly_Data'!C309=C653,IF(ISBLANK('Monthly_Data'!C309)=ISBLANK(C653),0,1),1),IF('Monthly_Data'!D309=D653,IF(ISBLANK('Monthly_Data'!D309)=ISBLANK(D653),0,1),1),IF('Monthly_Data'!E309=E653,IF(ISBLANK('Monthly_Data'!E309)=ISBLANK(E653),0,1),1),IF('Monthly_Data'!F309=F653,IF(ISBLANK('Monthly_Data'!F309)=ISBLANK(F653),0,1),1),IF('Monthly_Data'!G309=G653,IF(ISBLANK('Monthly_Data'!G309)=ISBLANK(G653),0,1),1),IF('Monthly_Data'!H309=H653,IF(ISBLANK('Monthly_Data'!H309)=ISBLANK(H653),0,1),1))</x:f>
        <x:v>0</x:v>
      </x:c>
    </x:row>
    <x:row r="654" ht="23" customHeight="1">
      <x:c r="A654" s="2" t="str">
        <x:v>61103099_LK_202510_IMPORT</x:v>
      </x:c>
      <x:c r="B654" s="2" t="n">
        <x:v>202510</x:v>
      </x:c>
      <x:c r="C654" s="2" t="str">
        <x:v>61103099</x:v>
      </x:c>
      <x:c r="D654" s="2" t="str">
        <x:v>Sri Lanka</x:v>
      </x:c>
      <x:c r="E654" s="2" t="n">
        <x:v>185390</x:v>
      </x:c>
      <x:c r="F654" s="2" t="n">
        <x:v>7228</x:v>
      </x:c>
      <x:c r="G654" s="2" t="str">
        <x:v>WITHIN_BAND</x:v>
      </x:c>
      <x:c r="H654" s="2" t="n">
        <x:v>1</x:v>
      </x:c>
      <x:c r="I654" s="2"/>
      <x:c r="J654" s="2"/>
      <x:c r="K654" s="2"/>
      <x:c r="L654" s="2" t="n">
        <x:f>SUM(IF('Monthly_Data'!A310=A654,IF(ISBLANK('Monthly_Data'!A310)=ISBLANK(A654),0,1),1),IF('Monthly_Data'!B310=B654,IF(ISBLANK('Monthly_Data'!B310)=ISBLANK(B654),0,1),1),IF('Monthly_Data'!C310=C654,IF(ISBLANK('Monthly_Data'!C310)=ISBLANK(C654),0,1),1),IF('Monthly_Data'!D310=D654,IF(ISBLANK('Monthly_Data'!D310)=ISBLANK(D654),0,1),1),IF('Monthly_Data'!E310=E654,IF(ISBLANK('Monthly_Data'!E310)=ISBLANK(E654),0,1),1),IF('Monthly_Data'!F310=F654,IF(ISBLANK('Monthly_Data'!F310)=ISBLANK(F654),0,1),1),IF('Monthly_Data'!G310=G654,IF(ISBLANK('Monthly_Data'!G310)=ISBLANK(G654),0,1),1),IF('Monthly_Data'!H310=H654,IF(ISBLANK('Monthly_Data'!H310)=ISBLANK(H654),0,1),1))</x:f>
        <x:v>0</x:v>
      </x:c>
    </x:row>
    <x:row r="655" ht="23" customHeight="1">
      <x:c r="A655" s="2" t="str">
        <x:v>61103099_TR_202510_IMPORT</x:v>
      </x:c>
      <x:c r="B655" s="2" t="n">
        <x:v>202510</x:v>
      </x:c>
      <x:c r="C655" s="2" t="str">
        <x:v>61103099</x:v>
      </x:c>
      <x:c r="D655" s="2" t="str">
        <x:v>Turkey</x:v>
      </x:c>
      <x:c r="E655" s="2" t="n">
        <x:v>9021102</x:v>
      </x:c>
      <x:c r="F655" s="2" t="n">
        <x:v>566413</x:v>
      </x:c>
      <x:c r="G655" s="2" t="str">
        <x:v>WITHIN_BAND</x:v>
      </x:c>
      <x:c r="H655" s="2" t="n">
        <x:v>1</x:v>
      </x:c>
      <x:c r="I655" s="2"/>
      <x:c r="J655" s="2"/>
      <x:c r="K655" s="2"/>
      <x:c r="L655" s="2" t="n">
        <x:f>SUM(IF('Monthly_Data'!A311=A655,IF(ISBLANK('Monthly_Data'!A311)=ISBLANK(A655),0,1),1),IF('Monthly_Data'!B311=B655,IF(ISBLANK('Monthly_Data'!B311)=ISBLANK(B655),0,1),1),IF('Monthly_Data'!C311=C655,IF(ISBLANK('Monthly_Data'!C311)=ISBLANK(C655),0,1),1),IF('Monthly_Data'!D311=D655,IF(ISBLANK('Monthly_Data'!D311)=ISBLANK(D655),0,1),1),IF('Monthly_Data'!E311=E655,IF(ISBLANK('Monthly_Data'!E311)=ISBLANK(E655),0,1),1),IF('Monthly_Data'!F311=F655,IF(ISBLANK('Monthly_Data'!F311)=ISBLANK(F655),0,1),1),IF('Monthly_Data'!G311=G655,IF(ISBLANK('Monthly_Data'!G311)=ISBLANK(G655),0,1),1),IF('Monthly_Data'!H311=H655,IF(ISBLANK('Monthly_Data'!H311)=ISBLANK(H655),0,1),1))</x:f>
        <x:v>0</x:v>
      </x:c>
    </x:row>
    <x:row r="656" ht="23" customHeight="1">
      <x:c r="A656" s="2" t="str">
        <x:v>61103099_VN_202510_IMPORT</x:v>
      </x:c>
      <x:c r="B656" s="2" t="n">
        <x:v>202510</x:v>
      </x:c>
      <x:c r="C656" s="2" t="str">
        <x:v>61103099</x:v>
      </x:c>
      <x:c r="D656" s="2" t="str">
        <x:v>Vietnam</x:v>
      </x:c>
      <x:c r="E656" s="2" t="n">
        <x:v>960926</x:v>
      </x:c>
      <x:c r="F656" s="2" t="n">
        <x:v>39945</x:v>
      </x:c>
      <x:c r="G656" s="2" t="str">
        <x:v>WITHIN_BAND</x:v>
      </x:c>
      <x:c r="H656" s="2" t="n">
        <x:v>1</x:v>
      </x:c>
      <x:c r="I656" s="2"/>
      <x:c r="J656" s="2"/>
      <x:c r="K656" s="2"/>
      <x:c r="L656" s="2" t="n">
        <x:f>SUM(IF('Monthly_Data'!A312=A656,IF(ISBLANK('Monthly_Data'!A312)=ISBLANK(A656),0,1),1),IF('Monthly_Data'!B312=B656,IF(ISBLANK('Monthly_Data'!B312)=ISBLANK(B656),0,1),1),IF('Monthly_Data'!C312=C656,IF(ISBLANK('Monthly_Data'!C312)=ISBLANK(C656),0,1),1),IF('Monthly_Data'!D312=D656,IF(ISBLANK('Monthly_Data'!D312)=ISBLANK(D656),0,1),1),IF('Monthly_Data'!E312=E656,IF(ISBLANK('Monthly_Data'!E312)=ISBLANK(E656),0,1),1),IF('Monthly_Data'!F312=F656,IF(ISBLANK('Monthly_Data'!F312)=ISBLANK(F656),0,1),1),IF('Monthly_Data'!G312=G656,IF(ISBLANK('Monthly_Data'!G312)=ISBLANK(G656),0,1),1),IF('Monthly_Data'!H312=H656,IF(ISBLANK('Monthly_Data'!H312)=ISBLANK(H656),0,1),1))</x:f>
        <x:v>0</x:v>
      </x:c>
    </x:row>
    <x:row r="657" ht="23" customHeight="1">
      <x:c r="A657" s="2" t="str">
        <x:v>61103099_WORLD_202510_IMPORT</x:v>
      </x:c>
      <x:c r="B657" s="2" t="n">
        <x:v>202510</x:v>
      </x:c>
      <x:c r="C657" s="2" t="str">
        <x:v>61103099</x:v>
      </x:c>
      <x:c r="D657" s="2" t="str">
        <x:v>World</x:v>
      </x:c>
      <x:c r="E657" s="2" t="n">
        <x:v>109007704</x:v>
      </x:c>
      <x:c r="F657" s="2" t="n">
        <x:v>7465799</x:v>
      </x:c>
      <x:c r="G657" s="2" t="str">
        <x:v>WITHIN_BAND</x:v>
      </x:c>
      <x:c r="H657" s="2" t="n">
        <x:v>1</x:v>
      </x:c>
      <x:c r="I657" s="2"/>
      <x:c r="J657" s="2"/>
      <x:c r="K657" s="2"/>
      <x:c r="L657" s="2" t="n">
        <x:f>SUM(IF('Monthly_Data'!A313=A657,IF(ISBLANK('Monthly_Data'!A313)=ISBLANK(A657),0,1),1),IF('Monthly_Data'!B313=B657,IF(ISBLANK('Monthly_Data'!B313)=ISBLANK(B657),0,1),1),IF('Monthly_Data'!C313=C657,IF(ISBLANK('Monthly_Data'!C313)=ISBLANK(C657),0,1),1),IF('Monthly_Data'!D313=D657,IF(ISBLANK('Monthly_Data'!D313)=ISBLANK(D657),0,1),1),IF('Monthly_Data'!E313=E657,IF(ISBLANK('Monthly_Data'!E313)=ISBLANK(E657),0,1),1),IF('Monthly_Data'!F313=F657,IF(ISBLANK('Monthly_Data'!F313)=ISBLANK(F657),0,1),1),IF('Monthly_Data'!G313=G657,IF(ISBLANK('Monthly_Data'!G313)=ISBLANK(G657),0,1),1),IF('Monthly_Data'!H313=H657,IF(ISBLANK('Monthly_Data'!H313)=ISBLANK(H657),0,1),1))</x:f>
        <x:v>0</x:v>
      </x:c>
    </x:row>
    <x:row r="658" ht="23" customHeight="1">
      <x:c r="A658" s="2" t="str">
        <x:v>61103099_BD_202511_IMPORT</x:v>
      </x:c>
      <x:c r="B658" s="2" t="n">
        <x:v>202511</x:v>
      </x:c>
      <x:c r="C658" s="2" t="str">
        <x:v>61103099</x:v>
      </x:c>
      <x:c r="D658" s="2" t="str">
        <x:v>Bangladesh</x:v>
      </x:c>
      <x:c r="E658" s="2" t="n">
        <x:v>19225452</x:v>
      </x:c>
      <x:c r="F658" s="2" t="n">
        <x:v>1600777</x:v>
      </x:c>
      <x:c r="G658" s="2" t="str">
        <x:v>WITHIN_BAND</x:v>
      </x:c>
      <x:c r="H658" s="2" t="n">
        <x:v>1</x:v>
      </x:c>
      <x:c r="I658" s="2"/>
      <x:c r="J658" s="2"/>
      <x:c r="K658" s="2"/>
      <x:c r="L658" s="2" t="n">
        <x:f>SUM(IF('Monthly_Data'!A314=A658,IF(ISBLANK('Monthly_Data'!A314)=ISBLANK(A658),0,1),1),IF('Monthly_Data'!B314=B658,IF(ISBLANK('Monthly_Data'!B314)=ISBLANK(B658),0,1),1),IF('Monthly_Data'!C314=C658,IF(ISBLANK('Monthly_Data'!C314)=ISBLANK(C658),0,1),1),IF('Monthly_Data'!D314=D658,IF(ISBLANK('Monthly_Data'!D314)=ISBLANK(D658),0,1),1),IF('Monthly_Data'!E314=E658,IF(ISBLANK('Monthly_Data'!E314)=ISBLANK(E658),0,1),1),IF('Monthly_Data'!F314=F658,IF(ISBLANK('Monthly_Data'!F314)=ISBLANK(F658),0,1),1),IF('Monthly_Data'!G314=G658,IF(ISBLANK('Monthly_Data'!G314)=ISBLANK(G658),0,1),1),IF('Monthly_Data'!H314=H658,IF(ISBLANK('Monthly_Data'!H314)=ISBLANK(H658),0,1),1))</x:f>
        <x:v>0</x:v>
      </x:c>
    </x:row>
    <x:row r="659" ht="23" customHeight="1">
      <x:c r="A659" s="2" t="str">
        <x:v>61103099_KH_202511_IMPORT</x:v>
      </x:c>
      <x:c r="B659" s="2" t="n">
        <x:v>202511</x:v>
      </x:c>
      <x:c r="C659" s="2" t="str">
        <x:v>61103099</x:v>
      </x:c>
      <x:c r="D659" s="2" t="str">
        <x:v>Cambodia</x:v>
      </x:c>
      <x:c r="E659" s="2" t="n">
        <x:v>6042295</x:v>
      </x:c>
      <x:c r="F659" s="2" t="n">
        <x:v>462161</x:v>
      </x:c>
      <x:c r="G659" s="2" t="str">
        <x:v>WITHIN_BAND</x:v>
      </x:c>
      <x:c r="H659" s="2" t="n">
        <x:v>1</x:v>
      </x:c>
      <x:c r="I659" s="2"/>
      <x:c r="J659" s="2"/>
      <x:c r="K659" s="2"/>
      <x:c r="L659" s="2" t="n">
        <x:f>SUM(IF('Monthly_Data'!A315=A659,IF(ISBLANK('Monthly_Data'!A315)=ISBLANK(A659),0,1),1),IF('Monthly_Data'!B315=B659,IF(ISBLANK('Monthly_Data'!B315)=ISBLANK(B659),0,1),1),IF('Monthly_Data'!C315=C659,IF(ISBLANK('Monthly_Data'!C315)=ISBLANK(C659),0,1),1),IF('Monthly_Data'!D315=D659,IF(ISBLANK('Monthly_Data'!D315)=ISBLANK(D659),0,1),1),IF('Monthly_Data'!E315=E659,IF(ISBLANK('Monthly_Data'!E315)=ISBLANK(E659),0,1),1),IF('Monthly_Data'!F315=F659,IF(ISBLANK('Monthly_Data'!F315)=ISBLANK(F659),0,1),1),IF('Monthly_Data'!G315=G659,IF(ISBLANK('Monthly_Data'!G315)=ISBLANK(G659),0,1),1),IF('Monthly_Data'!H315=H659,IF(ISBLANK('Monthly_Data'!H315)=ISBLANK(H659),0,1),1))</x:f>
        <x:v>0</x:v>
      </x:c>
    </x:row>
    <x:row r="660" ht="23" customHeight="1">
      <x:c r="A660" s="2" t="str">
        <x:v>61103099_CN_202511_IMPORT</x:v>
      </x:c>
      <x:c r="B660" s="2" t="n">
        <x:v>202511</x:v>
      </x:c>
      <x:c r="C660" s="2" t="str">
        <x:v>61103099</x:v>
      </x:c>
      <x:c r="D660" s="2" t="str">
        <x:v>China</x:v>
      </x:c>
      <x:c r="E660" s="2" t="n">
        <x:v>26940430</x:v>
      </x:c>
      <x:c r="F660" s="2" t="n">
        <x:v>1969281</x:v>
      </x:c>
      <x:c r="G660" s="2" t="str">
        <x:v>WITHIN_BAND</x:v>
      </x:c>
      <x:c r="H660" s="2" t="n">
        <x:v>1</x:v>
      </x:c>
      <x:c r="I660" s="2"/>
      <x:c r="J660" s="2"/>
      <x:c r="K660" s="2"/>
      <x:c r="L660" s="2" t="n">
        <x:f>SUM(IF('Monthly_Data'!A316=A660,IF(ISBLANK('Monthly_Data'!A316)=ISBLANK(A660),0,1),1),IF('Monthly_Data'!B316=B660,IF(ISBLANK('Monthly_Data'!B316)=ISBLANK(B660),0,1),1),IF('Monthly_Data'!C316=C660,IF(ISBLANK('Monthly_Data'!C316)=ISBLANK(C660),0,1),1),IF('Monthly_Data'!D316=D660,IF(ISBLANK('Monthly_Data'!D316)=ISBLANK(D660),0,1),1),IF('Monthly_Data'!E316=E660,IF(ISBLANK('Monthly_Data'!E316)=ISBLANK(E660),0,1),1),IF('Monthly_Data'!F316=F660,IF(ISBLANK('Monthly_Data'!F316)=ISBLANK(F660),0,1),1),IF('Monthly_Data'!G316=G660,IF(ISBLANK('Monthly_Data'!G316)=ISBLANK(G660),0,1),1),IF('Monthly_Data'!H316=H660,IF(ISBLANK('Monthly_Data'!H316)=ISBLANK(H660),0,1),1))</x:f>
        <x:v>0</x:v>
      </x:c>
    </x:row>
    <x:row r="661" ht="23" customHeight="1">
      <x:c r="A661" s="2" t="str">
        <x:v>61103099_IN_202511_IMPORT</x:v>
      </x:c>
      <x:c r="B661" s="2" t="n">
        <x:v>202511</x:v>
      </x:c>
      <x:c r="C661" s="2" t="str">
        <x:v>61103099</x:v>
      </x:c>
      <x:c r="D661" s="2" t="str">
        <x:v>India</x:v>
      </x:c>
      <x:c r="E661" s="2" t="n">
        <x:v>192721</x:v>
      </x:c>
      <x:c r="F661" s="2" t="n">
        <x:v>14570</x:v>
      </x:c>
      <x:c r="G661" s="2" t="str">
        <x:v>WITHIN_BAND</x:v>
      </x:c>
      <x:c r="H661" s="2" t="n">
        <x:v>1</x:v>
      </x:c>
      <x:c r="I661" s="2"/>
      <x:c r="J661" s="2"/>
      <x:c r="K661" s="2"/>
      <x:c r="L661" s="2" t="n">
        <x:f>SUM(IF('Monthly_Data'!A317=A661,IF(ISBLANK('Monthly_Data'!A317)=ISBLANK(A661),0,1),1),IF('Monthly_Data'!B317=B661,IF(ISBLANK('Monthly_Data'!B317)=ISBLANK(B661),0,1),1),IF('Monthly_Data'!C317=C661,IF(ISBLANK('Monthly_Data'!C317)=ISBLANK(C661),0,1),1),IF('Monthly_Data'!D317=D661,IF(ISBLANK('Monthly_Data'!D317)=ISBLANK(D661),0,1),1),IF('Monthly_Data'!E317=E661,IF(ISBLANK('Monthly_Data'!E317)=ISBLANK(E661),0,1),1),IF('Monthly_Data'!F317=F661,IF(ISBLANK('Monthly_Data'!F317)=ISBLANK(F661),0,1),1),IF('Monthly_Data'!G317=G661,IF(ISBLANK('Monthly_Data'!G317)=ISBLANK(G661),0,1),1),IF('Monthly_Data'!H317=H661,IF(ISBLANK('Monthly_Data'!H317)=ISBLANK(H661),0,1),1))</x:f>
        <x:v>0</x:v>
      </x:c>
    </x:row>
    <x:row r="662" ht="23" customHeight="1">
      <x:c r="A662" s="2" t="str">
        <x:v>61103099_MA_202511_IMPORT</x:v>
      </x:c>
      <x:c r="B662" s="2" t="n">
        <x:v>202511</x:v>
      </x:c>
      <x:c r="C662" s="2" t="str">
        <x:v>61103099</x:v>
      </x:c>
      <x:c r="D662" s="2" t="str">
        <x:v>Morocco</x:v>
      </x:c>
      <x:c r="E662" s="2" t="n">
        <x:v>49056</x:v>
      </x:c>
      <x:c r="F662" s="2" t="n">
        <x:v>1623</x:v>
      </x:c>
      <x:c r="G662" s="2" t="str">
        <x:v>WITHIN_BAND</x:v>
      </x:c>
      <x:c r="H662" s="2" t="n">
        <x:v>1</x:v>
      </x:c>
      <x:c r="I662" s="2"/>
      <x:c r="J662" s="2"/>
      <x:c r="K662" s="2"/>
      <x:c r="L662" s="2" t="n">
        <x:f>SUM(IF('Monthly_Data'!A318=A662,IF(ISBLANK('Monthly_Data'!A318)=ISBLANK(A662),0,1),1),IF('Monthly_Data'!B318=B662,IF(ISBLANK('Monthly_Data'!B318)=ISBLANK(B662),0,1),1),IF('Monthly_Data'!C318=C662,IF(ISBLANK('Monthly_Data'!C318)=ISBLANK(C662),0,1),1),IF('Monthly_Data'!D318=D662,IF(ISBLANK('Monthly_Data'!D318)=ISBLANK(D662),0,1),1),IF('Monthly_Data'!E318=E662,IF(ISBLANK('Monthly_Data'!E318)=ISBLANK(E662),0,1),1),IF('Monthly_Data'!F318=F662,IF(ISBLANK('Monthly_Data'!F318)=ISBLANK(F662),0,1),1),IF('Monthly_Data'!G318=G662,IF(ISBLANK('Monthly_Data'!G318)=ISBLANK(G662),0,1),1),IF('Monthly_Data'!H318=H662,IF(ISBLANK('Monthly_Data'!H318)=ISBLANK(H662),0,1),1))</x:f>
        <x:v>0</x:v>
      </x:c>
    </x:row>
    <x:row r="663" ht="23" customHeight="1">
      <x:c r="A663" s="2" t="str">
        <x:v>61103099_MM_202511_IMPORT</x:v>
      </x:c>
      <x:c r="B663" s="2" t="n">
        <x:v>202511</x:v>
      </x:c>
      <x:c r="C663" s="2" t="str">
        <x:v>61103099</x:v>
      </x:c>
      <x:c r="D663" s="2" t="str">
        <x:v>Myanmar</x:v>
      </x:c>
      <x:c r="E663" s="2" t="n">
        <x:v>982223</x:v>
      </x:c>
      <x:c r="F663" s="2" t="n">
        <x:v>66279</x:v>
      </x:c>
      <x:c r="G663" s="2" t="str">
        <x:v>WITHIN_BAND</x:v>
      </x:c>
      <x:c r="H663" s="2" t="n">
        <x:v>1</x:v>
      </x:c>
      <x:c r="I663" s="2"/>
      <x:c r="J663" s="2"/>
      <x:c r="K663" s="2"/>
      <x:c r="L663" s="2" t="n">
        <x:f>SUM(IF('Monthly_Data'!A319=A663,IF(ISBLANK('Monthly_Data'!A319)=ISBLANK(A663),0,1),1),IF('Monthly_Data'!B319=B663,IF(ISBLANK('Monthly_Data'!B319)=ISBLANK(B663),0,1),1),IF('Monthly_Data'!C319=C663,IF(ISBLANK('Monthly_Data'!C319)=ISBLANK(C663),0,1),1),IF('Monthly_Data'!D319=D663,IF(ISBLANK('Monthly_Data'!D319)=ISBLANK(D663),0,1),1),IF('Monthly_Data'!E319=E663,IF(ISBLANK('Monthly_Data'!E319)=ISBLANK(E663),0,1),1),IF('Monthly_Data'!F319=F663,IF(ISBLANK('Monthly_Data'!F319)=ISBLANK(F663),0,1),1),IF('Monthly_Data'!G319=G663,IF(ISBLANK('Monthly_Data'!G319)=ISBLANK(G663),0,1),1),IF('Monthly_Data'!H319=H663,IF(ISBLANK('Monthly_Data'!H319)=ISBLANK(H663),0,1),1))</x:f>
        <x:v>0</x:v>
      </x:c>
    </x:row>
    <x:row r="664" ht="23" customHeight="1">
      <x:c r="A664" s="2" t="str">
        <x:v>61103099_PK_202511_IMPORT</x:v>
      </x:c>
      <x:c r="B664" s="2" t="n">
        <x:v>202511</x:v>
      </x:c>
      <x:c r="C664" s="2" t="str">
        <x:v>61103099</x:v>
      </x:c>
      <x:c r="D664" s="2" t="str">
        <x:v>Pakistan</x:v>
      </x:c>
      <x:c r="E664" s="2" t="n">
        <x:v>578975</x:v>
      </x:c>
      <x:c r="F664" s="2" t="n">
        <x:v>49130</x:v>
      </x:c>
      <x:c r="G664" s="2" t="str">
        <x:v>WITHIN_BAND</x:v>
      </x:c>
      <x:c r="H664" s="2" t="n">
        <x:v>1</x:v>
      </x:c>
      <x:c r="I664" s="2"/>
      <x:c r="J664" s="2"/>
      <x:c r="K664" s="2"/>
      <x:c r="L664" s="2" t="n">
        <x:f>SUM(IF('Monthly_Data'!A320=A664,IF(ISBLANK('Monthly_Data'!A320)=ISBLANK(A664),0,1),1),IF('Monthly_Data'!B320=B664,IF(ISBLANK('Monthly_Data'!B320)=ISBLANK(B664),0,1),1),IF('Monthly_Data'!C320=C664,IF(ISBLANK('Monthly_Data'!C320)=ISBLANK(C664),0,1),1),IF('Monthly_Data'!D320=D664,IF(ISBLANK('Monthly_Data'!D320)=ISBLANK(D664),0,1),1),IF('Monthly_Data'!E320=E664,IF(ISBLANK('Monthly_Data'!E320)=ISBLANK(E664),0,1),1),IF('Monthly_Data'!F320=F664,IF(ISBLANK('Monthly_Data'!F320)=ISBLANK(F664),0,1),1),IF('Monthly_Data'!G320=G664,IF(ISBLANK('Monthly_Data'!G320)=ISBLANK(G664),0,1),1),IF('Monthly_Data'!H320=H664,IF(ISBLANK('Monthly_Data'!H320)=ISBLANK(H664),0,1),1))</x:f>
        <x:v>0</x:v>
      </x:c>
    </x:row>
    <x:row r="665" ht="23" customHeight="1">
      <x:c r="A665" s="2" t="str">
        <x:v>61103099_LK_202511_IMPORT</x:v>
      </x:c>
      <x:c r="B665" s="2" t="n">
        <x:v>202511</x:v>
      </x:c>
      <x:c r="C665" s="2" t="str">
        <x:v>61103099</x:v>
      </x:c>
      <x:c r="D665" s="2" t="str">
        <x:v>Sri Lanka</x:v>
      </x:c>
      <x:c r="E665" s="2" t="n">
        <x:v>256452</x:v>
      </x:c>
      <x:c r="F665" s="2" t="n">
        <x:v>16083</x:v>
      </x:c>
      <x:c r="G665" s="2" t="str">
        <x:v>WITHIN_BAND</x:v>
      </x:c>
      <x:c r="H665" s="2" t="n">
        <x:v>1</x:v>
      </x:c>
      <x:c r="I665" s="2"/>
      <x:c r="J665" s="2"/>
      <x:c r="K665" s="2"/>
      <x:c r="L665" s="2" t="n">
        <x:f>SUM(IF('Monthly_Data'!A321=A665,IF(ISBLANK('Monthly_Data'!A321)=ISBLANK(A665),0,1),1),IF('Monthly_Data'!B321=B665,IF(ISBLANK('Monthly_Data'!B321)=ISBLANK(B665),0,1),1),IF('Monthly_Data'!C321=C665,IF(ISBLANK('Monthly_Data'!C321)=ISBLANK(C665),0,1),1),IF('Monthly_Data'!D321=D665,IF(ISBLANK('Monthly_Data'!D321)=ISBLANK(D665),0,1),1),IF('Monthly_Data'!E321=E665,IF(ISBLANK('Monthly_Data'!E321)=ISBLANK(E665),0,1),1),IF('Monthly_Data'!F321=F665,IF(ISBLANK('Monthly_Data'!F321)=ISBLANK(F665),0,1),1),IF('Monthly_Data'!G321=G665,IF(ISBLANK('Monthly_Data'!G321)=ISBLANK(G665),0,1),1),IF('Monthly_Data'!H321=H665,IF(ISBLANK('Monthly_Data'!H321)=ISBLANK(H665),0,1),1))</x:f>
        <x:v>0</x:v>
      </x:c>
    </x:row>
    <x:row r="666" ht="23" customHeight="1">
      <x:c r="A666" s="2" t="str">
        <x:v>61103099_TR_202511_IMPORT</x:v>
      </x:c>
      <x:c r="B666" s="2" t="n">
        <x:v>202511</x:v>
      </x:c>
      <x:c r="C666" s="2" t="str">
        <x:v>61103099</x:v>
      </x:c>
      <x:c r="D666" s="2" t="str">
        <x:v>Turkey</x:v>
      </x:c>
      <x:c r="E666" s="2" t="n">
        <x:v>5837646</x:v>
      </x:c>
      <x:c r="F666" s="2" t="n">
        <x:v>274136</x:v>
      </x:c>
      <x:c r="G666" s="2" t="str">
        <x:v>WITHIN_BAND</x:v>
      </x:c>
      <x:c r="H666" s="2" t="n">
        <x:v>1</x:v>
      </x:c>
      <x:c r="I666" s="2"/>
      <x:c r="J666" s="2"/>
      <x:c r="K666" s="2"/>
      <x:c r="L666" s="2" t="n">
        <x:f>SUM(IF('Monthly_Data'!A322=A666,IF(ISBLANK('Monthly_Data'!A322)=ISBLANK(A666),0,1),1),IF('Monthly_Data'!B322=B666,IF(ISBLANK('Monthly_Data'!B322)=ISBLANK(B666),0,1),1),IF('Monthly_Data'!C322=C666,IF(ISBLANK('Monthly_Data'!C322)=ISBLANK(C666),0,1),1),IF('Monthly_Data'!D322=D666,IF(ISBLANK('Monthly_Data'!D322)=ISBLANK(D666),0,1),1),IF('Monthly_Data'!E322=E666,IF(ISBLANK('Monthly_Data'!E322)=ISBLANK(E666),0,1),1),IF('Monthly_Data'!F322=F666,IF(ISBLANK('Monthly_Data'!F322)=ISBLANK(F666),0,1),1),IF('Monthly_Data'!G322=G666,IF(ISBLANK('Monthly_Data'!G322)=ISBLANK(G666),0,1),1),IF('Monthly_Data'!H322=H666,IF(ISBLANK('Monthly_Data'!H322)=ISBLANK(H666),0,1),1))</x:f>
        <x:v>0</x:v>
      </x:c>
    </x:row>
    <x:row r="667" ht="23" customHeight="1">
      <x:c r="A667" s="2" t="str">
        <x:v>61103099_VN_202511_IMPORT</x:v>
      </x:c>
      <x:c r="B667" s="2" t="n">
        <x:v>202511</x:v>
      </x:c>
      <x:c r="C667" s="2" t="str">
        <x:v>61103099</x:v>
      </x:c>
      <x:c r="D667" s="2" t="str">
        <x:v>Vietnam</x:v>
      </x:c>
      <x:c r="E667" s="2" t="n">
        <x:v>1149971</x:v>
      </x:c>
      <x:c r="F667" s="2" t="n">
        <x:v>44176</x:v>
      </x:c>
      <x:c r="G667" s="2" t="str">
        <x:v>WITHIN_BAND</x:v>
      </x:c>
      <x:c r="H667" s="2" t="n">
        <x:v>1</x:v>
      </x:c>
      <x:c r="I667" s="2"/>
      <x:c r="J667" s="2"/>
      <x:c r="K667" s="2"/>
      <x:c r="L667" s="2" t="n">
        <x:f>SUM(IF('Monthly_Data'!A323=A667,IF(ISBLANK('Monthly_Data'!A323)=ISBLANK(A667),0,1),1),IF('Monthly_Data'!B323=B667,IF(ISBLANK('Monthly_Data'!B323)=ISBLANK(B667),0,1),1),IF('Monthly_Data'!C323=C667,IF(ISBLANK('Monthly_Data'!C323)=ISBLANK(C667),0,1),1),IF('Monthly_Data'!D323=D667,IF(ISBLANK('Monthly_Data'!D323)=ISBLANK(D667),0,1),1),IF('Monthly_Data'!E323=E667,IF(ISBLANK('Monthly_Data'!E323)=ISBLANK(E667),0,1),1),IF('Monthly_Data'!F323=F667,IF(ISBLANK('Monthly_Data'!F323)=ISBLANK(F667),0,1),1),IF('Monthly_Data'!G323=G667,IF(ISBLANK('Monthly_Data'!G323)=ISBLANK(G667),0,1),1),IF('Monthly_Data'!H323=H667,IF(ISBLANK('Monthly_Data'!H323)=ISBLANK(H667),0,1),1))</x:f>
        <x:v>0</x:v>
      </x:c>
    </x:row>
    <x:row r="668" ht="23" customHeight="1">
      <x:c r="A668" s="2" t="str">
        <x:v>61103099_WORLD_202511_IMPORT</x:v>
      </x:c>
      <x:c r="B668" s="2" t="n">
        <x:v>202511</x:v>
      </x:c>
      <x:c r="C668" s="2" t="str">
        <x:v>61103099</x:v>
      </x:c>
      <x:c r="D668" s="2" t="str">
        <x:v>World</x:v>
      </x:c>
      <x:c r="E668" s="2" t="n">
        <x:v>79498140</x:v>
      </x:c>
      <x:c r="F668" s="2" t="n">
        <x:v>5290631</x:v>
      </x:c>
      <x:c r="G668" s="2" t="str">
        <x:v>WITHIN_BAND</x:v>
      </x:c>
      <x:c r="H668" s="2" t="n">
        <x:v>1</x:v>
      </x:c>
      <x:c r="I668" s="2"/>
      <x:c r="J668" s="2"/>
      <x:c r="K668" s="2"/>
      <x:c r="L668" s="2" t="n">
        <x:f>SUM(IF('Monthly_Data'!A324=A668,IF(ISBLANK('Monthly_Data'!A324)=ISBLANK(A668),0,1),1),IF('Monthly_Data'!B324=B668,IF(ISBLANK('Monthly_Data'!B324)=ISBLANK(B668),0,1),1),IF('Monthly_Data'!C324=C668,IF(ISBLANK('Monthly_Data'!C324)=ISBLANK(C668),0,1),1),IF('Monthly_Data'!D324=D668,IF(ISBLANK('Monthly_Data'!D324)=ISBLANK(D668),0,1),1),IF('Monthly_Data'!E324=E668,IF(ISBLANK('Monthly_Data'!E324)=ISBLANK(E668),0,1),1),IF('Monthly_Data'!F324=F668,IF(ISBLANK('Monthly_Data'!F324)=ISBLANK(F668),0,1),1),IF('Monthly_Data'!G324=G668,IF(ISBLANK('Monthly_Data'!G324)=ISBLANK(G668),0,1),1),IF('Monthly_Data'!H324=H668,IF(ISBLANK('Monthly_Data'!H324)=ISBLANK(H668),0,1),1))</x:f>
        <x:v>0</x:v>
      </x:c>
    </x:row>
    <x:row r="669" ht="23" customHeight="1">
      <x:c r="A669" s="2" t="str">
        <x:v>61103099_BD_202512_IMPORT</x:v>
      </x:c>
      <x:c r="B669" s="2" t="n">
        <x:v>202512</x:v>
      </x:c>
      <x:c r="C669" s="2" t="str">
        <x:v>61103099</x:v>
      </x:c>
      <x:c r="D669" s="2" t="str">
        <x:v>Bangladesh</x:v>
      </x:c>
      <x:c r="E669" s="2" t="n">
        <x:v>14760003</x:v>
      </x:c>
      <x:c r="F669" s="2" t="n">
        <x:v>1249823</x:v>
      </x:c>
      <x:c r="G669" s="2" t="str">
        <x:v>WITHIN_BAND</x:v>
      </x:c>
      <x:c r="H669" s="2" t="n">
        <x:v>1</x:v>
      </x:c>
      <x:c r="I669" s="2"/>
      <x:c r="J669" s="2"/>
      <x:c r="K669" s="2"/>
      <x:c r="L669" s="2" t="n">
        <x:f>SUM(IF('Monthly_Data'!A325=A669,IF(ISBLANK('Monthly_Data'!A325)=ISBLANK(A669),0,1),1),IF('Monthly_Data'!B325=B669,IF(ISBLANK('Monthly_Data'!B325)=ISBLANK(B669),0,1),1),IF('Monthly_Data'!C325=C669,IF(ISBLANK('Monthly_Data'!C325)=ISBLANK(C669),0,1),1),IF('Monthly_Data'!D325=D669,IF(ISBLANK('Monthly_Data'!D325)=ISBLANK(D669),0,1),1),IF('Monthly_Data'!E325=E669,IF(ISBLANK('Monthly_Data'!E325)=ISBLANK(E669),0,1),1),IF('Monthly_Data'!F325=F669,IF(ISBLANK('Monthly_Data'!F325)=ISBLANK(F669),0,1),1),IF('Monthly_Data'!G325=G669,IF(ISBLANK('Monthly_Data'!G325)=ISBLANK(G669),0,1),1),IF('Monthly_Data'!H325=H669,IF(ISBLANK('Monthly_Data'!H325)=ISBLANK(H669),0,1),1))</x:f>
        <x:v>0</x:v>
      </x:c>
    </x:row>
    <x:row r="670" ht="23" customHeight="1">
      <x:c r="A670" s="2" t="str">
        <x:v>61103099_KH_202512_IMPORT</x:v>
      </x:c>
      <x:c r="B670" s="2" t="n">
        <x:v>202512</x:v>
      </x:c>
      <x:c r="C670" s="2" t="str">
        <x:v>61103099</x:v>
      </x:c>
      <x:c r="D670" s="2" t="str">
        <x:v>Cambodia</x:v>
      </x:c>
      <x:c r="E670" s="2" t="n">
        <x:v>5695663</x:v>
      </x:c>
      <x:c r="F670" s="2" t="n">
        <x:v>444259</x:v>
      </x:c>
      <x:c r="G670" s="2" t="str">
        <x:v>WITHIN_BAND</x:v>
      </x:c>
      <x:c r="H670" s="2" t="n">
        <x:v>1</x:v>
      </x:c>
      <x:c r="I670" s="2"/>
      <x:c r="J670" s="2"/>
      <x:c r="K670" s="2"/>
      <x:c r="L670" s="2" t="n">
        <x:f>SUM(IF('Monthly_Data'!A326=A670,IF(ISBLANK('Monthly_Data'!A326)=ISBLANK(A670),0,1),1),IF('Monthly_Data'!B326=B670,IF(ISBLANK('Monthly_Data'!B326)=ISBLANK(B670),0,1),1),IF('Monthly_Data'!C326=C670,IF(ISBLANK('Monthly_Data'!C326)=ISBLANK(C670),0,1),1),IF('Monthly_Data'!D326=D670,IF(ISBLANK('Monthly_Data'!D326)=ISBLANK(D670),0,1),1),IF('Monthly_Data'!E326=E670,IF(ISBLANK('Monthly_Data'!E326)=ISBLANK(E670),0,1),1),IF('Monthly_Data'!F326=F670,IF(ISBLANK('Monthly_Data'!F326)=ISBLANK(F670),0,1),1),IF('Monthly_Data'!G326=G670,IF(ISBLANK('Monthly_Data'!G326)=ISBLANK(G670),0,1),1),IF('Monthly_Data'!H326=H670,IF(ISBLANK('Monthly_Data'!H326)=ISBLANK(H670),0,1),1))</x:f>
        <x:v>0</x:v>
      </x:c>
    </x:row>
    <x:row r="671" ht="23" customHeight="1">
      <x:c r="A671" s="2" t="str">
        <x:v>61103099_CN_202512_IMPORT</x:v>
      </x:c>
      <x:c r="B671" s="2" t="n">
        <x:v>202512</x:v>
      </x:c>
      <x:c r="C671" s="2" t="str">
        <x:v>61103099</x:v>
      </x:c>
      <x:c r="D671" s="2" t="str">
        <x:v>China</x:v>
      </x:c>
      <x:c r="E671" s="2" t="n">
        <x:v>23700504</x:v>
      </x:c>
      <x:c r="F671" s="2" t="n">
        <x:v>1541294</x:v>
      </x:c>
      <x:c r="G671" s="2" t="str">
        <x:v>WITHIN_BAND</x:v>
      </x:c>
      <x:c r="H671" s="2" t="n">
        <x:v>1</x:v>
      </x:c>
      <x:c r="I671" s="2"/>
      <x:c r="J671" s="2"/>
      <x:c r="K671" s="2"/>
      <x:c r="L671" s="2" t="n">
        <x:f>SUM(IF('Monthly_Data'!A327=A671,IF(ISBLANK('Monthly_Data'!A327)=ISBLANK(A671),0,1),1),IF('Monthly_Data'!B327=B671,IF(ISBLANK('Monthly_Data'!B327)=ISBLANK(B671),0,1),1),IF('Monthly_Data'!C327=C671,IF(ISBLANK('Monthly_Data'!C327)=ISBLANK(C671),0,1),1),IF('Monthly_Data'!D327=D671,IF(ISBLANK('Monthly_Data'!D327)=ISBLANK(D671),0,1),1),IF('Monthly_Data'!E327=E671,IF(ISBLANK('Monthly_Data'!E327)=ISBLANK(E671),0,1),1),IF('Monthly_Data'!F327=F671,IF(ISBLANK('Monthly_Data'!F327)=ISBLANK(F671),0,1),1),IF('Monthly_Data'!G327=G671,IF(ISBLANK('Monthly_Data'!G327)=ISBLANK(G671),0,1),1),IF('Monthly_Data'!H327=H671,IF(ISBLANK('Monthly_Data'!H327)=ISBLANK(H671),0,1),1))</x:f>
        <x:v>0</x:v>
      </x:c>
    </x:row>
    <x:row r="672" ht="23" customHeight="1">
      <x:c r="A672" s="2" t="str">
        <x:v>61103099_IN_202512_IMPORT</x:v>
      </x:c>
      <x:c r="B672" s="2" t="n">
        <x:v>202512</x:v>
      </x:c>
      <x:c r="C672" s="2" t="str">
        <x:v>61103099</x:v>
      </x:c>
      <x:c r="D672" s="2" t="str">
        <x:v>India</x:v>
      </x:c>
      <x:c r="E672" s="2" t="n">
        <x:v>339367</x:v>
      </x:c>
      <x:c r="F672" s="2" t="n">
        <x:v>24281</x:v>
      </x:c>
      <x:c r="G672" s="2" t="str">
        <x:v>WITHIN_BAND</x:v>
      </x:c>
      <x:c r="H672" s="2" t="n">
        <x:v>1</x:v>
      </x:c>
      <x:c r="I672" s="2"/>
      <x:c r="J672" s="2"/>
      <x:c r="K672" s="2"/>
      <x:c r="L672" s="2" t="n">
        <x:f>SUM(IF('Monthly_Data'!A328=A672,IF(ISBLANK('Monthly_Data'!A328)=ISBLANK(A672),0,1),1),IF('Monthly_Data'!B328=B672,IF(ISBLANK('Monthly_Data'!B328)=ISBLANK(B672),0,1),1),IF('Monthly_Data'!C328=C672,IF(ISBLANK('Monthly_Data'!C328)=ISBLANK(C672),0,1),1),IF('Monthly_Data'!D328=D672,IF(ISBLANK('Monthly_Data'!D328)=ISBLANK(D672),0,1),1),IF('Monthly_Data'!E328=E672,IF(ISBLANK('Monthly_Data'!E328)=ISBLANK(E672),0,1),1),IF('Monthly_Data'!F328=F672,IF(ISBLANK('Monthly_Data'!F328)=ISBLANK(F672),0,1),1),IF('Monthly_Data'!G328=G672,IF(ISBLANK('Monthly_Data'!G328)=ISBLANK(G672),0,1),1),IF('Monthly_Data'!H328=H672,IF(ISBLANK('Monthly_Data'!H328)=ISBLANK(H672),0,1),1))</x:f>
        <x:v>0</x:v>
      </x:c>
    </x:row>
    <x:row r="673" ht="23" customHeight="1">
      <x:c r="A673" s="2" t="str">
        <x:v>61103099_MA_202512_IMPORT</x:v>
      </x:c>
      <x:c r="B673" s="2" t="n">
        <x:v>202512</x:v>
      </x:c>
      <x:c r="C673" s="2" t="str">
        <x:v>61103099</x:v>
      </x:c>
      <x:c r="D673" s="2" t="str">
        <x:v>Morocco</x:v>
      </x:c>
      <x:c r="E673" s="2" t="n">
        <x:v>62154</x:v>
      </x:c>
      <x:c r="F673" s="2" t="n">
        <x:v>1852</x:v>
      </x:c>
      <x:c r="G673" s="2" t="str">
        <x:v>WITHIN_BAND</x:v>
      </x:c>
      <x:c r="H673" s="2" t="n">
        <x:v>1</x:v>
      </x:c>
      <x:c r="I673" s="2"/>
      <x:c r="J673" s="2"/>
      <x:c r="K673" s="2"/>
      <x:c r="L673" s="2" t="n">
        <x:f>SUM(IF('Monthly_Data'!A329=A673,IF(ISBLANK('Monthly_Data'!A329)=ISBLANK(A673),0,1),1),IF('Monthly_Data'!B329=B673,IF(ISBLANK('Monthly_Data'!B329)=ISBLANK(B673),0,1),1),IF('Monthly_Data'!C329=C673,IF(ISBLANK('Monthly_Data'!C329)=ISBLANK(C673),0,1),1),IF('Monthly_Data'!D329=D673,IF(ISBLANK('Monthly_Data'!D329)=ISBLANK(D673),0,1),1),IF('Monthly_Data'!E329=E673,IF(ISBLANK('Monthly_Data'!E329)=ISBLANK(E673),0,1),1),IF('Monthly_Data'!F329=F673,IF(ISBLANK('Monthly_Data'!F329)=ISBLANK(F673),0,1),1),IF('Monthly_Data'!G329=G673,IF(ISBLANK('Monthly_Data'!G329)=ISBLANK(G673),0,1),1),IF('Monthly_Data'!H329=H673,IF(ISBLANK('Monthly_Data'!H329)=ISBLANK(H673),0,1),1))</x:f>
        <x:v>0</x:v>
      </x:c>
    </x:row>
    <x:row r="674" ht="23" customHeight="1">
      <x:c r="A674" s="2" t="str">
        <x:v>61103099_MM_202512_IMPORT</x:v>
      </x:c>
      <x:c r="B674" s="2" t="n">
        <x:v>202512</x:v>
      </x:c>
      <x:c r="C674" s="2" t="str">
        <x:v>61103099</x:v>
      </x:c>
      <x:c r="D674" s="2" t="str">
        <x:v>Myanmar</x:v>
      </x:c>
      <x:c r="E674" s="2" t="n">
        <x:v>1076130</x:v>
      </x:c>
      <x:c r="F674" s="2" t="n">
        <x:v>64841</x:v>
      </x:c>
      <x:c r="G674" s="2" t="str">
        <x:v>WITHIN_BAND</x:v>
      </x:c>
      <x:c r="H674" s="2" t="n">
        <x:v>1</x:v>
      </x:c>
      <x:c r="I674" s="2"/>
      <x:c r="J674" s="2"/>
      <x:c r="K674" s="2"/>
      <x:c r="L674" s="2" t="n">
        <x:f>SUM(IF('Monthly_Data'!A330=A674,IF(ISBLANK('Monthly_Data'!A330)=ISBLANK(A674),0,1),1),IF('Monthly_Data'!B330=B674,IF(ISBLANK('Monthly_Data'!B330)=ISBLANK(B674),0,1),1),IF('Monthly_Data'!C330=C674,IF(ISBLANK('Monthly_Data'!C330)=ISBLANK(C674),0,1),1),IF('Monthly_Data'!D330=D674,IF(ISBLANK('Monthly_Data'!D330)=ISBLANK(D674),0,1),1),IF('Monthly_Data'!E330=E674,IF(ISBLANK('Monthly_Data'!E330)=ISBLANK(E674),0,1),1),IF('Monthly_Data'!F330=F674,IF(ISBLANK('Monthly_Data'!F330)=ISBLANK(F674),0,1),1),IF('Monthly_Data'!G330=G674,IF(ISBLANK('Monthly_Data'!G330)=ISBLANK(G674),0,1),1),IF('Monthly_Data'!H330=H674,IF(ISBLANK('Monthly_Data'!H330)=ISBLANK(H674),0,1),1))</x:f>
        <x:v>0</x:v>
      </x:c>
    </x:row>
    <x:row r="675" ht="23" customHeight="1">
      <x:c r="A675" s="2" t="str">
        <x:v>61103099_PK_202512_IMPORT</x:v>
      </x:c>
      <x:c r="B675" s="2" t="n">
        <x:v>202512</x:v>
      </x:c>
      <x:c r="C675" s="2" t="str">
        <x:v>61103099</x:v>
      </x:c>
      <x:c r="D675" s="2" t="str">
        <x:v>Pakistan</x:v>
      </x:c>
      <x:c r="E675" s="2" t="n">
        <x:v>701062</x:v>
      </x:c>
      <x:c r="F675" s="2" t="n">
        <x:v>50482</x:v>
      </x:c>
      <x:c r="G675" s="2" t="str">
        <x:v>WITHIN_BAND</x:v>
      </x:c>
      <x:c r="H675" s="2" t="n">
        <x:v>1</x:v>
      </x:c>
      <x:c r="I675" s="2"/>
      <x:c r="J675" s="2"/>
      <x:c r="K675" s="2"/>
      <x:c r="L675" s="2" t="n">
        <x:f>SUM(IF('Monthly_Data'!A331=A675,IF(ISBLANK('Monthly_Data'!A331)=ISBLANK(A675),0,1),1),IF('Monthly_Data'!B331=B675,IF(ISBLANK('Monthly_Data'!B331)=ISBLANK(B675),0,1),1),IF('Monthly_Data'!C331=C675,IF(ISBLANK('Monthly_Data'!C331)=ISBLANK(C675),0,1),1),IF('Monthly_Data'!D331=D675,IF(ISBLANK('Monthly_Data'!D331)=ISBLANK(D675),0,1),1),IF('Monthly_Data'!E331=E675,IF(ISBLANK('Monthly_Data'!E331)=ISBLANK(E675),0,1),1),IF('Monthly_Data'!F331=F675,IF(ISBLANK('Monthly_Data'!F331)=ISBLANK(F675),0,1),1),IF('Monthly_Data'!G331=G675,IF(ISBLANK('Monthly_Data'!G331)=ISBLANK(G675),0,1),1),IF('Monthly_Data'!H331=H675,IF(ISBLANK('Monthly_Data'!H331)=ISBLANK(H675),0,1),1))</x:f>
        <x:v>0</x:v>
      </x:c>
    </x:row>
    <x:row r="676" ht="23" customHeight="1">
      <x:c r="A676" s="2" t="str">
        <x:v>61103099_LK_202512_IMPORT</x:v>
      </x:c>
      <x:c r="B676" s="2" t="n">
        <x:v>202512</x:v>
      </x:c>
      <x:c r="C676" s="2" t="str">
        <x:v>61103099</x:v>
      </x:c>
      <x:c r="D676" s="2" t="str">
        <x:v>Sri Lanka</x:v>
      </x:c>
      <x:c r="E676" s="2" t="n">
        <x:v>46278</x:v>
      </x:c>
      <x:c r="F676" s="2" t="n">
        <x:v>2950</x:v>
      </x:c>
      <x:c r="G676" s="2" t="str">
        <x:v>WITHIN_BAND</x:v>
      </x:c>
      <x:c r="H676" s="2" t="n">
        <x:v>1</x:v>
      </x:c>
      <x:c r="I676" s="2"/>
      <x:c r="J676" s="2"/>
      <x:c r="K676" s="2"/>
      <x:c r="L676" s="2" t="n">
        <x:f>SUM(IF('Monthly_Data'!A332=A676,IF(ISBLANK('Monthly_Data'!A332)=ISBLANK(A676),0,1),1),IF('Monthly_Data'!B332=B676,IF(ISBLANK('Monthly_Data'!B332)=ISBLANK(B676),0,1),1),IF('Monthly_Data'!C332=C676,IF(ISBLANK('Monthly_Data'!C332)=ISBLANK(C676),0,1),1),IF('Monthly_Data'!D332=D676,IF(ISBLANK('Monthly_Data'!D332)=ISBLANK(D676),0,1),1),IF('Monthly_Data'!E332=E676,IF(ISBLANK('Monthly_Data'!E332)=ISBLANK(E676),0,1),1),IF('Monthly_Data'!F332=F676,IF(ISBLANK('Monthly_Data'!F332)=ISBLANK(F676),0,1),1),IF('Monthly_Data'!G332=G676,IF(ISBLANK('Monthly_Data'!G332)=ISBLANK(G676),0,1),1),IF('Monthly_Data'!H332=H676,IF(ISBLANK('Monthly_Data'!H332)=ISBLANK(H676),0,1),1))</x:f>
        <x:v>0</x:v>
      </x:c>
    </x:row>
    <x:row r="677" ht="23" customHeight="1">
      <x:c r="A677" s="2" t="str">
        <x:v>61103099_TR_202512_IMPORT</x:v>
      </x:c>
      <x:c r="B677" s="2" t="n">
        <x:v>202512</x:v>
      </x:c>
      <x:c r="C677" s="2" t="str">
        <x:v>61103099</x:v>
      </x:c>
      <x:c r="D677" s="2" t="str">
        <x:v>Turkey</x:v>
      </x:c>
      <x:c r="E677" s="2" t="n">
        <x:v>5169246</x:v>
      </x:c>
      <x:c r="F677" s="2" t="n">
        <x:v>267936</x:v>
      </x:c>
      <x:c r="G677" s="2" t="str">
        <x:v>WITHIN_BAND</x:v>
      </x:c>
      <x:c r="H677" s="2" t="n">
        <x:v>1</x:v>
      </x:c>
      <x:c r="I677" s="2"/>
      <x:c r="J677" s="2"/>
      <x:c r="K677" s="2"/>
      <x:c r="L677" s="2" t="n">
        <x:f>SUM(IF('Monthly_Data'!A333=A677,IF(ISBLANK('Monthly_Data'!A333)=ISBLANK(A677),0,1),1),IF('Monthly_Data'!B333=B677,IF(ISBLANK('Monthly_Data'!B333)=ISBLANK(B677),0,1),1),IF('Monthly_Data'!C333=C677,IF(ISBLANK('Monthly_Data'!C333)=ISBLANK(C677),0,1),1),IF('Monthly_Data'!D333=D677,IF(ISBLANK('Monthly_Data'!D333)=ISBLANK(D677),0,1),1),IF('Monthly_Data'!E333=E677,IF(ISBLANK('Monthly_Data'!E333)=ISBLANK(E677),0,1),1),IF('Monthly_Data'!F333=F677,IF(ISBLANK('Monthly_Data'!F333)=ISBLANK(F677),0,1),1),IF('Monthly_Data'!G333=G677,IF(ISBLANK('Monthly_Data'!G333)=ISBLANK(G677),0,1),1),IF('Monthly_Data'!H333=H677,IF(ISBLANK('Monthly_Data'!H333)=ISBLANK(H677),0,1),1))</x:f>
        <x:v>0</x:v>
      </x:c>
    </x:row>
    <x:row r="678" ht="23" customHeight="1">
      <x:c r="A678" s="2" t="str">
        <x:v>61103099_VN_202512_IMPORT</x:v>
      </x:c>
      <x:c r="B678" s="2" t="n">
        <x:v>202512</x:v>
      </x:c>
      <x:c r="C678" s="2" t="str">
        <x:v>61103099</x:v>
      </x:c>
      <x:c r="D678" s="2" t="str">
        <x:v>Vietnam</x:v>
      </x:c>
      <x:c r="E678" s="2" t="n">
        <x:v>1301524</x:v>
      </x:c>
      <x:c r="F678" s="2" t="n">
        <x:v>42116</x:v>
      </x:c>
      <x:c r="G678" s="2" t="str">
        <x:v>WITHIN_BAND</x:v>
      </x:c>
      <x:c r="H678" s="2" t="n">
        <x:v>1</x:v>
      </x:c>
      <x:c r="I678" s="2"/>
      <x:c r="J678" s="2"/>
      <x:c r="K678" s="2"/>
      <x:c r="L678" s="2" t="n">
        <x:f>SUM(IF('Monthly_Data'!A334=A678,IF(ISBLANK('Monthly_Data'!A334)=ISBLANK(A678),0,1),1),IF('Monthly_Data'!B334=B678,IF(ISBLANK('Monthly_Data'!B334)=ISBLANK(B678),0,1),1),IF('Monthly_Data'!C334=C678,IF(ISBLANK('Monthly_Data'!C334)=ISBLANK(C678),0,1),1),IF('Monthly_Data'!D334=D678,IF(ISBLANK('Monthly_Data'!D334)=ISBLANK(D678),0,1),1),IF('Monthly_Data'!E334=E678,IF(ISBLANK('Monthly_Data'!E334)=ISBLANK(E678),0,1),1),IF('Monthly_Data'!F334=F678,IF(ISBLANK('Monthly_Data'!F334)=ISBLANK(F678),0,1),1),IF('Monthly_Data'!G334=G678,IF(ISBLANK('Monthly_Data'!G334)=ISBLANK(G678),0,1),1),IF('Monthly_Data'!H334=H678,IF(ISBLANK('Monthly_Data'!H334)=ISBLANK(H678),0,1),1))</x:f>
        <x:v>0</x:v>
      </x:c>
    </x:row>
    <x:row r="679" ht="23" customHeight="1">
      <x:c r="A679" s="2" t="str">
        <x:v>61103099_WORLD_202512_IMPORT</x:v>
      </x:c>
      <x:c r="B679" s="2" t="n">
        <x:v>202512</x:v>
      </x:c>
      <x:c r="C679" s="2" t="str">
        <x:v>61103099</x:v>
      </x:c>
      <x:c r="D679" s="2" t="str">
        <x:v>World</x:v>
      </x:c>
      <x:c r="E679" s="2" t="n">
        <x:v>73662454</x:v>
      </x:c>
      <x:c r="F679" s="2" t="n">
        <x:v>4564185</x:v>
      </x:c>
      <x:c r="G679" s="2" t="str">
        <x:v>WITHIN_BAND</x:v>
      </x:c>
      <x:c r="H679" s="2" t="n">
        <x:v>1</x:v>
      </x:c>
      <x:c r="I679" s="2"/>
      <x:c r="J679" s="2"/>
      <x:c r="K679" s="2"/>
      <x:c r="L679" s="2" t="n">
        <x:f>SUM(IF('Monthly_Data'!A335=A679,IF(ISBLANK('Monthly_Data'!A335)=ISBLANK(A679),0,1),1),IF('Monthly_Data'!B335=B679,IF(ISBLANK('Monthly_Data'!B335)=ISBLANK(B679),0,1),1),IF('Monthly_Data'!C335=C679,IF(ISBLANK('Monthly_Data'!C335)=ISBLANK(C679),0,1),1),IF('Monthly_Data'!D335=D679,IF(ISBLANK('Monthly_Data'!D335)=ISBLANK(D679),0,1),1),IF('Monthly_Data'!E335=E679,IF(ISBLANK('Monthly_Data'!E335)=ISBLANK(E679),0,1),1),IF('Monthly_Data'!F335=F679,IF(ISBLANK('Monthly_Data'!F335)=ISBLANK(F679),0,1),1),IF('Monthly_Data'!G335=G679,IF(ISBLANK('Monthly_Data'!G335)=ISBLANK(G679),0,1),1),IF('Monthly_Data'!H335=H679,IF(ISBLANK('Monthly_Data'!H335)=ISBLANK(H679),0,1),1))</x:f>
        <x:v>0</x:v>
      </x:c>
    </x:row>
    <x:row r="680" ht="23" customHeight="1">
      <x:c r="A680" s="2" t="str">
        <x:v>61103099_BD_202601_IMPORT</x:v>
      </x:c>
      <x:c r="B680" s="2" t="n">
        <x:v>202601</x:v>
      </x:c>
      <x:c r="C680" s="2" t="str">
        <x:v>61103099</x:v>
      </x:c>
      <x:c r="D680" s="2" t="str">
        <x:v>Bangladesh</x:v>
      </x:c>
      <x:c r="E680" s="2" t="n">
        <x:v>9756684</x:v>
      </x:c>
      <x:c r="F680" s="2" t="n">
        <x:v>771311</x:v>
      </x:c>
      <x:c r="G680" s="2" t="str">
        <x:v>WITHIN_BAND</x:v>
      </x:c>
      <x:c r="H680" s="2" t="n">
        <x:v>1</x:v>
      </x:c>
      <x:c r="I680" s="2"/>
      <x:c r="J680" s="2"/>
      <x:c r="K680" s="2"/>
      <x:c r="L680" s="2" t="n">
        <x:f>SUM(IF('Monthly_Data'!A336=A680,IF(ISBLANK('Monthly_Data'!A336)=ISBLANK(A680),0,1),1),IF('Monthly_Data'!B336=B680,IF(ISBLANK('Monthly_Data'!B336)=ISBLANK(B680),0,1),1),IF('Monthly_Data'!C336=C680,IF(ISBLANK('Monthly_Data'!C336)=ISBLANK(C680),0,1),1),IF('Monthly_Data'!D336=D680,IF(ISBLANK('Monthly_Data'!D336)=ISBLANK(D680),0,1),1),IF('Monthly_Data'!E336=E680,IF(ISBLANK('Monthly_Data'!E336)=ISBLANK(E680),0,1),1),IF('Monthly_Data'!F336=F680,IF(ISBLANK('Monthly_Data'!F336)=ISBLANK(F680),0,1),1),IF('Monthly_Data'!G336=G680,IF(ISBLANK('Monthly_Data'!G336)=ISBLANK(G680),0,1),1),IF('Monthly_Data'!H336=H680,IF(ISBLANK('Monthly_Data'!H336)=ISBLANK(H680),0,1),1))</x:f>
        <x:v>0</x:v>
      </x:c>
    </x:row>
    <x:row r="681" ht="23" customHeight="1">
      <x:c r="A681" s="2" t="str">
        <x:v>61103099_KH_202601_IMPORT</x:v>
      </x:c>
      <x:c r="B681" s="2" t="n">
        <x:v>202601</x:v>
      </x:c>
      <x:c r="C681" s="2" t="str">
        <x:v>61103099</x:v>
      </x:c>
      <x:c r="D681" s="2" t="str">
        <x:v>Cambodia</x:v>
      </x:c>
      <x:c r="E681" s="2" t="n">
        <x:v>3322781</x:v>
      </x:c>
      <x:c r="F681" s="2" t="n">
        <x:v>303236</x:v>
      </x:c>
      <x:c r="G681" s="2" t="str">
        <x:v>WITHIN_BAND</x:v>
      </x:c>
      <x:c r="H681" s="2" t="n">
        <x:v>1</x:v>
      </x:c>
      <x:c r="I681" s="2"/>
      <x:c r="J681" s="2"/>
      <x:c r="K681" s="2"/>
      <x:c r="L681" s="2" t="n">
        <x:f>SUM(IF('Monthly_Data'!A337=A681,IF(ISBLANK('Monthly_Data'!A337)=ISBLANK(A681),0,1),1),IF('Monthly_Data'!B337=B681,IF(ISBLANK('Monthly_Data'!B337)=ISBLANK(B681),0,1),1),IF('Monthly_Data'!C337=C681,IF(ISBLANK('Monthly_Data'!C337)=ISBLANK(C681),0,1),1),IF('Monthly_Data'!D337=D681,IF(ISBLANK('Monthly_Data'!D337)=ISBLANK(D681),0,1),1),IF('Monthly_Data'!E337=E681,IF(ISBLANK('Monthly_Data'!E337)=ISBLANK(E681),0,1),1),IF('Monthly_Data'!F337=F681,IF(ISBLANK('Monthly_Data'!F337)=ISBLANK(F681),0,1),1),IF('Monthly_Data'!G337=G681,IF(ISBLANK('Monthly_Data'!G337)=ISBLANK(G681),0,1),1),IF('Monthly_Data'!H337=H681,IF(ISBLANK('Monthly_Data'!H337)=ISBLANK(H681),0,1),1))</x:f>
        <x:v>0</x:v>
      </x:c>
    </x:row>
    <x:row r="682" ht="23" customHeight="1">
      <x:c r="A682" s="2" t="str">
        <x:v>61103099_CN_202601_IMPORT</x:v>
      </x:c>
      <x:c r="B682" s="2" t="n">
        <x:v>202601</x:v>
      </x:c>
      <x:c r="C682" s="2" t="str">
        <x:v>61103099</x:v>
      </x:c>
      <x:c r="D682" s="2" t="str">
        <x:v>China</x:v>
      </x:c>
      <x:c r="E682" s="2" t="n">
        <x:v>14953519</x:v>
      </x:c>
      <x:c r="F682" s="2" t="n">
        <x:v>887350</x:v>
      </x:c>
      <x:c r="G682" s="2" t="str">
        <x:v>WITHIN_BAND</x:v>
      </x:c>
      <x:c r="H682" s="2" t="n">
        <x:v>1</x:v>
      </x:c>
      <x:c r="I682" s="2"/>
      <x:c r="J682" s="2"/>
      <x:c r="K682" s="2"/>
      <x:c r="L682" s="2" t="n">
        <x:f>SUM(IF('Monthly_Data'!A338=A682,IF(ISBLANK('Monthly_Data'!A338)=ISBLANK(A682),0,1),1),IF('Monthly_Data'!B338=B682,IF(ISBLANK('Monthly_Data'!B338)=ISBLANK(B682),0,1),1),IF('Monthly_Data'!C338=C682,IF(ISBLANK('Monthly_Data'!C338)=ISBLANK(C682),0,1),1),IF('Monthly_Data'!D338=D682,IF(ISBLANK('Monthly_Data'!D338)=ISBLANK(D682),0,1),1),IF('Monthly_Data'!E338=E682,IF(ISBLANK('Monthly_Data'!E338)=ISBLANK(E682),0,1),1),IF('Monthly_Data'!F338=F682,IF(ISBLANK('Monthly_Data'!F338)=ISBLANK(F682),0,1),1),IF('Monthly_Data'!G338=G682,IF(ISBLANK('Monthly_Data'!G338)=ISBLANK(G682),0,1),1),IF('Monthly_Data'!H338=H682,IF(ISBLANK('Monthly_Data'!H338)=ISBLANK(H682),0,1),1))</x:f>
        <x:v>0</x:v>
      </x:c>
    </x:row>
    <x:row r="683" ht="23" customHeight="1">
      <x:c r="A683" s="2" t="str">
        <x:v>61103099_IN_202601_IMPORT</x:v>
      </x:c>
      <x:c r="B683" s="2" t="n">
        <x:v>202601</x:v>
      </x:c>
      <x:c r="C683" s="2" t="str">
        <x:v>61103099</x:v>
      </x:c>
      <x:c r="D683" s="2" t="str">
        <x:v>India</x:v>
      </x:c>
      <x:c r="E683" s="2" t="n">
        <x:v>106371</x:v>
      </x:c>
      <x:c r="F683" s="2" t="n">
        <x:v>6085</x:v>
      </x:c>
      <x:c r="G683" s="2" t="str">
        <x:v>WITHIN_BAND</x:v>
      </x:c>
      <x:c r="H683" s="2" t="n">
        <x:v>1</x:v>
      </x:c>
      <x:c r="I683" s="2"/>
      <x:c r="J683" s="2"/>
      <x:c r="K683" s="2"/>
      <x:c r="L683" s="2" t="n">
        <x:f>SUM(IF('Monthly_Data'!A339=A683,IF(ISBLANK('Monthly_Data'!A339)=ISBLANK(A683),0,1),1),IF('Monthly_Data'!B339=B683,IF(ISBLANK('Monthly_Data'!B339)=ISBLANK(B683),0,1),1),IF('Monthly_Data'!C339=C683,IF(ISBLANK('Monthly_Data'!C339)=ISBLANK(C683),0,1),1),IF('Monthly_Data'!D339=D683,IF(ISBLANK('Monthly_Data'!D339)=ISBLANK(D683),0,1),1),IF('Monthly_Data'!E339=E683,IF(ISBLANK('Monthly_Data'!E339)=ISBLANK(E683),0,1),1),IF('Monthly_Data'!F339=F683,IF(ISBLANK('Monthly_Data'!F339)=ISBLANK(F683),0,1),1),IF('Monthly_Data'!G339=G683,IF(ISBLANK('Monthly_Data'!G339)=ISBLANK(G683),0,1),1),IF('Monthly_Data'!H339=H683,IF(ISBLANK('Monthly_Data'!H339)=ISBLANK(H683),0,1),1))</x:f>
        <x:v>0</x:v>
      </x:c>
    </x:row>
    <x:row r="684" ht="23" customHeight="1">
      <x:c r="A684" s="2" t="str">
        <x:v>61103099_MA_202601_IMPORT</x:v>
      </x:c>
      <x:c r="B684" s="2" t="n">
        <x:v>202601</x:v>
      </x:c>
      <x:c r="C684" s="2" t="str">
        <x:v>61103099</x:v>
      </x:c>
      <x:c r="D684" s="2" t="str">
        <x:v>Morocco</x:v>
      </x:c>
      <x:c r="E684" s="2" t="n">
        <x:v>11177</x:v>
      </x:c>
      <x:c r="F684" s="2" t="n">
        <x:v>351</x:v>
      </x:c>
      <x:c r="G684" s="2" t="str">
        <x:v>WITHIN_BAND</x:v>
      </x:c>
      <x:c r="H684" s="2" t="n">
        <x:v>1</x:v>
      </x:c>
      <x:c r="I684" s="2"/>
      <x:c r="J684" s="2"/>
      <x:c r="K684" s="2"/>
      <x:c r="L684" s="2" t="n">
        <x:f>SUM(IF('Monthly_Data'!A340=A684,IF(ISBLANK('Monthly_Data'!A340)=ISBLANK(A684),0,1),1),IF('Monthly_Data'!B340=B684,IF(ISBLANK('Monthly_Data'!B340)=ISBLANK(B684),0,1),1),IF('Monthly_Data'!C340=C684,IF(ISBLANK('Monthly_Data'!C340)=ISBLANK(C684),0,1),1),IF('Monthly_Data'!D340=D684,IF(ISBLANK('Monthly_Data'!D340)=ISBLANK(D684),0,1),1),IF('Monthly_Data'!E340=E684,IF(ISBLANK('Monthly_Data'!E340)=ISBLANK(E684),0,1),1),IF('Monthly_Data'!F340=F684,IF(ISBLANK('Monthly_Data'!F340)=ISBLANK(F684),0,1),1),IF('Monthly_Data'!G340=G684,IF(ISBLANK('Monthly_Data'!G340)=ISBLANK(G684),0,1),1),IF('Monthly_Data'!H340=H684,IF(ISBLANK('Monthly_Data'!H340)=ISBLANK(H684),0,1),1))</x:f>
        <x:v>0</x:v>
      </x:c>
    </x:row>
    <x:row r="685" ht="23" customHeight="1">
      <x:c r="A685" s="2" t="str">
        <x:v>61103099_MM_202601_IMPORT</x:v>
      </x:c>
      <x:c r="B685" s="2" t="n">
        <x:v>202601</x:v>
      </x:c>
      <x:c r="C685" s="2" t="str">
        <x:v>61103099</x:v>
      </x:c>
      <x:c r="D685" s="2" t="str">
        <x:v>Myanmar</x:v>
      </x:c>
      <x:c r="E685" s="2" t="n">
        <x:v>254662</x:v>
      </x:c>
      <x:c r="F685" s="2" t="n">
        <x:v>16809</x:v>
      </x:c>
      <x:c r="G685" s="2" t="str">
        <x:v>WITHIN_BAND</x:v>
      </x:c>
      <x:c r="H685" s="2" t="n">
        <x:v>1</x:v>
      </x:c>
      <x:c r="I685" s="2"/>
      <x:c r="J685" s="2"/>
      <x:c r="K685" s="2"/>
      <x:c r="L685" s="2" t="n">
        <x:f>SUM(IF('Monthly_Data'!A341=A685,IF(ISBLANK('Monthly_Data'!A341)=ISBLANK(A685),0,1),1),IF('Monthly_Data'!B341=B685,IF(ISBLANK('Monthly_Data'!B341)=ISBLANK(B685),0,1),1),IF('Monthly_Data'!C341=C685,IF(ISBLANK('Monthly_Data'!C341)=ISBLANK(C685),0,1),1),IF('Monthly_Data'!D341=D685,IF(ISBLANK('Monthly_Data'!D341)=ISBLANK(D685),0,1),1),IF('Monthly_Data'!E341=E685,IF(ISBLANK('Monthly_Data'!E341)=ISBLANK(E685),0,1),1),IF('Monthly_Data'!F341=F685,IF(ISBLANK('Monthly_Data'!F341)=ISBLANK(F685),0,1),1),IF('Monthly_Data'!G341=G685,IF(ISBLANK('Monthly_Data'!G341)=ISBLANK(G685),0,1),1),IF('Monthly_Data'!H341=H685,IF(ISBLANK('Monthly_Data'!H341)=ISBLANK(H685),0,1),1))</x:f>
        <x:v>0</x:v>
      </x:c>
    </x:row>
    <x:row r="686" ht="23" customHeight="1">
      <x:c r="A686" s="2" t="str">
        <x:v>61103099_PK_202601_IMPORT</x:v>
      </x:c>
      <x:c r="B686" s="2" t="n">
        <x:v>202601</x:v>
      </x:c>
      <x:c r="C686" s="2" t="str">
        <x:v>61103099</x:v>
      </x:c>
      <x:c r="D686" s="2" t="str">
        <x:v>Pakistan</x:v>
      </x:c>
      <x:c r="E686" s="2" t="n">
        <x:v>670269</x:v>
      </x:c>
      <x:c r="F686" s="2" t="n">
        <x:v>54749</x:v>
      </x:c>
      <x:c r="G686" s="2" t="str">
        <x:v>WITHIN_BAND</x:v>
      </x:c>
      <x:c r="H686" s="2" t="n">
        <x:v>1</x:v>
      </x:c>
      <x:c r="I686" s="2"/>
      <x:c r="J686" s="2"/>
      <x:c r="K686" s="2"/>
      <x:c r="L686" s="2" t="n">
        <x:f>SUM(IF('Monthly_Data'!A342=A686,IF(ISBLANK('Monthly_Data'!A342)=ISBLANK(A686),0,1),1),IF('Monthly_Data'!B342=B686,IF(ISBLANK('Monthly_Data'!B342)=ISBLANK(B686),0,1),1),IF('Monthly_Data'!C342=C686,IF(ISBLANK('Monthly_Data'!C342)=ISBLANK(C686),0,1),1),IF('Monthly_Data'!D342=D686,IF(ISBLANK('Monthly_Data'!D342)=ISBLANK(D686),0,1),1),IF('Monthly_Data'!E342=E686,IF(ISBLANK('Monthly_Data'!E342)=ISBLANK(E686),0,1),1),IF('Monthly_Data'!F342=F686,IF(ISBLANK('Monthly_Data'!F342)=ISBLANK(F686),0,1),1),IF('Monthly_Data'!G342=G686,IF(ISBLANK('Monthly_Data'!G342)=ISBLANK(G686),0,1),1),IF('Monthly_Data'!H342=H686,IF(ISBLANK('Monthly_Data'!H342)=ISBLANK(H686),0,1),1))</x:f>
        <x:v>0</x:v>
      </x:c>
    </x:row>
    <x:row r="687" ht="23" customHeight="1">
      <x:c r="A687" s="2" t="str">
        <x:v>61103099_LK_202601_IMPORT</x:v>
      </x:c>
      <x:c r="B687" s="2" t="n">
        <x:v>202601</x:v>
      </x:c>
      <x:c r="C687" s="2" t="str">
        <x:v>61103099</x:v>
      </x:c>
      <x:c r="D687" s="2" t="str">
        <x:v>Sri Lanka</x:v>
      </x:c>
      <x:c r="E687" s="2" t="n">
        <x:v>72165</x:v>
      </x:c>
      <x:c r="F687" s="2" t="n">
        <x:v>3651</x:v>
      </x:c>
      <x:c r="G687" s="2" t="str">
        <x:v>WITHIN_BAND</x:v>
      </x:c>
      <x:c r="H687" s="2" t="n">
        <x:v>1</x:v>
      </x:c>
      <x:c r="I687" s="2"/>
      <x:c r="J687" s="2"/>
      <x:c r="K687" s="2"/>
      <x:c r="L687" s="2" t="n">
        <x:f>SUM(IF('Monthly_Data'!A343=A687,IF(ISBLANK('Monthly_Data'!A343)=ISBLANK(A687),0,1),1),IF('Monthly_Data'!B343=B687,IF(ISBLANK('Monthly_Data'!B343)=ISBLANK(B687),0,1),1),IF('Monthly_Data'!C343=C687,IF(ISBLANK('Monthly_Data'!C343)=ISBLANK(C687),0,1),1),IF('Monthly_Data'!D343=D687,IF(ISBLANK('Monthly_Data'!D343)=ISBLANK(D687),0,1),1),IF('Monthly_Data'!E343=E687,IF(ISBLANK('Monthly_Data'!E343)=ISBLANK(E687),0,1),1),IF('Monthly_Data'!F343=F687,IF(ISBLANK('Monthly_Data'!F343)=ISBLANK(F687),0,1),1),IF('Monthly_Data'!G343=G687,IF(ISBLANK('Monthly_Data'!G343)=ISBLANK(G687),0,1),1),IF('Monthly_Data'!H343=H687,IF(ISBLANK('Monthly_Data'!H343)=ISBLANK(H687),0,1),1))</x:f>
        <x:v>0</x:v>
      </x:c>
    </x:row>
    <x:row r="688" ht="23" customHeight="1">
      <x:c r="A688" s="2" t="str">
        <x:v>61103099_TR_202601_IMPORT</x:v>
      </x:c>
      <x:c r="B688" s="2" t="n">
        <x:v>202601</x:v>
      </x:c>
      <x:c r="C688" s="2" t="str">
        <x:v>61103099</x:v>
      </x:c>
      <x:c r="D688" s="2" t="str">
        <x:v>Turkey</x:v>
      </x:c>
      <x:c r="E688" s="2" t="n">
        <x:v>5104824</x:v>
      </x:c>
      <x:c r="F688" s="2" t="n">
        <x:v>624406</x:v>
      </x:c>
      <x:c r="G688" s="2" t="str">
        <x:v>WITHIN_BAND</x:v>
      </x:c>
      <x:c r="H688" s="2" t="n">
        <x:v>1</x:v>
      </x:c>
      <x:c r="I688" s="2"/>
      <x:c r="J688" s="2"/>
      <x:c r="K688" s="2"/>
      <x:c r="L688" s="2" t="n">
        <x:f>SUM(IF('Monthly_Data'!A344=A688,IF(ISBLANK('Monthly_Data'!A344)=ISBLANK(A688),0,1),1),IF('Monthly_Data'!B344=B688,IF(ISBLANK('Monthly_Data'!B344)=ISBLANK(B688),0,1),1),IF('Monthly_Data'!C344=C688,IF(ISBLANK('Monthly_Data'!C344)=ISBLANK(C688),0,1),1),IF('Monthly_Data'!D344=D688,IF(ISBLANK('Monthly_Data'!D344)=ISBLANK(D688),0,1),1),IF('Monthly_Data'!E344=E688,IF(ISBLANK('Monthly_Data'!E344)=ISBLANK(E688),0,1),1),IF('Monthly_Data'!F344=F688,IF(ISBLANK('Monthly_Data'!F344)=ISBLANK(F688),0,1),1),IF('Monthly_Data'!G344=G688,IF(ISBLANK('Monthly_Data'!G344)=ISBLANK(G688),0,1),1),IF('Monthly_Data'!H344=H688,IF(ISBLANK('Monthly_Data'!H344)=ISBLANK(H688),0,1),1))</x:f>
        <x:v>0</x:v>
      </x:c>
    </x:row>
    <x:row r="689" ht="23" customHeight="1">
      <x:c r="A689" s="2" t="str">
        <x:v>61103099_VN_202601_IMPORT</x:v>
      </x:c>
      <x:c r="B689" s="2" t="n">
        <x:v>202601</x:v>
      </x:c>
      <x:c r="C689" s="2" t="str">
        <x:v>61103099</x:v>
      </x:c>
      <x:c r="D689" s="2" t="str">
        <x:v>Vietnam</x:v>
      </x:c>
      <x:c r="E689" s="2" t="n">
        <x:v>1109154</x:v>
      </x:c>
      <x:c r="F689" s="2" t="n">
        <x:v>39241</x:v>
      </x:c>
      <x:c r="G689" s="2" t="str">
        <x:v>WITHIN_BAND</x:v>
      </x:c>
      <x:c r="H689" s="2" t="n">
        <x:v>1</x:v>
      </x:c>
      <x:c r="I689" s="2"/>
      <x:c r="J689" s="2"/>
      <x:c r="K689" s="2"/>
      <x:c r="L689" s="2" t="n">
        <x:f>SUM(IF('Monthly_Data'!A345=A689,IF(ISBLANK('Monthly_Data'!A345)=ISBLANK(A689),0,1),1),IF('Monthly_Data'!B345=B689,IF(ISBLANK('Monthly_Data'!B345)=ISBLANK(B689),0,1),1),IF('Monthly_Data'!C345=C689,IF(ISBLANK('Monthly_Data'!C345)=ISBLANK(C689),0,1),1),IF('Monthly_Data'!D345=D689,IF(ISBLANK('Monthly_Data'!D345)=ISBLANK(D689),0,1),1),IF('Monthly_Data'!E345=E689,IF(ISBLANK('Monthly_Data'!E345)=ISBLANK(E689),0,1),1),IF('Monthly_Data'!F345=F689,IF(ISBLANK('Monthly_Data'!F345)=ISBLANK(F689),0,1),1),IF('Monthly_Data'!G345=G689,IF(ISBLANK('Monthly_Data'!G345)=ISBLANK(G689),0,1),1),IF('Monthly_Data'!H345=H689,IF(ISBLANK('Monthly_Data'!H345)=ISBLANK(H689),0,1),1))</x:f>
        <x:v>0</x:v>
      </x:c>
    </x:row>
    <x:row r="690" ht="23" customHeight="1">
      <x:c r="A690" s="2" t="str">
        <x:v>61103099_WORLD_202601_IMPORT</x:v>
      </x:c>
      <x:c r="B690" s="2" t="n">
        <x:v>202601</x:v>
      </x:c>
      <x:c r="C690" s="2" t="str">
        <x:v>61103099</x:v>
      </x:c>
      <x:c r="D690" s="2" t="str">
        <x:v>World</x:v>
      </x:c>
      <x:c r="E690" s="2" t="n">
        <x:v>50038211</x:v>
      </x:c>
      <x:c r="F690" s="2" t="n">
        <x:v>3251392</x:v>
      </x:c>
      <x:c r="G690" s="2" t="str">
        <x:v>WITHIN_BAND</x:v>
      </x:c>
      <x:c r="H690" s="2" t="n">
        <x:v>1</x:v>
      </x:c>
      <x:c r="I690" s="2"/>
      <x:c r="J690" s="2"/>
      <x:c r="K690" s="2"/>
      <x:c r="L690" s="2" t="n">
        <x:f>SUM(IF('Monthly_Data'!A346=A690,IF(ISBLANK('Monthly_Data'!A346)=ISBLANK(A690),0,1),1),IF('Monthly_Data'!B346=B690,IF(ISBLANK('Monthly_Data'!B346)=ISBLANK(B690),0,1),1),IF('Monthly_Data'!C346=C690,IF(ISBLANK('Monthly_Data'!C346)=ISBLANK(C690),0,1),1),IF('Monthly_Data'!D346=D690,IF(ISBLANK('Monthly_Data'!D346)=ISBLANK(D690),0,1),1),IF('Monthly_Data'!E346=E690,IF(ISBLANK('Monthly_Data'!E346)=ISBLANK(E690),0,1),1),IF('Monthly_Data'!F346=F690,IF(ISBLANK('Monthly_Data'!F346)=ISBLANK(F690),0,1),1),IF('Monthly_Data'!G346=G690,IF(ISBLANK('Monthly_Data'!G346)=ISBLANK(G690),0,1),1),IF('Monthly_Data'!H346=H690,IF(ISBLANK('Monthly_Data'!H346)=ISBLANK(H690),0,1),1))</x:f>
        <x:v>0</x:v>
      </x:c>
    </x:row>
    <x:row r="691" ht="23" customHeight="1">
      <x:c r="A691" s="2" t="str">
        <x:v>61103099_BD_202602_IMPORT</x:v>
      </x:c>
      <x:c r="B691" s="2" t="n">
        <x:v>202602</x:v>
      </x:c>
      <x:c r="C691" s="2" t="str">
        <x:v>61103099</x:v>
      </x:c>
      <x:c r="D691" s="2" t="str">
        <x:v>Bangladesh</x:v>
      </x:c>
      <x:c r="E691" s="2" t="n">
        <x:v>6993782</x:v>
      </x:c>
      <x:c r="F691" s="2" t="n">
        <x:v>582981</x:v>
      </x:c>
      <x:c r="G691" s="2" t="str">
        <x:v>WITHIN_BAND</x:v>
      </x:c>
      <x:c r="H691" s="2" t="n">
        <x:v>1</x:v>
      </x:c>
      <x:c r="I691" s="2"/>
      <x:c r="J691" s="2"/>
      <x:c r="K691" s="2"/>
      <x:c r="L691" s="2" t="n">
        <x:f>SUM(IF('Monthly_Data'!A347=A691,IF(ISBLANK('Monthly_Data'!A347)=ISBLANK(A691),0,1),1),IF('Monthly_Data'!B347=B691,IF(ISBLANK('Monthly_Data'!B347)=ISBLANK(B691),0,1),1),IF('Monthly_Data'!C347=C691,IF(ISBLANK('Monthly_Data'!C347)=ISBLANK(C691),0,1),1),IF('Monthly_Data'!D347=D691,IF(ISBLANK('Monthly_Data'!D347)=ISBLANK(D691),0,1),1),IF('Monthly_Data'!E347=E691,IF(ISBLANK('Monthly_Data'!E347)=ISBLANK(E691),0,1),1),IF('Monthly_Data'!F347=F691,IF(ISBLANK('Monthly_Data'!F347)=ISBLANK(F691),0,1),1),IF('Monthly_Data'!G347=G691,IF(ISBLANK('Monthly_Data'!G347)=ISBLANK(G691),0,1),1),IF('Monthly_Data'!H347=H691,IF(ISBLANK('Monthly_Data'!H347)=ISBLANK(H691),0,1),1))</x:f>
        <x:v>0</x:v>
      </x:c>
    </x:row>
    <x:row r="692" ht="23" customHeight="1">
      <x:c r="A692" s="2" t="str">
        <x:v>61103099_KH_202602_IMPORT</x:v>
      </x:c>
      <x:c r="B692" s="2" t="n">
        <x:v>202602</x:v>
      </x:c>
      <x:c r="C692" s="2" t="str">
        <x:v>61103099</x:v>
      </x:c>
      <x:c r="D692" s="2" t="str">
        <x:v>Cambodia</x:v>
      </x:c>
      <x:c r="E692" s="2" t="n">
        <x:v>3194700</x:v>
      </x:c>
      <x:c r="F692" s="2" t="n">
        <x:v>257696</x:v>
      </x:c>
      <x:c r="G692" s="2" t="str">
        <x:v>WITHIN_BAND</x:v>
      </x:c>
      <x:c r="H692" s="2" t="n">
        <x:v>1</x:v>
      </x:c>
      <x:c r="I692" s="2"/>
      <x:c r="J692" s="2"/>
      <x:c r="K692" s="2"/>
      <x:c r="L692" s="2" t="n">
        <x:f>SUM(IF('Monthly_Data'!A348=A692,IF(ISBLANK('Monthly_Data'!A348)=ISBLANK(A692),0,1),1),IF('Monthly_Data'!B348=B692,IF(ISBLANK('Monthly_Data'!B348)=ISBLANK(B692),0,1),1),IF('Monthly_Data'!C348=C692,IF(ISBLANK('Monthly_Data'!C348)=ISBLANK(C692),0,1),1),IF('Monthly_Data'!D348=D692,IF(ISBLANK('Monthly_Data'!D348)=ISBLANK(D692),0,1),1),IF('Monthly_Data'!E348=E692,IF(ISBLANK('Monthly_Data'!E348)=ISBLANK(E692),0,1),1),IF('Monthly_Data'!F348=F692,IF(ISBLANK('Monthly_Data'!F348)=ISBLANK(F692),0,1),1),IF('Monthly_Data'!G348=G692,IF(ISBLANK('Monthly_Data'!G348)=ISBLANK(G692),0,1),1),IF('Monthly_Data'!H348=H692,IF(ISBLANK('Monthly_Data'!H348)=ISBLANK(H692),0,1),1))</x:f>
        <x:v>0</x:v>
      </x:c>
    </x:row>
    <x:row r="693" ht="23" customHeight="1">
      <x:c r="A693" s="2" t="str">
        <x:v>61103099_CN_202602_IMPORT</x:v>
      </x:c>
      <x:c r="B693" s="2" t="n">
        <x:v>202602</x:v>
      </x:c>
      <x:c r="C693" s="2" t="str">
        <x:v>61103099</x:v>
      </x:c>
      <x:c r="D693" s="2" t="str">
        <x:v>China</x:v>
      </x:c>
      <x:c r="E693" s="2" t="n">
        <x:v>8197224</x:v>
      </x:c>
      <x:c r="F693" s="2" t="n">
        <x:v>475930</x:v>
      </x:c>
      <x:c r="G693" s="2" t="str">
        <x:v>WITHIN_BAND</x:v>
      </x:c>
      <x:c r="H693" s="2" t="n">
        <x:v>1</x:v>
      </x:c>
      <x:c r="I693" s="2"/>
      <x:c r="J693" s="2"/>
      <x:c r="K693" s="2"/>
      <x:c r="L693" s="2" t="n">
        <x:f>SUM(IF('Monthly_Data'!A349=A693,IF(ISBLANK('Monthly_Data'!A349)=ISBLANK(A693),0,1),1),IF('Monthly_Data'!B349=B693,IF(ISBLANK('Monthly_Data'!B349)=ISBLANK(B693),0,1),1),IF('Monthly_Data'!C349=C693,IF(ISBLANK('Monthly_Data'!C349)=ISBLANK(C693),0,1),1),IF('Monthly_Data'!D349=D693,IF(ISBLANK('Monthly_Data'!D349)=ISBLANK(D693),0,1),1),IF('Monthly_Data'!E349=E693,IF(ISBLANK('Monthly_Data'!E349)=ISBLANK(E693),0,1),1),IF('Monthly_Data'!F349=F693,IF(ISBLANK('Monthly_Data'!F349)=ISBLANK(F693),0,1),1),IF('Monthly_Data'!G349=G693,IF(ISBLANK('Monthly_Data'!G349)=ISBLANK(G693),0,1),1),IF('Monthly_Data'!H349=H693,IF(ISBLANK('Monthly_Data'!H349)=ISBLANK(H693),0,1),1))</x:f>
        <x:v>0</x:v>
      </x:c>
    </x:row>
    <x:row r="694" ht="23" customHeight="1">
      <x:c r="A694" s="2" t="str">
        <x:v>61103099_IN_202602_IMPORT</x:v>
      </x:c>
      <x:c r="B694" s="2" t="n">
        <x:v>202602</x:v>
      </x:c>
      <x:c r="C694" s="2" t="str">
        <x:v>61103099</x:v>
      </x:c>
      <x:c r="D694" s="2" t="str">
        <x:v>India</x:v>
      </x:c>
      <x:c r="E694" s="2" t="n">
        <x:v>72298</x:v>
      </x:c>
      <x:c r="F694" s="2" t="n">
        <x:v>3662</x:v>
      </x:c>
      <x:c r="G694" s="2" t="str">
        <x:v>WITHIN_BAND</x:v>
      </x:c>
      <x:c r="H694" s="2" t="n">
        <x:v>1</x:v>
      </x:c>
      <x:c r="I694" s="2"/>
      <x:c r="J694" s="2"/>
      <x:c r="K694" s="2"/>
      <x:c r="L694" s="2" t="n">
        <x:f>SUM(IF('Monthly_Data'!A350=A694,IF(ISBLANK('Monthly_Data'!A350)=ISBLANK(A694),0,1),1),IF('Monthly_Data'!B350=B694,IF(ISBLANK('Monthly_Data'!B350)=ISBLANK(B694),0,1),1),IF('Monthly_Data'!C350=C694,IF(ISBLANK('Monthly_Data'!C350)=ISBLANK(C694),0,1),1),IF('Monthly_Data'!D350=D694,IF(ISBLANK('Monthly_Data'!D350)=ISBLANK(D694),0,1),1),IF('Monthly_Data'!E350=E694,IF(ISBLANK('Monthly_Data'!E350)=ISBLANK(E694),0,1),1),IF('Monthly_Data'!F350=F694,IF(ISBLANK('Monthly_Data'!F350)=ISBLANK(F694),0,1),1),IF('Monthly_Data'!G350=G694,IF(ISBLANK('Monthly_Data'!G350)=ISBLANK(G694),0,1),1),IF('Monthly_Data'!H350=H694,IF(ISBLANK('Monthly_Data'!H350)=ISBLANK(H694),0,1),1))</x:f>
        <x:v>0</x:v>
      </x:c>
    </x:row>
    <x:row r="695" ht="23" customHeight="1">
      <x:c r="A695" s="2" t="str">
        <x:v>61103099_MA_202602_IMPORT</x:v>
      </x:c>
      <x:c r="B695" s="2" t="n">
        <x:v>202602</x:v>
      </x:c>
      <x:c r="C695" s="2" t="str">
        <x:v>61103099</x:v>
      </x:c>
      <x:c r="D695" s="2" t="str">
        <x:v>Morocco</x:v>
      </x:c>
      <x:c r="E695" s="2" t="n">
        <x:v>1014</x:v>
      </x:c>
      <x:c r="F695" s="2" t="n">
        <x:v>42</x:v>
      </x:c>
      <x:c r="G695" s="2" t="str">
        <x:v>WITHIN_BAND</x:v>
      </x:c>
      <x:c r="H695" s="2" t="n">
        <x:v>1</x:v>
      </x:c>
      <x:c r="I695" s="2"/>
      <x:c r="J695" s="2"/>
      <x:c r="K695" s="2"/>
      <x:c r="L695" s="2" t="n">
        <x:f>SUM(IF('Monthly_Data'!A351=A695,IF(ISBLANK('Monthly_Data'!A351)=ISBLANK(A695),0,1),1),IF('Monthly_Data'!B351=B695,IF(ISBLANK('Monthly_Data'!B351)=ISBLANK(B695),0,1),1),IF('Monthly_Data'!C351=C695,IF(ISBLANK('Monthly_Data'!C351)=ISBLANK(C695),0,1),1),IF('Monthly_Data'!D351=D695,IF(ISBLANK('Monthly_Data'!D351)=ISBLANK(D695),0,1),1),IF('Monthly_Data'!E351=E695,IF(ISBLANK('Monthly_Data'!E351)=ISBLANK(E695),0,1),1),IF('Monthly_Data'!F351=F695,IF(ISBLANK('Monthly_Data'!F351)=ISBLANK(F695),0,1),1),IF('Monthly_Data'!G351=G695,IF(ISBLANK('Monthly_Data'!G351)=ISBLANK(G695),0,1),1),IF('Monthly_Data'!H351=H695,IF(ISBLANK('Monthly_Data'!H351)=ISBLANK(H695),0,1),1))</x:f>
        <x:v>0</x:v>
      </x:c>
    </x:row>
    <x:row r="696" ht="23" customHeight="1">
      <x:c r="A696" s="2" t="str">
        <x:v>61103099_MM_202602_IMPORT</x:v>
      </x:c>
      <x:c r="B696" s="2" t="n">
        <x:v>202602</x:v>
      </x:c>
      <x:c r="C696" s="2" t="str">
        <x:v>61103099</x:v>
      </x:c>
      <x:c r="D696" s="2" t="str">
        <x:v>Myanmar</x:v>
      </x:c>
      <x:c r="E696" s="2" t="n">
        <x:v>166388</x:v>
      </x:c>
      <x:c r="F696" s="2" t="n">
        <x:v>13634</x:v>
      </x:c>
      <x:c r="G696" s="2" t="str">
        <x:v>WITHIN_BAND</x:v>
      </x:c>
      <x:c r="H696" s="2" t="n">
        <x:v>1</x:v>
      </x:c>
      <x:c r="I696" s="2"/>
      <x:c r="J696" s="2"/>
      <x:c r="K696" s="2"/>
      <x:c r="L696" s="2" t="n">
        <x:f>SUM(IF('Monthly_Data'!A352=A696,IF(ISBLANK('Monthly_Data'!A352)=ISBLANK(A696),0,1),1),IF('Monthly_Data'!B352=B696,IF(ISBLANK('Monthly_Data'!B352)=ISBLANK(B696),0,1),1),IF('Monthly_Data'!C352=C696,IF(ISBLANK('Monthly_Data'!C352)=ISBLANK(C696),0,1),1),IF('Monthly_Data'!D352=D696,IF(ISBLANK('Monthly_Data'!D352)=ISBLANK(D696),0,1),1),IF('Monthly_Data'!E352=E696,IF(ISBLANK('Monthly_Data'!E352)=ISBLANK(E696),0,1),1),IF('Monthly_Data'!F352=F696,IF(ISBLANK('Monthly_Data'!F352)=ISBLANK(F696),0,1),1),IF('Monthly_Data'!G352=G696,IF(ISBLANK('Monthly_Data'!G352)=ISBLANK(G696),0,1),1),IF('Monthly_Data'!H352=H696,IF(ISBLANK('Monthly_Data'!H352)=ISBLANK(H696),0,1),1))</x:f>
        <x:v>0</x:v>
      </x:c>
    </x:row>
    <x:row r="697" ht="23" customHeight="1">
      <x:c r="A697" s="2" t="str">
        <x:v>61103099_PK_202602_IMPORT</x:v>
      </x:c>
      <x:c r="B697" s="2" t="n">
        <x:v>202602</x:v>
      </x:c>
      <x:c r="C697" s="2" t="str">
        <x:v>61103099</x:v>
      </x:c>
      <x:c r="D697" s="2" t="str">
        <x:v>Pakistan</x:v>
      </x:c>
      <x:c r="E697" s="2" t="n">
        <x:v>566497</x:v>
      </x:c>
      <x:c r="F697" s="2" t="n">
        <x:v>39832</x:v>
      </x:c>
      <x:c r="G697" s="2" t="str">
        <x:v>WITHIN_BAND</x:v>
      </x:c>
      <x:c r="H697" s="2" t="n">
        <x:v>1</x:v>
      </x:c>
      <x:c r="I697" s="2"/>
      <x:c r="J697" s="2"/>
      <x:c r="K697" s="2"/>
      <x:c r="L697" s="2" t="n">
        <x:f>SUM(IF('Monthly_Data'!A353=A697,IF(ISBLANK('Monthly_Data'!A353)=ISBLANK(A697),0,1),1),IF('Monthly_Data'!B353=B697,IF(ISBLANK('Monthly_Data'!B353)=ISBLANK(B697),0,1),1),IF('Monthly_Data'!C353=C697,IF(ISBLANK('Monthly_Data'!C353)=ISBLANK(C697),0,1),1),IF('Monthly_Data'!D353=D697,IF(ISBLANK('Monthly_Data'!D353)=ISBLANK(D697),0,1),1),IF('Monthly_Data'!E353=E697,IF(ISBLANK('Monthly_Data'!E353)=ISBLANK(E697),0,1),1),IF('Monthly_Data'!F353=F697,IF(ISBLANK('Monthly_Data'!F353)=ISBLANK(F697),0,1),1),IF('Monthly_Data'!G353=G697,IF(ISBLANK('Monthly_Data'!G353)=ISBLANK(G697),0,1),1),IF('Monthly_Data'!H353=H697,IF(ISBLANK('Monthly_Data'!H353)=ISBLANK(H697),0,1),1))</x:f>
        <x:v>0</x:v>
      </x:c>
    </x:row>
    <x:row r="698" ht="23" customHeight="1">
      <x:c r="A698" s="2" t="str">
        <x:v>61103099_LK_202602_IMPORT</x:v>
      </x:c>
      <x:c r="B698" s="2" t="n">
        <x:v>202602</x:v>
      </x:c>
      <x:c r="C698" s="2" t="str">
        <x:v>61103099</x:v>
      </x:c>
      <x:c r="D698" s="2" t="str">
        <x:v>Sri Lanka</x:v>
      </x:c>
      <x:c r="E698" s="2" t="n">
        <x:v>91056</x:v>
      </x:c>
      <x:c r="F698" s="2" t="n">
        <x:v>4297</x:v>
      </x:c>
      <x:c r="G698" s="2" t="str">
        <x:v>WITHIN_BAND</x:v>
      </x:c>
      <x:c r="H698" s="2" t="n">
        <x:v>1</x:v>
      </x:c>
      <x:c r="I698" s="2"/>
      <x:c r="J698" s="2"/>
      <x:c r="K698" s="2"/>
      <x:c r="L698" s="2" t="n">
        <x:f>SUM(IF('Monthly_Data'!A354=A698,IF(ISBLANK('Monthly_Data'!A354)=ISBLANK(A698),0,1),1),IF('Monthly_Data'!B354=B698,IF(ISBLANK('Monthly_Data'!B354)=ISBLANK(B698),0,1),1),IF('Monthly_Data'!C354=C698,IF(ISBLANK('Monthly_Data'!C354)=ISBLANK(C698),0,1),1),IF('Monthly_Data'!D354=D698,IF(ISBLANK('Monthly_Data'!D354)=ISBLANK(D698),0,1),1),IF('Monthly_Data'!E354=E698,IF(ISBLANK('Monthly_Data'!E354)=ISBLANK(E698),0,1),1),IF('Monthly_Data'!F354=F698,IF(ISBLANK('Monthly_Data'!F354)=ISBLANK(F698),0,1),1),IF('Monthly_Data'!G354=G698,IF(ISBLANK('Monthly_Data'!G354)=ISBLANK(G698),0,1),1),IF('Monthly_Data'!H354=H698,IF(ISBLANK('Monthly_Data'!H354)=ISBLANK(H698),0,1),1))</x:f>
        <x:v>0</x:v>
      </x:c>
    </x:row>
    <x:row r="699" ht="23" customHeight="1">
      <x:c r="A699" s="2" t="str">
        <x:v>61103099_TR_202602_IMPORT</x:v>
      </x:c>
      <x:c r="B699" s="2" t="n">
        <x:v>202602</x:v>
      </x:c>
      <x:c r="C699" s="2" t="str">
        <x:v>61103099</x:v>
      </x:c>
      <x:c r="D699" s="2" t="str">
        <x:v>Turkey</x:v>
      </x:c>
      <x:c r="E699" s="2" t="n">
        <x:v>2293378</x:v>
      </x:c>
      <x:c r="F699" s="2" t="n">
        <x:v>497945</x:v>
      </x:c>
      <x:c r="G699" s="2" t="str">
        <x:v>REVIEW</x:v>
      </x:c>
      <x:c r="H699" s="2" t="n">
        <x:v>1</x:v>
      </x:c>
      <x:c r="I699" s="2"/>
      <x:c r="J699" s="2"/>
      <x:c r="K699" s="2"/>
      <x:c r="L699" s="2" t="n">
        <x:f>SUM(IF('Monthly_Data'!A355=A699,IF(ISBLANK('Monthly_Data'!A355)=ISBLANK(A699),0,1),1),IF('Monthly_Data'!B355=B699,IF(ISBLANK('Monthly_Data'!B355)=ISBLANK(B699),0,1),1),IF('Monthly_Data'!C355=C699,IF(ISBLANK('Monthly_Data'!C355)=ISBLANK(C699),0,1),1),IF('Monthly_Data'!D355=D699,IF(ISBLANK('Monthly_Data'!D355)=ISBLANK(D699),0,1),1),IF('Monthly_Data'!E355=E699,IF(ISBLANK('Monthly_Data'!E355)=ISBLANK(E699),0,1),1),IF('Monthly_Data'!F355=F699,IF(ISBLANK('Monthly_Data'!F355)=ISBLANK(F699),0,1),1),IF('Monthly_Data'!G355=G699,IF(ISBLANK('Monthly_Data'!G355)=ISBLANK(G699),0,1),1),IF('Monthly_Data'!H355=H699,IF(ISBLANK('Monthly_Data'!H355)=ISBLANK(H699),0,1),1))</x:f>
        <x:v>0</x:v>
      </x:c>
    </x:row>
    <x:row r="700" ht="23" customHeight="1">
      <x:c r="A700" s="2" t="str">
        <x:v>61103099_VN_202602_IMPORT</x:v>
      </x:c>
      <x:c r="B700" s="2" t="n">
        <x:v>202602</x:v>
      </x:c>
      <x:c r="C700" s="2" t="str">
        <x:v>61103099</x:v>
      </x:c>
      <x:c r="D700" s="2" t="str">
        <x:v>Vietnam</x:v>
      </x:c>
      <x:c r="E700" s="2" t="n">
        <x:v>736085</x:v>
      </x:c>
      <x:c r="F700" s="2" t="n">
        <x:v>127878</x:v>
      </x:c>
      <x:c r="G700" s="2" t="str">
        <x:v>REVIEW</x:v>
      </x:c>
      <x:c r="H700" s="2" t="n">
        <x:v>1</x:v>
      </x:c>
      <x:c r="I700" s="2"/>
      <x:c r="J700" s="2"/>
      <x:c r="K700" s="2"/>
      <x:c r="L700" s="2" t="n">
        <x:f>SUM(IF('Monthly_Data'!A356=A700,IF(ISBLANK('Monthly_Data'!A356)=ISBLANK(A700),0,1),1),IF('Monthly_Data'!B356=B700,IF(ISBLANK('Monthly_Data'!B356)=ISBLANK(B700),0,1),1),IF('Monthly_Data'!C356=C700,IF(ISBLANK('Monthly_Data'!C356)=ISBLANK(C700),0,1),1),IF('Monthly_Data'!D356=D700,IF(ISBLANK('Monthly_Data'!D356)=ISBLANK(D700),0,1),1),IF('Monthly_Data'!E356=E700,IF(ISBLANK('Monthly_Data'!E356)=ISBLANK(E700),0,1),1),IF('Monthly_Data'!F356=F700,IF(ISBLANK('Monthly_Data'!F356)=ISBLANK(F700),0,1),1),IF('Monthly_Data'!G356=G700,IF(ISBLANK('Monthly_Data'!G356)=ISBLANK(G700),0,1),1),IF('Monthly_Data'!H356=H700,IF(ISBLANK('Monthly_Data'!H356)=ISBLANK(H700),0,1),1))</x:f>
        <x:v>0</x:v>
      </x:c>
    </x:row>
    <x:row r="701" ht="23" customHeight="1">
      <x:c r="A701" s="2" t="str">
        <x:v>61103099_WORLD_202602_IMPORT</x:v>
      </x:c>
      <x:c r="B701" s="2" t="n">
        <x:v>202602</x:v>
      </x:c>
      <x:c r="C701" s="2" t="str">
        <x:v>61103099</x:v>
      </x:c>
      <x:c r="D701" s="2" t="str">
        <x:v>World</x:v>
      </x:c>
      <x:c r="E701" s="2" t="n">
        <x:v>32530004</x:v>
      </x:c>
      <x:c r="F701" s="2" t="n">
        <x:v>2404908</x:v>
      </x:c>
      <x:c r="G701" s="2" t="str">
        <x:v>WITHIN_BAND</x:v>
      </x:c>
      <x:c r="H701" s="2" t="n">
        <x:v>1</x:v>
      </x:c>
      <x:c r="I701" s="2"/>
      <x:c r="J701" s="2"/>
      <x:c r="K701" s="2"/>
      <x:c r="L701" s="2" t="n">
        <x:f>SUM(IF('Monthly_Data'!A357=A701,IF(ISBLANK('Monthly_Data'!A357)=ISBLANK(A701),0,1),1),IF('Monthly_Data'!B357=B701,IF(ISBLANK('Monthly_Data'!B357)=ISBLANK(B701),0,1),1),IF('Monthly_Data'!C357=C701,IF(ISBLANK('Monthly_Data'!C357)=ISBLANK(C701),0,1),1),IF('Monthly_Data'!D357=D701,IF(ISBLANK('Monthly_Data'!D357)=ISBLANK(D701),0,1),1),IF('Monthly_Data'!E357=E701,IF(ISBLANK('Monthly_Data'!E357)=ISBLANK(E701),0,1),1),IF('Monthly_Data'!F357=F701,IF(ISBLANK('Monthly_Data'!F357)=ISBLANK(F701),0,1),1),IF('Monthly_Data'!G357=G701,IF(ISBLANK('Monthly_Data'!G357)=ISBLANK(G701),0,1),1),IF('Monthly_Data'!H357=H701,IF(ISBLANK('Monthly_Data'!H357)=ISBLANK(H701),0,1),1))</x:f>
        <x:v>0</x:v>
      </x:c>
    </x:row>
    <x:row r="702" ht="23" customHeight="1">
      <x:c r="A702" s="2" t="str">
        <x:v>61103099_BD_202603_IMPORT</x:v>
      </x:c>
      <x:c r="B702" s="2" t="n">
        <x:v>202603</x:v>
      </x:c>
      <x:c r="C702" s="2" t="str">
        <x:v>61103099</x:v>
      </x:c>
      <x:c r="D702" s="2" t="str">
        <x:v>Bangladesh</x:v>
      </x:c>
      <x:c r="E702" s="2" t="n">
        <x:v>4999375</x:v>
      </x:c>
      <x:c r="F702" s="2" t="n">
        <x:v>400259</x:v>
      </x:c>
      <x:c r="G702" s="2" t="str">
        <x:v>WITHIN_BAND</x:v>
      </x:c>
      <x:c r="H702" s="2" t="n">
        <x:v>1</x:v>
      </x:c>
      <x:c r="I702" s="2"/>
      <x:c r="J702" s="2"/>
      <x:c r="K702" s="2"/>
      <x:c r="L702" s="2" t="n">
        <x:f>SUM(IF('Monthly_Data'!A358=A702,IF(ISBLANK('Monthly_Data'!A358)=ISBLANK(A702),0,1),1),IF('Monthly_Data'!B358=B702,IF(ISBLANK('Monthly_Data'!B358)=ISBLANK(B702),0,1),1),IF('Monthly_Data'!C358=C702,IF(ISBLANK('Monthly_Data'!C358)=ISBLANK(C702),0,1),1),IF('Monthly_Data'!D358=D702,IF(ISBLANK('Monthly_Data'!D358)=ISBLANK(D702),0,1),1),IF('Monthly_Data'!E358=E702,IF(ISBLANK('Monthly_Data'!E358)=ISBLANK(E702),0,1),1),IF('Monthly_Data'!F358=F702,IF(ISBLANK('Monthly_Data'!F358)=ISBLANK(F702),0,1),1),IF('Monthly_Data'!G358=G702,IF(ISBLANK('Monthly_Data'!G358)=ISBLANK(G702),0,1),1),IF('Monthly_Data'!H358=H702,IF(ISBLANK('Monthly_Data'!H358)=ISBLANK(H702),0,1),1))</x:f>
        <x:v>0</x:v>
      </x:c>
    </x:row>
    <x:row r="703" ht="23" customHeight="1">
      <x:c r="A703" s="2" t="str">
        <x:v>61103099_KH_202603_IMPORT</x:v>
      </x:c>
      <x:c r="B703" s="2" t="n">
        <x:v>202603</x:v>
      </x:c>
      <x:c r="C703" s="2" t="str">
        <x:v>61103099</x:v>
      </x:c>
      <x:c r="D703" s="2" t="str">
        <x:v>Cambodia</x:v>
      </x:c>
      <x:c r="E703" s="2" t="n">
        <x:v>3454738</x:v>
      </x:c>
      <x:c r="F703" s="2" t="n">
        <x:v>373688</x:v>
      </x:c>
      <x:c r="G703" s="2" t="str">
        <x:v>WITHIN_BAND</x:v>
      </x:c>
      <x:c r="H703" s="2" t="n">
        <x:v>1</x:v>
      </x:c>
      <x:c r="I703" s="2"/>
      <x:c r="J703" s="2"/>
      <x:c r="K703" s="2"/>
      <x:c r="L703" s="2" t="n">
        <x:f>SUM(IF('Monthly_Data'!A359=A703,IF(ISBLANK('Monthly_Data'!A359)=ISBLANK(A703),0,1),1),IF('Monthly_Data'!B359=B703,IF(ISBLANK('Monthly_Data'!B359)=ISBLANK(B703),0,1),1),IF('Monthly_Data'!C359=C703,IF(ISBLANK('Monthly_Data'!C359)=ISBLANK(C703),0,1),1),IF('Monthly_Data'!D359=D703,IF(ISBLANK('Monthly_Data'!D359)=ISBLANK(D703),0,1),1),IF('Monthly_Data'!E359=E703,IF(ISBLANK('Monthly_Data'!E359)=ISBLANK(E703),0,1),1),IF('Monthly_Data'!F359=F703,IF(ISBLANK('Monthly_Data'!F359)=ISBLANK(F703),0,1),1),IF('Monthly_Data'!G359=G703,IF(ISBLANK('Monthly_Data'!G359)=ISBLANK(G703),0,1),1),IF('Monthly_Data'!H359=H703,IF(ISBLANK('Monthly_Data'!H359)=ISBLANK(H703),0,1),1))</x:f>
        <x:v>0</x:v>
      </x:c>
    </x:row>
    <x:row r="704" ht="23" customHeight="1">
      <x:c r="A704" s="2" t="str">
        <x:v>61103099_CN_202603_IMPORT</x:v>
      </x:c>
      <x:c r="B704" s="2" t="n">
        <x:v>202603</x:v>
      </x:c>
      <x:c r="C704" s="2" t="str">
        <x:v>61103099</x:v>
      </x:c>
      <x:c r="D704" s="2" t="str">
        <x:v>China</x:v>
      </x:c>
      <x:c r="E704" s="2" t="n">
        <x:v>5320757</x:v>
      </x:c>
      <x:c r="F704" s="2" t="n">
        <x:v>304066</x:v>
      </x:c>
      <x:c r="G704" s="2" t="str">
        <x:v>WITHIN_BAND</x:v>
      </x:c>
      <x:c r="H704" s="2" t="n">
        <x:v>1</x:v>
      </x:c>
      <x:c r="I704" s="2"/>
      <x:c r="J704" s="2"/>
      <x:c r="K704" s="2"/>
      <x:c r="L704" s="2" t="n">
        <x:f>SUM(IF('Monthly_Data'!A360=A704,IF(ISBLANK('Monthly_Data'!A360)=ISBLANK(A704),0,1),1),IF('Monthly_Data'!B360=B704,IF(ISBLANK('Monthly_Data'!B360)=ISBLANK(B704),0,1),1),IF('Monthly_Data'!C360=C704,IF(ISBLANK('Monthly_Data'!C360)=ISBLANK(C704),0,1),1),IF('Monthly_Data'!D360=D704,IF(ISBLANK('Monthly_Data'!D360)=ISBLANK(D704),0,1),1),IF('Monthly_Data'!E360=E704,IF(ISBLANK('Monthly_Data'!E360)=ISBLANK(E704),0,1),1),IF('Monthly_Data'!F360=F704,IF(ISBLANK('Monthly_Data'!F360)=ISBLANK(F704),0,1),1),IF('Monthly_Data'!G360=G704,IF(ISBLANK('Monthly_Data'!G360)=ISBLANK(G704),0,1),1),IF('Monthly_Data'!H360=H704,IF(ISBLANK('Monthly_Data'!H360)=ISBLANK(H704),0,1),1))</x:f>
        <x:v>0</x:v>
      </x:c>
    </x:row>
    <x:row r="705" ht="23" customHeight="1">
      <x:c r="A705" s="2" t="str">
        <x:v>61103099_IN_202603_IMPORT</x:v>
      </x:c>
      <x:c r="B705" s="2" t="n">
        <x:v>202603</x:v>
      </x:c>
      <x:c r="C705" s="2" t="str">
        <x:v>61103099</x:v>
      </x:c>
      <x:c r="D705" s="2" t="str">
        <x:v>India</x:v>
      </x:c>
      <x:c r="E705" s="2" t="n">
        <x:v>114099</x:v>
      </x:c>
      <x:c r="F705" s="2" t="n">
        <x:v>8728</x:v>
      </x:c>
      <x:c r="G705" s="2" t="str">
        <x:v>WITHIN_BAND</x:v>
      </x:c>
      <x:c r="H705" s="2" t="n">
        <x:v>1</x:v>
      </x:c>
      <x:c r="I705" s="2"/>
      <x:c r="J705" s="2"/>
      <x:c r="K705" s="2"/>
      <x:c r="L705" s="2" t="n">
        <x:f>SUM(IF('Monthly_Data'!A361=A705,IF(ISBLANK('Monthly_Data'!A361)=ISBLANK(A705),0,1),1),IF('Monthly_Data'!B361=B705,IF(ISBLANK('Monthly_Data'!B361)=ISBLANK(B705),0,1),1),IF('Monthly_Data'!C361=C705,IF(ISBLANK('Monthly_Data'!C361)=ISBLANK(C705),0,1),1),IF('Monthly_Data'!D361=D705,IF(ISBLANK('Monthly_Data'!D361)=ISBLANK(D705),0,1),1),IF('Monthly_Data'!E361=E705,IF(ISBLANK('Monthly_Data'!E361)=ISBLANK(E705),0,1),1),IF('Monthly_Data'!F361=F705,IF(ISBLANK('Monthly_Data'!F361)=ISBLANK(F705),0,1),1),IF('Monthly_Data'!G361=G705,IF(ISBLANK('Monthly_Data'!G361)=ISBLANK(G705),0,1),1),IF('Monthly_Data'!H361=H705,IF(ISBLANK('Monthly_Data'!H361)=ISBLANK(H705),0,1),1))</x:f>
        <x:v>0</x:v>
      </x:c>
    </x:row>
    <x:row r="706" ht="23" customHeight="1">
      <x:c r="A706" s="2" t="str">
        <x:v>61103099_MA_202603_IMPORT</x:v>
      </x:c>
      <x:c r="B706" s="2" t="n">
        <x:v>202603</x:v>
      </x:c>
      <x:c r="C706" s="2" t="str">
        <x:v>61103099</x:v>
      </x:c>
      <x:c r="D706" s="2" t="str">
        <x:v>Morocco</x:v>
      </x:c>
      <x:c r="E706" s="2" t="n">
        <x:v>38706</x:v>
      </x:c>
      <x:c r="F706" s="2" t="n">
        <x:v>1191</x:v>
      </x:c>
      <x:c r="G706" s="2" t="str">
        <x:v>WITHIN_BAND</x:v>
      </x:c>
      <x:c r="H706" s="2" t="n">
        <x:v>1</x:v>
      </x:c>
      <x:c r="I706" s="2"/>
      <x:c r="J706" s="2"/>
      <x:c r="K706" s="2"/>
      <x:c r="L706" s="2" t="n">
        <x:f>SUM(IF('Monthly_Data'!A362=A706,IF(ISBLANK('Monthly_Data'!A362)=ISBLANK(A706),0,1),1),IF('Monthly_Data'!B362=B706,IF(ISBLANK('Monthly_Data'!B362)=ISBLANK(B706),0,1),1),IF('Monthly_Data'!C362=C706,IF(ISBLANK('Monthly_Data'!C362)=ISBLANK(C706),0,1),1),IF('Monthly_Data'!D362=D706,IF(ISBLANK('Monthly_Data'!D362)=ISBLANK(D706),0,1),1),IF('Monthly_Data'!E362=E706,IF(ISBLANK('Monthly_Data'!E362)=ISBLANK(E706),0,1),1),IF('Monthly_Data'!F362=F706,IF(ISBLANK('Monthly_Data'!F362)=ISBLANK(F706),0,1),1),IF('Monthly_Data'!G362=G706,IF(ISBLANK('Monthly_Data'!G362)=ISBLANK(G706),0,1),1),IF('Monthly_Data'!H362=H706,IF(ISBLANK('Monthly_Data'!H362)=ISBLANK(H706),0,1),1))</x:f>
        <x:v>0</x:v>
      </x:c>
    </x:row>
    <x:row r="707" ht="23" customHeight="1">
      <x:c r="A707" s="2" t="str">
        <x:v>61103099_MM_202603_IMPORT</x:v>
      </x:c>
      <x:c r="B707" s="2" t="n">
        <x:v>202603</x:v>
      </x:c>
      <x:c r="C707" s="2" t="str">
        <x:v>61103099</x:v>
      </x:c>
      <x:c r="D707" s="2" t="str">
        <x:v>Myanmar</x:v>
      </x:c>
      <x:c r="E707" s="2" t="n">
        <x:v>185347</x:v>
      </x:c>
      <x:c r="F707" s="2" t="n">
        <x:v>14601</x:v>
      </x:c>
      <x:c r="G707" s="2" t="str">
        <x:v>WITHIN_BAND</x:v>
      </x:c>
      <x:c r="H707" s="2" t="n">
        <x:v>1</x:v>
      </x:c>
      <x:c r="I707" s="2"/>
      <x:c r="J707" s="2"/>
      <x:c r="K707" s="2"/>
      <x:c r="L707" s="2" t="n">
        <x:f>SUM(IF('Monthly_Data'!A363=A707,IF(ISBLANK('Monthly_Data'!A363)=ISBLANK(A707),0,1),1),IF('Monthly_Data'!B363=B707,IF(ISBLANK('Monthly_Data'!B363)=ISBLANK(B707),0,1),1),IF('Monthly_Data'!C363=C707,IF(ISBLANK('Monthly_Data'!C363)=ISBLANK(C707),0,1),1),IF('Monthly_Data'!D363=D707,IF(ISBLANK('Monthly_Data'!D363)=ISBLANK(D707),0,1),1),IF('Monthly_Data'!E363=E707,IF(ISBLANK('Monthly_Data'!E363)=ISBLANK(E707),0,1),1),IF('Monthly_Data'!F363=F707,IF(ISBLANK('Monthly_Data'!F363)=ISBLANK(F707),0,1),1),IF('Monthly_Data'!G363=G707,IF(ISBLANK('Monthly_Data'!G363)=ISBLANK(G707),0,1),1),IF('Monthly_Data'!H363=H707,IF(ISBLANK('Monthly_Data'!H363)=ISBLANK(H707),0,1),1))</x:f>
        <x:v>0</x:v>
      </x:c>
    </x:row>
    <x:row r="708" ht="23" customHeight="1">
      <x:c r="A708" s="2" t="str">
        <x:v>61103099_PK_202603_IMPORT</x:v>
      </x:c>
      <x:c r="B708" s="2" t="n">
        <x:v>202603</x:v>
      </x:c>
      <x:c r="C708" s="2" t="str">
        <x:v>61103099</x:v>
      </x:c>
      <x:c r="D708" s="2" t="str">
        <x:v>Pakistan</x:v>
      </x:c>
      <x:c r="E708" s="2" t="n">
        <x:v>473191</x:v>
      </x:c>
      <x:c r="F708" s="2" t="n">
        <x:v>30055</x:v>
      </x:c>
      <x:c r="G708" s="2" t="str">
        <x:v>WITHIN_BAND</x:v>
      </x:c>
      <x:c r="H708" s="2" t="n">
        <x:v>1</x:v>
      </x:c>
      <x:c r="I708" s="2"/>
      <x:c r="J708" s="2"/>
      <x:c r="K708" s="2"/>
      <x:c r="L708" s="2" t="n">
        <x:f>SUM(IF('Monthly_Data'!A364=A708,IF(ISBLANK('Monthly_Data'!A364)=ISBLANK(A708),0,1),1),IF('Monthly_Data'!B364=B708,IF(ISBLANK('Monthly_Data'!B364)=ISBLANK(B708),0,1),1),IF('Monthly_Data'!C364=C708,IF(ISBLANK('Monthly_Data'!C364)=ISBLANK(C708),0,1),1),IF('Monthly_Data'!D364=D708,IF(ISBLANK('Monthly_Data'!D364)=ISBLANK(D708),0,1),1),IF('Monthly_Data'!E364=E708,IF(ISBLANK('Monthly_Data'!E364)=ISBLANK(E708),0,1),1),IF('Monthly_Data'!F364=F708,IF(ISBLANK('Monthly_Data'!F364)=ISBLANK(F708),0,1),1),IF('Monthly_Data'!G364=G708,IF(ISBLANK('Monthly_Data'!G364)=ISBLANK(G708),0,1),1),IF('Monthly_Data'!H364=H708,IF(ISBLANK('Monthly_Data'!H364)=ISBLANK(H708),0,1),1))</x:f>
        <x:v>0</x:v>
      </x:c>
    </x:row>
    <x:row r="709" ht="23" customHeight="1">
      <x:c r="A709" s="2" t="str">
        <x:v>61103099_LK_202603_IMPORT</x:v>
      </x:c>
      <x:c r="B709" s="2" t="n">
        <x:v>202603</x:v>
      </x:c>
      <x:c r="C709" s="2" t="str">
        <x:v>61103099</x:v>
      </x:c>
      <x:c r="D709" s="2" t="str">
        <x:v>Sri Lanka</x:v>
      </x:c>
      <x:c r="E709" s="2" t="n">
        <x:v>100320</x:v>
      </x:c>
      <x:c r="F709" s="2" t="n">
        <x:v>4422</x:v>
      </x:c>
      <x:c r="G709" s="2" t="str">
        <x:v>WITHIN_BAND</x:v>
      </x:c>
      <x:c r="H709" s="2" t="n">
        <x:v>1</x:v>
      </x:c>
      <x:c r="I709" s="2"/>
      <x:c r="J709" s="2"/>
      <x:c r="K709" s="2"/>
      <x:c r="L709" s="2" t="n">
        <x:f>SUM(IF('Monthly_Data'!A365=A709,IF(ISBLANK('Monthly_Data'!A365)=ISBLANK(A709),0,1),1),IF('Monthly_Data'!B365=B709,IF(ISBLANK('Monthly_Data'!B365)=ISBLANK(B709),0,1),1),IF('Monthly_Data'!C365=C709,IF(ISBLANK('Monthly_Data'!C365)=ISBLANK(C709),0,1),1),IF('Monthly_Data'!D365=D709,IF(ISBLANK('Monthly_Data'!D365)=ISBLANK(D709),0,1),1),IF('Monthly_Data'!E365=E709,IF(ISBLANK('Monthly_Data'!E365)=ISBLANK(E709),0,1),1),IF('Monthly_Data'!F365=F709,IF(ISBLANK('Monthly_Data'!F365)=ISBLANK(F709),0,1),1),IF('Monthly_Data'!G365=G709,IF(ISBLANK('Monthly_Data'!G365)=ISBLANK(G709),0,1),1),IF('Monthly_Data'!H365=H709,IF(ISBLANK('Monthly_Data'!H365)=ISBLANK(H709),0,1),1))</x:f>
        <x:v>0</x:v>
      </x:c>
    </x:row>
    <x:row r="710" ht="23" customHeight="1">
      <x:c r="A710" s="2" t="str">
        <x:v>61103099_TR_202603_IMPORT</x:v>
      </x:c>
      <x:c r="B710" s="2" t="n">
        <x:v>202603</x:v>
      </x:c>
      <x:c r="C710" s="2" t="str">
        <x:v>61103099</x:v>
      </x:c>
      <x:c r="D710" s="2" t="str">
        <x:v>Turkey</x:v>
      </x:c>
      <x:c r="E710" s="2" t="n">
        <x:v>1753510</x:v>
      </x:c>
      <x:c r="F710" s="2" t="n">
        <x:v>83691</x:v>
      </x:c>
      <x:c r="G710" s="2" t="str">
        <x:v>WITHIN_BAND</x:v>
      </x:c>
      <x:c r="H710" s="2" t="n">
        <x:v>1</x:v>
      </x:c>
      <x:c r="I710" s="2"/>
      <x:c r="J710" s="2"/>
      <x:c r="K710" s="2"/>
      <x:c r="L710" s="2" t="n">
        <x:f>SUM(IF('Monthly_Data'!A366=A710,IF(ISBLANK('Monthly_Data'!A366)=ISBLANK(A710),0,1),1),IF('Monthly_Data'!B366=B710,IF(ISBLANK('Monthly_Data'!B366)=ISBLANK(B710),0,1),1),IF('Monthly_Data'!C366=C710,IF(ISBLANK('Monthly_Data'!C366)=ISBLANK(C710),0,1),1),IF('Monthly_Data'!D366=D710,IF(ISBLANK('Monthly_Data'!D366)=ISBLANK(D710),0,1),1),IF('Monthly_Data'!E366=E710,IF(ISBLANK('Monthly_Data'!E366)=ISBLANK(E710),0,1),1),IF('Monthly_Data'!F366=F710,IF(ISBLANK('Monthly_Data'!F366)=ISBLANK(F710),0,1),1),IF('Monthly_Data'!G366=G710,IF(ISBLANK('Monthly_Data'!G366)=ISBLANK(G710),0,1),1),IF('Monthly_Data'!H366=H710,IF(ISBLANK('Monthly_Data'!H366)=ISBLANK(H710),0,1),1))</x:f>
        <x:v>0</x:v>
      </x:c>
    </x:row>
    <x:row r="711" ht="23" customHeight="1">
      <x:c r="A711" s="2" t="str">
        <x:v>61103099_VN_202603_IMPORT</x:v>
      </x:c>
      <x:c r="B711" s="2" t="n">
        <x:v>202603</x:v>
      </x:c>
      <x:c r="C711" s="2" t="str">
        <x:v>61103099</x:v>
      </x:c>
      <x:c r="D711" s="2" t="str">
        <x:v>Vietnam</x:v>
      </x:c>
      <x:c r="E711" s="2" t="n">
        <x:v>1461622</x:v>
      </x:c>
      <x:c r="F711" s="2" t="n">
        <x:v>36569</x:v>
      </x:c>
      <x:c r="G711" s="2" t="str">
        <x:v>WITHIN_BAND</x:v>
      </x:c>
      <x:c r="H711" s="2" t="n">
        <x:v>1</x:v>
      </x:c>
      <x:c r="I711" s="2"/>
      <x:c r="J711" s="2"/>
      <x:c r="K711" s="2"/>
      <x:c r="L711" s="2" t="n">
        <x:f>SUM(IF('Monthly_Data'!A367=A711,IF(ISBLANK('Monthly_Data'!A367)=ISBLANK(A711),0,1),1),IF('Monthly_Data'!B367=B711,IF(ISBLANK('Monthly_Data'!B367)=ISBLANK(B711),0,1),1),IF('Monthly_Data'!C367=C711,IF(ISBLANK('Monthly_Data'!C367)=ISBLANK(C711),0,1),1),IF('Monthly_Data'!D367=D711,IF(ISBLANK('Monthly_Data'!D367)=ISBLANK(D711),0,1),1),IF('Monthly_Data'!E367=E711,IF(ISBLANK('Monthly_Data'!E367)=ISBLANK(E711),0,1),1),IF('Monthly_Data'!F367=F711,IF(ISBLANK('Monthly_Data'!F367)=ISBLANK(F711),0,1),1),IF('Monthly_Data'!G367=G711,IF(ISBLANK('Monthly_Data'!G367)=ISBLANK(G711),0,1),1),IF('Monthly_Data'!H367=H711,IF(ISBLANK('Monthly_Data'!H367)=ISBLANK(H711),0,1),1))</x:f>
        <x:v>0</x:v>
      </x:c>
    </x:row>
    <x:row r="712" ht="23" customHeight="1">
      <x:c r="A712" s="2" t="str">
        <x:v>61103099_WORLD_202603_IMPORT</x:v>
      </x:c>
      <x:c r="B712" s="2" t="n">
        <x:v>202603</x:v>
      </x:c>
      <x:c r="C712" s="2" t="str">
        <x:v>61103099</x:v>
      </x:c>
      <x:c r="D712" s="2" t="str">
        <x:v>World</x:v>
      </x:c>
      <x:c r="E712" s="2" t="n">
        <x:v>27630122</x:v>
      </x:c>
      <x:c r="F712" s="2" t="n">
        <x:v>1590654</x:v>
      </x:c>
      <x:c r="G712" s="2" t="str">
        <x:v>WITHIN_BAND</x:v>
      </x:c>
      <x:c r="H712" s="2" t="n">
        <x:v>1</x:v>
      </x:c>
      <x:c r="I712" s="2"/>
      <x:c r="J712" s="2"/>
      <x:c r="K712" s="2"/>
      <x:c r="L712" s="2" t="n">
        <x:f>SUM(IF('Monthly_Data'!A368=A712,IF(ISBLANK('Monthly_Data'!A368)=ISBLANK(A712),0,1),1),IF('Monthly_Data'!B368=B712,IF(ISBLANK('Monthly_Data'!B368)=ISBLANK(B712),0,1),1),IF('Monthly_Data'!C368=C712,IF(ISBLANK('Monthly_Data'!C368)=ISBLANK(C712),0,1),1),IF('Monthly_Data'!D368=D712,IF(ISBLANK('Monthly_Data'!D368)=ISBLANK(D712),0,1),1),IF('Monthly_Data'!E368=E712,IF(ISBLANK('Monthly_Data'!E368)=ISBLANK(E712),0,1),1),IF('Monthly_Data'!F368=F712,IF(ISBLANK('Monthly_Data'!F368)=ISBLANK(F712),0,1),1),IF('Monthly_Data'!G368=G712,IF(ISBLANK('Monthly_Data'!G368)=ISBLANK(G712),0,1),1),IF('Monthly_Data'!H368=H712,IF(ISBLANK('Monthly_Data'!H368)=ISBLANK(H712),0,1),1))</x:f>
        <x:v>0</x:v>
      </x:c>
    </x:row>
    <x:row r="713" ht="23" customHeight="1">
      <x:c r="A713" s="2" t="str">
        <x:v>61103099_BD_202604_IMPORT</x:v>
      </x:c>
      <x:c r="B713" s="2" t="n">
        <x:v>202604</x:v>
      </x:c>
      <x:c r="C713" s="2" t="str">
        <x:v>61103099</x:v>
      </x:c>
      <x:c r="D713" s="2" t="str">
        <x:v>Bangladesh</x:v>
      </x:c>
      <x:c r="E713" s="2" t="n">
        <x:v>5124631</x:v>
      </x:c>
      <x:c r="F713" s="2" t="n">
        <x:v>417371</x:v>
      </x:c>
      <x:c r="G713" s="2" t="str">
        <x:v>WITHIN_BAND</x:v>
      </x:c>
      <x:c r="H713" s="2" t="n">
        <x:v>1</x:v>
      </x:c>
      <x:c r="I713" s="2"/>
      <x:c r="J713" s="2"/>
      <x:c r="K713" s="2"/>
      <x:c r="L713" s="2" t="n">
        <x:f>SUM(IF('Monthly_Data'!A369=A713,IF(ISBLANK('Monthly_Data'!A369)=ISBLANK(A713),0,1),1),IF('Monthly_Data'!B369=B713,IF(ISBLANK('Monthly_Data'!B369)=ISBLANK(B713),0,1),1),IF('Monthly_Data'!C369=C713,IF(ISBLANK('Monthly_Data'!C369)=ISBLANK(C713),0,1),1),IF('Monthly_Data'!D369=D713,IF(ISBLANK('Monthly_Data'!D369)=ISBLANK(D713),0,1),1),IF('Monthly_Data'!E369=E713,IF(ISBLANK('Monthly_Data'!E369)=ISBLANK(E713),0,1),1),IF('Monthly_Data'!F369=F713,IF(ISBLANK('Monthly_Data'!F369)=ISBLANK(F713),0,1),1),IF('Monthly_Data'!G369=G713,IF(ISBLANK('Monthly_Data'!G369)=ISBLANK(G713),0,1),1),IF('Monthly_Data'!H369=H713,IF(ISBLANK('Monthly_Data'!H369)=ISBLANK(H713),0,1),1))</x:f>
        <x:v>0</x:v>
      </x:c>
    </x:row>
    <x:row r="714" ht="23" customHeight="1">
      <x:c r="A714" s="2" t="str">
        <x:v>61103099_KH_202604_IMPORT</x:v>
      </x:c>
      <x:c r="B714" s="2" t="n">
        <x:v>202604</x:v>
      </x:c>
      <x:c r="C714" s="2" t="str">
        <x:v>61103099</x:v>
      </x:c>
      <x:c r="D714" s="2" t="str">
        <x:v>Cambodia</x:v>
      </x:c>
      <x:c r="E714" s="2" t="n">
        <x:v>1681792</x:v>
      </x:c>
      <x:c r="F714" s="2" t="n">
        <x:v>149559</x:v>
      </x:c>
      <x:c r="G714" s="2" t="str">
        <x:v>WITHIN_BAND</x:v>
      </x:c>
      <x:c r="H714" s="2" t="n">
        <x:v>1</x:v>
      </x:c>
      <x:c r="I714" s="2"/>
      <x:c r="J714" s="2"/>
      <x:c r="K714" s="2"/>
      <x:c r="L714" s="2" t="n">
        <x:f>SUM(IF('Monthly_Data'!A370=A714,IF(ISBLANK('Monthly_Data'!A370)=ISBLANK(A714),0,1),1),IF('Monthly_Data'!B370=B714,IF(ISBLANK('Monthly_Data'!B370)=ISBLANK(B714),0,1),1),IF('Monthly_Data'!C370=C714,IF(ISBLANK('Monthly_Data'!C370)=ISBLANK(C714),0,1),1),IF('Monthly_Data'!D370=D714,IF(ISBLANK('Monthly_Data'!D370)=ISBLANK(D714),0,1),1),IF('Monthly_Data'!E370=E714,IF(ISBLANK('Monthly_Data'!E370)=ISBLANK(E714),0,1),1),IF('Monthly_Data'!F370=F714,IF(ISBLANK('Monthly_Data'!F370)=ISBLANK(F714),0,1),1),IF('Monthly_Data'!G370=G714,IF(ISBLANK('Monthly_Data'!G370)=ISBLANK(G714),0,1),1),IF('Monthly_Data'!H370=H714,IF(ISBLANK('Monthly_Data'!H370)=ISBLANK(H714),0,1),1))</x:f>
        <x:v>0</x:v>
      </x:c>
    </x:row>
    <x:row r="715" ht="23" customHeight="1">
      <x:c r="A715" s="2" t="str">
        <x:v>61103099_CN_202604_IMPORT</x:v>
      </x:c>
      <x:c r="B715" s="2" t="n">
        <x:v>202604</x:v>
      </x:c>
      <x:c r="C715" s="2" t="str">
        <x:v>61103099</x:v>
      </x:c>
      <x:c r="D715" s="2" t="str">
        <x:v>China</x:v>
      </x:c>
      <x:c r="E715" s="2" t="n">
        <x:v>4811473</x:v>
      </x:c>
      <x:c r="F715" s="2" t="n">
        <x:v>243515</x:v>
      </x:c>
      <x:c r="G715" s="2" t="str">
        <x:v>WITHIN_BAND</x:v>
      </x:c>
      <x:c r="H715" s="2" t="n">
        <x:v>1</x:v>
      </x:c>
      <x:c r="I715" s="2"/>
      <x:c r="J715" s="2"/>
      <x:c r="K715" s="2"/>
      <x:c r="L715" s="2" t="n">
        <x:f>SUM(IF('Monthly_Data'!A371=A715,IF(ISBLANK('Monthly_Data'!A371)=ISBLANK(A715),0,1),1),IF('Monthly_Data'!B371=B715,IF(ISBLANK('Monthly_Data'!B371)=ISBLANK(B715),0,1),1),IF('Monthly_Data'!C371=C715,IF(ISBLANK('Monthly_Data'!C371)=ISBLANK(C715),0,1),1),IF('Monthly_Data'!D371=D715,IF(ISBLANK('Monthly_Data'!D371)=ISBLANK(D715),0,1),1),IF('Monthly_Data'!E371=E715,IF(ISBLANK('Monthly_Data'!E371)=ISBLANK(E715),0,1),1),IF('Monthly_Data'!F371=F715,IF(ISBLANK('Monthly_Data'!F371)=ISBLANK(F715),0,1),1),IF('Monthly_Data'!G371=G715,IF(ISBLANK('Monthly_Data'!G371)=ISBLANK(G715),0,1),1),IF('Monthly_Data'!H371=H715,IF(ISBLANK('Monthly_Data'!H371)=ISBLANK(H715),0,1),1))</x:f>
        <x:v>0</x:v>
      </x:c>
    </x:row>
    <x:row r="716" ht="23" customHeight="1">
      <x:c r="A716" s="2" t="str">
        <x:v>61103099_IN_202604_IMPORT</x:v>
      </x:c>
      <x:c r="B716" s="2" t="n">
        <x:v>202604</x:v>
      </x:c>
      <x:c r="C716" s="2" t="str">
        <x:v>61103099</x:v>
      </x:c>
      <x:c r="D716" s="2" t="str">
        <x:v>India</x:v>
      </x:c>
      <x:c r="E716" s="2" t="n">
        <x:v>143998</x:v>
      </x:c>
      <x:c r="F716" s="2" t="n">
        <x:v>9255</x:v>
      </x:c>
      <x:c r="G716" s="2" t="str">
        <x:v>WITHIN_BAND</x:v>
      </x:c>
      <x:c r="H716" s="2" t="n">
        <x:v>1</x:v>
      </x:c>
      <x:c r="I716" s="2"/>
      <x:c r="J716" s="2"/>
      <x:c r="K716" s="2"/>
      <x:c r="L716" s="2" t="n">
        <x:f>SUM(IF('Monthly_Data'!A372=A716,IF(ISBLANK('Monthly_Data'!A372)=ISBLANK(A716),0,1),1),IF('Monthly_Data'!B372=B716,IF(ISBLANK('Monthly_Data'!B372)=ISBLANK(B716),0,1),1),IF('Monthly_Data'!C372=C716,IF(ISBLANK('Monthly_Data'!C372)=ISBLANK(C716),0,1),1),IF('Monthly_Data'!D372=D716,IF(ISBLANK('Monthly_Data'!D372)=ISBLANK(D716),0,1),1),IF('Monthly_Data'!E372=E716,IF(ISBLANK('Monthly_Data'!E372)=ISBLANK(E716),0,1),1),IF('Monthly_Data'!F372=F716,IF(ISBLANK('Monthly_Data'!F372)=ISBLANK(F716),0,1),1),IF('Monthly_Data'!G372=G716,IF(ISBLANK('Monthly_Data'!G372)=ISBLANK(G716),0,1),1),IF('Monthly_Data'!H372=H716,IF(ISBLANK('Monthly_Data'!H372)=ISBLANK(H716),0,1),1))</x:f>
        <x:v>0</x:v>
      </x:c>
    </x:row>
    <x:row r="717" ht="23" customHeight="1">
      <x:c r="A717" s="2" t="str">
        <x:v>61103099_MA_202604_IMPORT</x:v>
      </x:c>
      <x:c r="B717" s="2" t="n">
        <x:v>202604</x:v>
      </x:c>
      <x:c r="C717" s="2" t="str">
        <x:v>61103099</x:v>
      </x:c>
      <x:c r="D717" s="2" t="str">
        <x:v>Morocco</x:v>
      </x:c>
      <x:c r="E717" s="2" t="n">
        <x:v>14565</x:v>
      </x:c>
      <x:c r="F717" s="2" t="n">
        <x:v>430</x:v>
      </x:c>
      <x:c r="G717" s="2" t="str">
        <x:v>WITHIN_BAND</x:v>
      </x:c>
      <x:c r="H717" s="2" t="n">
        <x:v>1</x:v>
      </x:c>
      <x:c r="I717" s="2"/>
      <x:c r="J717" s="2"/>
      <x:c r="K717" s="2"/>
      <x:c r="L717" s="2" t="n">
        <x:f>SUM(IF('Monthly_Data'!A373=A717,IF(ISBLANK('Monthly_Data'!A373)=ISBLANK(A717),0,1),1),IF('Monthly_Data'!B373=B717,IF(ISBLANK('Monthly_Data'!B373)=ISBLANK(B717),0,1),1),IF('Monthly_Data'!C373=C717,IF(ISBLANK('Monthly_Data'!C373)=ISBLANK(C717),0,1),1),IF('Monthly_Data'!D373=D717,IF(ISBLANK('Monthly_Data'!D373)=ISBLANK(D717),0,1),1),IF('Monthly_Data'!E373=E717,IF(ISBLANK('Monthly_Data'!E373)=ISBLANK(E717),0,1),1),IF('Monthly_Data'!F373=F717,IF(ISBLANK('Monthly_Data'!F373)=ISBLANK(F717),0,1),1),IF('Monthly_Data'!G373=G717,IF(ISBLANK('Monthly_Data'!G373)=ISBLANK(G717),0,1),1),IF('Monthly_Data'!H373=H717,IF(ISBLANK('Monthly_Data'!H373)=ISBLANK(H717),0,1),1))</x:f>
        <x:v>0</x:v>
      </x:c>
    </x:row>
    <x:row r="718" ht="23" customHeight="1">
      <x:c r="A718" s="2" t="str">
        <x:v>61103099_MM_202604_IMPORT</x:v>
      </x:c>
      <x:c r="B718" s="2" t="n">
        <x:v>202604</x:v>
      </x:c>
      <x:c r="C718" s="2" t="str">
        <x:v>61103099</x:v>
      </x:c>
      <x:c r="D718" s="2" t="str">
        <x:v>Myanmar</x:v>
      </x:c>
      <x:c r="E718" s="2" t="n">
        <x:v>53407</x:v>
      </x:c>
      <x:c r="F718" s="2" t="n">
        <x:v>3714</x:v>
      </x:c>
      <x:c r="G718" s="2" t="str">
        <x:v>WITHIN_BAND</x:v>
      </x:c>
      <x:c r="H718" s="2" t="n">
        <x:v>1</x:v>
      </x:c>
      <x:c r="I718" s="2"/>
      <x:c r="J718" s="2"/>
      <x:c r="K718" s="2"/>
      <x:c r="L718" s="2" t="n">
        <x:f>SUM(IF('Monthly_Data'!A374=A718,IF(ISBLANK('Monthly_Data'!A374)=ISBLANK(A718),0,1),1),IF('Monthly_Data'!B374=B718,IF(ISBLANK('Monthly_Data'!B374)=ISBLANK(B718),0,1),1),IF('Monthly_Data'!C374=C718,IF(ISBLANK('Monthly_Data'!C374)=ISBLANK(C718),0,1),1),IF('Monthly_Data'!D374=D718,IF(ISBLANK('Monthly_Data'!D374)=ISBLANK(D718),0,1),1),IF('Monthly_Data'!E374=E718,IF(ISBLANK('Monthly_Data'!E374)=ISBLANK(E718),0,1),1),IF('Monthly_Data'!F374=F718,IF(ISBLANK('Monthly_Data'!F374)=ISBLANK(F718),0,1),1),IF('Monthly_Data'!G374=G718,IF(ISBLANK('Monthly_Data'!G374)=ISBLANK(G718),0,1),1),IF('Monthly_Data'!H374=H718,IF(ISBLANK('Monthly_Data'!H374)=ISBLANK(H718),0,1),1))</x:f>
        <x:v>0</x:v>
      </x:c>
    </x:row>
    <x:row r="719" ht="23" customHeight="1">
      <x:c r="A719" s="2" t="str">
        <x:v>61103099_PK_202604_IMPORT</x:v>
      </x:c>
      <x:c r="B719" s="2" t="n">
        <x:v>202604</x:v>
      </x:c>
      <x:c r="C719" s="2" t="str">
        <x:v>61103099</x:v>
      </x:c>
      <x:c r="D719" s="2" t="str">
        <x:v>Pakistan</x:v>
      </x:c>
      <x:c r="E719" s="2" t="n">
        <x:v>115457</x:v>
      </x:c>
      <x:c r="F719" s="2" t="n">
        <x:v>8356</x:v>
      </x:c>
      <x:c r="G719" s="2" t="str">
        <x:v>WITHIN_BAND</x:v>
      </x:c>
      <x:c r="H719" s="2" t="n">
        <x:v>1</x:v>
      </x:c>
      <x:c r="I719" s="2"/>
      <x:c r="J719" s="2"/>
      <x:c r="K719" s="2"/>
      <x:c r="L719" s="2" t="n">
        <x:f>SUM(IF('Monthly_Data'!A375=A719,IF(ISBLANK('Monthly_Data'!A375)=ISBLANK(A719),0,1),1),IF('Monthly_Data'!B375=B719,IF(ISBLANK('Monthly_Data'!B375)=ISBLANK(B719),0,1),1),IF('Monthly_Data'!C375=C719,IF(ISBLANK('Monthly_Data'!C375)=ISBLANK(C719),0,1),1),IF('Monthly_Data'!D375=D719,IF(ISBLANK('Monthly_Data'!D375)=ISBLANK(D719),0,1),1),IF('Monthly_Data'!E375=E719,IF(ISBLANK('Monthly_Data'!E375)=ISBLANK(E719),0,1),1),IF('Monthly_Data'!F375=F719,IF(ISBLANK('Monthly_Data'!F375)=ISBLANK(F719),0,1),1),IF('Monthly_Data'!G375=G719,IF(ISBLANK('Monthly_Data'!G375)=ISBLANK(G719),0,1),1),IF('Monthly_Data'!H375=H719,IF(ISBLANK('Monthly_Data'!H375)=ISBLANK(H719),0,1),1))</x:f>
        <x:v>0</x:v>
      </x:c>
    </x:row>
    <x:row r="720" ht="23" customHeight="1">
      <x:c r="A720" s="2" t="str">
        <x:v>61103099_LK_202604_IMPORT</x:v>
      </x:c>
      <x:c r="B720" s="2" t="n">
        <x:v>202604</x:v>
      </x:c>
      <x:c r="C720" s="2" t="str">
        <x:v>61103099</x:v>
      </x:c>
      <x:c r="D720" s="2" t="str">
        <x:v>Sri Lanka</x:v>
      </x:c>
      <x:c r="E720" s="2" t="n">
        <x:v>121436</x:v>
      </x:c>
      <x:c r="F720" s="2" t="n">
        <x:v>7292</x:v>
      </x:c>
      <x:c r="G720" s="2" t="str">
        <x:v>WITHIN_BAND</x:v>
      </x:c>
      <x:c r="H720" s="2" t="n">
        <x:v>1</x:v>
      </x:c>
      <x:c r="I720" s="2"/>
      <x:c r="J720" s="2"/>
      <x:c r="K720" s="2"/>
      <x:c r="L720" s="2" t="n">
        <x:f>SUM(IF('Monthly_Data'!A376=A720,IF(ISBLANK('Monthly_Data'!A376)=ISBLANK(A720),0,1),1),IF('Monthly_Data'!B376=B720,IF(ISBLANK('Monthly_Data'!B376)=ISBLANK(B720),0,1),1),IF('Monthly_Data'!C376=C720,IF(ISBLANK('Monthly_Data'!C376)=ISBLANK(C720),0,1),1),IF('Monthly_Data'!D376=D720,IF(ISBLANK('Monthly_Data'!D376)=ISBLANK(D720),0,1),1),IF('Monthly_Data'!E376=E720,IF(ISBLANK('Monthly_Data'!E376)=ISBLANK(E720),0,1),1),IF('Monthly_Data'!F376=F720,IF(ISBLANK('Monthly_Data'!F376)=ISBLANK(F720),0,1),1),IF('Monthly_Data'!G376=G720,IF(ISBLANK('Monthly_Data'!G376)=ISBLANK(G720),0,1),1),IF('Monthly_Data'!H376=H720,IF(ISBLANK('Monthly_Data'!H376)=ISBLANK(H720),0,1),1))</x:f>
        <x:v>0</x:v>
      </x:c>
    </x:row>
    <x:row r="721" ht="23" customHeight="1">
      <x:c r="A721" s="2" t="str">
        <x:v>61103099_TR_202604_IMPORT</x:v>
      </x:c>
      <x:c r="B721" s="2" t="n">
        <x:v>202604</x:v>
      </x:c>
      <x:c r="C721" s="2" t="str">
        <x:v>61103099</x:v>
      </x:c>
      <x:c r="D721" s="2" t="str">
        <x:v>Turkey</x:v>
      </x:c>
      <x:c r="E721" s="2" t="n">
        <x:v>2467717</x:v>
      </x:c>
      <x:c r="F721" s="2" t="n">
        <x:v>448534</x:v>
      </x:c>
      <x:c r="G721" s="2" t="str">
        <x:v>REVIEW</x:v>
      </x:c>
      <x:c r="H721" s="2" t="n">
        <x:v>1</x:v>
      </x:c>
      <x:c r="I721" s="2"/>
      <x:c r="J721" s="2"/>
      <x:c r="K721" s="2"/>
      <x:c r="L721" s="2" t="n">
        <x:f>SUM(IF('Monthly_Data'!A377=A721,IF(ISBLANK('Monthly_Data'!A377)=ISBLANK(A721),0,1),1),IF('Monthly_Data'!B377=B721,IF(ISBLANK('Monthly_Data'!B377)=ISBLANK(B721),0,1),1),IF('Monthly_Data'!C377=C721,IF(ISBLANK('Monthly_Data'!C377)=ISBLANK(C721),0,1),1),IF('Monthly_Data'!D377=D721,IF(ISBLANK('Monthly_Data'!D377)=ISBLANK(D721),0,1),1),IF('Monthly_Data'!E377=E721,IF(ISBLANK('Monthly_Data'!E377)=ISBLANK(E721),0,1),1),IF('Monthly_Data'!F377=F721,IF(ISBLANK('Monthly_Data'!F377)=ISBLANK(F721),0,1),1),IF('Monthly_Data'!G377=G721,IF(ISBLANK('Monthly_Data'!G377)=ISBLANK(G721),0,1),1),IF('Monthly_Data'!H377=H721,IF(ISBLANK('Monthly_Data'!H377)=ISBLANK(H721),0,1),1))</x:f>
        <x:v>0</x:v>
      </x:c>
    </x:row>
    <x:row r="722" ht="23" customHeight="1">
      <x:c r="A722" s="2" t="str">
        <x:v>61103099_VN_202604_IMPORT</x:v>
      </x:c>
      <x:c r="B722" s="2" t="n">
        <x:v>202604</x:v>
      </x:c>
      <x:c r="C722" s="2" t="str">
        <x:v>61103099</x:v>
      </x:c>
      <x:c r="D722" s="2" t="str">
        <x:v>Vietnam</x:v>
      </x:c>
      <x:c r="E722" s="2" t="n">
        <x:v>716947</x:v>
      </x:c>
      <x:c r="F722" s="2" t="n">
        <x:v>24825</x:v>
      </x:c>
      <x:c r="G722" s="2" t="str">
        <x:v>WITHIN_BAND</x:v>
      </x:c>
      <x:c r="H722" s="2" t="n">
        <x:v>1</x:v>
      </x:c>
      <x:c r="I722" s="2"/>
      <x:c r="J722" s="2"/>
      <x:c r="K722" s="2"/>
      <x:c r="L722" s="2" t="n">
        <x:f>SUM(IF('Monthly_Data'!A378=A722,IF(ISBLANK('Monthly_Data'!A378)=ISBLANK(A722),0,1),1),IF('Monthly_Data'!B378=B722,IF(ISBLANK('Monthly_Data'!B378)=ISBLANK(B722),0,1),1),IF('Monthly_Data'!C378=C722,IF(ISBLANK('Monthly_Data'!C378)=ISBLANK(C722),0,1),1),IF('Monthly_Data'!D378=D722,IF(ISBLANK('Monthly_Data'!D378)=ISBLANK(D722),0,1),1),IF('Monthly_Data'!E378=E722,IF(ISBLANK('Monthly_Data'!E378)=ISBLANK(E722),0,1),1),IF('Monthly_Data'!F378=F722,IF(ISBLANK('Monthly_Data'!F378)=ISBLANK(F722),0,1),1),IF('Monthly_Data'!G378=G722,IF(ISBLANK('Monthly_Data'!G378)=ISBLANK(G722),0,1),1),IF('Monthly_Data'!H378=H722,IF(ISBLANK('Monthly_Data'!H378)=ISBLANK(H722),0,1),1))</x:f>
        <x:v>0</x:v>
      </x:c>
    </x:row>
    <x:row r="723" ht="23" customHeight="1">
      <x:c r="A723" s="2" t="str">
        <x:v>61103099_WORLD_202604_IMPORT</x:v>
      </x:c>
      <x:c r="B723" s="2" t="n">
        <x:v>202604</x:v>
      </x:c>
      <x:c r="C723" s="2" t="str">
        <x:v>61103099</x:v>
      </x:c>
      <x:c r="D723" s="2" t="str">
        <x:v>World</x:v>
      </x:c>
      <x:c r="E723" s="2" t="n">
        <x:v>22255068</x:v>
      </x:c>
      <x:c r="F723" s="2" t="n">
        <x:v>1553468</x:v>
      </x:c>
      <x:c r="G723" s="2" t="str">
        <x:v>WITHIN_BAND</x:v>
      </x:c>
      <x:c r="H723" s="2" t="n">
        <x:v>1</x:v>
      </x:c>
      <x:c r="I723" s="2"/>
      <x:c r="J723" s="2"/>
      <x:c r="K723" s="2"/>
      <x:c r="L723" s="2" t="n">
        <x:f>SUM(IF('Monthly_Data'!A379=A723,IF(ISBLANK('Monthly_Data'!A379)=ISBLANK(A723),0,1),1),IF('Monthly_Data'!B379=B723,IF(ISBLANK('Monthly_Data'!B379)=ISBLANK(B723),0,1),1),IF('Monthly_Data'!C379=C723,IF(ISBLANK('Monthly_Data'!C379)=ISBLANK(C723),0,1),1),IF('Monthly_Data'!D379=D723,IF(ISBLANK('Monthly_Data'!D379)=ISBLANK(D723),0,1),1),IF('Monthly_Data'!E379=E723,IF(ISBLANK('Monthly_Data'!E379)=ISBLANK(E723),0,1),1),IF('Monthly_Data'!F379=F723,IF(ISBLANK('Monthly_Data'!F379)=ISBLANK(F723),0,1),1),IF('Monthly_Data'!G379=G723,IF(ISBLANK('Monthly_Data'!G379)=ISBLANK(G723),0,1),1),IF('Monthly_Data'!H379=H723,IF(ISBLANK('Monthly_Data'!H379)=ISBLANK(H723),0,1),1))</x:f>
        <x:v>0</x:v>
      </x:c>
    </x:row>
    <x:row r="724" ht="23" customHeight="1">
      <x:c r="A724" s="2" t="str">
        <x:v>61103099_BD_202605_IMPORT</x:v>
      </x:c>
      <x:c r="B724" s="2" t="n">
        <x:v>202605</x:v>
      </x:c>
      <x:c r="C724" s="2" t="str">
        <x:v>61103099</x:v>
      </x:c>
      <x:c r="D724" s="2" t="str">
        <x:v>Bangladesh</x:v>
      </x:c>
      <x:c r="E724" s="2" t="n">
        <x:v>3949172</x:v>
      </x:c>
      <x:c r="F724" s="2" t="n">
        <x:v>308227</x:v>
      </x:c>
      <x:c r="G724" s="2" t="str">
        <x:v>WITHIN_BAND</x:v>
      </x:c>
      <x:c r="H724" s="2" t="n">
        <x:v>1</x:v>
      </x:c>
      <x:c r="I724" s="2"/>
      <x:c r="J724" s="2"/>
      <x:c r="K724" s="2"/>
      <x:c r="L724" s="2" t="n">
        <x:f>SUM(IF('Monthly_Data'!A380=A724,IF(ISBLANK('Monthly_Data'!A380)=ISBLANK(A724),0,1),1),IF('Monthly_Data'!B380=B724,IF(ISBLANK('Monthly_Data'!B380)=ISBLANK(B724),0,1),1),IF('Monthly_Data'!C380=C724,IF(ISBLANK('Monthly_Data'!C380)=ISBLANK(C724),0,1),1),IF('Monthly_Data'!D380=D724,IF(ISBLANK('Monthly_Data'!D380)=ISBLANK(D724),0,1),1),IF('Monthly_Data'!E380=E724,IF(ISBLANK('Monthly_Data'!E380)=ISBLANK(E724),0,1),1),IF('Monthly_Data'!F380=F724,IF(ISBLANK('Monthly_Data'!F380)=ISBLANK(F724),0,1),1),IF('Monthly_Data'!G380=G724,IF(ISBLANK('Monthly_Data'!G380)=ISBLANK(G724),0,1),1),IF('Monthly_Data'!H380=H724,IF(ISBLANK('Monthly_Data'!H380)=ISBLANK(H724),0,1),1))</x:f>
        <x:v>0</x:v>
      </x:c>
    </x:row>
    <x:row r="725" ht="23" customHeight="1">
      <x:c r="A725" s="2" t="str">
        <x:v>61103099_KH_202605_IMPORT</x:v>
      </x:c>
      <x:c r="B725" s="2" t="n">
        <x:v>202605</x:v>
      </x:c>
      <x:c r="C725" s="2" t="str">
        <x:v>61103099</x:v>
      </x:c>
      <x:c r="D725" s="2" t="str">
        <x:v>Cambodia</x:v>
      </x:c>
      <x:c r="E725" s="2" t="n">
        <x:v>2129706</x:v>
      </x:c>
      <x:c r="F725" s="2" t="n">
        <x:v>164991</x:v>
      </x:c>
      <x:c r="G725" s="2" t="str">
        <x:v>WITHIN_BAND</x:v>
      </x:c>
      <x:c r="H725" s="2" t="n">
        <x:v>1</x:v>
      </x:c>
      <x:c r="I725" s="2"/>
      <x:c r="J725" s="2"/>
      <x:c r="K725" s="2"/>
      <x:c r="L725" s="2" t="n">
        <x:f>SUM(IF('Monthly_Data'!A381=A725,IF(ISBLANK('Monthly_Data'!A381)=ISBLANK(A725),0,1),1),IF('Monthly_Data'!B381=B725,IF(ISBLANK('Monthly_Data'!B381)=ISBLANK(B725),0,1),1),IF('Monthly_Data'!C381=C725,IF(ISBLANK('Monthly_Data'!C381)=ISBLANK(C725),0,1),1),IF('Monthly_Data'!D381=D725,IF(ISBLANK('Monthly_Data'!D381)=ISBLANK(D725),0,1),1),IF('Monthly_Data'!E381=E725,IF(ISBLANK('Monthly_Data'!E381)=ISBLANK(E725),0,1),1),IF('Monthly_Data'!F381=F725,IF(ISBLANK('Monthly_Data'!F381)=ISBLANK(F725),0,1),1),IF('Monthly_Data'!G381=G725,IF(ISBLANK('Monthly_Data'!G381)=ISBLANK(G725),0,1),1),IF('Monthly_Data'!H381=H725,IF(ISBLANK('Monthly_Data'!H381)=ISBLANK(H725),0,1),1))</x:f>
        <x:v>0</x:v>
      </x:c>
    </x:row>
    <x:row r="726" ht="23" customHeight="1">
      <x:c r="A726" s="2" t="str">
        <x:v>61103099_CN_202605_IMPORT</x:v>
      </x:c>
      <x:c r="B726" s="2" t="n">
        <x:v>202605</x:v>
      </x:c>
      <x:c r="C726" s="2" t="str">
        <x:v>61103099</x:v>
      </x:c>
      <x:c r="D726" s="2" t="str">
        <x:v>China</x:v>
      </x:c>
      <x:c r="E726" s="2" t="n">
        <x:v>4491895</x:v>
      </x:c>
      <x:c r="F726" s="2" t="n">
        <x:v>256989</x:v>
      </x:c>
      <x:c r="G726" s="2" t="str">
        <x:v>WITHIN_BAND</x:v>
      </x:c>
      <x:c r="H726" s="2" t="n">
        <x:v>1</x:v>
      </x:c>
      <x:c r="I726" s="2"/>
      <x:c r="J726" s="2"/>
      <x:c r="K726" s="2"/>
      <x:c r="L726" s="2" t="n">
        <x:f>SUM(IF('Monthly_Data'!A382=A726,IF(ISBLANK('Monthly_Data'!A382)=ISBLANK(A726),0,1),1),IF('Monthly_Data'!B382=B726,IF(ISBLANK('Monthly_Data'!B382)=ISBLANK(B726),0,1),1),IF('Monthly_Data'!C382=C726,IF(ISBLANK('Monthly_Data'!C382)=ISBLANK(C726),0,1),1),IF('Monthly_Data'!D382=D726,IF(ISBLANK('Monthly_Data'!D382)=ISBLANK(D726),0,1),1),IF('Monthly_Data'!E382=E726,IF(ISBLANK('Monthly_Data'!E382)=ISBLANK(E726),0,1),1),IF('Monthly_Data'!F382=F726,IF(ISBLANK('Monthly_Data'!F382)=ISBLANK(F726),0,1),1),IF('Monthly_Data'!G382=G726,IF(ISBLANK('Monthly_Data'!G382)=ISBLANK(G726),0,1),1),IF('Monthly_Data'!H382=H726,IF(ISBLANK('Monthly_Data'!H382)=ISBLANK(H726),0,1),1))</x:f>
        <x:v>0</x:v>
      </x:c>
    </x:row>
    <x:row r="727" ht="23" customHeight="1">
      <x:c r="A727" s="2" t="str">
        <x:v>61103099_IN_202605_IMPORT</x:v>
      </x:c>
      <x:c r="B727" s="2" t="n">
        <x:v>202605</x:v>
      </x:c>
      <x:c r="C727" s="2" t="str">
        <x:v>61103099</x:v>
      </x:c>
      <x:c r="D727" s="2" t="str">
        <x:v>India</x:v>
      </x:c>
      <x:c r="E727" s="2" t="n">
        <x:v>88834</x:v>
      </x:c>
      <x:c r="F727" s="2" t="n">
        <x:v>6363</x:v>
      </x:c>
      <x:c r="G727" s="2" t="str">
        <x:v>WITHIN_BAND</x:v>
      </x:c>
      <x:c r="H727" s="2" t="n">
        <x:v>1</x:v>
      </x:c>
      <x:c r="I727" s="2"/>
      <x:c r="J727" s="2"/>
      <x:c r="K727" s="2"/>
      <x:c r="L727" s="2" t="n">
        <x:f>SUM(IF('Monthly_Data'!A383=A727,IF(ISBLANK('Monthly_Data'!A383)=ISBLANK(A727),0,1),1),IF('Monthly_Data'!B383=B727,IF(ISBLANK('Monthly_Data'!B383)=ISBLANK(B727),0,1),1),IF('Monthly_Data'!C383=C727,IF(ISBLANK('Monthly_Data'!C383)=ISBLANK(C727),0,1),1),IF('Monthly_Data'!D383=D727,IF(ISBLANK('Monthly_Data'!D383)=ISBLANK(D727),0,1),1),IF('Monthly_Data'!E383=E727,IF(ISBLANK('Monthly_Data'!E383)=ISBLANK(E727),0,1),1),IF('Monthly_Data'!F383=F727,IF(ISBLANK('Monthly_Data'!F383)=ISBLANK(F727),0,1),1),IF('Monthly_Data'!G383=G727,IF(ISBLANK('Monthly_Data'!G383)=ISBLANK(G727),0,1),1),IF('Monthly_Data'!H383=H727,IF(ISBLANK('Monthly_Data'!H383)=ISBLANK(H727),0,1),1))</x:f>
        <x:v>0</x:v>
      </x:c>
    </x:row>
    <x:row r="728" ht="23" customHeight="1">
      <x:c r="A728" s="2" t="str">
        <x:v>61103099_MA_202605_IMPORT</x:v>
      </x:c>
      <x:c r="B728" s="2" t="n">
        <x:v>202605</x:v>
      </x:c>
      <x:c r="C728" s="2" t="str">
        <x:v>61103099</x:v>
      </x:c>
      <x:c r="D728" s="2" t="str">
        <x:v>Morocco</x:v>
      </x:c>
      <x:c r="E728" s="2" t="n">
        <x:v>1916</x:v>
      </x:c>
      <x:c r="F728" s="2" t="n">
        <x:v>164</x:v>
      </x:c>
      <x:c r="G728" s="2" t="str">
        <x:v>WITHIN_BAND</x:v>
      </x:c>
      <x:c r="H728" s="2" t="n">
        <x:v>1</x:v>
      </x:c>
      <x:c r="I728" s="2"/>
      <x:c r="J728" s="2"/>
      <x:c r="K728" s="2"/>
      <x:c r="L728" s="2" t="n">
        <x:f>SUM(IF('Monthly_Data'!A384=A728,IF(ISBLANK('Monthly_Data'!A384)=ISBLANK(A728),0,1),1),IF('Monthly_Data'!B384=B728,IF(ISBLANK('Monthly_Data'!B384)=ISBLANK(B728),0,1),1),IF('Monthly_Data'!C384=C728,IF(ISBLANK('Monthly_Data'!C384)=ISBLANK(C728),0,1),1),IF('Monthly_Data'!D384=D728,IF(ISBLANK('Monthly_Data'!D384)=ISBLANK(D728),0,1),1),IF('Monthly_Data'!E384=E728,IF(ISBLANK('Monthly_Data'!E384)=ISBLANK(E728),0,1),1),IF('Monthly_Data'!F384=F728,IF(ISBLANK('Monthly_Data'!F384)=ISBLANK(F728),0,1),1),IF('Monthly_Data'!G384=G728,IF(ISBLANK('Monthly_Data'!G384)=ISBLANK(G728),0,1),1),IF('Monthly_Data'!H384=H728,IF(ISBLANK('Monthly_Data'!H384)=ISBLANK(H728),0,1),1))</x:f>
        <x:v>0</x:v>
      </x:c>
    </x:row>
    <x:row r="729" ht="23" customHeight="1">
      <x:c r="A729" s="2" t="str">
        <x:v>61103099_MM_202605_IMPORT</x:v>
      </x:c>
      <x:c r="B729" s="2" t="n">
        <x:v>202605</x:v>
      </x:c>
      <x:c r="C729" s="2" t="str">
        <x:v>61103099</x:v>
      </x:c>
      <x:c r="D729" s="2" t="str">
        <x:v>Myanmar</x:v>
      </x:c>
      <x:c r="E729" s="2" t="n">
        <x:v>249665</x:v>
      </x:c>
      <x:c r="F729" s="2" t="n">
        <x:v>17826</x:v>
      </x:c>
      <x:c r="G729" s="2" t="str">
        <x:v>WITHIN_BAND</x:v>
      </x:c>
      <x:c r="H729" s="2" t="n">
        <x:v>1</x:v>
      </x:c>
      <x:c r="I729" s="2"/>
      <x:c r="J729" s="2"/>
      <x:c r="K729" s="2"/>
      <x:c r="L729" s="2" t="n">
        <x:f>SUM(IF('Monthly_Data'!A385=A729,IF(ISBLANK('Monthly_Data'!A385)=ISBLANK(A729),0,1),1),IF('Monthly_Data'!B385=B729,IF(ISBLANK('Monthly_Data'!B385)=ISBLANK(B729),0,1),1),IF('Monthly_Data'!C385=C729,IF(ISBLANK('Monthly_Data'!C385)=ISBLANK(C729),0,1),1),IF('Monthly_Data'!D385=D729,IF(ISBLANK('Monthly_Data'!D385)=ISBLANK(D729),0,1),1),IF('Monthly_Data'!E385=E729,IF(ISBLANK('Monthly_Data'!E385)=ISBLANK(E729),0,1),1),IF('Monthly_Data'!F385=F729,IF(ISBLANK('Monthly_Data'!F385)=ISBLANK(F729),0,1),1),IF('Monthly_Data'!G385=G729,IF(ISBLANK('Monthly_Data'!G385)=ISBLANK(G729),0,1),1),IF('Monthly_Data'!H385=H729,IF(ISBLANK('Monthly_Data'!H385)=ISBLANK(H729),0,1),1))</x:f>
        <x:v>0</x:v>
      </x:c>
    </x:row>
    <x:row r="730" ht="23" customHeight="1">
      <x:c r="A730" s="2" t="str">
        <x:v>61103099_PK_202605_IMPORT</x:v>
      </x:c>
      <x:c r="B730" s="2" t="n">
        <x:v>202605</x:v>
      </x:c>
      <x:c r="C730" s="2" t="str">
        <x:v>61103099</x:v>
      </x:c>
      <x:c r="D730" s="2" t="str">
        <x:v>Pakistan</x:v>
      </x:c>
      <x:c r="E730" s="2" t="n">
        <x:v>551309</x:v>
      </x:c>
      <x:c r="F730" s="2" t="n">
        <x:v>29781</x:v>
      </x:c>
      <x:c r="G730" s="2" t="str">
        <x:v>WITHIN_BAND</x:v>
      </x:c>
      <x:c r="H730" s="2" t="n">
        <x:v>1</x:v>
      </x:c>
      <x:c r="I730" s="2"/>
      <x:c r="J730" s="2"/>
      <x:c r="K730" s="2"/>
      <x:c r="L730" s="2" t="n">
        <x:f>SUM(IF('Monthly_Data'!A386=A730,IF(ISBLANK('Monthly_Data'!A386)=ISBLANK(A730),0,1),1),IF('Monthly_Data'!B386=B730,IF(ISBLANK('Monthly_Data'!B386)=ISBLANK(B730),0,1),1),IF('Monthly_Data'!C386=C730,IF(ISBLANK('Monthly_Data'!C386)=ISBLANK(C730),0,1),1),IF('Monthly_Data'!D386=D730,IF(ISBLANK('Monthly_Data'!D386)=ISBLANK(D730),0,1),1),IF('Monthly_Data'!E386=E730,IF(ISBLANK('Monthly_Data'!E386)=ISBLANK(E730),0,1),1),IF('Monthly_Data'!F386=F730,IF(ISBLANK('Monthly_Data'!F386)=ISBLANK(F730),0,1),1),IF('Monthly_Data'!G386=G730,IF(ISBLANK('Monthly_Data'!G386)=ISBLANK(G730),0,1),1),IF('Monthly_Data'!H386=H730,IF(ISBLANK('Monthly_Data'!H386)=ISBLANK(H730),0,1),1))</x:f>
        <x:v>0</x:v>
      </x:c>
    </x:row>
    <x:row r="731" ht="23" customHeight="1">
      <x:c r="A731" s="2" t="str">
        <x:v>61103099_LK_202605_IMPORT</x:v>
      </x:c>
      <x:c r="B731" s="2" t="n">
        <x:v>202605</x:v>
      </x:c>
      <x:c r="C731" s="2" t="str">
        <x:v>61103099</x:v>
      </x:c>
      <x:c r="D731" s="2" t="str">
        <x:v>Sri Lanka</x:v>
      </x:c>
      <x:c r="E731" s="2" t="n">
        <x:v>193270</x:v>
      </x:c>
      <x:c r="F731" s="2" t="n">
        <x:v>9088</x:v>
      </x:c>
      <x:c r="G731" s="2" t="str">
        <x:v>WITHIN_BAND</x:v>
      </x:c>
      <x:c r="H731" s="2" t="n">
        <x:v>1</x:v>
      </x:c>
      <x:c r="I731" s="2"/>
      <x:c r="J731" s="2"/>
      <x:c r="K731" s="2"/>
      <x:c r="L731" s="2" t="n">
        <x:f>SUM(IF('Monthly_Data'!A387=A731,IF(ISBLANK('Monthly_Data'!A387)=ISBLANK(A731),0,1),1),IF('Monthly_Data'!B387=B731,IF(ISBLANK('Monthly_Data'!B387)=ISBLANK(B731),0,1),1),IF('Monthly_Data'!C387=C731,IF(ISBLANK('Monthly_Data'!C387)=ISBLANK(C731),0,1),1),IF('Monthly_Data'!D387=D731,IF(ISBLANK('Monthly_Data'!D387)=ISBLANK(D731),0,1),1),IF('Monthly_Data'!E387=E731,IF(ISBLANK('Monthly_Data'!E387)=ISBLANK(E731),0,1),1),IF('Monthly_Data'!F387=F731,IF(ISBLANK('Monthly_Data'!F387)=ISBLANK(F731),0,1),1),IF('Monthly_Data'!G387=G731,IF(ISBLANK('Monthly_Data'!G387)=ISBLANK(G731),0,1),1),IF('Monthly_Data'!H387=H731,IF(ISBLANK('Monthly_Data'!H387)=ISBLANK(H731),0,1),1))</x:f>
        <x:v>0</x:v>
      </x:c>
    </x:row>
    <x:row r="732" ht="23" customHeight="1">
      <x:c r="A732" s="2" t="str">
        <x:v>61103099_TR_202605_IMPORT</x:v>
      </x:c>
      <x:c r="B732" s="2" t="n">
        <x:v>202605</x:v>
      </x:c>
      <x:c r="C732" s="2" t="str">
        <x:v>61103099</x:v>
      </x:c>
      <x:c r="D732" s="2" t="str">
        <x:v>Turkey</x:v>
      </x:c>
      <x:c r="E732" s="2" t="n">
        <x:v>2191814</x:v>
      </x:c>
      <x:c r="F732" s="2" t="n">
        <x:v>631864</x:v>
      </x:c>
      <x:c r="G732" s="2" t="str">
        <x:v>REVIEW</x:v>
      </x:c>
      <x:c r="H732" s="2" t="n">
        <x:v>1</x:v>
      </x:c>
      <x:c r="I732" s="2"/>
      <x:c r="J732" s="2"/>
      <x:c r="K732" s="2"/>
      <x:c r="L732" s="2" t="n">
        <x:f>SUM(IF('Monthly_Data'!A388=A732,IF(ISBLANK('Monthly_Data'!A388)=ISBLANK(A732),0,1),1),IF('Monthly_Data'!B388=B732,IF(ISBLANK('Monthly_Data'!B388)=ISBLANK(B732),0,1),1),IF('Monthly_Data'!C388=C732,IF(ISBLANK('Monthly_Data'!C388)=ISBLANK(C732),0,1),1),IF('Monthly_Data'!D388=D732,IF(ISBLANK('Monthly_Data'!D388)=ISBLANK(D732),0,1),1),IF('Monthly_Data'!E388=E732,IF(ISBLANK('Monthly_Data'!E388)=ISBLANK(E732),0,1),1),IF('Monthly_Data'!F388=F732,IF(ISBLANK('Monthly_Data'!F388)=ISBLANK(F732),0,1),1),IF('Monthly_Data'!G388=G732,IF(ISBLANK('Monthly_Data'!G388)=ISBLANK(G732),0,1),1),IF('Monthly_Data'!H388=H732,IF(ISBLANK('Monthly_Data'!H388)=ISBLANK(H732),0,1),1))</x:f>
        <x:v>0</x:v>
      </x:c>
    </x:row>
    <x:row r="733" ht="23" customHeight="1">
      <x:c r="A733" s="2" t="str">
        <x:v>61103099_VN_202605_IMPORT</x:v>
      </x:c>
      <x:c r="B733" s="2" t="n">
        <x:v>202605</x:v>
      </x:c>
      <x:c r="C733" s="2" t="str">
        <x:v>61103099</x:v>
      </x:c>
      <x:c r="D733" s="2" t="str">
        <x:v>Vietnam</x:v>
      </x:c>
      <x:c r="E733" s="2" t="n">
        <x:v>1313624</x:v>
      </x:c>
      <x:c r="F733" s="2" t="n">
        <x:v>39935</x:v>
      </x:c>
      <x:c r="G733" s="2" t="str">
        <x:v>WITHIN_BAND</x:v>
      </x:c>
      <x:c r="H733" s="2" t="n">
        <x:v>1</x:v>
      </x:c>
      <x:c r="I733" s="2"/>
      <x:c r="J733" s="2"/>
      <x:c r="K733" s="2"/>
      <x:c r="L733" s="2" t="n">
        <x:f>SUM(IF('Monthly_Data'!A389=A733,IF(ISBLANK('Monthly_Data'!A389)=ISBLANK(A733),0,1),1),IF('Monthly_Data'!B389=B733,IF(ISBLANK('Monthly_Data'!B389)=ISBLANK(B733),0,1),1),IF('Monthly_Data'!C389=C733,IF(ISBLANK('Monthly_Data'!C389)=ISBLANK(C733),0,1),1),IF('Monthly_Data'!D389=D733,IF(ISBLANK('Monthly_Data'!D389)=ISBLANK(D733),0,1),1),IF('Monthly_Data'!E389=E733,IF(ISBLANK('Monthly_Data'!E389)=ISBLANK(E733),0,1),1),IF('Monthly_Data'!F389=F733,IF(ISBLANK('Monthly_Data'!F389)=ISBLANK(F733),0,1),1),IF('Monthly_Data'!G389=G733,IF(ISBLANK('Monthly_Data'!G389)=ISBLANK(G733),0,1),1),IF('Monthly_Data'!H389=H733,IF(ISBLANK('Monthly_Data'!H389)=ISBLANK(H733),0,1),1))</x:f>
        <x:v>0</x:v>
      </x:c>
    </x:row>
    <x:row r="734" ht="23" customHeight="1">
      <x:c r="A734" s="2" t="str">
        <x:v>61103099_WORLD_202605_IMPORT</x:v>
      </x:c>
      <x:c r="B734" s="2" t="n">
        <x:v>202605</x:v>
      </x:c>
      <x:c r="C734" s="2" t="str">
        <x:v>61103099</x:v>
      </x:c>
      <x:c r="D734" s="2" t="str">
        <x:v>World</x:v>
      </x:c>
      <x:c r="E734" s="2" t="n">
        <x:v>23331579</x:v>
      </x:c>
      <x:c r="F734" s="2" t="n">
        <x:v>1766138</x:v>
      </x:c>
      <x:c r="G734" s="2" t="str">
        <x:v>WITHIN_BAND</x:v>
      </x:c>
      <x:c r="H734" s="2" t="n">
        <x:v>1</x:v>
      </x:c>
      <x:c r="I734" s="2"/>
      <x:c r="J734" s="2"/>
      <x:c r="K734" s="2"/>
      <x:c r="L734" s="2" t="n">
        <x:f>SUM(IF('Monthly_Data'!A390=A734,IF(ISBLANK('Monthly_Data'!A390)=ISBLANK(A734),0,1),1),IF('Monthly_Data'!B390=B734,IF(ISBLANK('Monthly_Data'!B390)=ISBLANK(B734),0,1),1),IF('Monthly_Data'!C390=C734,IF(ISBLANK('Monthly_Data'!C390)=ISBLANK(C734),0,1),1),IF('Monthly_Data'!D390=D734,IF(ISBLANK('Monthly_Data'!D390)=ISBLANK(D734),0,1),1),IF('Monthly_Data'!E390=E734,IF(ISBLANK('Monthly_Data'!E390)=ISBLANK(E734),0,1),1),IF('Monthly_Data'!F390=F734,IF(ISBLANK('Monthly_Data'!F390)=ISBLANK(F734),0,1),1),IF('Monthly_Data'!G390=G734,IF(ISBLANK('Monthly_Data'!G390)=ISBLANK(G734),0,1),1),IF('Monthly_Data'!H390=H734,IF(ISBLANK('Monthly_Data'!H390)=ISBLANK(H734),0,1),1))</x:f>
        <x:v>0</x:v>
      </x:c>
    </x:row>
    <x:row r="735" ht="23" customHeight="1">
      <x:c r="A735" s="2" t="str">
        <x:v>61103099_BD_202606_IMPORT</x:v>
      </x:c>
      <x:c r="B735" s="2" t="n">
        <x:v>202606</x:v>
      </x:c>
      <x:c r="C735" s="2" t="str">
        <x:v>61103099</x:v>
      </x:c>
      <x:c r="D735" s="2" t="str">
        <x:v>Bangladesh</x:v>
      </x:c>
      <x:c r="E735" s="2" t="n">
        <x:v>10282822</x:v>
      </x:c>
      <x:c r="F735" s="2" t="n">
        <x:v>860225</x:v>
      </x:c>
      <x:c r="G735" s="2" t="str">
        <x:v>WITHIN_BAND</x:v>
      </x:c>
      <x:c r="H735" s="2" t="n">
        <x:v>1</x:v>
      </x:c>
      <x:c r="I735" s="2"/>
      <x:c r="J735" s="2"/>
      <x:c r="K735" s="2"/>
      <x:c r="L735" s="2" t="n">
        <x:f>SUM(IF('Monthly_Data'!A391=A735,IF(ISBLANK('Monthly_Data'!A391)=ISBLANK(A735),0,1),1),IF('Monthly_Data'!B391=B735,IF(ISBLANK('Monthly_Data'!B391)=ISBLANK(B735),0,1),1),IF('Monthly_Data'!C391=C735,IF(ISBLANK('Monthly_Data'!C391)=ISBLANK(C735),0,1),1),IF('Monthly_Data'!D391=D735,IF(ISBLANK('Monthly_Data'!D391)=ISBLANK(D735),0,1),1),IF('Monthly_Data'!E391=E735,IF(ISBLANK('Monthly_Data'!E391)=ISBLANK(E735),0,1),1),IF('Monthly_Data'!F391=F735,IF(ISBLANK('Monthly_Data'!F391)=ISBLANK(F735),0,1),1),IF('Monthly_Data'!G391=G735,IF(ISBLANK('Monthly_Data'!G391)=ISBLANK(G735),0,1),1),IF('Monthly_Data'!H391=H735,IF(ISBLANK('Monthly_Data'!H391)=ISBLANK(H735),0,1),1))</x:f>
        <x:v>0</x:v>
      </x:c>
    </x:row>
    <x:row r="736" ht="23" customHeight="1">
      <x:c r="A736" s="2" t="str">
        <x:v>61103099_KH_202606_IMPORT</x:v>
      </x:c>
      <x:c r="B736" s="2" t="n">
        <x:v>202606</x:v>
      </x:c>
      <x:c r="C736" s="2" t="str">
        <x:v>61103099</x:v>
      </x:c>
      <x:c r="D736" s="2" t="str">
        <x:v>Cambodia</x:v>
      </x:c>
      <x:c r="E736" s="2" t="n">
        <x:v>6491901</x:v>
      </x:c>
      <x:c r="F736" s="2" t="n">
        <x:v>555368</x:v>
      </x:c>
      <x:c r="G736" s="2" t="str">
        <x:v>WITHIN_BAND</x:v>
      </x:c>
      <x:c r="H736" s="2" t="n">
        <x:v>1</x:v>
      </x:c>
      <x:c r="I736" s="2"/>
      <x:c r="J736" s="2"/>
      <x:c r="K736" s="2"/>
      <x:c r="L736" s="2" t="n">
        <x:f>SUM(IF('Monthly_Data'!A392=A736,IF(ISBLANK('Monthly_Data'!A392)=ISBLANK(A736),0,1),1),IF('Monthly_Data'!B392=B736,IF(ISBLANK('Monthly_Data'!B392)=ISBLANK(B736),0,1),1),IF('Monthly_Data'!C392=C736,IF(ISBLANK('Monthly_Data'!C392)=ISBLANK(C736),0,1),1),IF('Monthly_Data'!D392=D736,IF(ISBLANK('Monthly_Data'!D392)=ISBLANK(D736),0,1),1),IF('Monthly_Data'!E392=E736,IF(ISBLANK('Monthly_Data'!E392)=ISBLANK(E736),0,1),1),IF('Monthly_Data'!F392=F736,IF(ISBLANK('Monthly_Data'!F392)=ISBLANK(F736),0,1),1),IF('Monthly_Data'!G392=G736,IF(ISBLANK('Monthly_Data'!G392)=ISBLANK(G736),0,1),1),IF('Monthly_Data'!H392=H736,IF(ISBLANK('Monthly_Data'!H392)=ISBLANK(H736),0,1),1))</x:f>
        <x:v>0</x:v>
      </x:c>
    </x:row>
    <x:row r="737" ht="23" customHeight="1">
      <x:c r="A737" s="2" t="str">
        <x:v>61103099_CN_202606_IMPORT</x:v>
      </x:c>
      <x:c r="B737" s="2" t="n">
        <x:v>202606</x:v>
      </x:c>
      <x:c r="C737" s="2" t="str">
        <x:v>61103099</x:v>
      </x:c>
      <x:c r="D737" s="2" t="str">
        <x:v>China</x:v>
      </x:c>
      <x:c r="E737" s="2" t="n">
        <x:v>6740184</x:v>
      </x:c>
      <x:c r="F737" s="2" t="n">
        <x:v>440948</x:v>
      </x:c>
      <x:c r="G737" s="2" t="str">
        <x:v>WITHIN_BAND</x:v>
      </x:c>
      <x:c r="H737" s="2" t="n">
        <x:v>1</x:v>
      </x:c>
      <x:c r="I737" s="2"/>
      <x:c r="J737" s="2"/>
      <x:c r="K737" s="2"/>
      <x:c r="L737" s="2" t="n">
        <x:f>SUM(IF('Monthly_Data'!A393=A737,IF(ISBLANK('Monthly_Data'!A393)=ISBLANK(A737),0,1),1),IF('Monthly_Data'!B393=B737,IF(ISBLANK('Monthly_Data'!B393)=ISBLANK(B737),0,1),1),IF('Monthly_Data'!C393=C737,IF(ISBLANK('Monthly_Data'!C393)=ISBLANK(C737),0,1),1),IF('Monthly_Data'!D393=D737,IF(ISBLANK('Monthly_Data'!D393)=ISBLANK(D737),0,1),1),IF('Monthly_Data'!E393=E737,IF(ISBLANK('Monthly_Data'!E393)=ISBLANK(E737),0,1),1),IF('Monthly_Data'!F393=F737,IF(ISBLANK('Monthly_Data'!F393)=ISBLANK(F737),0,1),1),IF('Monthly_Data'!G393=G737,IF(ISBLANK('Monthly_Data'!G393)=ISBLANK(G737),0,1),1),IF('Monthly_Data'!H393=H737,IF(ISBLANK('Monthly_Data'!H393)=ISBLANK(H737),0,1),1))</x:f>
        <x:v>0</x:v>
      </x:c>
    </x:row>
    <x:row r="738" ht="23" customHeight="1">
      <x:c r="A738" s="2" t="str">
        <x:v>61103099_IN_202606_IMPORT</x:v>
      </x:c>
      <x:c r="B738" s="2" t="n">
        <x:v>202606</x:v>
      </x:c>
      <x:c r="C738" s="2" t="str">
        <x:v>61103099</x:v>
      </x:c>
      <x:c r="D738" s="2" t="str">
        <x:v>India</x:v>
      </x:c>
      <x:c r="E738" s="2" t="n">
        <x:v>184144</x:v>
      </x:c>
      <x:c r="F738" s="2" t="n">
        <x:v>12806</x:v>
      </x:c>
      <x:c r="G738" s="2" t="str">
        <x:v>WITHIN_BAND</x:v>
      </x:c>
      <x:c r="H738" s="2" t="n">
        <x:v>1</x:v>
      </x:c>
      <x:c r="I738" s="2"/>
      <x:c r="J738" s="2"/>
      <x:c r="K738" s="2"/>
      <x:c r="L738" s="2" t="n">
        <x:f>SUM(IF('Monthly_Data'!A394=A738,IF(ISBLANK('Monthly_Data'!A394)=ISBLANK(A738),0,1),1),IF('Monthly_Data'!B394=B738,IF(ISBLANK('Monthly_Data'!B394)=ISBLANK(B738),0,1),1),IF('Monthly_Data'!C394=C738,IF(ISBLANK('Monthly_Data'!C394)=ISBLANK(C738),0,1),1),IF('Monthly_Data'!D394=D738,IF(ISBLANK('Monthly_Data'!D394)=ISBLANK(D738),0,1),1),IF('Monthly_Data'!E394=E738,IF(ISBLANK('Monthly_Data'!E394)=ISBLANK(E738),0,1),1),IF('Monthly_Data'!F394=F738,IF(ISBLANK('Monthly_Data'!F394)=ISBLANK(F738),0,1),1),IF('Monthly_Data'!G394=G738,IF(ISBLANK('Monthly_Data'!G394)=ISBLANK(G738),0,1),1),IF('Monthly_Data'!H394=H738,IF(ISBLANK('Monthly_Data'!H394)=ISBLANK(H738),0,1),1))</x:f>
        <x:v>0</x:v>
      </x:c>
    </x:row>
    <x:row r="739" ht="23" customHeight="1">
      <x:c r="A739" s="2" t="str">
        <x:v>61103099_MA_202606_IMPORT</x:v>
      </x:c>
      <x:c r="B739" s="2" t="n">
        <x:v>202606</x:v>
      </x:c>
      <x:c r="C739" s="2" t="str">
        <x:v>61103099</x:v>
      </x:c>
      <x:c r="D739" s="2" t="str">
        <x:v>Morocco</x:v>
      </x:c>
      <x:c r="E739" s="2" t="n">
        <x:v>27165</x:v>
      </x:c>
      <x:c r="F739" s="2" t="n">
        <x:v>1262</x:v>
      </x:c>
      <x:c r="G739" s="2" t="str">
        <x:v>WITHIN_BAND</x:v>
      </x:c>
      <x:c r="H739" s="2" t="n">
        <x:v>1</x:v>
      </x:c>
      <x:c r="I739" s="2"/>
      <x:c r="J739" s="2"/>
      <x:c r="K739" s="2"/>
      <x:c r="L739" s="2" t="n">
        <x:f>SUM(IF('Monthly_Data'!A395=A739,IF(ISBLANK('Monthly_Data'!A395)=ISBLANK(A739),0,1),1),IF('Monthly_Data'!B395=B739,IF(ISBLANK('Monthly_Data'!B395)=ISBLANK(B739),0,1),1),IF('Monthly_Data'!C395=C739,IF(ISBLANK('Monthly_Data'!C395)=ISBLANK(C739),0,1),1),IF('Monthly_Data'!D395=D739,IF(ISBLANK('Monthly_Data'!D395)=ISBLANK(D739),0,1),1),IF('Monthly_Data'!E395=E739,IF(ISBLANK('Monthly_Data'!E395)=ISBLANK(E739),0,1),1),IF('Monthly_Data'!F395=F739,IF(ISBLANK('Monthly_Data'!F395)=ISBLANK(F739),0,1),1),IF('Monthly_Data'!G395=G739,IF(ISBLANK('Monthly_Data'!G395)=ISBLANK(G739),0,1),1),IF('Monthly_Data'!H395=H739,IF(ISBLANK('Monthly_Data'!H395)=ISBLANK(H739),0,1),1))</x:f>
        <x:v>0</x:v>
      </x:c>
    </x:row>
    <x:row r="740" ht="23" customHeight="1">
      <x:c r="A740" s="2" t="str">
        <x:v>61103099_MM_202606_IMPORT</x:v>
      </x:c>
      <x:c r="B740" s="2" t="n">
        <x:v>202606</x:v>
      </x:c>
      <x:c r="C740" s="2" t="str">
        <x:v>61103099</x:v>
      </x:c>
      <x:c r="D740" s="2" t="str">
        <x:v>Myanmar</x:v>
      </x:c>
      <x:c r="E740" s="2" t="n">
        <x:v>110126</x:v>
      </x:c>
      <x:c r="F740" s="2" t="n">
        <x:v>5416</x:v>
      </x:c>
      <x:c r="G740" s="2" t="str">
        <x:v>WITHIN_BAND</x:v>
      </x:c>
      <x:c r="H740" s="2" t="n">
        <x:v>1</x:v>
      </x:c>
      <x:c r="I740" s="2"/>
      <x:c r="J740" s="2"/>
      <x:c r="K740" s="2"/>
      <x:c r="L740" s="2" t="n">
        <x:f>SUM(IF('Monthly_Data'!A396=A740,IF(ISBLANK('Monthly_Data'!A396)=ISBLANK(A740),0,1),1),IF('Monthly_Data'!B396=B740,IF(ISBLANK('Monthly_Data'!B396)=ISBLANK(B740),0,1),1),IF('Monthly_Data'!C396=C740,IF(ISBLANK('Monthly_Data'!C396)=ISBLANK(C740),0,1),1),IF('Monthly_Data'!D396=D740,IF(ISBLANK('Monthly_Data'!D396)=ISBLANK(D740),0,1),1),IF('Monthly_Data'!E396=E740,IF(ISBLANK('Monthly_Data'!E396)=ISBLANK(E740),0,1),1),IF('Monthly_Data'!F396=F740,IF(ISBLANK('Monthly_Data'!F396)=ISBLANK(F740),0,1),1),IF('Monthly_Data'!G396=G740,IF(ISBLANK('Monthly_Data'!G396)=ISBLANK(G740),0,1),1),IF('Monthly_Data'!H396=H740,IF(ISBLANK('Monthly_Data'!H396)=ISBLANK(H740),0,1),1))</x:f>
        <x:v>0</x:v>
      </x:c>
    </x:row>
    <x:row r="741" ht="23" customHeight="1">
      <x:c r="A741" s="2" t="str">
        <x:v>61103099_PK_202606_IMPORT</x:v>
      </x:c>
      <x:c r="B741" s="2" t="n">
        <x:v>202606</x:v>
      </x:c>
      <x:c r="C741" s="2" t="str">
        <x:v>61103099</x:v>
      </x:c>
      <x:c r="D741" s="2" t="str">
        <x:v>Pakistan</x:v>
      </x:c>
      <x:c r="E741" s="2" t="n">
        <x:v>421038</x:v>
      </x:c>
      <x:c r="F741" s="2" t="n">
        <x:v>26332</x:v>
      </x:c>
      <x:c r="G741" s="2" t="str">
        <x:v>WITHIN_BAND</x:v>
      </x:c>
      <x:c r="H741" s="2" t="n">
        <x:v>1</x:v>
      </x:c>
      <x:c r="I741" s="2"/>
      <x:c r="J741" s="2"/>
      <x:c r="K741" s="2"/>
      <x:c r="L741" s="2" t="n">
        <x:f>SUM(IF('Monthly_Data'!A397=A741,IF(ISBLANK('Monthly_Data'!A397)=ISBLANK(A741),0,1),1),IF('Monthly_Data'!B397=B741,IF(ISBLANK('Monthly_Data'!B397)=ISBLANK(B741),0,1),1),IF('Monthly_Data'!C397=C741,IF(ISBLANK('Monthly_Data'!C397)=ISBLANK(C741),0,1),1),IF('Monthly_Data'!D397=D741,IF(ISBLANK('Monthly_Data'!D397)=ISBLANK(D741),0,1),1),IF('Monthly_Data'!E397=E741,IF(ISBLANK('Monthly_Data'!E397)=ISBLANK(E741),0,1),1),IF('Monthly_Data'!F397=F741,IF(ISBLANK('Monthly_Data'!F397)=ISBLANK(F741),0,1),1),IF('Monthly_Data'!G397=G741,IF(ISBLANK('Monthly_Data'!G397)=ISBLANK(G741),0,1),1),IF('Monthly_Data'!H397=H741,IF(ISBLANK('Monthly_Data'!H397)=ISBLANK(H741),0,1),1))</x:f>
        <x:v>0</x:v>
      </x:c>
    </x:row>
    <x:row r="742" ht="23" customHeight="1">
      <x:c r="A742" s="2" t="str">
        <x:v>61103099_LK_202606_IMPORT</x:v>
      </x:c>
      <x:c r="B742" s="2" t="n">
        <x:v>202606</x:v>
      </x:c>
      <x:c r="C742" s="2" t="str">
        <x:v>61103099</x:v>
      </x:c>
      <x:c r="D742" s="2" t="str">
        <x:v>Sri Lanka</x:v>
      </x:c>
      <x:c r="E742" s="2" t="n">
        <x:v>154342</x:v>
      </x:c>
      <x:c r="F742" s="2" t="n">
        <x:v>6007</x:v>
      </x:c>
      <x:c r="G742" s="2" t="str">
        <x:v>WITHIN_BAND</x:v>
      </x:c>
      <x:c r="H742" s="2" t="n">
        <x:v>1</x:v>
      </x:c>
      <x:c r="I742" s="2"/>
      <x:c r="J742" s="2"/>
      <x:c r="K742" s="2"/>
      <x:c r="L742" s="2" t="n">
        <x:f>SUM(IF('Monthly_Data'!A398=A742,IF(ISBLANK('Monthly_Data'!A398)=ISBLANK(A742),0,1),1),IF('Monthly_Data'!B398=B742,IF(ISBLANK('Monthly_Data'!B398)=ISBLANK(B742),0,1),1),IF('Monthly_Data'!C398=C742,IF(ISBLANK('Monthly_Data'!C398)=ISBLANK(C742),0,1),1),IF('Monthly_Data'!D398=D742,IF(ISBLANK('Monthly_Data'!D398)=ISBLANK(D742),0,1),1),IF('Monthly_Data'!E398=E742,IF(ISBLANK('Monthly_Data'!E398)=ISBLANK(E742),0,1),1),IF('Monthly_Data'!F398=F742,IF(ISBLANK('Monthly_Data'!F398)=ISBLANK(F742),0,1),1),IF('Monthly_Data'!G398=G742,IF(ISBLANK('Monthly_Data'!G398)=ISBLANK(G742),0,1),1),IF('Monthly_Data'!H398=H742,IF(ISBLANK('Monthly_Data'!H398)=ISBLANK(H742),0,1),1))</x:f>
        <x:v>0</x:v>
      </x:c>
    </x:row>
    <x:row r="743" ht="23" customHeight="1">
      <x:c r="A743" s="2" t="str">
        <x:v>61103099_TR_202606_IMPORT</x:v>
      </x:c>
      <x:c r="B743" s="2" t="n">
        <x:v>202606</x:v>
      </x:c>
      <x:c r="C743" s="2" t="str">
        <x:v>61103099</x:v>
      </x:c>
      <x:c r="D743" s="2" t="str">
        <x:v>Turkey</x:v>
      </x:c>
      <x:c r="E743" s="2" t="n">
        <x:v>2137912</x:v>
      </x:c>
      <x:c r="F743" s="2" t="n">
        <x:v>127263</x:v>
      </x:c>
      <x:c r="G743" s="2" t="str">
        <x:v>WITHIN_BAND</x:v>
      </x:c>
      <x:c r="H743" s="2" t="n">
        <x:v>1</x:v>
      </x:c>
      <x:c r="I743" s="2"/>
      <x:c r="J743" s="2"/>
      <x:c r="K743" s="2"/>
      <x:c r="L743" s="2" t="n">
        <x:f>SUM(IF('Monthly_Data'!A399=A743,IF(ISBLANK('Monthly_Data'!A399)=ISBLANK(A743),0,1),1),IF('Monthly_Data'!B399=B743,IF(ISBLANK('Monthly_Data'!B399)=ISBLANK(B743),0,1),1),IF('Monthly_Data'!C399=C743,IF(ISBLANK('Monthly_Data'!C399)=ISBLANK(C743),0,1),1),IF('Monthly_Data'!D399=D743,IF(ISBLANK('Monthly_Data'!D399)=ISBLANK(D743),0,1),1),IF('Monthly_Data'!E399=E743,IF(ISBLANK('Monthly_Data'!E399)=ISBLANK(E743),0,1),1),IF('Monthly_Data'!F399=F743,IF(ISBLANK('Monthly_Data'!F399)=ISBLANK(F743),0,1),1),IF('Monthly_Data'!G399=G743,IF(ISBLANK('Monthly_Data'!G399)=ISBLANK(G743),0,1),1),IF('Monthly_Data'!H399=H743,IF(ISBLANK('Monthly_Data'!H399)=ISBLANK(H743),0,1),1))</x:f>
        <x:v>0</x:v>
      </x:c>
    </x:row>
    <x:row r="744" ht="23" customHeight="1">
      <x:c r="A744" s="2" t="str">
        <x:v>61103099_VN_202606_IMPORT</x:v>
      </x:c>
      <x:c r="B744" s="2" t="n">
        <x:v>202606</x:v>
      </x:c>
      <x:c r="C744" s="2" t="str">
        <x:v>61103099</x:v>
      </x:c>
      <x:c r="D744" s="2" t="str">
        <x:v>Vietnam</x:v>
      </x:c>
      <x:c r="E744" s="2" t="n">
        <x:v>923845</x:v>
      </x:c>
      <x:c r="F744" s="2" t="n">
        <x:v>23839</x:v>
      </x:c>
      <x:c r="G744" s="2" t="str">
        <x:v>WITHIN_BAND</x:v>
      </x:c>
      <x:c r="H744" s="2" t="n">
        <x:v>1</x:v>
      </x:c>
      <x:c r="I744" s="2"/>
      <x:c r="J744" s="2"/>
      <x:c r="K744" s="2"/>
      <x:c r="L744" s="2" t="n">
        <x:f>SUM(IF('Monthly_Data'!A400=A744,IF(ISBLANK('Monthly_Data'!A400)=ISBLANK(A744),0,1),1),IF('Monthly_Data'!B400=B744,IF(ISBLANK('Monthly_Data'!B400)=ISBLANK(B744),0,1),1),IF('Monthly_Data'!C400=C744,IF(ISBLANK('Monthly_Data'!C400)=ISBLANK(C744),0,1),1),IF('Monthly_Data'!D400=D744,IF(ISBLANK('Monthly_Data'!D400)=ISBLANK(D744),0,1),1),IF('Monthly_Data'!E400=E744,IF(ISBLANK('Monthly_Data'!E400)=ISBLANK(E744),0,1),1),IF('Monthly_Data'!F400=F744,IF(ISBLANK('Monthly_Data'!F400)=ISBLANK(F744),0,1),1),IF('Monthly_Data'!G400=G744,IF(ISBLANK('Monthly_Data'!G400)=ISBLANK(G744),0,1),1),IF('Monthly_Data'!H400=H744,IF(ISBLANK('Monthly_Data'!H400)=ISBLANK(H744),0,1),1))</x:f>
        <x:v>0</x:v>
      </x:c>
    </x:row>
    <x:row r="745" ht="23" customHeight="1">
      <x:c r="A745" s="2" t="str">
        <x:v>61103099_WORLD_202606_IMPORT</x:v>
      </x:c>
      <x:c r="B745" s="2" t="n">
        <x:v>202606</x:v>
      </x:c>
      <x:c r="C745" s="2" t="str">
        <x:v>61103099</x:v>
      </x:c>
      <x:c r="D745" s="2" t="str">
        <x:v>World</x:v>
      </x:c>
      <x:c r="E745" s="2" t="n">
        <x:v>34636977</x:v>
      </x:c>
      <x:c r="F745" s="2" t="n">
        <x:v>2431050</x:v>
      </x:c>
      <x:c r="G745" s="2" t="str">
        <x:v>WITHIN_BAND</x:v>
      </x:c>
      <x:c r="H745" s="2" t="n">
        <x:v>1</x:v>
      </x:c>
      <x:c r="I745" s="2"/>
      <x:c r="J745" s="2"/>
      <x:c r="K745" s="2"/>
      <x:c r="L745" s="2" t="n">
        <x:f>SUM(IF('Monthly_Data'!A401=A745,IF(ISBLANK('Monthly_Data'!A401)=ISBLANK(A745),0,1),1),IF('Monthly_Data'!B401=B745,IF(ISBLANK('Monthly_Data'!B401)=ISBLANK(B745),0,1),1),IF('Monthly_Data'!C401=C745,IF(ISBLANK('Monthly_Data'!C401)=ISBLANK(C745),0,1),1),IF('Monthly_Data'!D401=D745,IF(ISBLANK('Monthly_Data'!D401)=ISBLANK(D745),0,1),1),IF('Monthly_Data'!E401=E745,IF(ISBLANK('Monthly_Data'!E401)=ISBLANK(E745),0,1),1),IF('Monthly_Data'!F401=F745,IF(ISBLANK('Monthly_Data'!F401)=ISBLANK(F745),0,1),1),IF('Monthly_Data'!G401=G745,IF(ISBLANK('Monthly_Data'!G401)=ISBLANK(G745),0,1),1),IF('Monthly_Data'!H401=H745,IF(ISBLANK('Monthly_Data'!H401)=ISBLANK(H745),0,1),1))</x:f>
        <x:v>0</x:v>
      </x:c>
    </x:row>
    <x:row r="746" ht="23" customHeight="1">
      <x:c r="A746" s="2" t="str">
        <x:v>62044300_BD_202501_IMPORT</x:v>
      </x:c>
      <x:c r="B746" s="2" t="n">
        <x:v>202501</x:v>
      </x:c>
      <x:c r="C746" s="2" t="str">
        <x:v>62044300</x:v>
      </x:c>
      <x:c r="D746" s="2" t="str">
        <x:v>Bangladesh</x:v>
      </x:c>
      <x:c r="E746" s="2" t="n">
        <x:v>589186</x:v>
      </x:c>
      <x:c r="F746" s="2" t="n">
        <x:v>32441</x:v>
      </x:c>
      <x:c r="G746" s="2" t="str">
        <x:v>WITHIN_BAND</x:v>
      </x:c>
      <x:c r="H746" s="2" t="n">
        <x:v>1</x:v>
      </x:c>
      <x:c r="I746" s="2"/>
      <x:c r="J746" s="2"/>
      <x:c r="K746" s="2"/>
      <x:c r="L746" s="2" t="n">
        <x:f>SUM(IF('Monthly_Data'!A402=A746,IF(ISBLANK('Monthly_Data'!A402)=ISBLANK(A746),0,1),1),IF('Monthly_Data'!B402=B746,IF(ISBLANK('Monthly_Data'!B402)=ISBLANK(B746),0,1),1),IF('Monthly_Data'!C402=C746,IF(ISBLANK('Monthly_Data'!C402)=ISBLANK(C746),0,1),1),IF('Monthly_Data'!D402=D746,IF(ISBLANK('Monthly_Data'!D402)=ISBLANK(D746),0,1),1),IF('Monthly_Data'!E402=E746,IF(ISBLANK('Monthly_Data'!E402)=ISBLANK(E746),0,1),1),IF('Monthly_Data'!F402=F746,IF(ISBLANK('Monthly_Data'!F402)=ISBLANK(F746),0,1),1),IF('Monthly_Data'!G402=G746,IF(ISBLANK('Monthly_Data'!G402)=ISBLANK(G746),0,1),1),IF('Monthly_Data'!H402=H746,IF(ISBLANK('Monthly_Data'!H402)=ISBLANK(H746),0,1),1))</x:f>
        <x:v>0</x:v>
      </x:c>
    </x:row>
    <x:row r="747" ht="23" customHeight="1">
      <x:c r="A747" s="2" t="str">
        <x:v>62044300_KH_202501_IMPORT</x:v>
      </x:c>
      <x:c r="B747" s="2" t="n">
        <x:v>202501</x:v>
      </x:c>
      <x:c r="C747" s="2" t="str">
        <x:v>62044300</x:v>
      </x:c>
      <x:c r="D747" s="2" t="str">
        <x:v>Cambodia</x:v>
      </x:c>
      <x:c r="E747" s="2" t="n">
        <x:v>93792</x:v>
      </x:c>
      <x:c r="F747" s="2" t="n">
        <x:v>4569</x:v>
      </x:c>
      <x:c r="G747" s="2" t="str">
        <x:v>WITHIN_BAND</x:v>
      </x:c>
      <x:c r="H747" s="2" t="n">
        <x:v>1</x:v>
      </x:c>
      <x:c r="I747" s="2"/>
      <x:c r="J747" s="2"/>
      <x:c r="K747" s="2"/>
      <x:c r="L747" s="2" t="n">
        <x:f>SUM(IF('Monthly_Data'!A403=A747,IF(ISBLANK('Monthly_Data'!A403)=ISBLANK(A747),0,1),1),IF('Monthly_Data'!B403=B747,IF(ISBLANK('Monthly_Data'!B403)=ISBLANK(B747),0,1),1),IF('Monthly_Data'!C403=C747,IF(ISBLANK('Monthly_Data'!C403)=ISBLANK(C747),0,1),1),IF('Monthly_Data'!D403=D747,IF(ISBLANK('Monthly_Data'!D403)=ISBLANK(D747),0,1),1),IF('Monthly_Data'!E403=E747,IF(ISBLANK('Monthly_Data'!E403)=ISBLANK(E747),0,1),1),IF('Monthly_Data'!F403=F747,IF(ISBLANK('Monthly_Data'!F403)=ISBLANK(F747),0,1),1),IF('Monthly_Data'!G403=G747,IF(ISBLANK('Monthly_Data'!G403)=ISBLANK(G747),0,1),1),IF('Monthly_Data'!H403=H747,IF(ISBLANK('Monthly_Data'!H403)=ISBLANK(H747),0,1),1))</x:f>
        <x:v>0</x:v>
      </x:c>
    </x:row>
    <x:row r="748" ht="23" customHeight="1">
      <x:c r="A748" s="2" t="str">
        <x:v>62044300_CN_202501_IMPORT</x:v>
      </x:c>
      <x:c r="B748" s="2" t="n">
        <x:v>202501</x:v>
      </x:c>
      <x:c r="C748" s="2" t="str">
        <x:v>62044300</x:v>
      </x:c>
      <x:c r="D748" s="2" t="str">
        <x:v>China</x:v>
      </x:c>
      <x:c r="E748" s="2" t="n">
        <x:v>8463720</x:v>
      </x:c>
      <x:c r="F748" s="2" t="n">
        <x:v>262408</x:v>
      </x:c>
      <x:c r="G748" s="2" t="str">
        <x:v>WITHIN_BAND</x:v>
      </x:c>
      <x:c r="H748" s="2" t="n">
        <x:v>1</x:v>
      </x:c>
      <x:c r="I748" s="2"/>
      <x:c r="J748" s="2"/>
      <x:c r="K748" s="2"/>
      <x:c r="L748" s="2" t="n">
        <x:f>SUM(IF('Monthly_Data'!A404=A748,IF(ISBLANK('Monthly_Data'!A404)=ISBLANK(A748),0,1),1),IF('Monthly_Data'!B404=B748,IF(ISBLANK('Monthly_Data'!B404)=ISBLANK(B748),0,1),1),IF('Monthly_Data'!C404=C748,IF(ISBLANK('Monthly_Data'!C404)=ISBLANK(C748),0,1),1),IF('Monthly_Data'!D404=D748,IF(ISBLANK('Monthly_Data'!D404)=ISBLANK(D748),0,1),1),IF('Monthly_Data'!E404=E748,IF(ISBLANK('Monthly_Data'!E404)=ISBLANK(E748),0,1),1),IF('Monthly_Data'!F404=F748,IF(ISBLANK('Monthly_Data'!F404)=ISBLANK(F748),0,1),1),IF('Monthly_Data'!G404=G748,IF(ISBLANK('Monthly_Data'!G404)=ISBLANK(G748),0,1),1),IF('Monthly_Data'!H404=H748,IF(ISBLANK('Monthly_Data'!H404)=ISBLANK(H748),0,1),1))</x:f>
        <x:v>0</x:v>
      </x:c>
    </x:row>
    <x:row r="749" ht="23" customHeight="1">
      <x:c r="A749" s="2" t="str">
        <x:v>62044300_IN_202501_IMPORT</x:v>
      </x:c>
      <x:c r="B749" s="2" t="n">
        <x:v>202501</x:v>
      </x:c>
      <x:c r="C749" s="2" t="str">
        <x:v>62044300</x:v>
      </x:c>
      <x:c r="D749" s="2" t="str">
        <x:v>India</x:v>
      </x:c>
      <x:c r="E749" s="2" t="n">
        <x:v>2513659</x:v>
      </x:c>
      <x:c r="F749" s="2" t="n">
        <x:v>81159</x:v>
      </x:c>
      <x:c r="G749" s="2" t="str">
        <x:v>WITHIN_BAND</x:v>
      </x:c>
      <x:c r="H749" s="2" t="n">
        <x:v>1</x:v>
      </x:c>
      <x:c r="I749" s="2"/>
      <x:c r="J749" s="2"/>
      <x:c r="K749" s="2"/>
      <x:c r="L749" s="2" t="n">
        <x:f>SUM(IF('Monthly_Data'!A405=A749,IF(ISBLANK('Monthly_Data'!A405)=ISBLANK(A749),0,1),1),IF('Monthly_Data'!B405=B749,IF(ISBLANK('Monthly_Data'!B405)=ISBLANK(B749),0,1),1),IF('Monthly_Data'!C405=C749,IF(ISBLANK('Monthly_Data'!C405)=ISBLANK(C749),0,1),1),IF('Monthly_Data'!D405=D749,IF(ISBLANK('Monthly_Data'!D405)=ISBLANK(D749),0,1),1),IF('Monthly_Data'!E405=E749,IF(ISBLANK('Monthly_Data'!E405)=ISBLANK(E749),0,1),1),IF('Monthly_Data'!F405=F749,IF(ISBLANK('Monthly_Data'!F405)=ISBLANK(F749),0,1),1),IF('Monthly_Data'!G405=G749,IF(ISBLANK('Monthly_Data'!G405)=ISBLANK(G749),0,1),1),IF('Monthly_Data'!H405=H749,IF(ISBLANK('Monthly_Data'!H405)=ISBLANK(H749),0,1),1))</x:f>
        <x:v>0</x:v>
      </x:c>
    </x:row>
    <x:row r="750" ht="23" customHeight="1">
      <x:c r="A750" s="2" t="str">
        <x:v>62044300_MA_202501_IMPORT</x:v>
      </x:c>
      <x:c r="B750" s="2" t="n">
        <x:v>202501</x:v>
      </x:c>
      <x:c r="C750" s="2" t="str">
        <x:v>62044300</x:v>
      </x:c>
      <x:c r="D750" s="2" t="str">
        <x:v>Morocco</x:v>
      </x:c>
      <x:c r="E750" s="2" t="n">
        <x:v>1070168</x:v>
      </x:c>
      <x:c r="F750" s="2" t="n">
        <x:v>48052</x:v>
      </x:c>
      <x:c r="G750" s="2" t="str">
        <x:v>WITHIN_BAND</x:v>
      </x:c>
      <x:c r="H750" s="2" t="n">
        <x:v>1</x:v>
      </x:c>
      <x:c r="I750" s="2"/>
      <x:c r="J750" s="2"/>
      <x:c r="K750" s="2"/>
      <x:c r="L750" s="2" t="n">
        <x:f>SUM(IF('Monthly_Data'!A406=A750,IF(ISBLANK('Monthly_Data'!A406)=ISBLANK(A750),0,1),1),IF('Monthly_Data'!B406=B750,IF(ISBLANK('Monthly_Data'!B406)=ISBLANK(B750),0,1),1),IF('Monthly_Data'!C406=C750,IF(ISBLANK('Monthly_Data'!C406)=ISBLANK(C750),0,1),1),IF('Monthly_Data'!D406=D750,IF(ISBLANK('Monthly_Data'!D406)=ISBLANK(D750),0,1),1),IF('Monthly_Data'!E406=E750,IF(ISBLANK('Monthly_Data'!E406)=ISBLANK(E750),0,1),1),IF('Monthly_Data'!F406=F750,IF(ISBLANK('Monthly_Data'!F406)=ISBLANK(F750),0,1),1),IF('Monthly_Data'!G406=G750,IF(ISBLANK('Monthly_Data'!G406)=ISBLANK(G750),0,1),1),IF('Monthly_Data'!H406=H750,IF(ISBLANK('Monthly_Data'!H406)=ISBLANK(H750),0,1),1))</x:f>
        <x:v>0</x:v>
      </x:c>
    </x:row>
    <x:row r="751" ht="23" customHeight="1">
      <x:c r="A751" s="2" t="str">
        <x:v>62044300_MM_202501_IMPORT</x:v>
      </x:c>
      <x:c r="B751" s="2" t="n">
        <x:v>202501</x:v>
      </x:c>
      <x:c r="C751" s="2" t="str">
        <x:v>62044300</x:v>
      </x:c>
      <x:c r="D751" s="2" t="str">
        <x:v>Myanmar</x:v>
      </x:c>
      <x:c r="E751" s="2" t="n">
        <x:v>537876</x:v>
      </x:c>
      <x:c r="F751" s="2" t="n">
        <x:v>7439</x:v>
      </x:c>
      <x:c r="G751" s="2" t="str">
        <x:v>WITHIN_BAND</x:v>
      </x:c>
      <x:c r="H751" s="2" t="n">
        <x:v>1</x:v>
      </x:c>
      <x:c r="I751" s="2"/>
      <x:c r="J751" s="2"/>
      <x:c r="K751" s="2"/>
      <x:c r="L751" s="2" t="n">
        <x:f>SUM(IF('Monthly_Data'!A407=A751,IF(ISBLANK('Monthly_Data'!A407)=ISBLANK(A751),0,1),1),IF('Monthly_Data'!B407=B751,IF(ISBLANK('Monthly_Data'!B407)=ISBLANK(B751),0,1),1),IF('Monthly_Data'!C407=C751,IF(ISBLANK('Monthly_Data'!C407)=ISBLANK(C751),0,1),1),IF('Monthly_Data'!D407=D751,IF(ISBLANK('Monthly_Data'!D407)=ISBLANK(D751),0,1),1),IF('Monthly_Data'!E407=E751,IF(ISBLANK('Monthly_Data'!E407)=ISBLANK(E751),0,1),1),IF('Monthly_Data'!F407=F751,IF(ISBLANK('Monthly_Data'!F407)=ISBLANK(F751),0,1),1),IF('Monthly_Data'!G407=G751,IF(ISBLANK('Monthly_Data'!G407)=ISBLANK(G751),0,1),1),IF('Monthly_Data'!H407=H751,IF(ISBLANK('Monthly_Data'!H407)=ISBLANK(H751),0,1),1))</x:f>
        <x:v>0</x:v>
      </x:c>
    </x:row>
    <x:row r="752" ht="23" customHeight="1">
      <x:c r="A752" s="2" t="str">
        <x:v>62044300_PK_202501_IMPORT</x:v>
      </x:c>
      <x:c r="B752" s="2" t="n">
        <x:v>202501</x:v>
      </x:c>
      <x:c r="C752" s="2" t="str">
        <x:v>62044300</x:v>
      </x:c>
      <x:c r="D752" s="2" t="str">
        <x:v>Pakistan</x:v>
      </x:c>
      <x:c r="E752" s="2" t="n">
        <x:v>207731</x:v>
      </x:c>
      <x:c r="F752" s="2" t="n">
        <x:v>8259</x:v>
      </x:c>
      <x:c r="G752" s="2" t="str">
        <x:v>WITHIN_BAND</x:v>
      </x:c>
      <x:c r="H752" s="2" t="n">
        <x:v>1</x:v>
      </x:c>
      <x:c r="I752" s="2"/>
      <x:c r="J752" s="2"/>
      <x:c r="K752" s="2"/>
      <x:c r="L752" s="2" t="n">
        <x:f>SUM(IF('Monthly_Data'!A408=A752,IF(ISBLANK('Monthly_Data'!A408)=ISBLANK(A752),0,1),1),IF('Monthly_Data'!B408=B752,IF(ISBLANK('Monthly_Data'!B408)=ISBLANK(B752),0,1),1),IF('Monthly_Data'!C408=C752,IF(ISBLANK('Monthly_Data'!C408)=ISBLANK(C752),0,1),1),IF('Monthly_Data'!D408=D752,IF(ISBLANK('Monthly_Data'!D408)=ISBLANK(D752),0,1),1),IF('Monthly_Data'!E408=E752,IF(ISBLANK('Monthly_Data'!E408)=ISBLANK(E752),0,1),1),IF('Monthly_Data'!F408=F752,IF(ISBLANK('Monthly_Data'!F408)=ISBLANK(F752),0,1),1),IF('Monthly_Data'!G408=G752,IF(ISBLANK('Monthly_Data'!G408)=ISBLANK(G752),0,1),1),IF('Monthly_Data'!H408=H752,IF(ISBLANK('Monthly_Data'!H408)=ISBLANK(H752),0,1),1))</x:f>
        <x:v>0</x:v>
      </x:c>
    </x:row>
    <x:row r="753" ht="23" customHeight="1">
      <x:c r="A753" s="2" t="str">
        <x:v>62044300_LK_202501_IMPORT</x:v>
      </x:c>
      <x:c r="B753" s="2" t="n">
        <x:v>202501</x:v>
      </x:c>
      <x:c r="C753" s="2" t="str">
        <x:v>62044300</x:v>
      </x:c>
      <x:c r="D753" s="2" t="str">
        <x:v>Sri Lanka</x:v>
      </x:c>
      <x:c r="E753" s="2" t="n">
        <x:v>829838</x:v>
      </x:c>
      <x:c r="F753" s="2" t="n">
        <x:v>37582</x:v>
      </x:c>
      <x:c r="G753" s="2" t="str">
        <x:v>WITHIN_BAND</x:v>
      </x:c>
      <x:c r="H753" s="2" t="n">
        <x:v>1</x:v>
      </x:c>
      <x:c r="I753" s="2"/>
      <x:c r="J753" s="2"/>
      <x:c r="K753" s="2"/>
      <x:c r="L753" s="2" t="n">
        <x:f>SUM(IF('Monthly_Data'!A409=A753,IF(ISBLANK('Monthly_Data'!A409)=ISBLANK(A753),0,1),1),IF('Monthly_Data'!B409=B753,IF(ISBLANK('Monthly_Data'!B409)=ISBLANK(B753),0,1),1),IF('Monthly_Data'!C409=C753,IF(ISBLANK('Monthly_Data'!C409)=ISBLANK(C753),0,1),1),IF('Monthly_Data'!D409=D753,IF(ISBLANK('Monthly_Data'!D409)=ISBLANK(D753),0,1),1),IF('Monthly_Data'!E409=E753,IF(ISBLANK('Monthly_Data'!E409)=ISBLANK(E753),0,1),1),IF('Monthly_Data'!F409=F753,IF(ISBLANK('Monthly_Data'!F409)=ISBLANK(F753),0,1),1),IF('Monthly_Data'!G409=G753,IF(ISBLANK('Monthly_Data'!G409)=ISBLANK(G753),0,1),1),IF('Monthly_Data'!H409=H753,IF(ISBLANK('Monthly_Data'!H409)=ISBLANK(H753),0,1),1))</x:f>
        <x:v>0</x:v>
      </x:c>
    </x:row>
    <x:row r="754" ht="23" customHeight="1">
      <x:c r="A754" s="2" t="str">
        <x:v>62044300_TR_202501_IMPORT</x:v>
      </x:c>
      <x:c r="B754" s="2" t="n">
        <x:v>202501</x:v>
      </x:c>
      <x:c r="C754" s="2" t="str">
        <x:v>62044300</x:v>
      </x:c>
      <x:c r="D754" s="2" t="str">
        <x:v>Turkey</x:v>
      </x:c>
      <x:c r="E754" s="2" t="n">
        <x:v>924890</x:v>
      </x:c>
      <x:c r="F754" s="2" t="n">
        <x:v>25248</x:v>
      </x:c>
      <x:c r="G754" s="2" t="str">
        <x:v>WITHIN_BAND</x:v>
      </x:c>
      <x:c r="H754" s="2" t="n">
        <x:v>1</x:v>
      </x:c>
      <x:c r="I754" s="2"/>
      <x:c r="J754" s="2"/>
      <x:c r="K754" s="2"/>
      <x:c r="L754" s="2" t="n">
        <x:f>SUM(IF('Monthly_Data'!A410=A754,IF(ISBLANK('Monthly_Data'!A410)=ISBLANK(A754),0,1),1),IF('Monthly_Data'!B410=B754,IF(ISBLANK('Monthly_Data'!B410)=ISBLANK(B754),0,1),1),IF('Monthly_Data'!C410=C754,IF(ISBLANK('Monthly_Data'!C410)=ISBLANK(C754),0,1),1),IF('Monthly_Data'!D410=D754,IF(ISBLANK('Monthly_Data'!D410)=ISBLANK(D754),0,1),1),IF('Monthly_Data'!E410=E754,IF(ISBLANK('Monthly_Data'!E410)=ISBLANK(E754),0,1),1),IF('Monthly_Data'!F410=F754,IF(ISBLANK('Monthly_Data'!F410)=ISBLANK(F754),0,1),1),IF('Monthly_Data'!G410=G754,IF(ISBLANK('Monthly_Data'!G410)=ISBLANK(G754),0,1),1),IF('Monthly_Data'!H410=H754,IF(ISBLANK('Monthly_Data'!H410)=ISBLANK(H754),0,1),1))</x:f>
        <x:v>0</x:v>
      </x:c>
    </x:row>
    <x:row r="755" ht="23" customHeight="1">
      <x:c r="A755" s="2" t="str">
        <x:v>62044300_VN_202501_IMPORT</x:v>
      </x:c>
      <x:c r="B755" s="2" t="n">
        <x:v>202501</x:v>
      </x:c>
      <x:c r="C755" s="2" t="str">
        <x:v>62044300</x:v>
      </x:c>
      <x:c r="D755" s="2" t="str">
        <x:v>Vietnam</x:v>
      </x:c>
      <x:c r="E755" s="2" t="n">
        <x:v>872493</x:v>
      </x:c>
      <x:c r="F755" s="2" t="n">
        <x:v>30995</x:v>
      </x:c>
      <x:c r="G755" s="2" t="str">
        <x:v>WITHIN_BAND</x:v>
      </x:c>
      <x:c r="H755" s="2" t="n">
        <x:v>1</x:v>
      </x:c>
      <x:c r="I755" s="2"/>
      <x:c r="J755" s="2"/>
      <x:c r="K755" s="2"/>
      <x:c r="L755" s="2" t="n">
        <x:f>SUM(IF('Monthly_Data'!A411=A755,IF(ISBLANK('Monthly_Data'!A411)=ISBLANK(A755),0,1),1),IF('Monthly_Data'!B411=B755,IF(ISBLANK('Monthly_Data'!B411)=ISBLANK(B755),0,1),1),IF('Monthly_Data'!C411=C755,IF(ISBLANK('Monthly_Data'!C411)=ISBLANK(C755),0,1),1),IF('Monthly_Data'!D411=D755,IF(ISBLANK('Monthly_Data'!D411)=ISBLANK(D755),0,1),1),IF('Monthly_Data'!E411=E755,IF(ISBLANK('Monthly_Data'!E411)=ISBLANK(E755),0,1),1),IF('Monthly_Data'!F411=F755,IF(ISBLANK('Monthly_Data'!F411)=ISBLANK(F755),0,1),1),IF('Monthly_Data'!G411=G755,IF(ISBLANK('Monthly_Data'!G411)=ISBLANK(G755),0,1),1),IF('Monthly_Data'!H411=H755,IF(ISBLANK('Monthly_Data'!H411)=ISBLANK(H755),0,1),1))</x:f>
        <x:v>0</x:v>
      </x:c>
    </x:row>
    <x:row r="756" ht="23" customHeight="1">
      <x:c r="A756" s="2" t="str">
        <x:v>62044300_WORLD_202501_IMPORT</x:v>
      </x:c>
      <x:c r="B756" s="2" t="n">
        <x:v>202501</x:v>
      </x:c>
      <x:c r="C756" s="2" t="str">
        <x:v>62044300</x:v>
      </x:c>
      <x:c r="D756" s="2" t="str">
        <x:v>World</x:v>
      </x:c>
      <x:c r="E756" s="2" t="n">
        <x:v>25940775</x:v>
      </x:c>
      <x:c r="F756" s="2" t="n">
        <x:v>712071</x:v>
      </x:c>
      <x:c r="G756" s="2" t="str">
        <x:v>WITHIN_BAND</x:v>
      </x:c>
      <x:c r="H756" s="2" t="n">
        <x:v>1</x:v>
      </x:c>
      <x:c r="I756" s="2"/>
      <x:c r="J756" s="2"/>
      <x:c r="K756" s="2"/>
      <x:c r="L756" s="2" t="n">
        <x:f>SUM(IF('Monthly_Data'!A412=A756,IF(ISBLANK('Monthly_Data'!A412)=ISBLANK(A756),0,1),1),IF('Monthly_Data'!B412=B756,IF(ISBLANK('Monthly_Data'!B412)=ISBLANK(B756),0,1),1),IF('Monthly_Data'!C412=C756,IF(ISBLANK('Monthly_Data'!C412)=ISBLANK(C756),0,1),1),IF('Monthly_Data'!D412=D756,IF(ISBLANK('Monthly_Data'!D412)=ISBLANK(D756),0,1),1),IF('Monthly_Data'!E412=E756,IF(ISBLANK('Monthly_Data'!E412)=ISBLANK(E756),0,1),1),IF('Monthly_Data'!F412=F756,IF(ISBLANK('Monthly_Data'!F412)=ISBLANK(F756),0,1),1),IF('Monthly_Data'!G412=G756,IF(ISBLANK('Monthly_Data'!G412)=ISBLANK(G756),0,1),1),IF('Monthly_Data'!H412=H756,IF(ISBLANK('Monthly_Data'!H412)=ISBLANK(H756),0,1),1))</x:f>
        <x:v>0</x:v>
      </x:c>
    </x:row>
    <x:row r="757" ht="23" customHeight="1">
      <x:c r="A757" s="2" t="str">
        <x:v>62044300_BD_202502_IMPORT</x:v>
      </x:c>
      <x:c r="B757" s="2" t="n">
        <x:v>202502</x:v>
      </x:c>
      <x:c r="C757" s="2" t="str">
        <x:v>62044300</x:v>
      </x:c>
      <x:c r="D757" s="2" t="str">
        <x:v>Bangladesh</x:v>
      </x:c>
      <x:c r="E757" s="2" t="n">
        <x:v>799940</x:v>
      </x:c>
      <x:c r="F757" s="2" t="n">
        <x:v>49961</x:v>
      </x:c>
      <x:c r="G757" s="2" t="str">
        <x:v>WITHIN_BAND</x:v>
      </x:c>
      <x:c r="H757" s="2" t="n">
        <x:v>1</x:v>
      </x:c>
      <x:c r="I757" s="2"/>
      <x:c r="J757" s="2"/>
      <x:c r="K757" s="2"/>
      <x:c r="L757" s="2" t="n">
        <x:f>SUM(IF('Monthly_Data'!A413=A757,IF(ISBLANK('Monthly_Data'!A413)=ISBLANK(A757),0,1),1),IF('Monthly_Data'!B413=B757,IF(ISBLANK('Monthly_Data'!B413)=ISBLANK(B757),0,1),1),IF('Monthly_Data'!C413=C757,IF(ISBLANK('Monthly_Data'!C413)=ISBLANK(C757),0,1),1),IF('Monthly_Data'!D413=D757,IF(ISBLANK('Monthly_Data'!D413)=ISBLANK(D757),0,1),1),IF('Monthly_Data'!E413=E757,IF(ISBLANK('Monthly_Data'!E413)=ISBLANK(E757),0,1),1),IF('Monthly_Data'!F413=F757,IF(ISBLANK('Monthly_Data'!F413)=ISBLANK(F757),0,1),1),IF('Monthly_Data'!G413=G757,IF(ISBLANK('Monthly_Data'!G413)=ISBLANK(G757),0,1),1),IF('Monthly_Data'!H413=H757,IF(ISBLANK('Monthly_Data'!H413)=ISBLANK(H757),0,1),1))</x:f>
        <x:v>0</x:v>
      </x:c>
    </x:row>
    <x:row r="758" ht="23" customHeight="1">
      <x:c r="A758" s="2" t="str">
        <x:v>62044300_KH_202502_IMPORT</x:v>
      </x:c>
      <x:c r="B758" s="2" t="n">
        <x:v>202502</x:v>
      </x:c>
      <x:c r="C758" s="2" t="str">
        <x:v>62044300</x:v>
      </x:c>
      <x:c r="D758" s="2" t="str">
        <x:v>Cambodia</x:v>
      </x:c>
      <x:c r="E758" s="2" t="n">
        <x:v>173367</x:v>
      </x:c>
      <x:c r="F758" s="2" t="n">
        <x:v>8697</x:v>
      </x:c>
      <x:c r="G758" s="2" t="str">
        <x:v>WITHIN_BAND</x:v>
      </x:c>
      <x:c r="H758" s="2" t="n">
        <x:v>1</x:v>
      </x:c>
      <x:c r="I758" s="2"/>
      <x:c r="J758" s="2"/>
      <x:c r="K758" s="2"/>
      <x:c r="L758" s="2" t="n">
        <x:f>SUM(IF('Monthly_Data'!A414=A758,IF(ISBLANK('Monthly_Data'!A414)=ISBLANK(A758),0,1),1),IF('Monthly_Data'!B414=B758,IF(ISBLANK('Monthly_Data'!B414)=ISBLANK(B758),0,1),1),IF('Monthly_Data'!C414=C758,IF(ISBLANK('Monthly_Data'!C414)=ISBLANK(C758),0,1),1),IF('Monthly_Data'!D414=D758,IF(ISBLANK('Monthly_Data'!D414)=ISBLANK(D758),0,1),1),IF('Monthly_Data'!E414=E758,IF(ISBLANK('Monthly_Data'!E414)=ISBLANK(E758),0,1),1),IF('Monthly_Data'!F414=F758,IF(ISBLANK('Monthly_Data'!F414)=ISBLANK(F758),0,1),1),IF('Monthly_Data'!G414=G758,IF(ISBLANK('Monthly_Data'!G414)=ISBLANK(G758),0,1),1),IF('Monthly_Data'!H414=H758,IF(ISBLANK('Monthly_Data'!H414)=ISBLANK(H758),0,1),1))</x:f>
        <x:v>0</x:v>
      </x:c>
    </x:row>
    <x:row r="759" ht="23" customHeight="1">
      <x:c r="A759" s="2" t="str">
        <x:v>62044300_CN_202502_IMPORT</x:v>
      </x:c>
      <x:c r="B759" s="2" t="n">
        <x:v>202502</x:v>
      </x:c>
      <x:c r="C759" s="2" t="str">
        <x:v>62044300</x:v>
      </x:c>
      <x:c r="D759" s="2" t="str">
        <x:v>China</x:v>
      </x:c>
      <x:c r="E759" s="2" t="n">
        <x:v>6795662</x:v>
      </x:c>
      <x:c r="F759" s="2" t="n">
        <x:v>238621</x:v>
      </x:c>
      <x:c r="G759" s="2" t="str">
        <x:v>WITHIN_BAND</x:v>
      </x:c>
      <x:c r="H759" s="2" t="n">
        <x:v>1</x:v>
      </x:c>
      <x:c r="I759" s="2"/>
      <x:c r="J759" s="2"/>
      <x:c r="K759" s="2"/>
      <x:c r="L759" s="2" t="n">
        <x:f>SUM(IF('Monthly_Data'!A415=A759,IF(ISBLANK('Monthly_Data'!A415)=ISBLANK(A759),0,1),1),IF('Monthly_Data'!B415=B759,IF(ISBLANK('Monthly_Data'!B415)=ISBLANK(B759),0,1),1),IF('Monthly_Data'!C415=C759,IF(ISBLANK('Monthly_Data'!C415)=ISBLANK(C759),0,1),1),IF('Monthly_Data'!D415=D759,IF(ISBLANK('Monthly_Data'!D415)=ISBLANK(D759),0,1),1),IF('Monthly_Data'!E415=E759,IF(ISBLANK('Monthly_Data'!E415)=ISBLANK(E759),0,1),1),IF('Monthly_Data'!F415=F759,IF(ISBLANK('Monthly_Data'!F415)=ISBLANK(F759),0,1),1),IF('Monthly_Data'!G415=G759,IF(ISBLANK('Monthly_Data'!G415)=ISBLANK(G759),0,1),1),IF('Monthly_Data'!H415=H759,IF(ISBLANK('Monthly_Data'!H415)=ISBLANK(H759),0,1),1))</x:f>
        <x:v>0</x:v>
      </x:c>
    </x:row>
    <x:row r="760" ht="23" customHeight="1">
      <x:c r="A760" s="2" t="str">
        <x:v>62044300_IN_202502_IMPORT</x:v>
      </x:c>
      <x:c r="B760" s="2" t="n">
        <x:v>202502</x:v>
      </x:c>
      <x:c r="C760" s="2" t="str">
        <x:v>62044300</x:v>
      </x:c>
      <x:c r="D760" s="2" t="str">
        <x:v>India</x:v>
      </x:c>
      <x:c r="E760" s="2" t="n">
        <x:v>3352893</x:v>
      </x:c>
      <x:c r="F760" s="2" t="n">
        <x:v>99883</x:v>
      </x:c>
      <x:c r="G760" s="2" t="str">
        <x:v>WITHIN_BAND</x:v>
      </x:c>
      <x:c r="H760" s="2" t="n">
        <x:v>1</x:v>
      </x:c>
      <x:c r="I760" s="2"/>
      <x:c r="J760" s="2"/>
      <x:c r="K760" s="2"/>
      <x:c r="L760" s="2" t="n">
        <x:f>SUM(IF('Monthly_Data'!A416=A760,IF(ISBLANK('Monthly_Data'!A416)=ISBLANK(A760),0,1),1),IF('Monthly_Data'!B416=B760,IF(ISBLANK('Monthly_Data'!B416)=ISBLANK(B760),0,1),1),IF('Monthly_Data'!C416=C760,IF(ISBLANK('Monthly_Data'!C416)=ISBLANK(C760),0,1),1),IF('Monthly_Data'!D416=D760,IF(ISBLANK('Monthly_Data'!D416)=ISBLANK(D760),0,1),1),IF('Monthly_Data'!E416=E760,IF(ISBLANK('Monthly_Data'!E416)=ISBLANK(E760),0,1),1),IF('Monthly_Data'!F416=F760,IF(ISBLANK('Monthly_Data'!F416)=ISBLANK(F760),0,1),1),IF('Monthly_Data'!G416=G760,IF(ISBLANK('Monthly_Data'!G416)=ISBLANK(G760),0,1),1),IF('Monthly_Data'!H416=H760,IF(ISBLANK('Monthly_Data'!H416)=ISBLANK(H760),0,1),1))</x:f>
        <x:v>0</x:v>
      </x:c>
    </x:row>
    <x:row r="761" ht="23" customHeight="1">
      <x:c r="A761" s="2" t="str">
        <x:v>62044300_MA_202502_IMPORT</x:v>
      </x:c>
      <x:c r="B761" s="2" t="n">
        <x:v>202502</x:v>
      </x:c>
      <x:c r="C761" s="2" t="str">
        <x:v>62044300</x:v>
      </x:c>
      <x:c r="D761" s="2" t="str">
        <x:v>Morocco</x:v>
      </x:c>
      <x:c r="E761" s="2" t="n">
        <x:v>754757</x:v>
      </x:c>
      <x:c r="F761" s="2" t="n">
        <x:v>34489</x:v>
      </x:c>
      <x:c r="G761" s="2" t="str">
        <x:v>WITHIN_BAND</x:v>
      </x:c>
      <x:c r="H761" s="2" t="n">
        <x:v>1</x:v>
      </x:c>
      <x:c r="I761" s="2"/>
      <x:c r="J761" s="2"/>
      <x:c r="K761" s="2"/>
      <x:c r="L761" s="2" t="n">
        <x:f>SUM(IF('Monthly_Data'!A417=A761,IF(ISBLANK('Monthly_Data'!A417)=ISBLANK(A761),0,1),1),IF('Monthly_Data'!B417=B761,IF(ISBLANK('Monthly_Data'!B417)=ISBLANK(B761),0,1),1),IF('Monthly_Data'!C417=C761,IF(ISBLANK('Monthly_Data'!C417)=ISBLANK(C761),0,1),1),IF('Monthly_Data'!D417=D761,IF(ISBLANK('Monthly_Data'!D417)=ISBLANK(D761),0,1),1),IF('Monthly_Data'!E417=E761,IF(ISBLANK('Monthly_Data'!E417)=ISBLANK(E761),0,1),1),IF('Monthly_Data'!F417=F761,IF(ISBLANK('Monthly_Data'!F417)=ISBLANK(F761),0,1),1),IF('Monthly_Data'!G417=G761,IF(ISBLANK('Monthly_Data'!G417)=ISBLANK(G761),0,1),1),IF('Monthly_Data'!H417=H761,IF(ISBLANK('Monthly_Data'!H417)=ISBLANK(H761),0,1),1))</x:f>
        <x:v>0</x:v>
      </x:c>
    </x:row>
    <x:row r="762" ht="23" customHeight="1">
      <x:c r="A762" s="2" t="str">
        <x:v>62044300_MM_202502_IMPORT</x:v>
      </x:c>
      <x:c r="B762" s="2" t="n">
        <x:v>202502</x:v>
      </x:c>
      <x:c r="C762" s="2" t="str">
        <x:v>62044300</x:v>
      </x:c>
      <x:c r="D762" s="2" t="str">
        <x:v>Myanmar</x:v>
      </x:c>
      <x:c r="E762" s="2" t="n">
        <x:v>229004</x:v>
      </x:c>
      <x:c r="F762" s="2" t="n">
        <x:v>5515</x:v>
      </x:c>
      <x:c r="G762" s="2" t="str">
        <x:v>WITHIN_BAND</x:v>
      </x:c>
      <x:c r="H762" s="2" t="n">
        <x:v>1</x:v>
      </x:c>
      <x:c r="I762" s="2"/>
      <x:c r="J762" s="2"/>
      <x:c r="K762" s="2"/>
      <x:c r="L762" s="2" t="n">
        <x:f>SUM(IF('Monthly_Data'!A418=A762,IF(ISBLANK('Monthly_Data'!A418)=ISBLANK(A762),0,1),1),IF('Monthly_Data'!B418=B762,IF(ISBLANK('Monthly_Data'!B418)=ISBLANK(B762),0,1),1),IF('Monthly_Data'!C418=C762,IF(ISBLANK('Monthly_Data'!C418)=ISBLANK(C762),0,1),1),IF('Monthly_Data'!D418=D762,IF(ISBLANK('Monthly_Data'!D418)=ISBLANK(D762),0,1),1),IF('Monthly_Data'!E418=E762,IF(ISBLANK('Monthly_Data'!E418)=ISBLANK(E762),0,1),1),IF('Monthly_Data'!F418=F762,IF(ISBLANK('Monthly_Data'!F418)=ISBLANK(F762),0,1),1),IF('Monthly_Data'!G418=G762,IF(ISBLANK('Monthly_Data'!G418)=ISBLANK(G762),0,1),1),IF('Monthly_Data'!H418=H762,IF(ISBLANK('Monthly_Data'!H418)=ISBLANK(H762),0,1),1))</x:f>
        <x:v>0</x:v>
      </x:c>
    </x:row>
    <x:row r="763" ht="23" customHeight="1">
      <x:c r="A763" s="2" t="str">
        <x:v>62044300_PK_202502_IMPORT</x:v>
      </x:c>
      <x:c r="B763" s="2" t="n">
        <x:v>202502</x:v>
      </x:c>
      <x:c r="C763" s="2" t="str">
        <x:v>62044300</x:v>
      </x:c>
      <x:c r="D763" s="2" t="str">
        <x:v>Pakistan</x:v>
      </x:c>
      <x:c r="E763" s="2" t="n">
        <x:v>111161</x:v>
      </x:c>
      <x:c r="F763" s="2" t="n">
        <x:v>2885</x:v>
      </x:c>
      <x:c r="G763" s="2" t="str">
        <x:v>WITHIN_BAND</x:v>
      </x:c>
      <x:c r="H763" s="2" t="n">
        <x:v>1</x:v>
      </x:c>
      <x:c r="I763" s="2"/>
      <x:c r="J763" s="2"/>
      <x:c r="K763" s="2"/>
      <x:c r="L763" s="2" t="n">
        <x:f>SUM(IF('Monthly_Data'!A419=A763,IF(ISBLANK('Monthly_Data'!A419)=ISBLANK(A763),0,1),1),IF('Monthly_Data'!B419=B763,IF(ISBLANK('Monthly_Data'!B419)=ISBLANK(B763),0,1),1),IF('Monthly_Data'!C419=C763,IF(ISBLANK('Monthly_Data'!C419)=ISBLANK(C763),0,1),1),IF('Monthly_Data'!D419=D763,IF(ISBLANK('Monthly_Data'!D419)=ISBLANK(D763),0,1),1),IF('Monthly_Data'!E419=E763,IF(ISBLANK('Monthly_Data'!E419)=ISBLANK(E763),0,1),1),IF('Monthly_Data'!F419=F763,IF(ISBLANK('Monthly_Data'!F419)=ISBLANK(F763),0,1),1),IF('Monthly_Data'!G419=G763,IF(ISBLANK('Monthly_Data'!G419)=ISBLANK(G763),0,1),1),IF('Monthly_Data'!H419=H763,IF(ISBLANK('Monthly_Data'!H419)=ISBLANK(H763),0,1),1))</x:f>
        <x:v>0</x:v>
      </x:c>
    </x:row>
    <x:row r="764" ht="23" customHeight="1">
      <x:c r="A764" s="2" t="str">
        <x:v>62044300_LK_202502_IMPORT</x:v>
      </x:c>
      <x:c r="B764" s="2" t="n">
        <x:v>202502</x:v>
      </x:c>
      <x:c r="C764" s="2" t="str">
        <x:v>62044300</x:v>
      </x:c>
      <x:c r="D764" s="2" t="str">
        <x:v>Sri Lanka</x:v>
      </x:c>
      <x:c r="E764" s="2" t="n">
        <x:v>721739</x:v>
      </x:c>
      <x:c r="F764" s="2" t="n">
        <x:v>49296</x:v>
      </x:c>
      <x:c r="G764" s="2" t="str">
        <x:v>WITHIN_BAND</x:v>
      </x:c>
      <x:c r="H764" s="2" t="n">
        <x:v>1</x:v>
      </x:c>
      <x:c r="I764" s="2"/>
      <x:c r="J764" s="2"/>
      <x:c r="K764" s="2"/>
      <x:c r="L764" s="2" t="n">
        <x:f>SUM(IF('Monthly_Data'!A420=A764,IF(ISBLANK('Monthly_Data'!A420)=ISBLANK(A764),0,1),1),IF('Monthly_Data'!B420=B764,IF(ISBLANK('Monthly_Data'!B420)=ISBLANK(B764),0,1),1),IF('Monthly_Data'!C420=C764,IF(ISBLANK('Monthly_Data'!C420)=ISBLANK(C764),0,1),1),IF('Monthly_Data'!D420=D764,IF(ISBLANK('Monthly_Data'!D420)=ISBLANK(D764),0,1),1),IF('Monthly_Data'!E420=E764,IF(ISBLANK('Monthly_Data'!E420)=ISBLANK(E764),0,1),1),IF('Monthly_Data'!F420=F764,IF(ISBLANK('Monthly_Data'!F420)=ISBLANK(F764),0,1),1),IF('Monthly_Data'!G420=G764,IF(ISBLANK('Monthly_Data'!G420)=ISBLANK(G764),0,1),1),IF('Monthly_Data'!H420=H764,IF(ISBLANK('Monthly_Data'!H420)=ISBLANK(H764),0,1),1))</x:f>
        <x:v>0</x:v>
      </x:c>
    </x:row>
    <x:row r="765" ht="23" customHeight="1">
      <x:c r="A765" s="2" t="str">
        <x:v>62044300_TR_202502_IMPORT</x:v>
      </x:c>
      <x:c r="B765" s="2" t="n">
        <x:v>202502</x:v>
      </x:c>
      <x:c r="C765" s="2" t="str">
        <x:v>62044300</x:v>
      </x:c>
      <x:c r="D765" s="2" t="str">
        <x:v>Turkey</x:v>
      </x:c>
      <x:c r="E765" s="2" t="n">
        <x:v>857879</x:v>
      </x:c>
      <x:c r="F765" s="2" t="n">
        <x:v>24744</x:v>
      </x:c>
      <x:c r="G765" s="2" t="str">
        <x:v>WITHIN_BAND</x:v>
      </x:c>
      <x:c r="H765" s="2" t="n">
        <x:v>1</x:v>
      </x:c>
      <x:c r="I765" s="2"/>
      <x:c r="J765" s="2"/>
      <x:c r="K765" s="2"/>
      <x:c r="L765" s="2" t="n">
        <x:f>SUM(IF('Monthly_Data'!A421=A765,IF(ISBLANK('Monthly_Data'!A421)=ISBLANK(A765),0,1),1),IF('Monthly_Data'!B421=B765,IF(ISBLANK('Monthly_Data'!B421)=ISBLANK(B765),0,1),1),IF('Monthly_Data'!C421=C765,IF(ISBLANK('Monthly_Data'!C421)=ISBLANK(C765),0,1),1),IF('Monthly_Data'!D421=D765,IF(ISBLANK('Monthly_Data'!D421)=ISBLANK(D765),0,1),1),IF('Monthly_Data'!E421=E765,IF(ISBLANK('Monthly_Data'!E421)=ISBLANK(E765),0,1),1),IF('Monthly_Data'!F421=F765,IF(ISBLANK('Monthly_Data'!F421)=ISBLANK(F765),0,1),1),IF('Monthly_Data'!G421=G765,IF(ISBLANK('Monthly_Data'!G421)=ISBLANK(G765),0,1),1),IF('Monthly_Data'!H421=H765,IF(ISBLANK('Monthly_Data'!H421)=ISBLANK(H765),0,1),1))</x:f>
        <x:v>0</x:v>
      </x:c>
    </x:row>
    <x:row r="766" ht="23" customHeight="1">
      <x:c r="A766" s="2" t="str">
        <x:v>62044300_VN_202502_IMPORT</x:v>
      </x:c>
      <x:c r="B766" s="2" t="n">
        <x:v>202502</x:v>
      </x:c>
      <x:c r="C766" s="2" t="str">
        <x:v>62044300</x:v>
      </x:c>
      <x:c r="D766" s="2" t="str">
        <x:v>Vietnam</x:v>
      </x:c>
      <x:c r="E766" s="2" t="n">
        <x:v>420206</x:v>
      </x:c>
      <x:c r="F766" s="2" t="n">
        <x:v>15738</x:v>
      </x:c>
      <x:c r="G766" s="2" t="str">
        <x:v>WITHIN_BAND</x:v>
      </x:c>
      <x:c r="H766" s="2" t="n">
        <x:v>1</x:v>
      </x:c>
      <x:c r="I766" s="2"/>
      <x:c r="J766" s="2"/>
      <x:c r="K766" s="2"/>
      <x:c r="L766" s="2" t="n">
        <x:f>SUM(IF('Monthly_Data'!A422=A766,IF(ISBLANK('Monthly_Data'!A422)=ISBLANK(A766),0,1),1),IF('Monthly_Data'!B422=B766,IF(ISBLANK('Monthly_Data'!B422)=ISBLANK(B766),0,1),1),IF('Monthly_Data'!C422=C766,IF(ISBLANK('Monthly_Data'!C422)=ISBLANK(C766),0,1),1),IF('Monthly_Data'!D422=D766,IF(ISBLANK('Monthly_Data'!D422)=ISBLANK(D766),0,1),1),IF('Monthly_Data'!E422=E766,IF(ISBLANK('Monthly_Data'!E422)=ISBLANK(E766),0,1),1),IF('Monthly_Data'!F422=F766,IF(ISBLANK('Monthly_Data'!F422)=ISBLANK(F766),0,1),1),IF('Monthly_Data'!G422=G766,IF(ISBLANK('Monthly_Data'!G422)=ISBLANK(G766),0,1),1),IF('Monthly_Data'!H422=H766,IF(ISBLANK('Monthly_Data'!H422)=ISBLANK(H766),0,1),1))</x:f>
        <x:v>0</x:v>
      </x:c>
    </x:row>
    <x:row r="767" ht="23" customHeight="1">
      <x:c r="A767" s="2" t="str">
        <x:v>62044300_WORLD_202502_IMPORT</x:v>
      </x:c>
      <x:c r="B767" s="2" t="n">
        <x:v>202502</x:v>
      </x:c>
      <x:c r="C767" s="2" t="str">
        <x:v>62044300</x:v>
      </x:c>
      <x:c r="D767" s="2" t="str">
        <x:v>World</x:v>
      </x:c>
      <x:c r="E767" s="2" t="n">
        <x:v>25262401</x:v>
      </x:c>
      <x:c r="F767" s="2" t="n">
        <x:v>709632</x:v>
      </x:c>
      <x:c r="G767" s="2" t="str">
        <x:v>WITHIN_BAND</x:v>
      </x:c>
      <x:c r="H767" s="2" t="n">
        <x:v>1</x:v>
      </x:c>
      <x:c r="I767" s="2"/>
      <x:c r="J767" s="2"/>
      <x:c r="K767" s="2"/>
      <x:c r="L767" s="2" t="n">
        <x:f>SUM(IF('Monthly_Data'!A423=A767,IF(ISBLANK('Monthly_Data'!A423)=ISBLANK(A767),0,1),1),IF('Monthly_Data'!B423=B767,IF(ISBLANK('Monthly_Data'!B423)=ISBLANK(B767),0,1),1),IF('Monthly_Data'!C423=C767,IF(ISBLANK('Monthly_Data'!C423)=ISBLANK(C767),0,1),1),IF('Monthly_Data'!D423=D767,IF(ISBLANK('Monthly_Data'!D423)=ISBLANK(D767),0,1),1),IF('Monthly_Data'!E423=E767,IF(ISBLANK('Monthly_Data'!E423)=ISBLANK(E767),0,1),1),IF('Monthly_Data'!F423=F767,IF(ISBLANK('Monthly_Data'!F423)=ISBLANK(F767),0,1),1),IF('Monthly_Data'!G423=G767,IF(ISBLANK('Monthly_Data'!G423)=ISBLANK(G767),0,1),1),IF('Monthly_Data'!H423=H767,IF(ISBLANK('Monthly_Data'!H423)=ISBLANK(H767),0,1),1))</x:f>
        <x:v>0</x:v>
      </x:c>
    </x:row>
    <x:row r="768" ht="23" customHeight="1">
      <x:c r="A768" s="2" t="str">
        <x:v>62044300_BD_202503_IMPORT</x:v>
      </x:c>
      <x:c r="B768" s="2" t="n">
        <x:v>202503</x:v>
      </x:c>
      <x:c r="C768" s="2" t="str">
        <x:v>62044300</x:v>
      </x:c>
      <x:c r="D768" s="2" t="str">
        <x:v>Bangladesh</x:v>
      </x:c>
      <x:c r="E768" s="2" t="n">
        <x:v>1545036</x:v>
      </x:c>
      <x:c r="F768" s="2" t="n">
        <x:v>87064</x:v>
      </x:c>
      <x:c r="G768" s="2" t="str">
        <x:v>WITHIN_BAND</x:v>
      </x:c>
      <x:c r="H768" s="2" t="n">
        <x:v>1</x:v>
      </x:c>
      <x:c r="I768" s="2"/>
      <x:c r="J768" s="2"/>
      <x:c r="K768" s="2"/>
      <x:c r="L768" s="2" t="n">
        <x:f>SUM(IF('Monthly_Data'!A424=A768,IF(ISBLANK('Monthly_Data'!A424)=ISBLANK(A768),0,1),1),IF('Monthly_Data'!B424=B768,IF(ISBLANK('Monthly_Data'!B424)=ISBLANK(B768),0,1),1),IF('Monthly_Data'!C424=C768,IF(ISBLANK('Monthly_Data'!C424)=ISBLANK(C768),0,1),1),IF('Monthly_Data'!D424=D768,IF(ISBLANK('Monthly_Data'!D424)=ISBLANK(D768),0,1),1),IF('Monthly_Data'!E424=E768,IF(ISBLANK('Monthly_Data'!E424)=ISBLANK(E768),0,1),1),IF('Monthly_Data'!F424=F768,IF(ISBLANK('Monthly_Data'!F424)=ISBLANK(F768),0,1),1),IF('Monthly_Data'!G424=G768,IF(ISBLANK('Monthly_Data'!G424)=ISBLANK(G768),0,1),1),IF('Monthly_Data'!H424=H768,IF(ISBLANK('Monthly_Data'!H424)=ISBLANK(H768),0,1),1))</x:f>
        <x:v>0</x:v>
      </x:c>
    </x:row>
    <x:row r="769" ht="23" customHeight="1">
      <x:c r="A769" s="2" t="str">
        <x:v>62044300_KH_202503_IMPORT</x:v>
      </x:c>
      <x:c r="B769" s="2" t="n">
        <x:v>202503</x:v>
      </x:c>
      <x:c r="C769" s="2" t="str">
        <x:v>62044300</x:v>
      </x:c>
      <x:c r="D769" s="2" t="str">
        <x:v>Cambodia</x:v>
      </x:c>
      <x:c r="E769" s="2" t="n">
        <x:v>265650</x:v>
      </x:c>
      <x:c r="F769" s="2" t="n">
        <x:v>16043</x:v>
      </x:c>
      <x:c r="G769" s="2" t="str">
        <x:v>WITHIN_BAND</x:v>
      </x:c>
      <x:c r="H769" s="2" t="n">
        <x:v>1</x:v>
      </x:c>
      <x:c r="I769" s="2"/>
      <x:c r="J769" s="2"/>
      <x:c r="K769" s="2"/>
      <x:c r="L769" s="2" t="n">
        <x:f>SUM(IF('Monthly_Data'!A425=A769,IF(ISBLANK('Monthly_Data'!A425)=ISBLANK(A769),0,1),1),IF('Monthly_Data'!B425=B769,IF(ISBLANK('Monthly_Data'!B425)=ISBLANK(B769),0,1),1),IF('Monthly_Data'!C425=C769,IF(ISBLANK('Monthly_Data'!C425)=ISBLANK(C769),0,1),1),IF('Monthly_Data'!D425=D769,IF(ISBLANK('Monthly_Data'!D425)=ISBLANK(D769),0,1),1),IF('Monthly_Data'!E425=E769,IF(ISBLANK('Monthly_Data'!E425)=ISBLANK(E769),0,1),1),IF('Monthly_Data'!F425=F769,IF(ISBLANK('Monthly_Data'!F425)=ISBLANK(F769),0,1),1),IF('Monthly_Data'!G425=G769,IF(ISBLANK('Monthly_Data'!G425)=ISBLANK(G769),0,1),1),IF('Monthly_Data'!H425=H769,IF(ISBLANK('Monthly_Data'!H425)=ISBLANK(H769),0,1),1))</x:f>
        <x:v>0</x:v>
      </x:c>
    </x:row>
    <x:row r="770" ht="23" customHeight="1">
      <x:c r="A770" s="2" t="str">
        <x:v>62044300_CN_202503_IMPORT</x:v>
      </x:c>
      <x:c r="B770" s="2" t="n">
        <x:v>202503</x:v>
      </x:c>
      <x:c r="C770" s="2" t="str">
        <x:v>62044300</x:v>
      </x:c>
      <x:c r="D770" s="2" t="str">
        <x:v>China</x:v>
      </x:c>
      <x:c r="E770" s="2" t="n">
        <x:v>8765717</x:v>
      </x:c>
      <x:c r="F770" s="2" t="n">
        <x:v>294313</x:v>
      </x:c>
      <x:c r="G770" s="2" t="str">
        <x:v>WITHIN_BAND</x:v>
      </x:c>
      <x:c r="H770" s="2" t="n">
        <x:v>1</x:v>
      </x:c>
      <x:c r="I770" s="2"/>
      <x:c r="J770" s="2"/>
      <x:c r="K770" s="2"/>
      <x:c r="L770" s="2" t="n">
        <x:f>SUM(IF('Monthly_Data'!A426=A770,IF(ISBLANK('Monthly_Data'!A426)=ISBLANK(A770),0,1),1),IF('Monthly_Data'!B426=B770,IF(ISBLANK('Monthly_Data'!B426)=ISBLANK(B770),0,1),1),IF('Monthly_Data'!C426=C770,IF(ISBLANK('Monthly_Data'!C426)=ISBLANK(C770),0,1),1),IF('Monthly_Data'!D426=D770,IF(ISBLANK('Monthly_Data'!D426)=ISBLANK(D770),0,1),1),IF('Monthly_Data'!E426=E770,IF(ISBLANK('Monthly_Data'!E426)=ISBLANK(E770),0,1),1),IF('Monthly_Data'!F426=F770,IF(ISBLANK('Monthly_Data'!F426)=ISBLANK(F770),0,1),1),IF('Monthly_Data'!G426=G770,IF(ISBLANK('Monthly_Data'!G426)=ISBLANK(G770),0,1),1),IF('Monthly_Data'!H426=H770,IF(ISBLANK('Monthly_Data'!H426)=ISBLANK(H770),0,1),1))</x:f>
        <x:v>0</x:v>
      </x:c>
    </x:row>
    <x:row r="771" ht="23" customHeight="1">
      <x:c r="A771" s="2" t="str">
        <x:v>62044300_IN_202503_IMPORT</x:v>
      </x:c>
      <x:c r="B771" s="2" t="n">
        <x:v>202503</x:v>
      </x:c>
      <x:c r="C771" s="2" t="str">
        <x:v>62044300</x:v>
      </x:c>
      <x:c r="D771" s="2" t="str">
        <x:v>India</x:v>
      </x:c>
      <x:c r="E771" s="2" t="n">
        <x:v>3694960</x:v>
      </x:c>
      <x:c r="F771" s="2" t="n">
        <x:v>135592</x:v>
      </x:c>
      <x:c r="G771" s="2" t="str">
        <x:v>WITHIN_BAND</x:v>
      </x:c>
      <x:c r="H771" s="2" t="n">
        <x:v>1</x:v>
      </x:c>
      <x:c r="I771" s="2"/>
      <x:c r="J771" s="2"/>
      <x:c r="K771" s="2"/>
      <x:c r="L771" s="2" t="n">
        <x:f>SUM(IF('Monthly_Data'!A427=A771,IF(ISBLANK('Monthly_Data'!A427)=ISBLANK(A771),0,1),1),IF('Monthly_Data'!B427=B771,IF(ISBLANK('Monthly_Data'!B427)=ISBLANK(B771),0,1),1),IF('Monthly_Data'!C427=C771,IF(ISBLANK('Monthly_Data'!C427)=ISBLANK(C771),0,1),1),IF('Monthly_Data'!D427=D771,IF(ISBLANK('Monthly_Data'!D427)=ISBLANK(D771),0,1),1),IF('Monthly_Data'!E427=E771,IF(ISBLANK('Monthly_Data'!E427)=ISBLANK(E771),0,1),1),IF('Monthly_Data'!F427=F771,IF(ISBLANK('Monthly_Data'!F427)=ISBLANK(F771),0,1),1),IF('Monthly_Data'!G427=G771,IF(ISBLANK('Monthly_Data'!G427)=ISBLANK(G771),0,1),1),IF('Monthly_Data'!H427=H771,IF(ISBLANK('Monthly_Data'!H427)=ISBLANK(H771),0,1),1))</x:f>
        <x:v>0</x:v>
      </x:c>
    </x:row>
    <x:row r="772" ht="23" customHeight="1">
      <x:c r="A772" s="2" t="str">
        <x:v>62044300_MA_202503_IMPORT</x:v>
      </x:c>
      <x:c r="B772" s="2" t="n">
        <x:v>202503</x:v>
      </x:c>
      <x:c r="C772" s="2" t="str">
        <x:v>62044300</x:v>
      </x:c>
      <x:c r="D772" s="2" t="str">
        <x:v>Morocco</x:v>
      </x:c>
      <x:c r="E772" s="2" t="n">
        <x:v>866061</x:v>
      </x:c>
      <x:c r="F772" s="2" t="n">
        <x:v>38454</x:v>
      </x:c>
      <x:c r="G772" s="2" t="str">
        <x:v>WITHIN_BAND</x:v>
      </x:c>
      <x:c r="H772" s="2" t="n">
        <x:v>1</x:v>
      </x:c>
      <x:c r="I772" s="2"/>
      <x:c r="J772" s="2"/>
      <x:c r="K772" s="2"/>
      <x:c r="L772" s="2" t="n">
        <x:f>SUM(IF('Monthly_Data'!A428=A772,IF(ISBLANK('Monthly_Data'!A428)=ISBLANK(A772),0,1),1),IF('Monthly_Data'!B428=B772,IF(ISBLANK('Monthly_Data'!B428)=ISBLANK(B772),0,1),1),IF('Monthly_Data'!C428=C772,IF(ISBLANK('Monthly_Data'!C428)=ISBLANK(C772),0,1),1),IF('Monthly_Data'!D428=D772,IF(ISBLANK('Monthly_Data'!D428)=ISBLANK(D772),0,1),1),IF('Monthly_Data'!E428=E772,IF(ISBLANK('Monthly_Data'!E428)=ISBLANK(E772),0,1),1),IF('Monthly_Data'!F428=F772,IF(ISBLANK('Monthly_Data'!F428)=ISBLANK(F772),0,1),1),IF('Monthly_Data'!G428=G772,IF(ISBLANK('Monthly_Data'!G428)=ISBLANK(G772),0,1),1),IF('Monthly_Data'!H428=H772,IF(ISBLANK('Monthly_Data'!H428)=ISBLANK(H772),0,1),1))</x:f>
        <x:v>0</x:v>
      </x:c>
    </x:row>
    <x:row r="773" ht="23" customHeight="1">
      <x:c r="A773" s="2" t="str">
        <x:v>62044300_MM_202503_IMPORT</x:v>
      </x:c>
      <x:c r="B773" s="2" t="n">
        <x:v>202503</x:v>
      </x:c>
      <x:c r="C773" s="2" t="str">
        <x:v>62044300</x:v>
      </x:c>
      <x:c r="D773" s="2" t="str">
        <x:v>Myanmar</x:v>
      </x:c>
      <x:c r="E773" s="2" t="n">
        <x:v>313685</x:v>
      </x:c>
      <x:c r="F773" s="2" t="n">
        <x:v>5939</x:v>
      </x:c>
      <x:c r="G773" s="2" t="str">
        <x:v>WITHIN_BAND</x:v>
      </x:c>
      <x:c r="H773" s="2" t="n">
        <x:v>1</x:v>
      </x:c>
      <x:c r="I773" s="2"/>
      <x:c r="J773" s="2"/>
      <x:c r="K773" s="2"/>
      <x:c r="L773" s="2" t="n">
        <x:f>SUM(IF('Monthly_Data'!A429=A773,IF(ISBLANK('Monthly_Data'!A429)=ISBLANK(A773),0,1),1),IF('Monthly_Data'!B429=B773,IF(ISBLANK('Monthly_Data'!B429)=ISBLANK(B773),0,1),1),IF('Monthly_Data'!C429=C773,IF(ISBLANK('Monthly_Data'!C429)=ISBLANK(C773),0,1),1),IF('Monthly_Data'!D429=D773,IF(ISBLANK('Monthly_Data'!D429)=ISBLANK(D773),0,1),1),IF('Monthly_Data'!E429=E773,IF(ISBLANK('Monthly_Data'!E429)=ISBLANK(E773),0,1),1),IF('Monthly_Data'!F429=F773,IF(ISBLANK('Monthly_Data'!F429)=ISBLANK(F773),0,1),1),IF('Monthly_Data'!G429=G773,IF(ISBLANK('Monthly_Data'!G429)=ISBLANK(G773),0,1),1),IF('Monthly_Data'!H429=H773,IF(ISBLANK('Monthly_Data'!H429)=ISBLANK(H773),0,1),1))</x:f>
        <x:v>0</x:v>
      </x:c>
    </x:row>
    <x:row r="774" ht="23" customHeight="1">
      <x:c r="A774" s="2" t="str">
        <x:v>62044300_PK_202503_IMPORT</x:v>
      </x:c>
      <x:c r="B774" s="2" t="n">
        <x:v>202503</x:v>
      </x:c>
      <x:c r="C774" s="2" t="str">
        <x:v>62044300</x:v>
      </x:c>
      <x:c r="D774" s="2" t="str">
        <x:v>Pakistan</x:v>
      </x:c>
      <x:c r="E774" s="2" t="n">
        <x:v>231366</x:v>
      </x:c>
      <x:c r="F774" s="2" t="n">
        <x:v>12914</x:v>
      </x:c>
      <x:c r="G774" s="2" t="str">
        <x:v>WITHIN_BAND</x:v>
      </x:c>
      <x:c r="H774" s="2" t="n">
        <x:v>1</x:v>
      </x:c>
      <x:c r="I774" s="2"/>
      <x:c r="J774" s="2"/>
      <x:c r="K774" s="2"/>
      <x:c r="L774" s="2" t="n">
        <x:f>SUM(IF('Monthly_Data'!A430=A774,IF(ISBLANK('Monthly_Data'!A430)=ISBLANK(A774),0,1),1),IF('Monthly_Data'!B430=B774,IF(ISBLANK('Monthly_Data'!B430)=ISBLANK(B774),0,1),1),IF('Monthly_Data'!C430=C774,IF(ISBLANK('Monthly_Data'!C430)=ISBLANK(C774),0,1),1),IF('Monthly_Data'!D430=D774,IF(ISBLANK('Monthly_Data'!D430)=ISBLANK(D774),0,1),1),IF('Monthly_Data'!E430=E774,IF(ISBLANK('Monthly_Data'!E430)=ISBLANK(E774),0,1),1),IF('Monthly_Data'!F430=F774,IF(ISBLANK('Monthly_Data'!F430)=ISBLANK(F774),0,1),1),IF('Monthly_Data'!G430=G774,IF(ISBLANK('Monthly_Data'!G430)=ISBLANK(G774),0,1),1),IF('Monthly_Data'!H430=H774,IF(ISBLANK('Monthly_Data'!H430)=ISBLANK(H774),0,1),1))</x:f>
        <x:v>0</x:v>
      </x:c>
    </x:row>
    <x:row r="775" ht="23" customHeight="1">
      <x:c r="A775" s="2" t="str">
        <x:v>62044300_LK_202503_IMPORT</x:v>
      </x:c>
      <x:c r="B775" s="2" t="n">
        <x:v>202503</x:v>
      </x:c>
      <x:c r="C775" s="2" t="str">
        <x:v>62044300</x:v>
      </x:c>
      <x:c r="D775" s="2" t="str">
        <x:v>Sri Lanka</x:v>
      </x:c>
      <x:c r="E775" s="2" t="n">
        <x:v>1073789</x:v>
      </x:c>
      <x:c r="F775" s="2" t="n">
        <x:v>46243</x:v>
      </x:c>
      <x:c r="G775" s="2" t="str">
        <x:v>WITHIN_BAND</x:v>
      </x:c>
      <x:c r="H775" s="2" t="n">
        <x:v>1</x:v>
      </x:c>
      <x:c r="I775" s="2"/>
      <x:c r="J775" s="2"/>
      <x:c r="K775" s="2"/>
      <x:c r="L775" s="2" t="n">
        <x:f>SUM(IF('Monthly_Data'!A431=A775,IF(ISBLANK('Monthly_Data'!A431)=ISBLANK(A775),0,1),1),IF('Monthly_Data'!B431=B775,IF(ISBLANK('Monthly_Data'!B431)=ISBLANK(B775),0,1),1),IF('Monthly_Data'!C431=C775,IF(ISBLANK('Monthly_Data'!C431)=ISBLANK(C775),0,1),1),IF('Monthly_Data'!D431=D775,IF(ISBLANK('Monthly_Data'!D431)=ISBLANK(D775),0,1),1),IF('Monthly_Data'!E431=E775,IF(ISBLANK('Monthly_Data'!E431)=ISBLANK(E775),0,1),1),IF('Monthly_Data'!F431=F775,IF(ISBLANK('Monthly_Data'!F431)=ISBLANK(F775),0,1),1),IF('Monthly_Data'!G431=G775,IF(ISBLANK('Monthly_Data'!G431)=ISBLANK(G775),0,1),1),IF('Monthly_Data'!H431=H775,IF(ISBLANK('Monthly_Data'!H431)=ISBLANK(H775),0,1),1))</x:f>
        <x:v>0</x:v>
      </x:c>
    </x:row>
    <x:row r="776" ht="23" customHeight="1">
      <x:c r="A776" s="2" t="str">
        <x:v>62044300_TR_202503_IMPORT</x:v>
      </x:c>
      <x:c r="B776" s="2" t="n">
        <x:v>202503</x:v>
      </x:c>
      <x:c r="C776" s="2" t="str">
        <x:v>62044300</x:v>
      </x:c>
      <x:c r="D776" s="2" t="str">
        <x:v>Turkey</x:v>
      </x:c>
      <x:c r="E776" s="2" t="n">
        <x:v>1426874</x:v>
      </x:c>
      <x:c r="F776" s="2" t="n">
        <x:v>29768</x:v>
      </x:c>
      <x:c r="G776" s="2" t="str">
        <x:v>WITHIN_BAND</x:v>
      </x:c>
      <x:c r="H776" s="2" t="n">
        <x:v>1</x:v>
      </x:c>
      <x:c r="I776" s="2"/>
      <x:c r="J776" s="2"/>
      <x:c r="K776" s="2"/>
      <x:c r="L776" s="2" t="n">
        <x:f>SUM(IF('Monthly_Data'!A432=A776,IF(ISBLANK('Monthly_Data'!A432)=ISBLANK(A776),0,1),1),IF('Monthly_Data'!B432=B776,IF(ISBLANK('Monthly_Data'!B432)=ISBLANK(B776),0,1),1),IF('Monthly_Data'!C432=C776,IF(ISBLANK('Monthly_Data'!C432)=ISBLANK(C776),0,1),1),IF('Monthly_Data'!D432=D776,IF(ISBLANK('Monthly_Data'!D432)=ISBLANK(D776),0,1),1),IF('Monthly_Data'!E432=E776,IF(ISBLANK('Monthly_Data'!E432)=ISBLANK(E776),0,1),1),IF('Monthly_Data'!F432=F776,IF(ISBLANK('Monthly_Data'!F432)=ISBLANK(F776),0,1),1),IF('Monthly_Data'!G432=G776,IF(ISBLANK('Monthly_Data'!G432)=ISBLANK(G776),0,1),1),IF('Monthly_Data'!H432=H776,IF(ISBLANK('Monthly_Data'!H432)=ISBLANK(H776),0,1),1))</x:f>
        <x:v>0</x:v>
      </x:c>
    </x:row>
    <x:row r="777" ht="23" customHeight="1">
      <x:c r="A777" s="2" t="str">
        <x:v>62044300_VN_202503_IMPORT</x:v>
      </x:c>
      <x:c r="B777" s="2" t="n">
        <x:v>202503</x:v>
      </x:c>
      <x:c r="C777" s="2" t="str">
        <x:v>62044300</x:v>
      </x:c>
      <x:c r="D777" s="2" t="str">
        <x:v>Vietnam</x:v>
      </x:c>
      <x:c r="E777" s="2" t="n">
        <x:v>512965</x:v>
      </x:c>
      <x:c r="F777" s="2" t="n">
        <x:v>18082</x:v>
      </x:c>
      <x:c r="G777" s="2" t="str">
        <x:v>WITHIN_BAND</x:v>
      </x:c>
      <x:c r="H777" s="2" t="n">
        <x:v>1</x:v>
      </x:c>
      <x:c r="I777" s="2"/>
      <x:c r="J777" s="2"/>
      <x:c r="K777" s="2"/>
      <x:c r="L777" s="2" t="n">
        <x:f>SUM(IF('Monthly_Data'!A433=A777,IF(ISBLANK('Monthly_Data'!A433)=ISBLANK(A777),0,1),1),IF('Monthly_Data'!B433=B777,IF(ISBLANK('Monthly_Data'!B433)=ISBLANK(B777),0,1),1),IF('Monthly_Data'!C433=C777,IF(ISBLANK('Monthly_Data'!C433)=ISBLANK(C777),0,1),1),IF('Monthly_Data'!D433=D777,IF(ISBLANK('Monthly_Data'!D433)=ISBLANK(D777),0,1),1),IF('Monthly_Data'!E433=E777,IF(ISBLANK('Monthly_Data'!E433)=ISBLANK(E777),0,1),1),IF('Monthly_Data'!F433=F777,IF(ISBLANK('Monthly_Data'!F433)=ISBLANK(F777),0,1),1),IF('Monthly_Data'!G433=G777,IF(ISBLANK('Monthly_Data'!G433)=ISBLANK(G777),0,1),1),IF('Monthly_Data'!H433=H777,IF(ISBLANK('Monthly_Data'!H433)=ISBLANK(H777),0,1),1))</x:f>
        <x:v>0</x:v>
      </x:c>
    </x:row>
    <x:row r="778" ht="23" customHeight="1">
      <x:c r="A778" s="2" t="str">
        <x:v>62044300_WORLD_202503_IMPORT</x:v>
      </x:c>
      <x:c r="B778" s="2" t="n">
        <x:v>202503</x:v>
      </x:c>
      <x:c r="C778" s="2" t="str">
        <x:v>62044300</x:v>
      </x:c>
      <x:c r="D778" s="2" t="str">
        <x:v>World</x:v>
      </x:c>
      <x:c r="E778" s="2" t="n">
        <x:v>30959359</x:v>
      </x:c>
      <x:c r="F778" s="2" t="n">
        <x:v>895057</x:v>
      </x:c>
      <x:c r="G778" s="2" t="str">
        <x:v>WITHIN_BAND</x:v>
      </x:c>
      <x:c r="H778" s="2" t="n">
        <x:v>1</x:v>
      </x:c>
      <x:c r="I778" s="2"/>
      <x:c r="J778" s="2"/>
      <x:c r="K778" s="2"/>
      <x:c r="L778" s="2" t="n">
        <x:f>SUM(IF('Monthly_Data'!A434=A778,IF(ISBLANK('Monthly_Data'!A434)=ISBLANK(A778),0,1),1),IF('Monthly_Data'!B434=B778,IF(ISBLANK('Monthly_Data'!B434)=ISBLANK(B778),0,1),1),IF('Monthly_Data'!C434=C778,IF(ISBLANK('Monthly_Data'!C434)=ISBLANK(C778),0,1),1),IF('Monthly_Data'!D434=D778,IF(ISBLANK('Monthly_Data'!D434)=ISBLANK(D778),0,1),1),IF('Monthly_Data'!E434=E778,IF(ISBLANK('Monthly_Data'!E434)=ISBLANK(E778),0,1),1),IF('Monthly_Data'!F434=F778,IF(ISBLANK('Monthly_Data'!F434)=ISBLANK(F778),0,1),1),IF('Monthly_Data'!G434=G778,IF(ISBLANK('Monthly_Data'!G434)=ISBLANK(G778),0,1),1),IF('Monthly_Data'!H434=H778,IF(ISBLANK('Monthly_Data'!H434)=ISBLANK(H778),0,1),1))</x:f>
        <x:v>0</x:v>
      </x:c>
    </x:row>
    <x:row r="779" ht="23" customHeight="1">
      <x:c r="A779" s="2" t="str">
        <x:v>62044300_BD_202504_IMPORT</x:v>
      </x:c>
      <x:c r="B779" s="2" t="n">
        <x:v>202504</x:v>
      </x:c>
      <x:c r="C779" s="2" t="str">
        <x:v>62044300</x:v>
      </x:c>
      <x:c r="D779" s="2" t="str">
        <x:v>Bangladesh</x:v>
      </x:c>
      <x:c r="E779" s="2" t="n">
        <x:v>1631300</x:v>
      </x:c>
      <x:c r="F779" s="2" t="n">
        <x:v>98377</x:v>
      </x:c>
      <x:c r="G779" s="2" t="str">
        <x:v>WITHIN_BAND</x:v>
      </x:c>
      <x:c r="H779" s="2" t="n">
        <x:v>1</x:v>
      </x:c>
      <x:c r="I779" s="2"/>
      <x:c r="J779" s="2"/>
      <x:c r="K779" s="2"/>
      <x:c r="L779" s="2" t="n">
        <x:f>SUM(IF('Monthly_Data'!A435=A779,IF(ISBLANK('Monthly_Data'!A435)=ISBLANK(A779),0,1),1),IF('Monthly_Data'!B435=B779,IF(ISBLANK('Monthly_Data'!B435)=ISBLANK(B779),0,1),1),IF('Monthly_Data'!C435=C779,IF(ISBLANK('Monthly_Data'!C435)=ISBLANK(C779),0,1),1),IF('Monthly_Data'!D435=D779,IF(ISBLANK('Monthly_Data'!D435)=ISBLANK(D779),0,1),1),IF('Monthly_Data'!E435=E779,IF(ISBLANK('Monthly_Data'!E435)=ISBLANK(E779),0,1),1),IF('Monthly_Data'!F435=F779,IF(ISBLANK('Monthly_Data'!F435)=ISBLANK(F779),0,1),1),IF('Monthly_Data'!G435=G779,IF(ISBLANK('Monthly_Data'!G435)=ISBLANK(G779),0,1),1),IF('Monthly_Data'!H435=H779,IF(ISBLANK('Monthly_Data'!H435)=ISBLANK(H779),0,1),1))</x:f>
        <x:v>0</x:v>
      </x:c>
    </x:row>
    <x:row r="780" ht="23" customHeight="1">
      <x:c r="A780" s="2" t="str">
        <x:v>62044300_KH_202504_IMPORT</x:v>
      </x:c>
      <x:c r="B780" s="2" t="n">
        <x:v>202504</x:v>
      </x:c>
      <x:c r="C780" s="2" t="str">
        <x:v>62044300</x:v>
      </x:c>
      <x:c r="D780" s="2" t="str">
        <x:v>Cambodia</x:v>
      </x:c>
      <x:c r="E780" s="2" t="n">
        <x:v>247950</x:v>
      </x:c>
      <x:c r="F780" s="2" t="n">
        <x:v>15033</x:v>
      </x:c>
      <x:c r="G780" s="2" t="str">
        <x:v>WITHIN_BAND</x:v>
      </x:c>
      <x:c r="H780" s="2" t="n">
        <x:v>1</x:v>
      </x:c>
      <x:c r="I780" s="2"/>
      <x:c r="J780" s="2"/>
      <x:c r="K780" s="2"/>
      <x:c r="L780" s="2" t="n">
        <x:f>SUM(IF('Monthly_Data'!A436=A780,IF(ISBLANK('Monthly_Data'!A436)=ISBLANK(A780),0,1),1),IF('Monthly_Data'!B436=B780,IF(ISBLANK('Monthly_Data'!B436)=ISBLANK(B780),0,1),1),IF('Monthly_Data'!C436=C780,IF(ISBLANK('Monthly_Data'!C436)=ISBLANK(C780),0,1),1),IF('Monthly_Data'!D436=D780,IF(ISBLANK('Monthly_Data'!D436)=ISBLANK(D780),0,1),1),IF('Monthly_Data'!E436=E780,IF(ISBLANK('Monthly_Data'!E436)=ISBLANK(E780),0,1),1),IF('Monthly_Data'!F436=F780,IF(ISBLANK('Monthly_Data'!F436)=ISBLANK(F780),0,1),1),IF('Monthly_Data'!G436=G780,IF(ISBLANK('Monthly_Data'!G436)=ISBLANK(G780),0,1),1),IF('Monthly_Data'!H436=H780,IF(ISBLANK('Monthly_Data'!H436)=ISBLANK(H780),0,1),1))</x:f>
        <x:v>0</x:v>
      </x:c>
    </x:row>
    <x:row r="781" ht="23" customHeight="1">
      <x:c r="A781" s="2" t="str">
        <x:v>62044300_CN_202504_IMPORT</x:v>
      </x:c>
      <x:c r="B781" s="2" t="n">
        <x:v>202504</x:v>
      </x:c>
      <x:c r="C781" s="2" t="str">
        <x:v>62044300</x:v>
      </x:c>
      <x:c r="D781" s="2" t="str">
        <x:v>China</x:v>
      </x:c>
      <x:c r="E781" s="2" t="n">
        <x:v>8109859</x:v>
      </x:c>
      <x:c r="F781" s="2" t="n">
        <x:v>284274</x:v>
      </x:c>
      <x:c r="G781" s="2" t="str">
        <x:v>WITHIN_BAND</x:v>
      </x:c>
      <x:c r="H781" s="2" t="n">
        <x:v>1</x:v>
      </x:c>
      <x:c r="I781" s="2"/>
      <x:c r="J781" s="2"/>
      <x:c r="K781" s="2"/>
      <x:c r="L781" s="2" t="n">
        <x:f>SUM(IF('Monthly_Data'!A437=A781,IF(ISBLANK('Monthly_Data'!A437)=ISBLANK(A781),0,1),1),IF('Monthly_Data'!B437=B781,IF(ISBLANK('Monthly_Data'!B437)=ISBLANK(B781),0,1),1),IF('Monthly_Data'!C437=C781,IF(ISBLANK('Monthly_Data'!C437)=ISBLANK(C781),0,1),1),IF('Monthly_Data'!D437=D781,IF(ISBLANK('Monthly_Data'!D437)=ISBLANK(D781),0,1),1),IF('Monthly_Data'!E437=E781,IF(ISBLANK('Monthly_Data'!E437)=ISBLANK(E781),0,1),1),IF('Monthly_Data'!F437=F781,IF(ISBLANK('Monthly_Data'!F437)=ISBLANK(F781),0,1),1),IF('Monthly_Data'!G437=G781,IF(ISBLANK('Monthly_Data'!G437)=ISBLANK(G781),0,1),1),IF('Monthly_Data'!H437=H781,IF(ISBLANK('Monthly_Data'!H437)=ISBLANK(H781),0,1),1))</x:f>
        <x:v>0</x:v>
      </x:c>
    </x:row>
    <x:row r="782" ht="23" customHeight="1">
      <x:c r="A782" s="2" t="str">
        <x:v>62044300_IN_202504_IMPORT</x:v>
      </x:c>
      <x:c r="B782" s="2" t="n">
        <x:v>202504</x:v>
      </x:c>
      <x:c r="C782" s="2" t="str">
        <x:v>62044300</x:v>
      </x:c>
      <x:c r="D782" s="2" t="str">
        <x:v>India</x:v>
      </x:c>
      <x:c r="E782" s="2" t="n">
        <x:v>4044322</x:v>
      </x:c>
      <x:c r="F782" s="2" t="n">
        <x:v>171258</x:v>
      </x:c>
      <x:c r="G782" s="2" t="str">
        <x:v>WITHIN_BAND</x:v>
      </x:c>
      <x:c r="H782" s="2" t="n">
        <x:v>1</x:v>
      </x:c>
      <x:c r="I782" s="2"/>
      <x:c r="J782" s="2"/>
      <x:c r="K782" s="2"/>
      <x:c r="L782" s="2" t="n">
        <x:f>SUM(IF('Monthly_Data'!A438=A782,IF(ISBLANK('Monthly_Data'!A438)=ISBLANK(A782),0,1),1),IF('Monthly_Data'!B438=B782,IF(ISBLANK('Monthly_Data'!B438)=ISBLANK(B782),0,1),1),IF('Monthly_Data'!C438=C782,IF(ISBLANK('Monthly_Data'!C438)=ISBLANK(C782),0,1),1),IF('Monthly_Data'!D438=D782,IF(ISBLANK('Monthly_Data'!D438)=ISBLANK(D782),0,1),1),IF('Monthly_Data'!E438=E782,IF(ISBLANK('Monthly_Data'!E438)=ISBLANK(E782),0,1),1),IF('Monthly_Data'!F438=F782,IF(ISBLANK('Monthly_Data'!F438)=ISBLANK(F782),0,1),1),IF('Monthly_Data'!G438=G782,IF(ISBLANK('Monthly_Data'!G438)=ISBLANK(G782),0,1),1),IF('Monthly_Data'!H438=H782,IF(ISBLANK('Monthly_Data'!H438)=ISBLANK(H782),0,1),1))</x:f>
        <x:v>0</x:v>
      </x:c>
    </x:row>
    <x:row r="783" ht="23" customHeight="1">
      <x:c r="A783" s="2" t="str">
        <x:v>62044300_MA_202504_IMPORT</x:v>
      </x:c>
      <x:c r="B783" s="2" t="n">
        <x:v>202504</x:v>
      </x:c>
      <x:c r="C783" s="2" t="str">
        <x:v>62044300</x:v>
      </x:c>
      <x:c r="D783" s="2" t="str">
        <x:v>Morocco</x:v>
      </x:c>
      <x:c r="E783" s="2" t="n">
        <x:v>902705</x:v>
      </x:c>
      <x:c r="F783" s="2" t="n">
        <x:v>44420</x:v>
      </x:c>
      <x:c r="G783" s="2" t="str">
        <x:v>WITHIN_BAND</x:v>
      </x:c>
      <x:c r="H783" s="2" t="n">
        <x:v>1</x:v>
      </x:c>
      <x:c r="I783" s="2"/>
      <x:c r="J783" s="2"/>
      <x:c r="K783" s="2"/>
      <x:c r="L783" s="2" t="n">
        <x:f>SUM(IF('Monthly_Data'!A439=A783,IF(ISBLANK('Monthly_Data'!A439)=ISBLANK(A783),0,1),1),IF('Monthly_Data'!B439=B783,IF(ISBLANK('Monthly_Data'!B439)=ISBLANK(B783),0,1),1),IF('Monthly_Data'!C439=C783,IF(ISBLANK('Monthly_Data'!C439)=ISBLANK(C783),0,1),1),IF('Monthly_Data'!D439=D783,IF(ISBLANK('Monthly_Data'!D439)=ISBLANK(D783),0,1),1),IF('Monthly_Data'!E439=E783,IF(ISBLANK('Monthly_Data'!E439)=ISBLANK(E783),0,1),1),IF('Monthly_Data'!F439=F783,IF(ISBLANK('Monthly_Data'!F439)=ISBLANK(F783),0,1),1),IF('Monthly_Data'!G439=G783,IF(ISBLANK('Monthly_Data'!G439)=ISBLANK(G783),0,1),1),IF('Monthly_Data'!H439=H783,IF(ISBLANK('Monthly_Data'!H439)=ISBLANK(H783),0,1),1))</x:f>
        <x:v>0</x:v>
      </x:c>
    </x:row>
    <x:row r="784" ht="23" customHeight="1">
      <x:c r="A784" s="2" t="str">
        <x:v>62044300_MM_202504_IMPORT</x:v>
      </x:c>
      <x:c r="B784" s="2" t="n">
        <x:v>202504</x:v>
      </x:c>
      <x:c r="C784" s="2" t="str">
        <x:v>62044300</x:v>
      </x:c>
      <x:c r="D784" s="2" t="str">
        <x:v>Myanmar</x:v>
      </x:c>
      <x:c r="E784" s="2" t="n">
        <x:v>249887</x:v>
      </x:c>
      <x:c r="F784" s="2" t="n">
        <x:v>6436</x:v>
      </x:c>
      <x:c r="G784" s="2" t="str">
        <x:v>WITHIN_BAND</x:v>
      </x:c>
      <x:c r="H784" s="2" t="n">
        <x:v>1</x:v>
      </x:c>
      <x:c r="I784" s="2"/>
      <x:c r="J784" s="2"/>
      <x:c r="K784" s="2"/>
      <x:c r="L784" s="2" t="n">
        <x:f>SUM(IF('Monthly_Data'!A440=A784,IF(ISBLANK('Monthly_Data'!A440)=ISBLANK(A784),0,1),1),IF('Monthly_Data'!B440=B784,IF(ISBLANK('Monthly_Data'!B440)=ISBLANK(B784),0,1),1),IF('Monthly_Data'!C440=C784,IF(ISBLANK('Monthly_Data'!C440)=ISBLANK(C784),0,1),1),IF('Monthly_Data'!D440=D784,IF(ISBLANK('Monthly_Data'!D440)=ISBLANK(D784),0,1),1),IF('Monthly_Data'!E440=E784,IF(ISBLANK('Monthly_Data'!E440)=ISBLANK(E784),0,1),1),IF('Monthly_Data'!F440=F784,IF(ISBLANK('Monthly_Data'!F440)=ISBLANK(F784),0,1),1),IF('Monthly_Data'!G440=G784,IF(ISBLANK('Monthly_Data'!G440)=ISBLANK(G784),0,1),1),IF('Monthly_Data'!H440=H784,IF(ISBLANK('Monthly_Data'!H440)=ISBLANK(H784),0,1),1))</x:f>
        <x:v>0</x:v>
      </x:c>
    </x:row>
    <x:row r="785" ht="23" customHeight="1">
      <x:c r="A785" s="2" t="str">
        <x:v>62044300_PK_202504_IMPORT</x:v>
      </x:c>
      <x:c r="B785" s="2" t="n">
        <x:v>202504</x:v>
      </x:c>
      <x:c r="C785" s="2" t="str">
        <x:v>62044300</x:v>
      </x:c>
      <x:c r="D785" s="2" t="str">
        <x:v>Pakistan</x:v>
      </x:c>
      <x:c r="E785" s="2" t="n">
        <x:v>106331</x:v>
      </x:c>
      <x:c r="F785" s="2" t="n">
        <x:v>4353</x:v>
      </x:c>
      <x:c r="G785" s="2" t="str">
        <x:v>WITHIN_BAND</x:v>
      </x:c>
      <x:c r="H785" s="2" t="n">
        <x:v>1</x:v>
      </x:c>
      <x:c r="I785" s="2"/>
      <x:c r="J785" s="2"/>
      <x:c r="K785" s="2"/>
      <x:c r="L785" s="2" t="n">
        <x:f>SUM(IF('Monthly_Data'!A441=A785,IF(ISBLANK('Monthly_Data'!A441)=ISBLANK(A785),0,1),1),IF('Monthly_Data'!B441=B785,IF(ISBLANK('Monthly_Data'!B441)=ISBLANK(B785),0,1),1),IF('Monthly_Data'!C441=C785,IF(ISBLANK('Monthly_Data'!C441)=ISBLANK(C785),0,1),1),IF('Monthly_Data'!D441=D785,IF(ISBLANK('Monthly_Data'!D441)=ISBLANK(D785),0,1),1),IF('Monthly_Data'!E441=E785,IF(ISBLANK('Monthly_Data'!E441)=ISBLANK(E785),0,1),1),IF('Monthly_Data'!F441=F785,IF(ISBLANK('Monthly_Data'!F441)=ISBLANK(F785),0,1),1),IF('Monthly_Data'!G441=G785,IF(ISBLANK('Monthly_Data'!G441)=ISBLANK(G785),0,1),1),IF('Monthly_Data'!H441=H785,IF(ISBLANK('Monthly_Data'!H441)=ISBLANK(H785),0,1),1))</x:f>
        <x:v>0</x:v>
      </x:c>
    </x:row>
    <x:row r="786" ht="23" customHeight="1">
      <x:c r="A786" s="2" t="str">
        <x:v>62044300_LK_202504_IMPORT</x:v>
      </x:c>
      <x:c r="B786" s="2" t="n">
        <x:v>202504</x:v>
      </x:c>
      <x:c r="C786" s="2" t="str">
        <x:v>62044300</x:v>
      </x:c>
      <x:c r="D786" s="2" t="str">
        <x:v>Sri Lanka</x:v>
      </x:c>
      <x:c r="E786" s="2" t="n">
        <x:v>1304355</x:v>
      </x:c>
      <x:c r="F786" s="2" t="n">
        <x:v>80451</x:v>
      </x:c>
      <x:c r="G786" s="2" t="str">
        <x:v>WITHIN_BAND</x:v>
      </x:c>
      <x:c r="H786" s="2" t="n">
        <x:v>1</x:v>
      </x:c>
      <x:c r="I786" s="2"/>
      <x:c r="J786" s="2"/>
      <x:c r="K786" s="2"/>
      <x:c r="L786" s="2" t="n">
        <x:f>SUM(IF('Monthly_Data'!A442=A786,IF(ISBLANK('Monthly_Data'!A442)=ISBLANK(A786),0,1),1),IF('Monthly_Data'!B442=B786,IF(ISBLANK('Monthly_Data'!B442)=ISBLANK(B786),0,1),1),IF('Monthly_Data'!C442=C786,IF(ISBLANK('Monthly_Data'!C442)=ISBLANK(C786),0,1),1),IF('Monthly_Data'!D442=D786,IF(ISBLANK('Monthly_Data'!D442)=ISBLANK(D786),0,1),1),IF('Monthly_Data'!E442=E786,IF(ISBLANK('Monthly_Data'!E442)=ISBLANK(E786),0,1),1),IF('Monthly_Data'!F442=F786,IF(ISBLANK('Monthly_Data'!F442)=ISBLANK(F786),0,1),1),IF('Monthly_Data'!G442=G786,IF(ISBLANK('Monthly_Data'!G442)=ISBLANK(G786),0,1),1),IF('Monthly_Data'!H442=H786,IF(ISBLANK('Monthly_Data'!H442)=ISBLANK(H786),0,1),1))</x:f>
        <x:v>0</x:v>
      </x:c>
    </x:row>
    <x:row r="787" ht="23" customHeight="1">
      <x:c r="A787" s="2" t="str">
        <x:v>62044300_TR_202504_IMPORT</x:v>
      </x:c>
      <x:c r="B787" s="2" t="n">
        <x:v>202504</x:v>
      </x:c>
      <x:c r="C787" s="2" t="str">
        <x:v>62044300</x:v>
      </x:c>
      <x:c r="D787" s="2" t="str">
        <x:v>Turkey</x:v>
      </x:c>
      <x:c r="E787" s="2" t="n">
        <x:v>794719</x:v>
      </x:c>
      <x:c r="F787" s="2" t="n">
        <x:v>25960</x:v>
      </x:c>
      <x:c r="G787" s="2" t="str">
        <x:v>WITHIN_BAND</x:v>
      </x:c>
      <x:c r="H787" s="2" t="n">
        <x:v>1</x:v>
      </x:c>
      <x:c r="I787" s="2"/>
      <x:c r="J787" s="2"/>
      <x:c r="K787" s="2"/>
      <x:c r="L787" s="2" t="n">
        <x:f>SUM(IF('Monthly_Data'!A443=A787,IF(ISBLANK('Monthly_Data'!A443)=ISBLANK(A787),0,1),1),IF('Monthly_Data'!B443=B787,IF(ISBLANK('Monthly_Data'!B443)=ISBLANK(B787),0,1),1),IF('Monthly_Data'!C443=C787,IF(ISBLANK('Monthly_Data'!C443)=ISBLANK(C787),0,1),1),IF('Monthly_Data'!D443=D787,IF(ISBLANK('Monthly_Data'!D443)=ISBLANK(D787),0,1),1),IF('Monthly_Data'!E443=E787,IF(ISBLANK('Monthly_Data'!E443)=ISBLANK(E787),0,1),1),IF('Monthly_Data'!F443=F787,IF(ISBLANK('Monthly_Data'!F443)=ISBLANK(F787),0,1),1),IF('Monthly_Data'!G443=G787,IF(ISBLANK('Monthly_Data'!G443)=ISBLANK(G787),0,1),1),IF('Monthly_Data'!H443=H787,IF(ISBLANK('Monthly_Data'!H443)=ISBLANK(H787),0,1),1))</x:f>
        <x:v>0</x:v>
      </x:c>
    </x:row>
    <x:row r="788" ht="23" customHeight="1">
      <x:c r="A788" s="2" t="str">
        <x:v>62044300_VN_202504_IMPORT</x:v>
      </x:c>
      <x:c r="B788" s="2" t="n">
        <x:v>202504</x:v>
      </x:c>
      <x:c r="C788" s="2" t="str">
        <x:v>62044300</x:v>
      </x:c>
      <x:c r="D788" s="2" t="str">
        <x:v>Vietnam</x:v>
      </x:c>
      <x:c r="E788" s="2" t="n">
        <x:v>916128</x:v>
      </x:c>
      <x:c r="F788" s="2" t="n">
        <x:v>34290</x:v>
      </x:c>
      <x:c r="G788" s="2" t="str">
        <x:v>WITHIN_BAND</x:v>
      </x:c>
      <x:c r="H788" s="2" t="n">
        <x:v>1</x:v>
      </x:c>
      <x:c r="I788" s="2"/>
      <x:c r="J788" s="2"/>
      <x:c r="K788" s="2"/>
      <x:c r="L788" s="2" t="n">
        <x:f>SUM(IF('Monthly_Data'!A444=A788,IF(ISBLANK('Monthly_Data'!A444)=ISBLANK(A788),0,1),1),IF('Monthly_Data'!B444=B788,IF(ISBLANK('Monthly_Data'!B444)=ISBLANK(B788),0,1),1),IF('Monthly_Data'!C444=C788,IF(ISBLANK('Monthly_Data'!C444)=ISBLANK(C788),0,1),1),IF('Monthly_Data'!D444=D788,IF(ISBLANK('Monthly_Data'!D444)=ISBLANK(D788),0,1),1),IF('Monthly_Data'!E444=E788,IF(ISBLANK('Monthly_Data'!E444)=ISBLANK(E788),0,1),1),IF('Monthly_Data'!F444=F788,IF(ISBLANK('Monthly_Data'!F444)=ISBLANK(F788),0,1),1),IF('Monthly_Data'!G444=G788,IF(ISBLANK('Monthly_Data'!G444)=ISBLANK(G788),0,1),1),IF('Monthly_Data'!H444=H788,IF(ISBLANK('Monthly_Data'!H444)=ISBLANK(H788),0,1),1))</x:f>
        <x:v>0</x:v>
      </x:c>
    </x:row>
    <x:row r="789" ht="23" customHeight="1">
      <x:c r="A789" s="2" t="str">
        <x:v>62044300_WORLD_202504_IMPORT</x:v>
      </x:c>
      <x:c r="B789" s="2" t="n">
        <x:v>202504</x:v>
      </x:c>
      <x:c r="C789" s="2" t="str">
        <x:v>62044300</x:v>
      </x:c>
      <x:c r="D789" s="2" t="str">
        <x:v>World</x:v>
      </x:c>
      <x:c r="E789" s="2" t="n">
        <x:v>30033977</x:v>
      </x:c>
      <x:c r="F789" s="2" t="n">
        <x:v>955936</x:v>
      </x:c>
      <x:c r="G789" s="2" t="str">
        <x:v>WITHIN_BAND</x:v>
      </x:c>
      <x:c r="H789" s="2" t="n">
        <x:v>1</x:v>
      </x:c>
      <x:c r="I789" s="2"/>
      <x:c r="J789" s="2"/>
      <x:c r="K789" s="2"/>
      <x:c r="L789" s="2" t="n">
        <x:f>SUM(IF('Monthly_Data'!A445=A789,IF(ISBLANK('Monthly_Data'!A445)=ISBLANK(A789),0,1),1),IF('Monthly_Data'!B445=B789,IF(ISBLANK('Monthly_Data'!B445)=ISBLANK(B789),0,1),1),IF('Monthly_Data'!C445=C789,IF(ISBLANK('Monthly_Data'!C445)=ISBLANK(C789),0,1),1),IF('Monthly_Data'!D445=D789,IF(ISBLANK('Monthly_Data'!D445)=ISBLANK(D789),0,1),1),IF('Monthly_Data'!E445=E789,IF(ISBLANK('Monthly_Data'!E445)=ISBLANK(E789),0,1),1),IF('Monthly_Data'!F445=F789,IF(ISBLANK('Monthly_Data'!F445)=ISBLANK(F789),0,1),1),IF('Monthly_Data'!G445=G789,IF(ISBLANK('Monthly_Data'!G445)=ISBLANK(G789),0,1),1),IF('Monthly_Data'!H445=H789,IF(ISBLANK('Monthly_Data'!H445)=ISBLANK(H789),0,1),1))</x:f>
        <x:v>0</x:v>
      </x:c>
    </x:row>
    <x:row r="790" ht="23" customHeight="1">
      <x:c r="A790" s="2" t="str">
        <x:v>62044300_BD_202505_IMPORT</x:v>
      </x:c>
      <x:c r="B790" s="2" t="n">
        <x:v>202505</x:v>
      </x:c>
      <x:c r="C790" s="2" t="str">
        <x:v>62044300</x:v>
      </x:c>
      <x:c r="D790" s="2" t="str">
        <x:v>Bangladesh</x:v>
      </x:c>
      <x:c r="E790" s="2" t="n">
        <x:v>1563541</x:v>
      </x:c>
      <x:c r="F790" s="2" t="n">
        <x:v>92021</x:v>
      </x:c>
      <x:c r="G790" s="2" t="str">
        <x:v>WITHIN_BAND</x:v>
      </x:c>
      <x:c r="H790" s="2" t="n">
        <x:v>1</x:v>
      </x:c>
      <x:c r="I790" s="2"/>
      <x:c r="J790" s="2"/>
      <x:c r="K790" s="2"/>
      <x:c r="L790" s="2" t="n">
        <x:f>SUM(IF('Monthly_Data'!A446=A790,IF(ISBLANK('Monthly_Data'!A446)=ISBLANK(A790),0,1),1),IF('Monthly_Data'!B446=B790,IF(ISBLANK('Monthly_Data'!B446)=ISBLANK(B790),0,1),1),IF('Monthly_Data'!C446=C790,IF(ISBLANK('Monthly_Data'!C446)=ISBLANK(C790),0,1),1),IF('Monthly_Data'!D446=D790,IF(ISBLANK('Monthly_Data'!D446)=ISBLANK(D790),0,1),1),IF('Monthly_Data'!E446=E790,IF(ISBLANK('Monthly_Data'!E446)=ISBLANK(E790),0,1),1),IF('Monthly_Data'!F446=F790,IF(ISBLANK('Monthly_Data'!F446)=ISBLANK(F790),0,1),1),IF('Monthly_Data'!G446=G790,IF(ISBLANK('Monthly_Data'!G446)=ISBLANK(G790),0,1),1),IF('Monthly_Data'!H446=H790,IF(ISBLANK('Monthly_Data'!H446)=ISBLANK(H790),0,1),1))</x:f>
        <x:v>0</x:v>
      </x:c>
    </x:row>
    <x:row r="791" ht="23" customHeight="1">
      <x:c r="A791" s="2" t="str">
        <x:v>62044300_KH_202505_IMPORT</x:v>
      </x:c>
      <x:c r="B791" s="2" t="n">
        <x:v>202505</x:v>
      </x:c>
      <x:c r="C791" s="2" t="str">
        <x:v>62044300</x:v>
      </x:c>
      <x:c r="D791" s="2" t="str">
        <x:v>Cambodia</x:v>
      </x:c>
      <x:c r="E791" s="2" t="n">
        <x:v>837194</x:v>
      </x:c>
      <x:c r="F791" s="2" t="n">
        <x:v>56550</x:v>
      </x:c>
      <x:c r="G791" s="2" t="str">
        <x:v>WITHIN_BAND</x:v>
      </x:c>
      <x:c r="H791" s="2" t="n">
        <x:v>1</x:v>
      </x:c>
      <x:c r="I791" s="2"/>
      <x:c r="J791" s="2"/>
      <x:c r="K791" s="2"/>
      <x:c r="L791" s="2" t="n">
        <x:f>SUM(IF('Monthly_Data'!A447=A791,IF(ISBLANK('Monthly_Data'!A447)=ISBLANK(A791),0,1),1),IF('Monthly_Data'!B447=B791,IF(ISBLANK('Monthly_Data'!B447)=ISBLANK(B791),0,1),1),IF('Monthly_Data'!C447=C791,IF(ISBLANK('Monthly_Data'!C447)=ISBLANK(C791),0,1),1),IF('Monthly_Data'!D447=D791,IF(ISBLANK('Monthly_Data'!D447)=ISBLANK(D791),0,1),1),IF('Monthly_Data'!E447=E791,IF(ISBLANK('Monthly_Data'!E447)=ISBLANK(E791),0,1),1),IF('Monthly_Data'!F447=F791,IF(ISBLANK('Monthly_Data'!F447)=ISBLANK(F791),0,1),1),IF('Monthly_Data'!G447=G791,IF(ISBLANK('Monthly_Data'!G447)=ISBLANK(G791),0,1),1),IF('Monthly_Data'!H447=H791,IF(ISBLANK('Monthly_Data'!H447)=ISBLANK(H791),0,1),1))</x:f>
        <x:v>0</x:v>
      </x:c>
    </x:row>
    <x:row r="792" ht="23" customHeight="1">
      <x:c r="A792" s="2" t="str">
        <x:v>62044300_CN_202505_IMPORT</x:v>
      </x:c>
      <x:c r="B792" s="2" t="n">
        <x:v>202505</x:v>
      </x:c>
      <x:c r="C792" s="2" t="str">
        <x:v>62044300</x:v>
      </x:c>
      <x:c r="D792" s="2" t="str">
        <x:v>China</x:v>
      </x:c>
      <x:c r="E792" s="2" t="n">
        <x:v>9366163</x:v>
      </x:c>
      <x:c r="F792" s="2" t="n">
        <x:v>350636</x:v>
      </x:c>
      <x:c r="G792" s="2" t="str">
        <x:v>WITHIN_BAND</x:v>
      </x:c>
      <x:c r="H792" s="2" t="n">
        <x:v>1</x:v>
      </x:c>
      <x:c r="I792" s="2"/>
      <x:c r="J792" s="2"/>
      <x:c r="K792" s="2"/>
      <x:c r="L792" s="2" t="n">
        <x:f>SUM(IF('Monthly_Data'!A448=A792,IF(ISBLANK('Monthly_Data'!A448)=ISBLANK(A792),0,1),1),IF('Monthly_Data'!B448=B792,IF(ISBLANK('Monthly_Data'!B448)=ISBLANK(B792),0,1),1),IF('Monthly_Data'!C448=C792,IF(ISBLANK('Monthly_Data'!C448)=ISBLANK(C792),0,1),1),IF('Monthly_Data'!D448=D792,IF(ISBLANK('Monthly_Data'!D448)=ISBLANK(D792),0,1),1),IF('Monthly_Data'!E448=E792,IF(ISBLANK('Monthly_Data'!E448)=ISBLANK(E792),0,1),1),IF('Monthly_Data'!F448=F792,IF(ISBLANK('Monthly_Data'!F448)=ISBLANK(F792),0,1),1),IF('Monthly_Data'!G448=G792,IF(ISBLANK('Monthly_Data'!G448)=ISBLANK(G792),0,1),1),IF('Monthly_Data'!H448=H792,IF(ISBLANK('Monthly_Data'!H448)=ISBLANK(H792),0,1),1))</x:f>
        <x:v>0</x:v>
      </x:c>
    </x:row>
    <x:row r="793" ht="23" customHeight="1">
      <x:c r="A793" s="2" t="str">
        <x:v>62044300_IN_202505_IMPORT</x:v>
      </x:c>
      <x:c r="B793" s="2" t="n">
        <x:v>202505</x:v>
      </x:c>
      <x:c r="C793" s="2" t="str">
        <x:v>62044300</x:v>
      </x:c>
      <x:c r="D793" s="2" t="str">
        <x:v>India</x:v>
      </x:c>
      <x:c r="E793" s="2" t="n">
        <x:v>4799200</x:v>
      </x:c>
      <x:c r="F793" s="2" t="n">
        <x:v>177854</x:v>
      </x:c>
      <x:c r="G793" s="2" t="str">
        <x:v>WITHIN_BAND</x:v>
      </x:c>
      <x:c r="H793" s="2" t="n">
        <x:v>1</x:v>
      </x:c>
      <x:c r="I793" s="2"/>
      <x:c r="J793" s="2"/>
      <x:c r="K793" s="2"/>
      <x:c r="L793" s="2" t="n">
        <x:f>SUM(IF('Monthly_Data'!A449=A793,IF(ISBLANK('Monthly_Data'!A449)=ISBLANK(A793),0,1),1),IF('Monthly_Data'!B449=B793,IF(ISBLANK('Monthly_Data'!B449)=ISBLANK(B793),0,1),1),IF('Monthly_Data'!C449=C793,IF(ISBLANK('Monthly_Data'!C449)=ISBLANK(C793),0,1),1),IF('Monthly_Data'!D449=D793,IF(ISBLANK('Monthly_Data'!D449)=ISBLANK(D793),0,1),1),IF('Monthly_Data'!E449=E793,IF(ISBLANK('Monthly_Data'!E449)=ISBLANK(E793),0,1),1),IF('Monthly_Data'!F449=F793,IF(ISBLANK('Monthly_Data'!F449)=ISBLANK(F793),0,1),1),IF('Monthly_Data'!G449=G793,IF(ISBLANK('Monthly_Data'!G449)=ISBLANK(G793),0,1),1),IF('Monthly_Data'!H449=H793,IF(ISBLANK('Monthly_Data'!H449)=ISBLANK(H793),0,1),1))</x:f>
        <x:v>0</x:v>
      </x:c>
    </x:row>
    <x:row r="794" ht="23" customHeight="1">
      <x:c r="A794" s="2" t="str">
        <x:v>62044300_MA_202505_IMPORT</x:v>
      </x:c>
      <x:c r="B794" s="2" t="n">
        <x:v>202505</x:v>
      </x:c>
      <x:c r="C794" s="2" t="str">
        <x:v>62044300</x:v>
      </x:c>
      <x:c r="D794" s="2" t="str">
        <x:v>Morocco</x:v>
      </x:c>
      <x:c r="E794" s="2" t="n">
        <x:v>1589641</x:v>
      </x:c>
      <x:c r="F794" s="2" t="n">
        <x:v>75969</x:v>
      </x:c>
      <x:c r="G794" s="2" t="str">
        <x:v>WITHIN_BAND</x:v>
      </x:c>
      <x:c r="H794" s="2" t="n">
        <x:v>1</x:v>
      </x:c>
      <x:c r="I794" s="2"/>
      <x:c r="J794" s="2"/>
      <x:c r="K794" s="2"/>
      <x:c r="L794" s="2" t="n">
        <x:f>SUM(IF('Monthly_Data'!A450=A794,IF(ISBLANK('Monthly_Data'!A450)=ISBLANK(A794),0,1),1),IF('Monthly_Data'!B450=B794,IF(ISBLANK('Monthly_Data'!B450)=ISBLANK(B794),0,1),1),IF('Monthly_Data'!C450=C794,IF(ISBLANK('Monthly_Data'!C450)=ISBLANK(C794),0,1),1),IF('Monthly_Data'!D450=D794,IF(ISBLANK('Monthly_Data'!D450)=ISBLANK(D794),0,1),1),IF('Monthly_Data'!E450=E794,IF(ISBLANK('Monthly_Data'!E450)=ISBLANK(E794),0,1),1),IF('Monthly_Data'!F450=F794,IF(ISBLANK('Monthly_Data'!F450)=ISBLANK(F794),0,1),1),IF('Monthly_Data'!G450=G794,IF(ISBLANK('Monthly_Data'!G450)=ISBLANK(G794),0,1),1),IF('Monthly_Data'!H450=H794,IF(ISBLANK('Monthly_Data'!H450)=ISBLANK(H794),0,1),1))</x:f>
        <x:v>0</x:v>
      </x:c>
    </x:row>
    <x:row r="795" ht="23" customHeight="1">
      <x:c r="A795" s="2" t="str">
        <x:v>62044300_MM_202505_IMPORT</x:v>
      </x:c>
      <x:c r="B795" s="2" t="n">
        <x:v>202505</x:v>
      </x:c>
      <x:c r="C795" s="2" t="str">
        <x:v>62044300</x:v>
      </x:c>
      <x:c r="D795" s="2" t="str">
        <x:v>Myanmar</x:v>
      </x:c>
      <x:c r="E795" s="2" t="n">
        <x:v>404121</x:v>
      </x:c>
      <x:c r="F795" s="2" t="n">
        <x:v>11427</x:v>
      </x:c>
      <x:c r="G795" s="2" t="str">
        <x:v>WITHIN_BAND</x:v>
      </x:c>
      <x:c r="H795" s="2" t="n">
        <x:v>1</x:v>
      </x:c>
      <x:c r="I795" s="2"/>
      <x:c r="J795" s="2"/>
      <x:c r="K795" s="2"/>
      <x:c r="L795" s="2" t="n">
        <x:f>SUM(IF('Monthly_Data'!A451=A795,IF(ISBLANK('Monthly_Data'!A451)=ISBLANK(A795),0,1),1),IF('Monthly_Data'!B451=B795,IF(ISBLANK('Monthly_Data'!B451)=ISBLANK(B795),0,1),1),IF('Monthly_Data'!C451=C795,IF(ISBLANK('Monthly_Data'!C451)=ISBLANK(C795),0,1),1),IF('Monthly_Data'!D451=D795,IF(ISBLANK('Monthly_Data'!D451)=ISBLANK(D795),0,1),1),IF('Monthly_Data'!E451=E795,IF(ISBLANK('Monthly_Data'!E451)=ISBLANK(E795),0,1),1),IF('Monthly_Data'!F451=F795,IF(ISBLANK('Monthly_Data'!F451)=ISBLANK(F795),0,1),1),IF('Monthly_Data'!G451=G795,IF(ISBLANK('Monthly_Data'!G451)=ISBLANK(G795),0,1),1),IF('Monthly_Data'!H451=H795,IF(ISBLANK('Monthly_Data'!H451)=ISBLANK(H795),0,1),1))</x:f>
        <x:v>0</x:v>
      </x:c>
    </x:row>
    <x:row r="796" ht="23" customHeight="1">
      <x:c r="A796" s="2" t="str">
        <x:v>62044300_PK_202505_IMPORT</x:v>
      </x:c>
      <x:c r="B796" s="2" t="n">
        <x:v>202505</x:v>
      </x:c>
      <x:c r="C796" s="2" t="str">
        <x:v>62044300</x:v>
      </x:c>
      <x:c r="D796" s="2" t="str">
        <x:v>Pakistan</x:v>
      </x:c>
      <x:c r="E796" s="2" t="n">
        <x:v>217737</x:v>
      </x:c>
      <x:c r="F796" s="2" t="n">
        <x:v>13349</x:v>
      </x:c>
      <x:c r="G796" s="2" t="str">
        <x:v>WITHIN_BAND</x:v>
      </x:c>
      <x:c r="H796" s="2" t="n">
        <x:v>1</x:v>
      </x:c>
      <x:c r="I796" s="2"/>
      <x:c r="J796" s="2"/>
      <x:c r="K796" s="2"/>
      <x:c r="L796" s="2" t="n">
        <x:f>SUM(IF('Monthly_Data'!A452=A796,IF(ISBLANK('Monthly_Data'!A452)=ISBLANK(A796),0,1),1),IF('Monthly_Data'!B452=B796,IF(ISBLANK('Monthly_Data'!B452)=ISBLANK(B796),0,1),1),IF('Monthly_Data'!C452=C796,IF(ISBLANK('Monthly_Data'!C452)=ISBLANK(C796),0,1),1),IF('Monthly_Data'!D452=D796,IF(ISBLANK('Monthly_Data'!D452)=ISBLANK(D796),0,1),1),IF('Monthly_Data'!E452=E796,IF(ISBLANK('Monthly_Data'!E452)=ISBLANK(E796),0,1),1),IF('Monthly_Data'!F452=F796,IF(ISBLANK('Monthly_Data'!F452)=ISBLANK(F796),0,1),1),IF('Monthly_Data'!G452=G796,IF(ISBLANK('Monthly_Data'!G452)=ISBLANK(G796),0,1),1),IF('Monthly_Data'!H452=H796,IF(ISBLANK('Monthly_Data'!H452)=ISBLANK(H796),0,1),1))</x:f>
        <x:v>0</x:v>
      </x:c>
    </x:row>
    <x:row r="797" ht="23" customHeight="1">
      <x:c r="A797" s="2" t="str">
        <x:v>62044300_LK_202505_IMPORT</x:v>
      </x:c>
      <x:c r="B797" s="2" t="n">
        <x:v>202505</x:v>
      </x:c>
      <x:c r="C797" s="2" t="str">
        <x:v>62044300</x:v>
      </x:c>
      <x:c r="D797" s="2" t="str">
        <x:v>Sri Lanka</x:v>
      </x:c>
      <x:c r="E797" s="2" t="n">
        <x:v>2301792</x:v>
      </x:c>
      <x:c r="F797" s="2" t="n">
        <x:v>145045</x:v>
      </x:c>
      <x:c r="G797" s="2" t="str">
        <x:v>WITHIN_BAND</x:v>
      </x:c>
      <x:c r="H797" s="2" t="n">
        <x:v>1</x:v>
      </x:c>
      <x:c r="I797" s="2"/>
      <x:c r="J797" s="2"/>
      <x:c r="K797" s="2"/>
      <x:c r="L797" s="2" t="n">
        <x:f>SUM(IF('Monthly_Data'!A453=A797,IF(ISBLANK('Monthly_Data'!A453)=ISBLANK(A797),0,1),1),IF('Monthly_Data'!B453=B797,IF(ISBLANK('Monthly_Data'!B453)=ISBLANK(B797),0,1),1),IF('Monthly_Data'!C453=C797,IF(ISBLANK('Monthly_Data'!C453)=ISBLANK(C797),0,1),1),IF('Monthly_Data'!D453=D797,IF(ISBLANK('Monthly_Data'!D453)=ISBLANK(D797),0,1),1),IF('Monthly_Data'!E453=E797,IF(ISBLANK('Monthly_Data'!E453)=ISBLANK(E797),0,1),1),IF('Monthly_Data'!F453=F797,IF(ISBLANK('Monthly_Data'!F453)=ISBLANK(F797),0,1),1),IF('Monthly_Data'!G453=G797,IF(ISBLANK('Monthly_Data'!G453)=ISBLANK(G797),0,1),1),IF('Monthly_Data'!H453=H797,IF(ISBLANK('Monthly_Data'!H453)=ISBLANK(H797),0,1),1))</x:f>
        <x:v>0</x:v>
      </x:c>
    </x:row>
    <x:row r="798" ht="23" customHeight="1">
      <x:c r="A798" s="2" t="str">
        <x:v>62044300_TR_202505_IMPORT</x:v>
      </x:c>
      <x:c r="B798" s="2" t="n">
        <x:v>202505</x:v>
      </x:c>
      <x:c r="C798" s="2" t="str">
        <x:v>62044300</x:v>
      </x:c>
      <x:c r="D798" s="2" t="str">
        <x:v>Turkey</x:v>
      </x:c>
      <x:c r="E798" s="2" t="n">
        <x:v>1049930</x:v>
      </x:c>
      <x:c r="F798" s="2" t="n">
        <x:v>27030</x:v>
      </x:c>
      <x:c r="G798" s="2" t="str">
        <x:v>WITHIN_BAND</x:v>
      </x:c>
      <x:c r="H798" s="2" t="n">
        <x:v>1</x:v>
      </x:c>
      <x:c r="I798" s="2"/>
      <x:c r="J798" s="2"/>
      <x:c r="K798" s="2"/>
      <x:c r="L798" s="2" t="n">
        <x:f>SUM(IF('Monthly_Data'!A454=A798,IF(ISBLANK('Monthly_Data'!A454)=ISBLANK(A798),0,1),1),IF('Monthly_Data'!B454=B798,IF(ISBLANK('Monthly_Data'!B454)=ISBLANK(B798),0,1),1),IF('Monthly_Data'!C454=C798,IF(ISBLANK('Monthly_Data'!C454)=ISBLANK(C798),0,1),1),IF('Monthly_Data'!D454=D798,IF(ISBLANK('Monthly_Data'!D454)=ISBLANK(D798),0,1),1),IF('Monthly_Data'!E454=E798,IF(ISBLANK('Monthly_Data'!E454)=ISBLANK(E798),0,1),1),IF('Monthly_Data'!F454=F798,IF(ISBLANK('Monthly_Data'!F454)=ISBLANK(F798),0,1),1),IF('Monthly_Data'!G454=G798,IF(ISBLANK('Monthly_Data'!G454)=ISBLANK(G798),0,1),1),IF('Monthly_Data'!H454=H798,IF(ISBLANK('Monthly_Data'!H454)=ISBLANK(H798),0,1),1))</x:f>
        <x:v>0</x:v>
      </x:c>
    </x:row>
    <x:row r="799" ht="23" customHeight="1">
      <x:c r="A799" s="2" t="str">
        <x:v>62044300_VN_202505_IMPORT</x:v>
      </x:c>
      <x:c r="B799" s="2" t="n">
        <x:v>202505</x:v>
      </x:c>
      <x:c r="C799" s="2" t="str">
        <x:v>62044300</x:v>
      </x:c>
      <x:c r="D799" s="2" t="str">
        <x:v>Vietnam</x:v>
      </x:c>
      <x:c r="E799" s="2" t="n">
        <x:v>839203</x:v>
      </x:c>
      <x:c r="F799" s="2" t="n">
        <x:v>36883</x:v>
      </x:c>
      <x:c r="G799" s="2" t="str">
        <x:v>WITHIN_BAND</x:v>
      </x:c>
      <x:c r="H799" s="2" t="n">
        <x:v>1</x:v>
      </x:c>
      <x:c r="I799" s="2"/>
      <x:c r="J799" s="2"/>
      <x:c r="K799" s="2"/>
      <x:c r="L799" s="2" t="n">
        <x:f>SUM(IF('Monthly_Data'!A455=A799,IF(ISBLANK('Monthly_Data'!A455)=ISBLANK(A799),0,1),1),IF('Monthly_Data'!B455=B799,IF(ISBLANK('Monthly_Data'!B455)=ISBLANK(B799),0,1),1),IF('Monthly_Data'!C455=C799,IF(ISBLANK('Monthly_Data'!C455)=ISBLANK(C799),0,1),1),IF('Monthly_Data'!D455=D799,IF(ISBLANK('Monthly_Data'!D455)=ISBLANK(D799),0,1),1),IF('Monthly_Data'!E455=E799,IF(ISBLANK('Monthly_Data'!E455)=ISBLANK(E799),0,1),1),IF('Monthly_Data'!F455=F799,IF(ISBLANK('Monthly_Data'!F455)=ISBLANK(F799),0,1),1),IF('Monthly_Data'!G455=G799,IF(ISBLANK('Monthly_Data'!G455)=ISBLANK(G799),0,1),1),IF('Monthly_Data'!H455=H799,IF(ISBLANK('Monthly_Data'!H455)=ISBLANK(H799),0,1),1))</x:f>
        <x:v>0</x:v>
      </x:c>
    </x:row>
    <x:row r="800" ht="23" customHeight="1">
      <x:c r="A800" s="2" t="str">
        <x:v>62044300_WORLD_202505_IMPORT</x:v>
      </x:c>
      <x:c r="B800" s="2" t="n">
        <x:v>202505</x:v>
      </x:c>
      <x:c r="C800" s="2" t="str">
        <x:v>62044300</x:v>
      </x:c>
      <x:c r="D800" s="2" t="str">
        <x:v>World</x:v>
      </x:c>
      <x:c r="E800" s="2" t="n">
        <x:v>36508617</x:v>
      </x:c>
      <x:c r="F800" s="2" t="n">
        <x:v>1216202</x:v>
      </x:c>
      <x:c r="G800" s="2" t="str">
        <x:v>WITHIN_BAND</x:v>
      </x:c>
      <x:c r="H800" s="2" t="n">
        <x:v>1</x:v>
      </x:c>
      <x:c r="I800" s="2"/>
      <x:c r="J800" s="2"/>
      <x:c r="K800" s="2"/>
      <x:c r="L800" s="2" t="n">
        <x:f>SUM(IF('Monthly_Data'!A456=A800,IF(ISBLANK('Monthly_Data'!A456)=ISBLANK(A800),0,1),1),IF('Monthly_Data'!B456=B800,IF(ISBLANK('Monthly_Data'!B456)=ISBLANK(B800),0,1),1),IF('Monthly_Data'!C456=C800,IF(ISBLANK('Monthly_Data'!C456)=ISBLANK(C800),0,1),1),IF('Monthly_Data'!D456=D800,IF(ISBLANK('Monthly_Data'!D456)=ISBLANK(D800),0,1),1),IF('Monthly_Data'!E456=E800,IF(ISBLANK('Monthly_Data'!E456)=ISBLANK(E800),0,1),1),IF('Monthly_Data'!F456=F800,IF(ISBLANK('Monthly_Data'!F456)=ISBLANK(F800),0,1),1),IF('Monthly_Data'!G456=G800,IF(ISBLANK('Monthly_Data'!G456)=ISBLANK(G800),0,1),1),IF('Monthly_Data'!H456=H800,IF(ISBLANK('Monthly_Data'!H456)=ISBLANK(H800),0,1),1))</x:f>
        <x:v>0</x:v>
      </x:c>
    </x:row>
    <x:row r="801" ht="23" customHeight="1">
      <x:c r="A801" s="2" t="str">
        <x:v>62044300_BD_202506_IMPORT</x:v>
      </x:c>
      <x:c r="B801" s="2" t="n">
        <x:v>202506</x:v>
      </x:c>
      <x:c r="C801" s="2" t="str">
        <x:v>62044300</x:v>
      </x:c>
      <x:c r="D801" s="2" t="str">
        <x:v>Bangladesh</x:v>
      </x:c>
      <x:c r="E801" s="2" t="n">
        <x:v>509431</x:v>
      </x:c>
      <x:c r="F801" s="2" t="n">
        <x:v>35719</x:v>
      </x:c>
      <x:c r="G801" s="2" t="str">
        <x:v>WITHIN_BAND</x:v>
      </x:c>
      <x:c r="H801" s="2" t="n">
        <x:v>1</x:v>
      </x:c>
      <x:c r="I801" s="2"/>
      <x:c r="J801" s="2"/>
      <x:c r="K801" s="2"/>
      <x:c r="L801" s="2" t="n">
        <x:f>SUM(IF('Monthly_Data'!A457=A801,IF(ISBLANK('Monthly_Data'!A457)=ISBLANK(A801),0,1),1),IF('Monthly_Data'!B457=B801,IF(ISBLANK('Monthly_Data'!B457)=ISBLANK(B801),0,1),1),IF('Monthly_Data'!C457=C801,IF(ISBLANK('Monthly_Data'!C457)=ISBLANK(C801),0,1),1),IF('Monthly_Data'!D457=D801,IF(ISBLANK('Monthly_Data'!D457)=ISBLANK(D801),0,1),1),IF('Monthly_Data'!E457=E801,IF(ISBLANK('Monthly_Data'!E457)=ISBLANK(E801),0,1),1),IF('Monthly_Data'!F457=F801,IF(ISBLANK('Monthly_Data'!F457)=ISBLANK(F801),0,1),1),IF('Monthly_Data'!G457=G801,IF(ISBLANK('Monthly_Data'!G457)=ISBLANK(G801),0,1),1),IF('Monthly_Data'!H457=H801,IF(ISBLANK('Monthly_Data'!H457)=ISBLANK(H801),0,1),1))</x:f>
        <x:v>0</x:v>
      </x:c>
    </x:row>
    <x:row r="802" ht="23" customHeight="1">
      <x:c r="A802" s="2" t="str">
        <x:v>62044300_KH_202506_IMPORT</x:v>
      </x:c>
      <x:c r="B802" s="2" t="n">
        <x:v>202506</x:v>
      </x:c>
      <x:c r="C802" s="2" t="str">
        <x:v>62044300</x:v>
      </x:c>
      <x:c r="D802" s="2" t="str">
        <x:v>Cambodia</x:v>
      </x:c>
      <x:c r="E802" s="2" t="n">
        <x:v>349539</x:v>
      </x:c>
      <x:c r="F802" s="2" t="n">
        <x:v>13893</x:v>
      </x:c>
      <x:c r="G802" s="2" t="str">
        <x:v>WITHIN_BAND</x:v>
      </x:c>
      <x:c r="H802" s="2" t="n">
        <x:v>1</x:v>
      </x:c>
      <x:c r="I802" s="2"/>
      <x:c r="J802" s="2"/>
      <x:c r="K802" s="2"/>
      <x:c r="L802" s="2" t="n">
        <x:f>SUM(IF('Monthly_Data'!A458=A802,IF(ISBLANK('Monthly_Data'!A458)=ISBLANK(A802),0,1),1),IF('Monthly_Data'!B458=B802,IF(ISBLANK('Monthly_Data'!B458)=ISBLANK(B802),0,1),1),IF('Monthly_Data'!C458=C802,IF(ISBLANK('Monthly_Data'!C458)=ISBLANK(C802),0,1),1),IF('Monthly_Data'!D458=D802,IF(ISBLANK('Monthly_Data'!D458)=ISBLANK(D802),0,1),1),IF('Monthly_Data'!E458=E802,IF(ISBLANK('Monthly_Data'!E458)=ISBLANK(E802),0,1),1),IF('Monthly_Data'!F458=F802,IF(ISBLANK('Monthly_Data'!F458)=ISBLANK(F802),0,1),1),IF('Monthly_Data'!G458=G802,IF(ISBLANK('Monthly_Data'!G458)=ISBLANK(G802),0,1),1),IF('Monthly_Data'!H458=H802,IF(ISBLANK('Monthly_Data'!H458)=ISBLANK(H802),0,1),1))</x:f>
        <x:v>0</x:v>
      </x:c>
    </x:row>
    <x:row r="803" ht="23" customHeight="1">
      <x:c r="A803" s="2" t="str">
        <x:v>62044300_CN_202506_IMPORT</x:v>
      </x:c>
      <x:c r="B803" s="2" t="n">
        <x:v>202506</x:v>
      </x:c>
      <x:c r="C803" s="2" t="str">
        <x:v>62044300</x:v>
      </x:c>
      <x:c r="D803" s="2" t="str">
        <x:v>China</x:v>
      </x:c>
      <x:c r="E803" s="2" t="n">
        <x:v>8022775</x:v>
      </x:c>
      <x:c r="F803" s="2" t="n">
        <x:v>320801</x:v>
      </x:c>
      <x:c r="G803" s="2" t="str">
        <x:v>WITHIN_BAND</x:v>
      </x:c>
      <x:c r="H803" s="2" t="n">
        <x:v>1</x:v>
      </x:c>
      <x:c r="I803" s="2"/>
      <x:c r="J803" s="2"/>
      <x:c r="K803" s="2"/>
      <x:c r="L803" s="2" t="n">
        <x:f>SUM(IF('Monthly_Data'!A459=A803,IF(ISBLANK('Monthly_Data'!A459)=ISBLANK(A803),0,1),1),IF('Monthly_Data'!B459=B803,IF(ISBLANK('Monthly_Data'!B459)=ISBLANK(B803),0,1),1),IF('Monthly_Data'!C459=C803,IF(ISBLANK('Monthly_Data'!C459)=ISBLANK(C803),0,1),1),IF('Monthly_Data'!D459=D803,IF(ISBLANK('Monthly_Data'!D459)=ISBLANK(D803),0,1),1),IF('Monthly_Data'!E459=E803,IF(ISBLANK('Monthly_Data'!E459)=ISBLANK(E803),0,1),1),IF('Monthly_Data'!F459=F803,IF(ISBLANK('Monthly_Data'!F459)=ISBLANK(F803),0,1),1),IF('Monthly_Data'!G459=G803,IF(ISBLANK('Monthly_Data'!G459)=ISBLANK(G803),0,1),1),IF('Monthly_Data'!H459=H803,IF(ISBLANK('Monthly_Data'!H459)=ISBLANK(H803),0,1),1))</x:f>
        <x:v>0</x:v>
      </x:c>
    </x:row>
    <x:row r="804" ht="23" customHeight="1">
      <x:c r="A804" s="2" t="str">
        <x:v>62044300_IN_202506_IMPORT</x:v>
      </x:c>
      <x:c r="B804" s="2" t="n">
        <x:v>202506</x:v>
      </x:c>
      <x:c r="C804" s="2" t="str">
        <x:v>62044300</x:v>
      </x:c>
      <x:c r="D804" s="2" t="str">
        <x:v>India</x:v>
      </x:c>
      <x:c r="E804" s="2" t="n">
        <x:v>2489582</x:v>
      </x:c>
      <x:c r="F804" s="2" t="n">
        <x:v>80628</x:v>
      </x:c>
      <x:c r="G804" s="2" t="str">
        <x:v>WITHIN_BAND</x:v>
      </x:c>
      <x:c r="H804" s="2" t="n">
        <x:v>1</x:v>
      </x:c>
      <x:c r="I804" s="2"/>
      <x:c r="J804" s="2"/>
      <x:c r="K804" s="2"/>
      <x:c r="L804" s="2" t="n">
        <x:f>SUM(IF('Monthly_Data'!A460=A804,IF(ISBLANK('Monthly_Data'!A460)=ISBLANK(A804),0,1),1),IF('Monthly_Data'!B460=B804,IF(ISBLANK('Monthly_Data'!B460)=ISBLANK(B804),0,1),1),IF('Monthly_Data'!C460=C804,IF(ISBLANK('Monthly_Data'!C460)=ISBLANK(C804),0,1),1),IF('Monthly_Data'!D460=D804,IF(ISBLANK('Monthly_Data'!D460)=ISBLANK(D804),0,1),1),IF('Monthly_Data'!E460=E804,IF(ISBLANK('Monthly_Data'!E460)=ISBLANK(E804),0,1),1),IF('Monthly_Data'!F460=F804,IF(ISBLANK('Monthly_Data'!F460)=ISBLANK(F804),0,1),1),IF('Monthly_Data'!G460=G804,IF(ISBLANK('Monthly_Data'!G460)=ISBLANK(G804),0,1),1),IF('Monthly_Data'!H460=H804,IF(ISBLANK('Monthly_Data'!H460)=ISBLANK(H804),0,1),1))</x:f>
        <x:v>0</x:v>
      </x:c>
    </x:row>
    <x:row r="805" ht="23" customHeight="1">
      <x:c r="A805" s="2" t="str">
        <x:v>62044300_MA_202506_IMPORT</x:v>
      </x:c>
      <x:c r="B805" s="2" t="n">
        <x:v>202506</x:v>
      </x:c>
      <x:c r="C805" s="2" t="str">
        <x:v>62044300</x:v>
      </x:c>
      <x:c r="D805" s="2" t="str">
        <x:v>Morocco</x:v>
      </x:c>
      <x:c r="E805" s="2" t="n">
        <x:v>1413316</x:v>
      </x:c>
      <x:c r="F805" s="2" t="n">
        <x:v>72265</x:v>
      </x:c>
      <x:c r="G805" s="2" t="str">
        <x:v>WITHIN_BAND</x:v>
      </x:c>
      <x:c r="H805" s="2" t="n">
        <x:v>1</x:v>
      </x:c>
      <x:c r="I805" s="2"/>
      <x:c r="J805" s="2"/>
      <x:c r="K805" s="2"/>
      <x:c r="L805" s="2" t="n">
        <x:f>SUM(IF('Monthly_Data'!A461=A805,IF(ISBLANK('Monthly_Data'!A461)=ISBLANK(A805),0,1),1),IF('Monthly_Data'!B461=B805,IF(ISBLANK('Monthly_Data'!B461)=ISBLANK(B805),0,1),1),IF('Monthly_Data'!C461=C805,IF(ISBLANK('Monthly_Data'!C461)=ISBLANK(C805),0,1),1),IF('Monthly_Data'!D461=D805,IF(ISBLANK('Monthly_Data'!D461)=ISBLANK(D805),0,1),1),IF('Monthly_Data'!E461=E805,IF(ISBLANK('Monthly_Data'!E461)=ISBLANK(E805),0,1),1),IF('Monthly_Data'!F461=F805,IF(ISBLANK('Monthly_Data'!F461)=ISBLANK(F805),0,1),1),IF('Monthly_Data'!G461=G805,IF(ISBLANK('Monthly_Data'!G461)=ISBLANK(G805),0,1),1),IF('Monthly_Data'!H461=H805,IF(ISBLANK('Monthly_Data'!H461)=ISBLANK(H805),0,1),1))</x:f>
        <x:v>0</x:v>
      </x:c>
    </x:row>
    <x:row r="806" ht="23" customHeight="1">
      <x:c r="A806" s="2" t="str">
        <x:v>62044300_MM_202506_IMPORT</x:v>
      </x:c>
      <x:c r="B806" s="2" t="n">
        <x:v>202506</x:v>
      </x:c>
      <x:c r="C806" s="2" t="str">
        <x:v>62044300</x:v>
      </x:c>
      <x:c r="D806" s="2" t="str">
        <x:v>Myanmar</x:v>
      </x:c>
      <x:c r="E806" s="2" t="n">
        <x:v>423834</x:v>
      </x:c>
      <x:c r="F806" s="2" t="n">
        <x:v>11274</x:v>
      </x:c>
      <x:c r="G806" s="2" t="str">
        <x:v>WITHIN_BAND</x:v>
      </x:c>
      <x:c r="H806" s="2" t="n">
        <x:v>1</x:v>
      </x:c>
      <x:c r="I806" s="2"/>
      <x:c r="J806" s="2"/>
      <x:c r="K806" s="2"/>
      <x:c r="L806" s="2" t="n">
        <x:f>SUM(IF('Monthly_Data'!A462=A806,IF(ISBLANK('Monthly_Data'!A462)=ISBLANK(A806),0,1),1),IF('Monthly_Data'!B462=B806,IF(ISBLANK('Monthly_Data'!B462)=ISBLANK(B806),0,1),1),IF('Monthly_Data'!C462=C806,IF(ISBLANK('Monthly_Data'!C462)=ISBLANK(C806),0,1),1),IF('Monthly_Data'!D462=D806,IF(ISBLANK('Monthly_Data'!D462)=ISBLANK(D806),0,1),1),IF('Monthly_Data'!E462=E806,IF(ISBLANK('Monthly_Data'!E462)=ISBLANK(E806),0,1),1),IF('Monthly_Data'!F462=F806,IF(ISBLANK('Monthly_Data'!F462)=ISBLANK(F806),0,1),1),IF('Monthly_Data'!G462=G806,IF(ISBLANK('Monthly_Data'!G462)=ISBLANK(G806),0,1),1),IF('Monthly_Data'!H462=H806,IF(ISBLANK('Monthly_Data'!H462)=ISBLANK(H806),0,1),1))</x:f>
        <x:v>0</x:v>
      </x:c>
    </x:row>
    <x:row r="807" ht="23" customHeight="1">
      <x:c r="A807" s="2" t="str">
        <x:v>62044300_PK_202506_IMPORT</x:v>
      </x:c>
      <x:c r="B807" s="2" t="n">
        <x:v>202506</x:v>
      </x:c>
      <x:c r="C807" s="2" t="str">
        <x:v>62044300</x:v>
      </x:c>
      <x:c r="D807" s="2" t="str">
        <x:v>Pakistan</x:v>
      </x:c>
      <x:c r="E807" s="2" t="n">
        <x:v>118889</x:v>
      </x:c>
      <x:c r="F807" s="2" t="n">
        <x:v>6747</x:v>
      </x:c>
      <x:c r="G807" s="2" t="str">
        <x:v>WITHIN_BAND</x:v>
      </x:c>
      <x:c r="H807" s="2" t="n">
        <x:v>1</x:v>
      </x:c>
      <x:c r="I807" s="2"/>
      <x:c r="J807" s="2"/>
      <x:c r="K807" s="2"/>
      <x:c r="L807" s="2" t="n">
        <x:f>SUM(IF('Monthly_Data'!A463=A807,IF(ISBLANK('Monthly_Data'!A463)=ISBLANK(A807),0,1),1),IF('Monthly_Data'!B463=B807,IF(ISBLANK('Monthly_Data'!B463)=ISBLANK(B807),0,1),1),IF('Monthly_Data'!C463=C807,IF(ISBLANK('Monthly_Data'!C463)=ISBLANK(C807),0,1),1),IF('Monthly_Data'!D463=D807,IF(ISBLANK('Monthly_Data'!D463)=ISBLANK(D807),0,1),1),IF('Monthly_Data'!E463=E807,IF(ISBLANK('Monthly_Data'!E463)=ISBLANK(E807),0,1),1),IF('Monthly_Data'!F463=F807,IF(ISBLANK('Monthly_Data'!F463)=ISBLANK(F807),0,1),1),IF('Monthly_Data'!G463=G807,IF(ISBLANK('Monthly_Data'!G463)=ISBLANK(G807),0,1),1),IF('Monthly_Data'!H463=H807,IF(ISBLANK('Monthly_Data'!H463)=ISBLANK(H807),0,1),1))</x:f>
        <x:v>0</x:v>
      </x:c>
    </x:row>
    <x:row r="808" ht="23" customHeight="1">
      <x:c r="A808" s="2" t="str">
        <x:v>62044300_LK_202506_IMPORT</x:v>
      </x:c>
      <x:c r="B808" s="2" t="n">
        <x:v>202506</x:v>
      </x:c>
      <x:c r="C808" s="2" t="str">
        <x:v>62044300</x:v>
      </x:c>
      <x:c r="D808" s="2" t="str">
        <x:v>Sri Lanka</x:v>
      </x:c>
      <x:c r="E808" s="2" t="n">
        <x:v>1034433</x:v>
      </x:c>
      <x:c r="F808" s="2" t="n">
        <x:v>61054</x:v>
      </x:c>
      <x:c r="G808" s="2" t="str">
        <x:v>WITHIN_BAND</x:v>
      </x:c>
      <x:c r="H808" s="2" t="n">
        <x:v>1</x:v>
      </x:c>
      <x:c r="I808" s="2"/>
      <x:c r="J808" s="2"/>
      <x:c r="K808" s="2"/>
      <x:c r="L808" s="2" t="n">
        <x:f>SUM(IF('Monthly_Data'!A464=A808,IF(ISBLANK('Monthly_Data'!A464)=ISBLANK(A808),0,1),1),IF('Monthly_Data'!B464=B808,IF(ISBLANK('Monthly_Data'!B464)=ISBLANK(B808),0,1),1),IF('Monthly_Data'!C464=C808,IF(ISBLANK('Monthly_Data'!C464)=ISBLANK(C808),0,1),1),IF('Monthly_Data'!D464=D808,IF(ISBLANK('Monthly_Data'!D464)=ISBLANK(D808),0,1),1),IF('Monthly_Data'!E464=E808,IF(ISBLANK('Monthly_Data'!E464)=ISBLANK(E808),0,1),1),IF('Monthly_Data'!F464=F808,IF(ISBLANK('Monthly_Data'!F464)=ISBLANK(F808),0,1),1),IF('Monthly_Data'!G464=G808,IF(ISBLANK('Monthly_Data'!G464)=ISBLANK(G808),0,1),1),IF('Monthly_Data'!H464=H808,IF(ISBLANK('Monthly_Data'!H464)=ISBLANK(H808),0,1),1))</x:f>
        <x:v>0</x:v>
      </x:c>
    </x:row>
    <x:row r="809" ht="23" customHeight="1">
      <x:c r="A809" s="2" t="str">
        <x:v>62044300_TR_202506_IMPORT</x:v>
      </x:c>
      <x:c r="B809" s="2" t="n">
        <x:v>202506</x:v>
      </x:c>
      <x:c r="C809" s="2" t="str">
        <x:v>62044300</x:v>
      </x:c>
      <x:c r="D809" s="2" t="str">
        <x:v>Turkey</x:v>
      </x:c>
      <x:c r="E809" s="2" t="n">
        <x:v>814700</x:v>
      </x:c>
      <x:c r="F809" s="2" t="n">
        <x:v>25903</x:v>
      </x:c>
      <x:c r="G809" s="2" t="str">
        <x:v>WITHIN_BAND</x:v>
      </x:c>
      <x:c r="H809" s="2" t="n">
        <x:v>1</x:v>
      </x:c>
      <x:c r="I809" s="2"/>
      <x:c r="J809" s="2"/>
      <x:c r="K809" s="2"/>
      <x:c r="L809" s="2" t="n">
        <x:f>SUM(IF('Monthly_Data'!A465=A809,IF(ISBLANK('Monthly_Data'!A465)=ISBLANK(A809),0,1),1),IF('Monthly_Data'!B465=B809,IF(ISBLANK('Monthly_Data'!B465)=ISBLANK(B809),0,1),1),IF('Monthly_Data'!C465=C809,IF(ISBLANK('Monthly_Data'!C465)=ISBLANK(C809),0,1),1),IF('Monthly_Data'!D465=D809,IF(ISBLANK('Monthly_Data'!D465)=ISBLANK(D809),0,1),1),IF('Monthly_Data'!E465=E809,IF(ISBLANK('Monthly_Data'!E465)=ISBLANK(E809),0,1),1),IF('Monthly_Data'!F465=F809,IF(ISBLANK('Monthly_Data'!F465)=ISBLANK(F809),0,1),1),IF('Monthly_Data'!G465=G809,IF(ISBLANK('Monthly_Data'!G465)=ISBLANK(G809),0,1),1),IF('Monthly_Data'!H465=H809,IF(ISBLANK('Monthly_Data'!H465)=ISBLANK(H809),0,1),1))</x:f>
        <x:v>0</x:v>
      </x:c>
    </x:row>
    <x:row r="810" ht="23" customHeight="1">
      <x:c r="A810" s="2" t="str">
        <x:v>62044300_VN_202506_IMPORT</x:v>
      </x:c>
      <x:c r="B810" s="2" t="n">
        <x:v>202506</x:v>
      </x:c>
      <x:c r="C810" s="2" t="str">
        <x:v>62044300</x:v>
      </x:c>
      <x:c r="D810" s="2" t="str">
        <x:v>Vietnam</x:v>
      </x:c>
      <x:c r="E810" s="2" t="n">
        <x:v>594147</x:v>
      </x:c>
      <x:c r="F810" s="2" t="n">
        <x:v>34612</x:v>
      </x:c>
      <x:c r="G810" s="2" t="str">
        <x:v>WITHIN_BAND</x:v>
      </x:c>
      <x:c r="H810" s="2" t="n">
        <x:v>1</x:v>
      </x:c>
      <x:c r="I810" s="2"/>
      <x:c r="J810" s="2"/>
      <x:c r="K810" s="2"/>
      <x:c r="L810" s="2" t="n">
        <x:f>SUM(IF('Monthly_Data'!A466=A810,IF(ISBLANK('Monthly_Data'!A466)=ISBLANK(A810),0,1),1),IF('Monthly_Data'!B466=B810,IF(ISBLANK('Monthly_Data'!B466)=ISBLANK(B810),0,1),1),IF('Monthly_Data'!C466=C810,IF(ISBLANK('Monthly_Data'!C466)=ISBLANK(C810),0,1),1),IF('Monthly_Data'!D466=D810,IF(ISBLANK('Monthly_Data'!D466)=ISBLANK(D810),0,1),1),IF('Monthly_Data'!E466=E810,IF(ISBLANK('Monthly_Data'!E466)=ISBLANK(E810),0,1),1),IF('Monthly_Data'!F466=F810,IF(ISBLANK('Monthly_Data'!F466)=ISBLANK(F810),0,1),1),IF('Monthly_Data'!G466=G810,IF(ISBLANK('Monthly_Data'!G466)=ISBLANK(G810),0,1),1),IF('Monthly_Data'!H466=H810,IF(ISBLANK('Monthly_Data'!H466)=ISBLANK(H810),0,1),1))</x:f>
        <x:v>0</x:v>
      </x:c>
    </x:row>
    <x:row r="811" ht="23" customHeight="1">
      <x:c r="A811" s="2" t="str">
        <x:v>62044300_WORLD_202506_IMPORT</x:v>
      </x:c>
      <x:c r="B811" s="2" t="n">
        <x:v>202506</x:v>
      </x:c>
      <x:c r="C811" s="2" t="str">
        <x:v>62044300</x:v>
      </x:c>
      <x:c r="D811" s="2" t="str">
        <x:v>World</x:v>
      </x:c>
      <x:c r="E811" s="2" t="n">
        <x:v>27969754</x:v>
      </x:c>
      <x:c r="F811" s="2" t="n">
        <x:v>861779</x:v>
      </x:c>
      <x:c r="G811" s="2" t="str">
        <x:v>WITHIN_BAND</x:v>
      </x:c>
      <x:c r="H811" s="2" t="n">
        <x:v>1</x:v>
      </x:c>
      <x:c r="I811" s="2"/>
      <x:c r="J811" s="2"/>
      <x:c r="K811" s="2"/>
      <x:c r="L811" s="2" t="n">
        <x:f>SUM(IF('Monthly_Data'!A467=A811,IF(ISBLANK('Monthly_Data'!A467)=ISBLANK(A811),0,1),1),IF('Monthly_Data'!B467=B811,IF(ISBLANK('Monthly_Data'!B467)=ISBLANK(B811),0,1),1),IF('Monthly_Data'!C467=C811,IF(ISBLANK('Monthly_Data'!C467)=ISBLANK(C811),0,1),1),IF('Monthly_Data'!D467=D811,IF(ISBLANK('Monthly_Data'!D467)=ISBLANK(D811),0,1),1),IF('Monthly_Data'!E467=E811,IF(ISBLANK('Monthly_Data'!E467)=ISBLANK(E811),0,1),1),IF('Monthly_Data'!F467=F811,IF(ISBLANK('Monthly_Data'!F467)=ISBLANK(F811),0,1),1),IF('Monthly_Data'!G467=G811,IF(ISBLANK('Monthly_Data'!G467)=ISBLANK(G811),0,1),1),IF('Monthly_Data'!H467=H811,IF(ISBLANK('Monthly_Data'!H467)=ISBLANK(H811),0,1),1))</x:f>
        <x:v>0</x:v>
      </x:c>
    </x:row>
    <x:row r="812" ht="23" customHeight="1">
      <x:c r="A812" s="2" t="str">
        <x:v>62044300_BD_202507_IMPORT</x:v>
      </x:c>
      <x:c r="B812" s="2" t="n">
        <x:v>202507</x:v>
      </x:c>
      <x:c r="C812" s="2" t="str">
        <x:v>62044300</x:v>
      </x:c>
      <x:c r="D812" s="2" t="str">
        <x:v>Bangladesh</x:v>
      </x:c>
      <x:c r="E812" s="2" t="n">
        <x:v>883437</x:v>
      </x:c>
      <x:c r="F812" s="2" t="n">
        <x:v>66909</x:v>
      </x:c>
      <x:c r="G812" s="2" t="str">
        <x:v>WITHIN_BAND</x:v>
      </x:c>
      <x:c r="H812" s="2" t="n">
        <x:v>1</x:v>
      </x:c>
      <x:c r="I812" s="2"/>
      <x:c r="J812" s="2"/>
      <x:c r="K812" s="2"/>
      <x:c r="L812" s="2" t="n">
        <x:f>SUM(IF('Monthly_Data'!A468=A812,IF(ISBLANK('Monthly_Data'!A468)=ISBLANK(A812),0,1),1),IF('Monthly_Data'!B468=B812,IF(ISBLANK('Monthly_Data'!B468)=ISBLANK(B812),0,1),1),IF('Monthly_Data'!C468=C812,IF(ISBLANK('Monthly_Data'!C468)=ISBLANK(C812),0,1),1),IF('Monthly_Data'!D468=D812,IF(ISBLANK('Monthly_Data'!D468)=ISBLANK(D812),0,1),1),IF('Monthly_Data'!E468=E812,IF(ISBLANK('Monthly_Data'!E468)=ISBLANK(E812),0,1),1),IF('Monthly_Data'!F468=F812,IF(ISBLANK('Monthly_Data'!F468)=ISBLANK(F812),0,1),1),IF('Monthly_Data'!G468=G812,IF(ISBLANK('Monthly_Data'!G468)=ISBLANK(G812),0,1),1),IF('Monthly_Data'!H468=H812,IF(ISBLANK('Monthly_Data'!H468)=ISBLANK(H812),0,1),1))</x:f>
        <x:v>0</x:v>
      </x:c>
    </x:row>
    <x:row r="813" ht="23" customHeight="1">
      <x:c r="A813" s="2" t="str">
        <x:v>62044300_KH_202507_IMPORT</x:v>
      </x:c>
      <x:c r="B813" s="2" t="n">
        <x:v>202507</x:v>
      </x:c>
      <x:c r="C813" s="2" t="str">
        <x:v>62044300</x:v>
      </x:c>
      <x:c r="D813" s="2" t="str">
        <x:v>Cambodia</x:v>
      </x:c>
      <x:c r="E813" s="2" t="n">
        <x:v>148031</x:v>
      </x:c>
      <x:c r="F813" s="2" t="n">
        <x:v>7097</x:v>
      </x:c>
      <x:c r="G813" s="2" t="str">
        <x:v>WITHIN_BAND</x:v>
      </x:c>
      <x:c r="H813" s="2" t="n">
        <x:v>1</x:v>
      </x:c>
      <x:c r="I813" s="2"/>
      <x:c r="J813" s="2"/>
      <x:c r="K813" s="2"/>
      <x:c r="L813" s="2" t="n">
        <x:f>SUM(IF('Monthly_Data'!A469=A813,IF(ISBLANK('Monthly_Data'!A469)=ISBLANK(A813),0,1),1),IF('Monthly_Data'!B469=B813,IF(ISBLANK('Monthly_Data'!B469)=ISBLANK(B813),0,1),1),IF('Monthly_Data'!C469=C813,IF(ISBLANK('Monthly_Data'!C469)=ISBLANK(C813),0,1),1),IF('Monthly_Data'!D469=D813,IF(ISBLANK('Monthly_Data'!D469)=ISBLANK(D813),0,1),1),IF('Monthly_Data'!E469=E813,IF(ISBLANK('Monthly_Data'!E469)=ISBLANK(E813),0,1),1),IF('Monthly_Data'!F469=F813,IF(ISBLANK('Monthly_Data'!F469)=ISBLANK(F813),0,1),1),IF('Monthly_Data'!G469=G813,IF(ISBLANK('Monthly_Data'!G469)=ISBLANK(G813),0,1),1),IF('Monthly_Data'!H469=H813,IF(ISBLANK('Monthly_Data'!H469)=ISBLANK(H813),0,1),1))</x:f>
        <x:v>0</x:v>
      </x:c>
    </x:row>
    <x:row r="814" ht="23" customHeight="1">
      <x:c r="A814" s="2" t="str">
        <x:v>62044300_CN_202507_IMPORT</x:v>
      </x:c>
      <x:c r="B814" s="2" t="n">
        <x:v>202507</x:v>
      </x:c>
      <x:c r="C814" s="2" t="str">
        <x:v>62044300</x:v>
      </x:c>
      <x:c r="D814" s="2" t="str">
        <x:v>China</x:v>
      </x:c>
      <x:c r="E814" s="2" t="n">
        <x:v>9858210</x:v>
      </x:c>
      <x:c r="F814" s="2" t="n">
        <x:v>367470</x:v>
      </x:c>
      <x:c r="G814" s="2" t="str">
        <x:v>WITHIN_BAND</x:v>
      </x:c>
      <x:c r="H814" s="2" t="n">
        <x:v>1</x:v>
      </x:c>
      <x:c r="I814" s="2"/>
      <x:c r="J814" s="2"/>
      <x:c r="K814" s="2"/>
      <x:c r="L814" s="2" t="n">
        <x:f>SUM(IF('Monthly_Data'!A470=A814,IF(ISBLANK('Monthly_Data'!A470)=ISBLANK(A814),0,1),1),IF('Monthly_Data'!B470=B814,IF(ISBLANK('Monthly_Data'!B470)=ISBLANK(B814),0,1),1),IF('Monthly_Data'!C470=C814,IF(ISBLANK('Monthly_Data'!C470)=ISBLANK(C814),0,1),1),IF('Monthly_Data'!D470=D814,IF(ISBLANK('Monthly_Data'!D470)=ISBLANK(D814),0,1),1),IF('Monthly_Data'!E470=E814,IF(ISBLANK('Monthly_Data'!E470)=ISBLANK(E814),0,1),1),IF('Monthly_Data'!F470=F814,IF(ISBLANK('Monthly_Data'!F470)=ISBLANK(F814),0,1),1),IF('Monthly_Data'!G470=G814,IF(ISBLANK('Monthly_Data'!G470)=ISBLANK(G814),0,1),1),IF('Monthly_Data'!H470=H814,IF(ISBLANK('Monthly_Data'!H470)=ISBLANK(H814),0,1),1))</x:f>
        <x:v>0</x:v>
      </x:c>
    </x:row>
    <x:row r="815" ht="23" customHeight="1">
      <x:c r="A815" s="2" t="str">
        <x:v>62044300_IN_202507_IMPORT</x:v>
      </x:c>
      <x:c r="B815" s="2" t="n">
        <x:v>202507</x:v>
      </x:c>
      <x:c r="C815" s="2" t="str">
        <x:v>62044300</x:v>
      </x:c>
      <x:c r="D815" s="2" t="str">
        <x:v>India</x:v>
      </x:c>
      <x:c r="E815" s="2" t="n">
        <x:v>2838475</x:v>
      </x:c>
      <x:c r="F815" s="2" t="n">
        <x:v>87960</x:v>
      </x:c>
      <x:c r="G815" s="2" t="str">
        <x:v>WITHIN_BAND</x:v>
      </x:c>
      <x:c r="H815" s="2" t="n">
        <x:v>1</x:v>
      </x:c>
      <x:c r="I815" s="2"/>
      <x:c r="J815" s="2"/>
      <x:c r="K815" s="2"/>
      <x:c r="L815" s="2" t="n">
        <x:f>SUM(IF('Monthly_Data'!A471=A815,IF(ISBLANK('Monthly_Data'!A471)=ISBLANK(A815),0,1),1),IF('Monthly_Data'!B471=B815,IF(ISBLANK('Monthly_Data'!B471)=ISBLANK(B815),0,1),1),IF('Monthly_Data'!C471=C815,IF(ISBLANK('Monthly_Data'!C471)=ISBLANK(C815),0,1),1),IF('Monthly_Data'!D471=D815,IF(ISBLANK('Monthly_Data'!D471)=ISBLANK(D815),0,1),1),IF('Monthly_Data'!E471=E815,IF(ISBLANK('Monthly_Data'!E471)=ISBLANK(E815),0,1),1),IF('Monthly_Data'!F471=F815,IF(ISBLANK('Monthly_Data'!F471)=ISBLANK(F815),0,1),1),IF('Monthly_Data'!G471=G815,IF(ISBLANK('Monthly_Data'!G471)=ISBLANK(G815),0,1),1),IF('Monthly_Data'!H471=H815,IF(ISBLANK('Monthly_Data'!H471)=ISBLANK(H815),0,1),1))</x:f>
        <x:v>0</x:v>
      </x:c>
    </x:row>
    <x:row r="816" ht="23" customHeight="1">
      <x:c r="A816" s="2" t="str">
        <x:v>62044300_MA_202507_IMPORT</x:v>
      </x:c>
      <x:c r="B816" s="2" t="n">
        <x:v>202507</x:v>
      </x:c>
      <x:c r="C816" s="2" t="str">
        <x:v>62044300</x:v>
      </x:c>
      <x:c r="D816" s="2" t="str">
        <x:v>Morocco</x:v>
      </x:c>
      <x:c r="E816" s="2" t="n">
        <x:v>1300111</x:v>
      </x:c>
      <x:c r="F816" s="2" t="n">
        <x:v>58963</x:v>
      </x:c>
      <x:c r="G816" s="2" t="str">
        <x:v>WITHIN_BAND</x:v>
      </x:c>
      <x:c r="H816" s="2" t="n">
        <x:v>1</x:v>
      </x:c>
      <x:c r="I816" s="2"/>
      <x:c r="J816" s="2"/>
      <x:c r="K816" s="2"/>
      <x:c r="L816" s="2" t="n">
        <x:f>SUM(IF('Monthly_Data'!A472=A816,IF(ISBLANK('Monthly_Data'!A472)=ISBLANK(A816),0,1),1),IF('Monthly_Data'!B472=B816,IF(ISBLANK('Monthly_Data'!B472)=ISBLANK(B816),0,1),1),IF('Monthly_Data'!C472=C816,IF(ISBLANK('Monthly_Data'!C472)=ISBLANK(C816),0,1),1),IF('Monthly_Data'!D472=D816,IF(ISBLANK('Monthly_Data'!D472)=ISBLANK(D816),0,1),1),IF('Monthly_Data'!E472=E816,IF(ISBLANK('Monthly_Data'!E472)=ISBLANK(E816),0,1),1),IF('Monthly_Data'!F472=F816,IF(ISBLANK('Monthly_Data'!F472)=ISBLANK(F816),0,1),1),IF('Monthly_Data'!G472=G816,IF(ISBLANK('Monthly_Data'!G472)=ISBLANK(G816),0,1),1),IF('Monthly_Data'!H472=H816,IF(ISBLANK('Monthly_Data'!H472)=ISBLANK(H816),0,1),1))</x:f>
        <x:v>0</x:v>
      </x:c>
    </x:row>
    <x:row r="817" ht="23" customHeight="1">
      <x:c r="A817" s="2" t="str">
        <x:v>62044300_MM_202507_IMPORT</x:v>
      </x:c>
      <x:c r="B817" s="2" t="n">
        <x:v>202507</x:v>
      </x:c>
      <x:c r="C817" s="2" t="str">
        <x:v>62044300</x:v>
      </x:c>
      <x:c r="D817" s="2" t="str">
        <x:v>Myanmar</x:v>
      </x:c>
      <x:c r="E817" s="2" t="n">
        <x:v>500882</x:v>
      </x:c>
      <x:c r="F817" s="2" t="n">
        <x:v>10653</x:v>
      </x:c>
      <x:c r="G817" s="2" t="str">
        <x:v>WITHIN_BAND</x:v>
      </x:c>
      <x:c r="H817" s="2" t="n">
        <x:v>1</x:v>
      </x:c>
      <x:c r="I817" s="2"/>
      <x:c r="J817" s="2"/>
      <x:c r="K817" s="2"/>
      <x:c r="L817" s="2" t="n">
        <x:f>SUM(IF('Monthly_Data'!A473=A817,IF(ISBLANK('Monthly_Data'!A473)=ISBLANK(A817),0,1),1),IF('Monthly_Data'!B473=B817,IF(ISBLANK('Monthly_Data'!B473)=ISBLANK(B817),0,1),1),IF('Monthly_Data'!C473=C817,IF(ISBLANK('Monthly_Data'!C473)=ISBLANK(C817),0,1),1),IF('Monthly_Data'!D473=D817,IF(ISBLANK('Monthly_Data'!D473)=ISBLANK(D817),0,1),1),IF('Monthly_Data'!E473=E817,IF(ISBLANK('Monthly_Data'!E473)=ISBLANK(E817),0,1),1),IF('Monthly_Data'!F473=F817,IF(ISBLANK('Monthly_Data'!F473)=ISBLANK(F817),0,1),1),IF('Monthly_Data'!G473=G817,IF(ISBLANK('Monthly_Data'!G473)=ISBLANK(G817),0,1),1),IF('Monthly_Data'!H473=H817,IF(ISBLANK('Monthly_Data'!H473)=ISBLANK(H817),0,1),1))</x:f>
        <x:v>0</x:v>
      </x:c>
    </x:row>
    <x:row r="818" ht="23" customHeight="1">
      <x:c r="A818" s="2" t="str">
        <x:v>62044300_PK_202507_IMPORT</x:v>
      </x:c>
      <x:c r="B818" s="2" t="n">
        <x:v>202507</x:v>
      </x:c>
      <x:c r="C818" s="2" t="str">
        <x:v>62044300</x:v>
      </x:c>
      <x:c r="D818" s="2" t="str">
        <x:v>Pakistan</x:v>
      </x:c>
      <x:c r="E818" s="2" t="n">
        <x:v>85771</x:v>
      </x:c>
      <x:c r="F818" s="2" t="n">
        <x:v>3642</x:v>
      </x:c>
      <x:c r="G818" s="2" t="str">
        <x:v>WITHIN_BAND</x:v>
      </x:c>
      <x:c r="H818" s="2" t="n">
        <x:v>1</x:v>
      </x:c>
      <x:c r="I818" s="2"/>
      <x:c r="J818" s="2"/>
      <x:c r="K818" s="2"/>
      <x:c r="L818" s="2" t="n">
        <x:f>SUM(IF('Monthly_Data'!A474=A818,IF(ISBLANK('Monthly_Data'!A474)=ISBLANK(A818),0,1),1),IF('Monthly_Data'!B474=B818,IF(ISBLANK('Monthly_Data'!B474)=ISBLANK(B818),0,1),1),IF('Monthly_Data'!C474=C818,IF(ISBLANK('Monthly_Data'!C474)=ISBLANK(C818),0,1),1),IF('Monthly_Data'!D474=D818,IF(ISBLANK('Monthly_Data'!D474)=ISBLANK(D818),0,1),1),IF('Monthly_Data'!E474=E818,IF(ISBLANK('Monthly_Data'!E474)=ISBLANK(E818),0,1),1),IF('Monthly_Data'!F474=F818,IF(ISBLANK('Monthly_Data'!F474)=ISBLANK(F818),0,1),1),IF('Monthly_Data'!G474=G818,IF(ISBLANK('Monthly_Data'!G474)=ISBLANK(G818),0,1),1),IF('Monthly_Data'!H474=H818,IF(ISBLANK('Monthly_Data'!H474)=ISBLANK(H818),0,1),1))</x:f>
        <x:v>0</x:v>
      </x:c>
    </x:row>
    <x:row r="819" ht="23" customHeight="1">
      <x:c r="A819" s="2" t="str">
        <x:v>62044300_LK_202507_IMPORT</x:v>
      </x:c>
      <x:c r="B819" s="2" t="n">
        <x:v>202507</x:v>
      </x:c>
      <x:c r="C819" s="2" t="str">
        <x:v>62044300</x:v>
      </x:c>
      <x:c r="D819" s="2" t="str">
        <x:v>Sri Lanka</x:v>
      </x:c>
      <x:c r="E819" s="2" t="n">
        <x:v>1269609</x:v>
      </x:c>
      <x:c r="F819" s="2" t="n">
        <x:v>65832</x:v>
      </x:c>
      <x:c r="G819" s="2" t="str">
        <x:v>WITHIN_BAND</x:v>
      </x:c>
      <x:c r="H819" s="2" t="n">
        <x:v>1</x:v>
      </x:c>
      <x:c r="I819" s="2"/>
      <x:c r="J819" s="2"/>
      <x:c r="K819" s="2"/>
      <x:c r="L819" s="2" t="n">
        <x:f>SUM(IF('Monthly_Data'!A475=A819,IF(ISBLANK('Monthly_Data'!A475)=ISBLANK(A819),0,1),1),IF('Monthly_Data'!B475=B819,IF(ISBLANK('Monthly_Data'!B475)=ISBLANK(B819),0,1),1),IF('Monthly_Data'!C475=C819,IF(ISBLANK('Monthly_Data'!C475)=ISBLANK(C819),0,1),1),IF('Monthly_Data'!D475=D819,IF(ISBLANK('Monthly_Data'!D475)=ISBLANK(D819),0,1),1),IF('Monthly_Data'!E475=E819,IF(ISBLANK('Monthly_Data'!E475)=ISBLANK(E819),0,1),1),IF('Monthly_Data'!F475=F819,IF(ISBLANK('Monthly_Data'!F475)=ISBLANK(F819),0,1),1),IF('Monthly_Data'!G475=G819,IF(ISBLANK('Monthly_Data'!G475)=ISBLANK(G819),0,1),1),IF('Monthly_Data'!H475=H819,IF(ISBLANK('Monthly_Data'!H475)=ISBLANK(H819),0,1),1))</x:f>
        <x:v>0</x:v>
      </x:c>
    </x:row>
    <x:row r="820" ht="23" customHeight="1">
      <x:c r="A820" s="2" t="str">
        <x:v>62044300_TR_202507_IMPORT</x:v>
      </x:c>
      <x:c r="B820" s="2" t="n">
        <x:v>202507</x:v>
      </x:c>
      <x:c r="C820" s="2" t="str">
        <x:v>62044300</x:v>
      </x:c>
      <x:c r="D820" s="2" t="str">
        <x:v>Turkey</x:v>
      </x:c>
      <x:c r="E820" s="2" t="n">
        <x:v>927488</x:v>
      </x:c>
      <x:c r="F820" s="2" t="n">
        <x:v>26995</x:v>
      </x:c>
      <x:c r="G820" s="2" t="str">
        <x:v>WITHIN_BAND</x:v>
      </x:c>
      <x:c r="H820" s="2" t="n">
        <x:v>1</x:v>
      </x:c>
      <x:c r="I820" s="2"/>
      <x:c r="J820" s="2"/>
      <x:c r="K820" s="2"/>
      <x:c r="L820" s="2" t="n">
        <x:f>SUM(IF('Monthly_Data'!A476=A820,IF(ISBLANK('Monthly_Data'!A476)=ISBLANK(A820),0,1),1),IF('Monthly_Data'!B476=B820,IF(ISBLANK('Monthly_Data'!B476)=ISBLANK(B820),0,1),1),IF('Monthly_Data'!C476=C820,IF(ISBLANK('Monthly_Data'!C476)=ISBLANK(C820),0,1),1),IF('Monthly_Data'!D476=D820,IF(ISBLANK('Monthly_Data'!D476)=ISBLANK(D820),0,1),1),IF('Monthly_Data'!E476=E820,IF(ISBLANK('Monthly_Data'!E476)=ISBLANK(E820),0,1),1),IF('Monthly_Data'!F476=F820,IF(ISBLANK('Monthly_Data'!F476)=ISBLANK(F820),0,1),1),IF('Monthly_Data'!G476=G820,IF(ISBLANK('Monthly_Data'!G476)=ISBLANK(G820),0,1),1),IF('Monthly_Data'!H476=H820,IF(ISBLANK('Monthly_Data'!H476)=ISBLANK(H820),0,1),1))</x:f>
        <x:v>0</x:v>
      </x:c>
    </x:row>
    <x:row r="821" ht="23" customHeight="1">
      <x:c r="A821" s="2" t="str">
        <x:v>62044300_VN_202507_IMPORT</x:v>
      </x:c>
      <x:c r="B821" s="2" t="n">
        <x:v>202507</x:v>
      </x:c>
      <x:c r="C821" s="2" t="str">
        <x:v>62044300</x:v>
      </x:c>
      <x:c r="D821" s="2" t="str">
        <x:v>Vietnam</x:v>
      </x:c>
      <x:c r="E821" s="2" t="n">
        <x:v>353770</x:v>
      </x:c>
      <x:c r="F821" s="2" t="n">
        <x:v>12555</x:v>
      </x:c>
      <x:c r="G821" s="2" t="str">
        <x:v>WITHIN_BAND</x:v>
      </x:c>
      <x:c r="H821" s="2" t="n">
        <x:v>1</x:v>
      </x:c>
      <x:c r="I821" s="2"/>
      <x:c r="J821" s="2"/>
      <x:c r="K821" s="2"/>
      <x:c r="L821" s="2" t="n">
        <x:f>SUM(IF('Monthly_Data'!A477=A821,IF(ISBLANK('Monthly_Data'!A477)=ISBLANK(A821),0,1),1),IF('Monthly_Data'!B477=B821,IF(ISBLANK('Monthly_Data'!B477)=ISBLANK(B821),0,1),1),IF('Monthly_Data'!C477=C821,IF(ISBLANK('Monthly_Data'!C477)=ISBLANK(C821),0,1),1),IF('Monthly_Data'!D477=D821,IF(ISBLANK('Monthly_Data'!D477)=ISBLANK(D821),0,1),1),IF('Monthly_Data'!E477=E821,IF(ISBLANK('Monthly_Data'!E477)=ISBLANK(E821),0,1),1),IF('Monthly_Data'!F477=F821,IF(ISBLANK('Monthly_Data'!F477)=ISBLANK(F821),0,1),1),IF('Monthly_Data'!G477=G821,IF(ISBLANK('Monthly_Data'!G477)=ISBLANK(G821),0,1),1),IF('Monthly_Data'!H477=H821,IF(ISBLANK('Monthly_Data'!H477)=ISBLANK(H821),0,1),1))</x:f>
        <x:v>0</x:v>
      </x:c>
    </x:row>
    <x:row r="822" ht="23" customHeight="1">
      <x:c r="A822" s="2" t="str">
        <x:v>62044300_WORLD_202507_IMPORT</x:v>
      </x:c>
      <x:c r="B822" s="2" t="n">
        <x:v>202507</x:v>
      </x:c>
      <x:c r="C822" s="2" t="str">
        <x:v>62044300</x:v>
      </x:c>
      <x:c r="D822" s="2" t="str">
        <x:v>World</x:v>
      </x:c>
      <x:c r="E822" s="2" t="n">
        <x:v>30634520</x:v>
      </x:c>
      <x:c r="F822" s="2" t="n">
        <x:v>929178</x:v>
      </x:c>
      <x:c r="G822" s="2" t="str">
        <x:v>WITHIN_BAND</x:v>
      </x:c>
      <x:c r="H822" s="2" t="n">
        <x:v>1</x:v>
      </x:c>
      <x:c r="I822" s="2"/>
      <x:c r="J822" s="2"/>
      <x:c r="K822" s="2"/>
      <x:c r="L822" s="2" t="n">
        <x:f>SUM(IF('Monthly_Data'!A478=A822,IF(ISBLANK('Monthly_Data'!A478)=ISBLANK(A822),0,1),1),IF('Monthly_Data'!B478=B822,IF(ISBLANK('Monthly_Data'!B478)=ISBLANK(B822),0,1),1),IF('Monthly_Data'!C478=C822,IF(ISBLANK('Monthly_Data'!C478)=ISBLANK(C822),0,1),1),IF('Monthly_Data'!D478=D822,IF(ISBLANK('Monthly_Data'!D478)=ISBLANK(D822),0,1),1),IF('Monthly_Data'!E478=E822,IF(ISBLANK('Monthly_Data'!E478)=ISBLANK(E822),0,1),1),IF('Monthly_Data'!F478=F822,IF(ISBLANK('Monthly_Data'!F478)=ISBLANK(F822),0,1),1),IF('Monthly_Data'!G478=G822,IF(ISBLANK('Monthly_Data'!G478)=ISBLANK(G822),0,1),1),IF('Monthly_Data'!H478=H822,IF(ISBLANK('Monthly_Data'!H478)=ISBLANK(H822),0,1),1))</x:f>
        <x:v>0</x:v>
      </x:c>
    </x:row>
    <x:row r="823" ht="23" customHeight="1">
      <x:c r="A823" s="2" t="str">
        <x:v>62044300_BD_202508_IMPORT</x:v>
      </x:c>
      <x:c r="B823" s="2" t="n">
        <x:v>202508</x:v>
      </x:c>
      <x:c r="C823" s="2" t="str">
        <x:v>62044300</x:v>
      </x:c>
      <x:c r="D823" s="2" t="str">
        <x:v>Bangladesh</x:v>
      </x:c>
      <x:c r="E823" s="2" t="n">
        <x:v>921218</x:v>
      </x:c>
      <x:c r="F823" s="2" t="n">
        <x:v>71485</x:v>
      </x:c>
      <x:c r="G823" s="2" t="str">
        <x:v>WITHIN_BAND</x:v>
      </x:c>
      <x:c r="H823" s="2" t="n">
        <x:v>1</x:v>
      </x:c>
      <x:c r="I823" s="2"/>
      <x:c r="J823" s="2"/>
      <x:c r="K823" s="2"/>
      <x:c r="L823" s="2" t="n">
        <x:f>SUM(IF('Monthly_Data'!A479=A823,IF(ISBLANK('Monthly_Data'!A479)=ISBLANK(A823),0,1),1),IF('Monthly_Data'!B479=B823,IF(ISBLANK('Monthly_Data'!B479)=ISBLANK(B823),0,1),1),IF('Monthly_Data'!C479=C823,IF(ISBLANK('Monthly_Data'!C479)=ISBLANK(C823),0,1),1),IF('Monthly_Data'!D479=D823,IF(ISBLANK('Monthly_Data'!D479)=ISBLANK(D823),0,1),1),IF('Monthly_Data'!E479=E823,IF(ISBLANK('Monthly_Data'!E479)=ISBLANK(E823),0,1),1),IF('Monthly_Data'!F479=F823,IF(ISBLANK('Monthly_Data'!F479)=ISBLANK(F823),0,1),1),IF('Monthly_Data'!G479=G823,IF(ISBLANK('Monthly_Data'!G479)=ISBLANK(G823),0,1),1),IF('Monthly_Data'!H479=H823,IF(ISBLANK('Monthly_Data'!H479)=ISBLANK(H823),0,1),1))</x:f>
        <x:v>0</x:v>
      </x:c>
    </x:row>
    <x:row r="824" ht="23" customHeight="1">
      <x:c r="A824" s="2" t="str">
        <x:v>62044300_KH_202508_IMPORT</x:v>
      </x:c>
      <x:c r="B824" s="2" t="n">
        <x:v>202508</x:v>
      </x:c>
      <x:c r="C824" s="2" t="str">
        <x:v>62044300</x:v>
      </x:c>
      <x:c r="D824" s="2" t="str">
        <x:v>Cambodia</x:v>
      </x:c>
      <x:c r="E824" s="2" t="n">
        <x:v>149667</x:v>
      </x:c>
      <x:c r="F824" s="2" t="n">
        <x:v>9702</x:v>
      </x:c>
      <x:c r="G824" s="2" t="str">
        <x:v>WITHIN_BAND</x:v>
      </x:c>
      <x:c r="H824" s="2" t="n">
        <x:v>1</x:v>
      </x:c>
      <x:c r="I824" s="2"/>
      <x:c r="J824" s="2"/>
      <x:c r="K824" s="2"/>
      <x:c r="L824" s="2" t="n">
        <x:f>SUM(IF('Monthly_Data'!A480=A824,IF(ISBLANK('Monthly_Data'!A480)=ISBLANK(A824),0,1),1),IF('Monthly_Data'!B480=B824,IF(ISBLANK('Monthly_Data'!B480)=ISBLANK(B824),0,1),1),IF('Monthly_Data'!C480=C824,IF(ISBLANK('Monthly_Data'!C480)=ISBLANK(C824),0,1),1),IF('Monthly_Data'!D480=D824,IF(ISBLANK('Monthly_Data'!D480)=ISBLANK(D824),0,1),1),IF('Monthly_Data'!E480=E824,IF(ISBLANK('Monthly_Data'!E480)=ISBLANK(E824),0,1),1),IF('Monthly_Data'!F480=F824,IF(ISBLANK('Monthly_Data'!F480)=ISBLANK(F824),0,1),1),IF('Monthly_Data'!G480=G824,IF(ISBLANK('Monthly_Data'!G480)=ISBLANK(G824),0,1),1),IF('Monthly_Data'!H480=H824,IF(ISBLANK('Monthly_Data'!H480)=ISBLANK(H824),0,1),1))</x:f>
        <x:v>0</x:v>
      </x:c>
    </x:row>
    <x:row r="825" ht="23" customHeight="1">
      <x:c r="A825" s="2" t="str">
        <x:v>62044300_CN_202508_IMPORT</x:v>
      </x:c>
      <x:c r="B825" s="2" t="n">
        <x:v>202508</x:v>
      </x:c>
      <x:c r="C825" s="2" t="str">
        <x:v>62044300</x:v>
      </x:c>
      <x:c r="D825" s="2" t="str">
        <x:v>China</x:v>
      </x:c>
      <x:c r="E825" s="2" t="n">
        <x:v>8505079</x:v>
      </x:c>
      <x:c r="F825" s="2" t="n">
        <x:v>325804</x:v>
      </x:c>
      <x:c r="G825" s="2" t="str">
        <x:v>WITHIN_BAND</x:v>
      </x:c>
      <x:c r="H825" s="2" t="n">
        <x:v>1</x:v>
      </x:c>
      <x:c r="I825" s="2"/>
      <x:c r="J825" s="2"/>
      <x:c r="K825" s="2"/>
      <x:c r="L825" s="2" t="n">
        <x:f>SUM(IF('Monthly_Data'!A481=A825,IF(ISBLANK('Monthly_Data'!A481)=ISBLANK(A825),0,1),1),IF('Monthly_Data'!B481=B825,IF(ISBLANK('Monthly_Data'!B481)=ISBLANK(B825),0,1),1),IF('Monthly_Data'!C481=C825,IF(ISBLANK('Monthly_Data'!C481)=ISBLANK(C825),0,1),1),IF('Monthly_Data'!D481=D825,IF(ISBLANK('Monthly_Data'!D481)=ISBLANK(D825),0,1),1),IF('Monthly_Data'!E481=E825,IF(ISBLANK('Monthly_Data'!E481)=ISBLANK(E825),0,1),1),IF('Monthly_Data'!F481=F825,IF(ISBLANK('Monthly_Data'!F481)=ISBLANK(F825),0,1),1),IF('Monthly_Data'!G481=G825,IF(ISBLANK('Monthly_Data'!G481)=ISBLANK(G825),0,1),1),IF('Monthly_Data'!H481=H825,IF(ISBLANK('Monthly_Data'!H481)=ISBLANK(H825),0,1),1))</x:f>
        <x:v>0</x:v>
      </x:c>
    </x:row>
    <x:row r="826" ht="23" customHeight="1">
      <x:c r="A826" s="2" t="str">
        <x:v>62044300_IN_202508_IMPORT</x:v>
      </x:c>
      <x:c r="B826" s="2" t="n">
        <x:v>202508</x:v>
      </x:c>
      <x:c r="C826" s="2" t="str">
        <x:v>62044300</x:v>
      </x:c>
      <x:c r="D826" s="2" t="str">
        <x:v>India</x:v>
      </x:c>
      <x:c r="E826" s="2" t="n">
        <x:v>2134385</x:v>
      </x:c>
      <x:c r="F826" s="2" t="n">
        <x:v>79210</x:v>
      </x:c>
      <x:c r="G826" s="2" t="str">
        <x:v>WITHIN_BAND</x:v>
      </x:c>
      <x:c r="H826" s="2" t="n">
        <x:v>1</x:v>
      </x:c>
      <x:c r="I826" s="2"/>
      <x:c r="J826" s="2"/>
      <x:c r="K826" s="2"/>
      <x:c r="L826" s="2" t="n">
        <x:f>SUM(IF('Monthly_Data'!A482=A826,IF(ISBLANK('Monthly_Data'!A482)=ISBLANK(A826),0,1),1),IF('Monthly_Data'!B482=B826,IF(ISBLANK('Monthly_Data'!B482)=ISBLANK(B826),0,1),1),IF('Monthly_Data'!C482=C826,IF(ISBLANK('Monthly_Data'!C482)=ISBLANK(C826),0,1),1),IF('Monthly_Data'!D482=D826,IF(ISBLANK('Monthly_Data'!D482)=ISBLANK(D826),0,1),1),IF('Monthly_Data'!E482=E826,IF(ISBLANK('Monthly_Data'!E482)=ISBLANK(E826),0,1),1),IF('Monthly_Data'!F482=F826,IF(ISBLANK('Monthly_Data'!F482)=ISBLANK(F826),0,1),1),IF('Monthly_Data'!G482=G826,IF(ISBLANK('Monthly_Data'!G482)=ISBLANK(G826),0,1),1),IF('Monthly_Data'!H482=H826,IF(ISBLANK('Monthly_Data'!H482)=ISBLANK(H826),0,1),1))</x:f>
        <x:v>0</x:v>
      </x:c>
    </x:row>
    <x:row r="827" ht="23" customHeight="1">
      <x:c r="A827" s="2" t="str">
        <x:v>62044300_MA_202508_IMPORT</x:v>
      </x:c>
      <x:c r="B827" s="2" t="n">
        <x:v>202508</x:v>
      </x:c>
      <x:c r="C827" s="2" t="str">
        <x:v>62044300</x:v>
      </x:c>
      <x:c r="D827" s="2" t="str">
        <x:v>Morocco</x:v>
      </x:c>
      <x:c r="E827" s="2" t="n">
        <x:v>905318</x:v>
      </x:c>
      <x:c r="F827" s="2" t="n">
        <x:v>40547</x:v>
      </x:c>
      <x:c r="G827" s="2" t="str">
        <x:v>WITHIN_BAND</x:v>
      </x:c>
      <x:c r="H827" s="2" t="n">
        <x:v>1</x:v>
      </x:c>
      <x:c r="I827" s="2"/>
      <x:c r="J827" s="2"/>
      <x:c r="K827" s="2"/>
      <x:c r="L827" s="2" t="n">
        <x:f>SUM(IF('Monthly_Data'!A483=A827,IF(ISBLANK('Monthly_Data'!A483)=ISBLANK(A827),0,1),1),IF('Monthly_Data'!B483=B827,IF(ISBLANK('Monthly_Data'!B483)=ISBLANK(B827),0,1),1),IF('Monthly_Data'!C483=C827,IF(ISBLANK('Monthly_Data'!C483)=ISBLANK(C827),0,1),1),IF('Monthly_Data'!D483=D827,IF(ISBLANK('Monthly_Data'!D483)=ISBLANK(D827),0,1),1),IF('Monthly_Data'!E483=E827,IF(ISBLANK('Monthly_Data'!E483)=ISBLANK(E827),0,1),1),IF('Monthly_Data'!F483=F827,IF(ISBLANK('Monthly_Data'!F483)=ISBLANK(F827),0,1),1),IF('Monthly_Data'!G483=G827,IF(ISBLANK('Monthly_Data'!G483)=ISBLANK(G827),0,1),1),IF('Monthly_Data'!H483=H827,IF(ISBLANK('Monthly_Data'!H483)=ISBLANK(H827),0,1),1))</x:f>
        <x:v>0</x:v>
      </x:c>
    </x:row>
    <x:row r="828" ht="23" customHeight="1">
      <x:c r="A828" s="2" t="str">
        <x:v>62044300_MM_202508_IMPORT</x:v>
      </x:c>
      <x:c r="B828" s="2" t="n">
        <x:v>202508</x:v>
      </x:c>
      <x:c r="C828" s="2" t="str">
        <x:v>62044300</x:v>
      </x:c>
      <x:c r="D828" s="2" t="str">
        <x:v>Myanmar</x:v>
      </x:c>
      <x:c r="E828" s="2" t="n">
        <x:v>965185</x:v>
      </x:c>
      <x:c r="F828" s="2" t="n">
        <x:v>34315</x:v>
      </x:c>
      <x:c r="G828" s="2" t="str">
        <x:v>WITHIN_BAND</x:v>
      </x:c>
      <x:c r="H828" s="2" t="n">
        <x:v>1</x:v>
      </x:c>
      <x:c r="I828" s="2"/>
      <x:c r="J828" s="2"/>
      <x:c r="K828" s="2"/>
      <x:c r="L828" s="2" t="n">
        <x:f>SUM(IF('Monthly_Data'!A484=A828,IF(ISBLANK('Monthly_Data'!A484)=ISBLANK(A828),0,1),1),IF('Monthly_Data'!B484=B828,IF(ISBLANK('Monthly_Data'!B484)=ISBLANK(B828),0,1),1),IF('Monthly_Data'!C484=C828,IF(ISBLANK('Monthly_Data'!C484)=ISBLANK(C828),0,1),1),IF('Monthly_Data'!D484=D828,IF(ISBLANK('Monthly_Data'!D484)=ISBLANK(D828),0,1),1),IF('Monthly_Data'!E484=E828,IF(ISBLANK('Monthly_Data'!E484)=ISBLANK(E828),0,1),1),IF('Monthly_Data'!F484=F828,IF(ISBLANK('Monthly_Data'!F484)=ISBLANK(F828),0,1),1),IF('Monthly_Data'!G484=G828,IF(ISBLANK('Monthly_Data'!G484)=ISBLANK(G828),0,1),1),IF('Monthly_Data'!H484=H828,IF(ISBLANK('Monthly_Data'!H484)=ISBLANK(H828),0,1),1))</x:f>
        <x:v>0</x:v>
      </x:c>
    </x:row>
    <x:row r="829" ht="23" customHeight="1">
      <x:c r="A829" s="2" t="str">
        <x:v>62044300_PK_202508_IMPORT</x:v>
      </x:c>
      <x:c r="B829" s="2" t="n">
        <x:v>202508</x:v>
      </x:c>
      <x:c r="C829" s="2" t="str">
        <x:v>62044300</x:v>
      </x:c>
      <x:c r="D829" s="2" t="str">
        <x:v>Pakistan</x:v>
      </x:c>
      <x:c r="E829" s="2" t="n">
        <x:v>155015</x:v>
      </x:c>
      <x:c r="F829" s="2" t="n">
        <x:v>5951</x:v>
      </x:c>
      <x:c r="G829" s="2" t="str">
        <x:v>WITHIN_BAND</x:v>
      </x:c>
      <x:c r="H829" s="2" t="n">
        <x:v>1</x:v>
      </x:c>
      <x:c r="I829" s="2"/>
      <x:c r="J829" s="2"/>
      <x:c r="K829" s="2"/>
      <x:c r="L829" s="2" t="n">
        <x:f>SUM(IF('Monthly_Data'!A485=A829,IF(ISBLANK('Monthly_Data'!A485)=ISBLANK(A829),0,1),1),IF('Monthly_Data'!B485=B829,IF(ISBLANK('Monthly_Data'!B485)=ISBLANK(B829),0,1),1),IF('Monthly_Data'!C485=C829,IF(ISBLANK('Monthly_Data'!C485)=ISBLANK(C829),0,1),1),IF('Monthly_Data'!D485=D829,IF(ISBLANK('Monthly_Data'!D485)=ISBLANK(D829),0,1),1),IF('Monthly_Data'!E485=E829,IF(ISBLANK('Monthly_Data'!E485)=ISBLANK(E829),0,1),1),IF('Monthly_Data'!F485=F829,IF(ISBLANK('Monthly_Data'!F485)=ISBLANK(F829),0,1),1),IF('Monthly_Data'!G485=G829,IF(ISBLANK('Monthly_Data'!G485)=ISBLANK(G829),0,1),1),IF('Monthly_Data'!H485=H829,IF(ISBLANK('Monthly_Data'!H485)=ISBLANK(H829),0,1),1))</x:f>
        <x:v>0</x:v>
      </x:c>
    </x:row>
    <x:row r="830" ht="23" customHeight="1">
      <x:c r="A830" s="2" t="str">
        <x:v>62044300_LK_202508_IMPORT</x:v>
      </x:c>
      <x:c r="B830" s="2" t="n">
        <x:v>202508</x:v>
      </x:c>
      <x:c r="C830" s="2" t="str">
        <x:v>62044300</x:v>
      </x:c>
      <x:c r="D830" s="2" t="str">
        <x:v>Sri Lanka</x:v>
      </x:c>
      <x:c r="E830" s="2" t="n">
        <x:v>1044143</x:v>
      </x:c>
      <x:c r="F830" s="2" t="n">
        <x:v>59088</x:v>
      </x:c>
      <x:c r="G830" s="2" t="str">
        <x:v>WITHIN_BAND</x:v>
      </x:c>
      <x:c r="H830" s="2" t="n">
        <x:v>1</x:v>
      </x:c>
      <x:c r="I830" s="2"/>
      <x:c r="J830" s="2"/>
      <x:c r="K830" s="2"/>
      <x:c r="L830" s="2" t="n">
        <x:f>SUM(IF('Monthly_Data'!A486=A830,IF(ISBLANK('Monthly_Data'!A486)=ISBLANK(A830),0,1),1),IF('Monthly_Data'!B486=B830,IF(ISBLANK('Monthly_Data'!B486)=ISBLANK(B830),0,1),1),IF('Monthly_Data'!C486=C830,IF(ISBLANK('Monthly_Data'!C486)=ISBLANK(C830),0,1),1),IF('Monthly_Data'!D486=D830,IF(ISBLANK('Monthly_Data'!D486)=ISBLANK(D830),0,1),1),IF('Monthly_Data'!E486=E830,IF(ISBLANK('Monthly_Data'!E486)=ISBLANK(E830),0,1),1),IF('Monthly_Data'!F486=F830,IF(ISBLANK('Monthly_Data'!F486)=ISBLANK(F830),0,1),1),IF('Monthly_Data'!G486=G830,IF(ISBLANK('Monthly_Data'!G486)=ISBLANK(G830),0,1),1),IF('Monthly_Data'!H486=H830,IF(ISBLANK('Monthly_Data'!H486)=ISBLANK(H830),0,1),1))</x:f>
        <x:v>0</x:v>
      </x:c>
    </x:row>
    <x:row r="831" ht="23" customHeight="1">
      <x:c r="A831" s="2" t="str">
        <x:v>62044300_TR_202508_IMPORT</x:v>
      </x:c>
      <x:c r="B831" s="2" t="n">
        <x:v>202508</x:v>
      </x:c>
      <x:c r="C831" s="2" t="str">
        <x:v>62044300</x:v>
      </x:c>
      <x:c r="D831" s="2" t="str">
        <x:v>Turkey</x:v>
      </x:c>
      <x:c r="E831" s="2" t="n">
        <x:v>845181</x:v>
      </x:c>
      <x:c r="F831" s="2" t="n">
        <x:v>24554</x:v>
      </x:c>
      <x:c r="G831" s="2" t="str">
        <x:v>WITHIN_BAND</x:v>
      </x:c>
      <x:c r="H831" s="2" t="n">
        <x:v>1</x:v>
      </x:c>
      <x:c r="I831" s="2"/>
      <x:c r="J831" s="2"/>
      <x:c r="K831" s="2"/>
      <x:c r="L831" s="2" t="n">
        <x:f>SUM(IF('Monthly_Data'!A487=A831,IF(ISBLANK('Monthly_Data'!A487)=ISBLANK(A831),0,1),1),IF('Monthly_Data'!B487=B831,IF(ISBLANK('Monthly_Data'!B487)=ISBLANK(B831),0,1),1),IF('Monthly_Data'!C487=C831,IF(ISBLANK('Monthly_Data'!C487)=ISBLANK(C831),0,1),1),IF('Monthly_Data'!D487=D831,IF(ISBLANK('Monthly_Data'!D487)=ISBLANK(D831),0,1),1),IF('Monthly_Data'!E487=E831,IF(ISBLANK('Monthly_Data'!E487)=ISBLANK(E831),0,1),1),IF('Monthly_Data'!F487=F831,IF(ISBLANK('Monthly_Data'!F487)=ISBLANK(F831),0,1),1),IF('Monthly_Data'!G487=G831,IF(ISBLANK('Monthly_Data'!G487)=ISBLANK(G831),0,1),1),IF('Monthly_Data'!H487=H831,IF(ISBLANK('Monthly_Data'!H487)=ISBLANK(H831),0,1),1))</x:f>
        <x:v>0</x:v>
      </x:c>
    </x:row>
    <x:row r="832" ht="23" customHeight="1">
      <x:c r="A832" s="2" t="str">
        <x:v>62044300_VN_202508_IMPORT</x:v>
      </x:c>
      <x:c r="B832" s="2" t="n">
        <x:v>202508</x:v>
      </x:c>
      <x:c r="C832" s="2" t="str">
        <x:v>62044300</x:v>
      </x:c>
      <x:c r="D832" s="2" t="str">
        <x:v>Vietnam</x:v>
      </x:c>
      <x:c r="E832" s="2" t="n">
        <x:v>452239</x:v>
      </x:c>
      <x:c r="F832" s="2" t="n">
        <x:v>21729</x:v>
      </x:c>
      <x:c r="G832" s="2" t="str">
        <x:v>WITHIN_BAND</x:v>
      </x:c>
      <x:c r="H832" s="2" t="n">
        <x:v>1</x:v>
      </x:c>
      <x:c r="I832" s="2"/>
      <x:c r="J832" s="2"/>
      <x:c r="K832" s="2"/>
      <x:c r="L832" s="2" t="n">
        <x:f>SUM(IF('Monthly_Data'!A488=A832,IF(ISBLANK('Monthly_Data'!A488)=ISBLANK(A832),0,1),1),IF('Monthly_Data'!B488=B832,IF(ISBLANK('Monthly_Data'!B488)=ISBLANK(B832),0,1),1),IF('Monthly_Data'!C488=C832,IF(ISBLANK('Monthly_Data'!C488)=ISBLANK(C832),0,1),1),IF('Monthly_Data'!D488=D832,IF(ISBLANK('Monthly_Data'!D488)=ISBLANK(D832),0,1),1),IF('Monthly_Data'!E488=E832,IF(ISBLANK('Monthly_Data'!E488)=ISBLANK(E832),0,1),1),IF('Monthly_Data'!F488=F832,IF(ISBLANK('Monthly_Data'!F488)=ISBLANK(F832),0,1),1),IF('Monthly_Data'!G488=G832,IF(ISBLANK('Monthly_Data'!G488)=ISBLANK(G832),0,1),1),IF('Monthly_Data'!H488=H832,IF(ISBLANK('Monthly_Data'!H488)=ISBLANK(H832),0,1),1))</x:f>
        <x:v>0</x:v>
      </x:c>
    </x:row>
    <x:row r="833" ht="23" customHeight="1">
      <x:c r="A833" s="2" t="str">
        <x:v>62044300_WORLD_202508_IMPORT</x:v>
      </x:c>
      <x:c r="B833" s="2" t="n">
        <x:v>202508</x:v>
      </x:c>
      <x:c r="C833" s="2" t="str">
        <x:v>62044300</x:v>
      </x:c>
      <x:c r="D833" s="2" t="str">
        <x:v>World</x:v>
      </x:c>
      <x:c r="E833" s="2" t="n">
        <x:v>27292594</x:v>
      </x:c>
      <x:c r="F833" s="2" t="n">
        <x:v>867148</x:v>
      </x:c>
      <x:c r="G833" s="2" t="str">
        <x:v>WITHIN_BAND</x:v>
      </x:c>
      <x:c r="H833" s="2" t="n">
        <x:v>1</x:v>
      </x:c>
      <x:c r="I833" s="2"/>
      <x:c r="J833" s="2"/>
      <x:c r="K833" s="2"/>
      <x:c r="L833" s="2" t="n">
        <x:f>SUM(IF('Monthly_Data'!A489=A833,IF(ISBLANK('Monthly_Data'!A489)=ISBLANK(A833),0,1),1),IF('Monthly_Data'!B489=B833,IF(ISBLANK('Monthly_Data'!B489)=ISBLANK(B833),0,1),1),IF('Monthly_Data'!C489=C833,IF(ISBLANK('Monthly_Data'!C489)=ISBLANK(C833),0,1),1),IF('Monthly_Data'!D489=D833,IF(ISBLANK('Monthly_Data'!D489)=ISBLANK(D833),0,1),1),IF('Monthly_Data'!E489=E833,IF(ISBLANK('Monthly_Data'!E489)=ISBLANK(E833),0,1),1),IF('Monthly_Data'!F489=F833,IF(ISBLANK('Monthly_Data'!F489)=ISBLANK(F833),0,1),1),IF('Monthly_Data'!G489=G833,IF(ISBLANK('Monthly_Data'!G489)=ISBLANK(G833),0,1),1),IF('Monthly_Data'!H489=H833,IF(ISBLANK('Monthly_Data'!H489)=ISBLANK(H833),0,1),1))</x:f>
        <x:v>0</x:v>
      </x:c>
    </x:row>
    <x:row r="834" ht="23" customHeight="1">
      <x:c r="A834" s="2" t="str">
        <x:v>62044300_BD_202509_IMPORT</x:v>
      </x:c>
      <x:c r="B834" s="2" t="n">
        <x:v>202509</x:v>
      </x:c>
      <x:c r="C834" s="2" t="str">
        <x:v>62044300</x:v>
      </x:c>
      <x:c r="D834" s="2" t="str">
        <x:v>Bangladesh</x:v>
      </x:c>
      <x:c r="E834" s="2" t="n">
        <x:v>1184002</x:v>
      </x:c>
      <x:c r="F834" s="2" t="n">
        <x:v>70147</x:v>
      </x:c>
      <x:c r="G834" s="2" t="str">
        <x:v>WITHIN_BAND</x:v>
      </x:c>
      <x:c r="H834" s="2" t="n">
        <x:v>1</x:v>
      </x:c>
      <x:c r="I834" s="2"/>
      <x:c r="J834" s="2"/>
      <x:c r="K834" s="2"/>
      <x:c r="L834" s="2" t="n">
        <x:f>SUM(IF('Monthly_Data'!A490=A834,IF(ISBLANK('Monthly_Data'!A490)=ISBLANK(A834),0,1),1),IF('Monthly_Data'!B490=B834,IF(ISBLANK('Monthly_Data'!B490)=ISBLANK(B834),0,1),1),IF('Monthly_Data'!C490=C834,IF(ISBLANK('Monthly_Data'!C490)=ISBLANK(C834),0,1),1),IF('Monthly_Data'!D490=D834,IF(ISBLANK('Monthly_Data'!D490)=ISBLANK(D834),0,1),1),IF('Monthly_Data'!E490=E834,IF(ISBLANK('Monthly_Data'!E490)=ISBLANK(E834),0,1),1),IF('Monthly_Data'!F490=F834,IF(ISBLANK('Monthly_Data'!F490)=ISBLANK(F834),0,1),1),IF('Monthly_Data'!G490=G834,IF(ISBLANK('Monthly_Data'!G490)=ISBLANK(G834),0,1),1),IF('Monthly_Data'!H490=H834,IF(ISBLANK('Monthly_Data'!H490)=ISBLANK(H834),0,1),1))</x:f>
        <x:v>0</x:v>
      </x:c>
    </x:row>
    <x:row r="835" ht="23" customHeight="1">
      <x:c r="A835" s="2" t="str">
        <x:v>62044300_KH_202509_IMPORT</x:v>
      </x:c>
      <x:c r="B835" s="2" t="n">
        <x:v>202509</x:v>
      </x:c>
      <x:c r="C835" s="2" t="str">
        <x:v>62044300</x:v>
      </x:c>
      <x:c r="D835" s="2" t="str">
        <x:v>Cambodia</x:v>
      </x:c>
      <x:c r="E835" s="2" t="n">
        <x:v>392089</x:v>
      </x:c>
      <x:c r="F835" s="2" t="n">
        <x:v>19946</x:v>
      </x:c>
      <x:c r="G835" s="2" t="str">
        <x:v>WITHIN_BAND</x:v>
      </x:c>
      <x:c r="H835" s="2" t="n">
        <x:v>1</x:v>
      </x:c>
      <x:c r="I835" s="2"/>
      <x:c r="J835" s="2"/>
      <x:c r="K835" s="2"/>
      <x:c r="L835" s="2" t="n">
        <x:f>SUM(IF('Monthly_Data'!A491=A835,IF(ISBLANK('Monthly_Data'!A491)=ISBLANK(A835),0,1),1),IF('Monthly_Data'!B491=B835,IF(ISBLANK('Monthly_Data'!B491)=ISBLANK(B835),0,1),1),IF('Monthly_Data'!C491=C835,IF(ISBLANK('Monthly_Data'!C491)=ISBLANK(C835),0,1),1),IF('Monthly_Data'!D491=D835,IF(ISBLANK('Monthly_Data'!D491)=ISBLANK(D835),0,1),1),IF('Monthly_Data'!E491=E835,IF(ISBLANK('Monthly_Data'!E491)=ISBLANK(E835),0,1),1),IF('Monthly_Data'!F491=F835,IF(ISBLANK('Monthly_Data'!F491)=ISBLANK(F835),0,1),1),IF('Monthly_Data'!G491=G835,IF(ISBLANK('Monthly_Data'!G491)=ISBLANK(G835),0,1),1),IF('Monthly_Data'!H491=H835,IF(ISBLANK('Monthly_Data'!H491)=ISBLANK(H835),0,1),1))</x:f>
        <x:v>0</x:v>
      </x:c>
    </x:row>
    <x:row r="836" ht="23" customHeight="1">
      <x:c r="A836" s="2" t="str">
        <x:v>62044300_CN_202509_IMPORT</x:v>
      </x:c>
      <x:c r="B836" s="2" t="n">
        <x:v>202509</x:v>
      </x:c>
      <x:c r="C836" s="2" t="str">
        <x:v>62044300</x:v>
      </x:c>
      <x:c r="D836" s="2" t="str">
        <x:v>China</x:v>
      </x:c>
      <x:c r="E836" s="2" t="n">
        <x:v>9237066</x:v>
      </x:c>
      <x:c r="F836" s="2" t="n">
        <x:v>371149</x:v>
      </x:c>
      <x:c r="G836" s="2" t="str">
        <x:v>WITHIN_BAND</x:v>
      </x:c>
      <x:c r="H836" s="2" t="n">
        <x:v>1</x:v>
      </x:c>
      <x:c r="I836" s="2"/>
      <x:c r="J836" s="2"/>
      <x:c r="K836" s="2"/>
      <x:c r="L836" s="2" t="n">
        <x:f>SUM(IF('Monthly_Data'!A492=A836,IF(ISBLANK('Monthly_Data'!A492)=ISBLANK(A836),0,1),1),IF('Monthly_Data'!B492=B836,IF(ISBLANK('Monthly_Data'!B492)=ISBLANK(B836),0,1),1),IF('Monthly_Data'!C492=C836,IF(ISBLANK('Monthly_Data'!C492)=ISBLANK(C836),0,1),1),IF('Monthly_Data'!D492=D836,IF(ISBLANK('Monthly_Data'!D492)=ISBLANK(D836),0,1),1),IF('Monthly_Data'!E492=E836,IF(ISBLANK('Monthly_Data'!E492)=ISBLANK(E836),0,1),1),IF('Monthly_Data'!F492=F836,IF(ISBLANK('Monthly_Data'!F492)=ISBLANK(F836),0,1),1),IF('Monthly_Data'!G492=G836,IF(ISBLANK('Monthly_Data'!G492)=ISBLANK(G836),0,1),1),IF('Monthly_Data'!H492=H836,IF(ISBLANK('Monthly_Data'!H492)=ISBLANK(H836),0,1),1))</x:f>
        <x:v>0</x:v>
      </x:c>
    </x:row>
    <x:row r="837" ht="23" customHeight="1">
      <x:c r="A837" s="2" t="str">
        <x:v>62044300_IN_202509_IMPORT</x:v>
      </x:c>
      <x:c r="B837" s="2" t="n">
        <x:v>202509</x:v>
      </x:c>
      <x:c r="C837" s="2" t="str">
        <x:v>62044300</x:v>
      </x:c>
      <x:c r="D837" s="2" t="str">
        <x:v>India</x:v>
      </x:c>
      <x:c r="E837" s="2" t="n">
        <x:v>2845571</x:v>
      </x:c>
      <x:c r="F837" s="2" t="n">
        <x:v>95672</x:v>
      </x:c>
      <x:c r="G837" s="2" t="str">
        <x:v>WITHIN_BAND</x:v>
      </x:c>
      <x:c r="H837" s="2" t="n">
        <x:v>1</x:v>
      </x:c>
      <x:c r="I837" s="2"/>
      <x:c r="J837" s="2"/>
      <x:c r="K837" s="2"/>
      <x:c r="L837" s="2" t="n">
        <x:f>SUM(IF('Monthly_Data'!A493=A837,IF(ISBLANK('Monthly_Data'!A493)=ISBLANK(A837),0,1),1),IF('Monthly_Data'!B493=B837,IF(ISBLANK('Monthly_Data'!B493)=ISBLANK(B837),0,1),1),IF('Monthly_Data'!C493=C837,IF(ISBLANK('Monthly_Data'!C493)=ISBLANK(C837),0,1),1),IF('Monthly_Data'!D493=D837,IF(ISBLANK('Monthly_Data'!D493)=ISBLANK(D837),0,1),1),IF('Monthly_Data'!E493=E837,IF(ISBLANK('Monthly_Data'!E493)=ISBLANK(E837),0,1),1),IF('Monthly_Data'!F493=F837,IF(ISBLANK('Monthly_Data'!F493)=ISBLANK(F837),0,1),1),IF('Monthly_Data'!G493=G837,IF(ISBLANK('Monthly_Data'!G493)=ISBLANK(G837),0,1),1),IF('Monthly_Data'!H493=H837,IF(ISBLANK('Monthly_Data'!H493)=ISBLANK(H837),0,1),1))</x:f>
        <x:v>0</x:v>
      </x:c>
    </x:row>
    <x:row r="838" ht="23" customHeight="1">
      <x:c r="A838" s="2" t="str">
        <x:v>62044300_MA_202509_IMPORT</x:v>
      </x:c>
      <x:c r="B838" s="2" t="n">
        <x:v>202509</x:v>
      </x:c>
      <x:c r="C838" s="2" t="str">
        <x:v>62044300</x:v>
      </x:c>
      <x:c r="D838" s="2" t="str">
        <x:v>Morocco</x:v>
      </x:c>
      <x:c r="E838" s="2" t="n">
        <x:v>386164</x:v>
      </x:c>
      <x:c r="F838" s="2" t="n">
        <x:v>17783</x:v>
      </x:c>
      <x:c r="G838" s="2" t="str">
        <x:v>WITHIN_BAND</x:v>
      </x:c>
      <x:c r="H838" s="2" t="n">
        <x:v>1</x:v>
      </x:c>
      <x:c r="I838" s="2"/>
      <x:c r="J838" s="2"/>
      <x:c r="K838" s="2"/>
      <x:c r="L838" s="2" t="n">
        <x:f>SUM(IF('Monthly_Data'!A494=A838,IF(ISBLANK('Monthly_Data'!A494)=ISBLANK(A838),0,1),1),IF('Monthly_Data'!B494=B838,IF(ISBLANK('Monthly_Data'!B494)=ISBLANK(B838),0,1),1),IF('Monthly_Data'!C494=C838,IF(ISBLANK('Monthly_Data'!C494)=ISBLANK(C838),0,1),1),IF('Monthly_Data'!D494=D838,IF(ISBLANK('Monthly_Data'!D494)=ISBLANK(D838),0,1),1),IF('Monthly_Data'!E494=E838,IF(ISBLANK('Monthly_Data'!E494)=ISBLANK(E838),0,1),1),IF('Monthly_Data'!F494=F838,IF(ISBLANK('Monthly_Data'!F494)=ISBLANK(F838),0,1),1),IF('Monthly_Data'!G494=G838,IF(ISBLANK('Monthly_Data'!G494)=ISBLANK(G838),0,1),1),IF('Monthly_Data'!H494=H838,IF(ISBLANK('Monthly_Data'!H494)=ISBLANK(H838),0,1),1))</x:f>
        <x:v>0</x:v>
      </x:c>
    </x:row>
    <x:row r="839" ht="23" customHeight="1">
      <x:c r="A839" s="2" t="str">
        <x:v>62044300_MM_202509_IMPORT</x:v>
      </x:c>
      <x:c r="B839" s="2" t="n">
        <x:v>202509</x:v>
      </x:c>
      <x:c r="C839" s="2" t="str">
        <x:v>62044300</x:v>
      </x:c>
      <x:c r="D839" s="2" t="str">
        <x:v>Myanmar</x:v>
      </x:c>
      <x:c r="E839" s="2" t="n">
        <x:v>463002</x:v>
      </x:c>
      <x:c r="F839" s="2" t="n">
        <x:v>10664</x:v>
      </x:c>
      <x:c r="G839" s="2" t="str">
        <x:v>WITHIN_BAND</x:v>
      </x:c>
      <x:c r="H839" s="2" t="n">
        <x:v>1</x:v>
      </x:c>
      <x:c r="I839" s="2"/>
      <x:c r="J839" s="2"/>
      <x:c r="K839" s="2"/>
      <x:c r="L839" s="2" t="n">
        <x:f>SUM(IF('Monthly_Data'!A495=A839,IF(ISBLANK('Monthly_Data'!A495)=ISBLANK(A839),0,1),1),IF('Monthly_Data'!B495=B839,IF(ISBLANK('Monthly_Data'!B495)=ISBLANK(B839),0,1),1),IF('Monthly_Data'!C495=C839,IF(ISBLANK('Monthly_Data'!C495)=ISBLANK(C839),0,1),1),IF('Monthly_Data'!D495=D839,IF(ISBLANK('Monthly_Data'!D495)=ISBLANK(D839),0,1),1),IF('Monthly_Data'!E495=E839,IF(ISBLANK('Monthly_Data'!E495)=ISBLANK(E839),0,1),1),IF('Monthly_Data'!F495=F839,IF(ISBLANK('Monthly_Data'!F495)=ISBLANK(F839),0,1),1),IF('Monthly_Data'!G495=G839,IF(ISBLANK('Monthly_Data'!G495)=ISBLANK(G839),0,1),1),IF('Monthly_Data'!H495=H839,IF(ISBLANK('Monthly_Data'!H495)=ISBLANK(H839),0,1),1))</x:f>
        <x:v>0</x:v>
      </x:c>
    </x:row>
    <x:row r="840" ht="23" customHeight="1">
      <x:c r="A840" s="2" t="str">
        <x:v>62044300_PK_202509_IMPORT</x:v>
      </x:c>
      <x:c r="B840" s="2" t="n">
        <x:v>202509</x:v>
      </x:c>
      <x:c r="C840" s="2" t="str">
        <x:v>62044300</x:v>
      </x:c>
      <x:c r="D840" s="2" t="str">
        <x:v>Pakistan</x:v>
      </x:c>
      <x:c r="E840" s="2" t="n">
        <x:v>62641</x:v>
      </x:c>
      <x:c r="F840" s="2" t="n">
        <x:v>3204</x:v>
      </x:c>
      <x:c r="G840" s="2" t="str">
        <x:v>WITHIN_BAND</x:v>
      </x:c>
      <x:c r="H840" s="2" t="n">
        <x:v>1</x:v>
      </x:c>
      <x:c r="I840" s="2"/>
      <x:c r="J840" s="2"/>
      <x:c r="K840" s="2"/>
      <x:c r="L840" s="2" t="n">
        <x:f>SUM(IF('Monthly_Data'!A496=A840,IF(ISBLANK('Monthly_Data'!A496)=ISBLANK(A840),0,1),1),IF('Monthly_Data'!B496=B840,IF(ISBLANK('Monthly_Data'!B496)=ISBLANK(B840),0,1),1),IF('Monthly_Data'!C496=C840,IF(ISBLANK('Monthly_Data'!C496)=ISBLANK(C840),0,1),1),IF('Monthly_Data'!D496=D840,IF(ISBLANK('Monthly_Data'!D496)=ISBLANK(D840),0,1),1),IF('Monthly_Data'!E496=E840,IF(ISBLANK('Monthly_Data'!E496)=ISBLANK(E840),0,1),1),IF('Monthly_Data'!F496=F840,IF(ISBLANK('Monthly_Data'!F496)=ISBLANK(F840),0,1),1),IF('Monthly_Data'!G496=G840,IF(ISBLANK('Monthly_Data'!G496)=ISBLANK(G840),0,1),1),IF('Monthly_Data'!H496=H840,IF(ISBLANK('Monthly_Data'!H496)=ISBLANK(H840),0,1),1))</x:f>
        <x:v>0</x:v>
      </x:c>
    </x:row>
    <x:row r="841" ht="23" customHeight="1">
      <x:c r="A841" s="2" t="str">
        <x:v>62044300_LK_202509_IMPORT</x:v>
      </x:c>
      <x:c r="B841" s="2" t="n">
        <x:v>202509</x:v>
      </x:c>
      <x:c r="C841" s="2" t="str">
        <x:v>62044300</x:v>
      </x:c>
      <x:c r="D841" s="2" t="str">
        <x:v>Sri Lanka</x:v>
      </x:c>
      <x:c r="E841" s="2" t="n">
        <x:v>729031</x:v>
      </x:c>
      <x:c r="F841" s="2" t="n">
        <x:v>39105</x:v>
      </x:c>
      <x:c r="G841" s="2" t="str">
        <x:v>WITHIN_BAND</x:v>
      </x:c>
      <x:c r="H841" s="2" t="n">
        <x:v>1</x:v>
      </x:c>
      <x:c r="I841" s="2"/>
      <x:c r="J841" s="2"/>
      <x:c r="K841" s="2"/>
      <x:c r="L841" s="2" t="n">
        <x:f>SUM(IF('Monthly_Data'!A497=A841,IF(ISBLANK('Monthly_Data'!A497)=ISBLANK(A841),0,1),1),IF('Monthly_Data'!B497=B841,IF(ISBLANK('Monthly_Data'!B497)=ISBLANK(B841),0,1),1),IF('Monthly_Data'!C497=C841,IF(ISBLANK('Monthly_Data'!C497)=ISBLANK(C841),0,1),1),IF('Monthly_Data'!D497=D841,IF(ISBLANK('Monthly_Data'!D497)=ISBLANK(D841),0,1),1),IF('Monthly_Data'!E497=E841,IF(ISBLANK('Monthly_Data'!E497)=ISBLANK(E841),0,1),1),IF('Monthly_Data'!F497=F841,IF(ISBLANK('Monthly_Data'!F497)=ISBLANK(F841),0,1),1),IF('Monthly_Data'!G497=G841,IF(ISBLANK('Monthly_Data'!G497)=ISBLANK(G841),0,1),1),IF('Monthly_Data'!H497=H841,IF(ISBLANK('Monthly_Data'!H497)=ISBLANK(H841),0,1),1))</x:f>
        <x:v>0</x:v>
      </x:c>
    </x:row>
    <x:row r="842" ht="23" customHeight="1">
      <x:c r="A842" s="2" t="str">
        <x:v>62044300_TR_202509_IMPORT</x:v>
      </x:c>
      <x:c r="B842" s="2" t="n">
        <x:v>202509</x:v>
      </x:c>
      <x:c r="C842" s="2" t="str">
        <x:v>62044300</x:v>
      </x:c>
      <x:c r="D842" s="2" t="str">
        <x:v>Turkey</x:v>
      </x:c>
      <x:c r="E842" s="2" t="n">
        <x:v>419987</x:v>
      </x:c>
      <x:c r="F842" s="2" t="n">
        <x:v>10340</x:v>
      </x:c>
      <x:c r="G842" s="2" t="str">
        <x:v>WITHIN_BAND</x:v>
      </x:c>
      <x:c r="H842" s="2" t="n">
        <x:v>1</x:v>
      </x:c>
      <x:c r="I842" s="2"/>
      <x:c r="J842" s="2"/>
      <x:c r="K842" s="2"/>
      <x:c r="L842" s="2" t="n">
        <x:f>SUM(IF('Monthly_Data'!A498=A842,IF(ISBLANK('Monthly_Data'!A498)=ISBLANK(A842),0,1),1),IF('Monthly_Data'!B498=B842,IF(ISBLANK('Monthly_Data'!B498)=ISBLANK(B842),0,1),1),IF('Monthly_Data'!C498=C842,IF(ISBLANK('Monthly_Data'!C498)=ISBLANK(C842),0,1),1),IF('Monthly_Data'!D498=D842,IF(ISBLANK('Monthly_Data'!D498)=ISBLANK(D842),0,1),1),IF('Monthly_Data'!E498=E842,IF(ISBLANK('Monthly_Data'!E498)=ISBLANK(E842),0,1),1),IF('Monthly_Data'!F498=F842,IF(ISBLANK('Monthly_Data'!F498)=ISBLANK(F842),0,1),1),IF('Monthly_Data'!G498=G842,IF(ISBLANK('Monthly_Data'!G498)=ISBLANK(G842),0,1),1),IF('Monthly_Data'!H498=H842,IF(ISBLANK('Monthly_Data'!H498)=ISBLANK(H842),0,1),1))</x:f>
        <x:v>0</x:v>
      </x:c>
    </x:row>
    <x:row r="843" ht="23" customHeight="1">
      <x:c r="A843" s="2" t="str">
        <x:v>62044300_VN_202509_IMPORT</x:v>
      </x:c>
      <x:c r="B843" s="2" t="n">
        <x:v>202509</x:v>
      </x:c>
      <x:c r="C843" s="2" t="str">
        <x:v>62044300</x:v>
      </x:c>
      <x:c r="D843" s="2" t="str">
        <x:v>Vietnam</x:v>
      </x:c>
      <x:c r="E843" s="2" t="n">
        <x:v>435111</x:v>
      </x:c>
      <x:c r="F843" s="2" t="n">
        <x:v>17168</x:v>
      </x:c>
      <x:c r="G843" s="2" t="str">
        <x:v>WITHIN_BAND</x:v>
      </x:c>
      <x:c r="H843" s="2" t="n">
        <x:v>1</x:v>
      </x:c>
      <x:c r="I843" s="2"/>
      <x:c r="J843" s="2"/>
      <x:c r="K843" s="2"/>
      <x:c r="L843" s="2" t="n">
        <x:f>SUM(IF('Monthly_Data'!A499=A843,IF(ISBLANK('Monthly_Data'!A499)=ISBLANK(A843),0,1),1),IF('Monthly_Data'!B499=B843,IF(ISBLANK('Monthly_Data'!B499)=ISBLANK(B843),0,1),1),IF('Monthly_Data'!C499=C843,IF(ISBLANK('Monthly_Data'!C499)=ISBLANK(C843),0,1),1),IF('Monthly_Data'!D499=D843,IF(ISBLANK('Monthly_Data'!D499)=ISBLANK(D843),0,1),1),IF('Monthly_Data'!E499=E843,IF(ISBLANK('Monthly_Data'!E499)=ISBLANK(E843),0,1),1),IF('Monthly_Data'!F499=F843,IF(ISBLANK('Monthly_Data'!F499)=ISBLANK(F843),0,1),1),IF('Monthly_Data'!G499=G843,IF(ISBLANK('Monthly_Data'!G499)=ISBLANK(G843),0,1),1),IF('Monthly_Data'!H499=H843,IF(ISBLANK('Monthly_Data'!H499)=ISBLANK(H843),0,1),1))</x:f>
        <x:v>0</x:v>
      </x:c>
    </x:row>
    <x:row r="844" ht="23" customHeight="1">
      <x:c r="A844" s="2" t="str">
        <x:v>62044300_WORLD_202509_IMPORT</x:v>
      </x:c>
      <x:c r="B844" s="2" t="n">
        <x:v>202509</x:v>
      </x:c>
      <x:c r="C844" s="2" t="str">
        <x:v>62044300</x:v>
      </x:c>
      <x:c r="D844" s="2" t="str">
        <x:v>World</x:v>
      </x:c>
      <x:c r="E844" s="2" t="n">
        <x:v>28007044</x:v>
      </x:c>
      <x:c r="F844" s="2" t="n">
        <x:v>834184</x:v>
      </x:c>
      <x:c r="G844" s="2" t="str">
        <x:v>WITHIN_BAND</x:v>
      </x:c>
      <x:c r="H844" s="2" t="n">
        <x:v>1</x:v>
      </x:c>
      <x:c r="I844" s="2"/>
      <x:c r="J844" s="2"/>
      <x:c r="K844" s="2"/>
      <x:c r="L844" s="2" t="n">
        <x:f>SUM(IF('Monthly_Data'!A500=A844,IF(ISBLANK('Monthly_Data'!A500)=ISBLANK(A844),0,1),1),IF('Monthly_Data'!B500=B844,IF(ISBLANK('Monthly_Data'!B500)=ISBLANK(B844),0,1),1),IF('Monthly_Data'!C500=C844,IF(ISBLANK('Monthly_Data'!C500)=ISBLANK(C844),0,1),1),IF('Monthly_Data'!D500=D844,IF(ISBLANK('Monthly_Data'!D500)=ISBLANK(D844),0,1),1),IF('Monthly_Data'!E500=E844,IF(ISBLANK('Monthly_Data'!E500)=ISBLANK(E844),0,1),1),IF('Monthly_Data'!F500=F844,IF(ISBLANK('Monthly_Data'!F500)=ISBLANK(F844),0,1),1),IF('Monthly_Data'!G500=G844,IF(ISBLANK('Monthly_Data'!G500)=ISBLANK(G844),0,1),1),IF('Monthly_Data'!H500=H844,IF(ISBLANK('Monthly_Data'!H500)=ISBLANK(H844),0,1),1))</x:f>
        <x:v>0</x:v>
      </x:c>
    </x:row>
    <x:row r="845" ht="23" customHeight="1">
      <x:c r="A845" s="2" t="str">
        <x:v>62044300_BD_202510_IMPORT</x:v>
      </x:c>
      <x:c r="B845" s="2" t="n">
        <x:v>202510</x:v>
      </x:c>
      <x:c r="C845" s="2" t="str">
        <x:v>62044300</x:v>
      </x:c>
      <x:c r="D845" s="2" t="str">
        <x:v>Bangladesh</x:v>
      </x:c>
      <x:c r="E845" s="2" t="n">
        <x:v>1796038</x:v>
      </x:c>
      <x:c r="F845" s="2" t="n">
        <x:v>97131</x:v>
      </x:c>
      <x:c r="G845" s="2" t="str">
        <x:v>WITHIN_BAND</x:v>
      </x:c>
      <x:c r="H845" s="2" t="n">
        <x:v>1</x:v>
      </x:c>
      <x:c r="I845" s="2"/>
      <x:c r="J845" s="2"/>
      <x:c r="K845" s="2"/>
      <x:c r="L845" s="2" t="n">
        <x:f>SUM(IF('Monthly_Data'!A501=A845,IF(ISBLANK('Monthly_Data'!A501)=ISBLANK(A845),0,1),1),IF('Monthly_Data'!B501=B845,IF(ISBLANK('Monthly_Data'!B501)=ISBLANK(B845),0,1),1),IF('Monthly_Data'!C501=C845,IF(ISBLANK('Monthly_Data'!C501)=ISBLANK(C845),0,1),1),IF('Monthly_Data'!D501=D845,IF(ISBLANK('Monthly_Data'!D501)=ISBLANK(D845),0,1),1),IF('Monthly_Data'!E501=E845,IF(ISBLANK('Monthly_Data'!E501)=ISBLANK(E845),0,1),1),IF('Monthly_Data'!F501=F845,IF(ISBLANK('Monthly_Data'!F501)=ISBLANK(F845),0,1),1),IF('Monthly_Data'!G501=G845,IF(ISBLANK('Monthly_Data'!G501)=ISBLANK(G845),0,1),1),IF('Monthly_Data'!H501=H845,IF(ISBLANK('Monthly_Data'!H501)=ISBLANK(H845),0,1),1))</x:f>
        <x:v>0</x:v>
      </x:c>
    </x:row>
    <x:row r="846" ht="23" customHeight="1">
      <x:c r="A846" s="2" t="str">
        <x:v>62044300_KH_202510_IMPORT</x:v>
      </x:c>
      <x:c r="B846" s="2" t="n">
        <x:v>202510</x:v>
      </x:c>
      <x:c r="C846" s="2" t="str">
        <x:v>62044300</x:v>
      </x:c>
      <x:c r="D846" s="2" t="str">
        <x:v>Cambodia</x:v>
      </x:c>
      <x:c r="E846" s="2" t="n">
        <x:v>645703</x:v>
      </x:c>
      <x:c r="F846" s="2" t="n">
        <x:v>28563</x:v>
      </x:c>
      <x:c r="G846" s="2" t="str">
        <x:v>WITHIN_BAND</x:v>
      </x:c>
      <x:c r="H846" s="2" t="n">
        <x:v>1</x:v>
      </x:c>
      <x:c r="I846" s="2"/>
      <x:c r="J846" s="2"/>
      <x:c r="K846" s="2"/>
      <x:c r="L846" s="2" t="n">
        <x:f>SUM(IF('Monthly_Data'!A502=A846,IF(ISBLANK('Monthly_Data'!A502)=ISBLANK(A846),0,1),1),IF('Monthly_Data'!B502=B846,IF(ISBLANK('Monthly_Data'!B502)=ISBLANK(B846),0,1),1),IF('Monthly_Data'!C502=C846,IF(ISBLANK('Monthly_Data'!C502)=ISBLANK(C846),0,1),1),IF('Monthly_Data'!D502=D846,IF(ISBLANK('Monthly_Data'!D502)=ISBLANK(D846),0,1),1),IF('Monthly_Data'!E502=E846,IF(ISBLANK('Monthly_Data'!E502)=ISBLANK(E846),0,1),1),IF('Monthly_Data'!F502=F846,IF(ISBLANK('Monthly_Data'!F502)=ISBLANK(F846),0,1),1),IF('Monthly_Data'!G502=G846,IF(ISBLANK('Monthly_Data'!G502)=ISBLANK(G846),0,1),1),IF('Monthly_Data'!H502=H846,IF(ISBLANK('Monthly_Data'!H502)=ISBLANK(H846),0,1),1))</x:f>
        <x:v>0</x:v>
      </x:c>
    </x:row>
    <x:row r="847" ht="23" customHeight="1">
      <x:c r="A847" s="2" t="str">
        <x:v>62044300_CN_202510_IMPORT</x:v>
      </x:c>
      <x:c r="B847" s="2" t="n">
        <x:v>202510</x:v>
      </x:c>
      <x:c r="C847" s="2" t="str">
        <x:v>62044300</x:v>
      </x:c>
      <x:c r="D847" s="2" t="str">
        <x:v>China</x:v>
      </x:c>
      <x:c r="E847" s="2" t="n">
        <x:v>10030930</x:v>
      </x:c>
      <x:c r="F847" s="2" t="n">
        <x:v>407658</x:v>
      </x:c>
      <x:c r="G847" s="2" t="str">
        <x:v>WITHIN_BAND</x:v>
      </x:c>
      <x:c r="H847" s="2" t="n">
        <x:v>1</x:v>
      </x:c>
      <x:c r="I847" s="2"/>
      <x:c r="J847" s="2"/>
      <x:c r="K847" s="2"/>
      <x:c r="L847" s="2" t="n">
        <x:f>SUM(IF('Monthly_Data'!A503=A847,IF(ISBLANK('Monthly_Data'!A503)=ISBLANK(A847),0,1),1),IF('Monthly_Data'!B503=B847,IF(ISBLANK('Monthly_Data'!B503)=ISBLANK(B847),0,1),1),IF('Monthly_Data'!C503=C847,IF(ISBLANK('Monthly_Data'!C503)=ISBLANK(C847),0,1),1),IF('Monthly_Data'!D503=D847,IF(ISBLANK('Monthly_Data'!D503)=ISBLANK(D847),0,1),1),IF('Monthly_Data'!E503=E847,IF(ISBLANK('Monthly_Data'!E503)=ISBLANK(E847),0,1),1),IF('Monthly_Data'!F503=F847,IF(ISBLANK('Monthly_Data'!F503)=ISBLANK(F847),0,1),1),IF('Monthly_Data'!G503=G847,IF(ISBLANK('Monthly_Data'!G503)=ISBLANK(G847),0,1),1),IF('Monthly_Data'!H503=H847,IF(ISBLANK('Monthly_Data'!H503)=ISBLANK(H847),0,1),1))</x:f>
        <x:v>0</x:v>
      </x:c>
    </x:row>
    <x:row r="848" ht="23" customHeight="1">
      <x:c r="A848" s="2" t="str">
        <x:v>62044300_IN_202510_IMPORT</x:v>
      </x:c>
      <x:c r="B848" s="2" t="n">
        <x:v>202510</x:v>
      </x:c>
      <x:c r="C848" s="2" t="str">
        <x:v>62044300</x:v>
      </x:c>
      <x:c r="D848" s="2" t="str">
        <x:v>India</x:v>
      </x:c>
      <x:c r="E848" s="2" t="n">
        <x:v>2575343</x:v>
      </x:c>
      <x:c r="F848" s="2" t="n">
        <x:v>78731</x:v>
      </x:c>
      <x:c r="G848" s="2" t="str">
        <x:v>WITHIN_BAND</x:v>
      </x:c>
      <x:c r="H848" s="2" t="n">
        <x:v>1</x:v>
      </x:c>
      <x:c r="I848" s="2"/>
      <x:c r="J848" s="2"/>
      <x:c r="K848" s="2"/>
      <x:c r="L848" s="2" t="n">
        <x:f>SUM(IF('Monthly_Data'!A504=A848,IF(ISBLANK('Monthly_Data'!A504)=ISBLANK(A848),0,1),1),IF('Monthly_Data'!B504=B848,IF(ISBLANK('Monthly_Data'!B504)=ISBLANK(B848),0,1),1),IF('Monthly_Data'!C504=C848,IF(ISBLANK('Monthly_Data'!C504)=ISBLANK(C848),0,1),1),IF('Monthly_Data'!D504=D848,IF(ISBLANK('Monthly_Data'!D504)=ISBLANK(D848),0,1),1),IF('Monthly_Data'!E504=E848,IF(ISBLANK('Monthly_Data'!E504)=ISBLANK(E848),0,1),1),IF('Monthly_Data'!F504=F848,IF(ISBLANK('Monthly_Data'!F504)=ISBLANK(F848),0,1),1),IF('Monthly_Data'!G504=G848,IF(ISBLANK('Monthly_Data'!G504)=ISBLANK(G848),0,1),1),IF('Monthly_Data'!H504=H848,IF(ISBLANK('Monthly_Data'!H504)=ISBLANK(H848),0,1),1))</x:f>
        <x:v>0</x:v>
      </x:c>
    </x:row>
    <x:row r="849" ht="23" customHeight="1">
      <x:c r="A849" s="2" t="str">
        <x:v>62044300_MA_202510_IMPORT</x:v>
      </x:c>
      <x:c r="B849" s="2" t="n">
        <x:v>202510</x:v>
      </x:c>
      <x:c r="C849" s="2" t="str">
        <x:v>62044300</x:v>
      </x:c>
      <x:c r="D849" s="2" t="str">
        <x:v>Morocco</x:v>
      </x:c>
      <x:c r="E849" s="2" t="n">
        <x:v>287665</x:v>
      </x:c>
      <x:c r="F849" s="2" t="n">
        <x:v>13001</x:v>
      </x:c>
      <x:c r="G849" s="2" t="str">
        <x:v>WITHIN_BAND</x:v>
      </x:c>
      <x:c r="H849" s="2" t="n">
        <x:v>1</x:v>
      </x:c>
      <x:c r="I849" s="2"/>
      <x:c r="J849" s="2"/>
      <x:c r="K849" s="2"/>
      <x:c r="L849" s="2" t="n">
        <x:f>SUM(IF('Monthly_Data'!A505=A849,IF(ISBLANK('Monthly_Data'!A505)=ISBLANK(A849),0,1),1),IF('Monthly_Data'!B505=B849,IF(ISBLANK('Monthly_Data'!B505)=ISBLANK(B849),0,1),1),IF('Monthly_Data'!C505=C849,IF(ISBLANK('Monthly_Data'!C505)=ISBLANK(C849),0,1),1),IF('Monthly_Data'!D505=D849,IF(ISBLANK('Monthly_Data'!D505)=ISBLANK(D849),0,1),1),IF('Monthly_Data'!E505=E849,IF(ISBLANK('Monthly_Data'!E505)=ISBLANK(E849),0,1),1),IF('Monthly_Data'!F505=F849,IF(ISBLANK('Monthly_Data'!F505)=ISBLANK(F849),0,1),1),IF('Monthly_Data'!G505=G849,IF(ISBLANK('Monthly_Data'!G505)=ISBLANK(G849),0,1),1),IF('Monthly_Data'!H505=H849,IF(ISBLANK('Monthly_Data'!H505)=ISBLANK(H849),0,1),1))</x:f>
        <x:v>0</x:v>
      </x:c>
    </x:row>
    <x:row r="850" ht="23" customHeight="1">
      <x:c r="A850" s="2" t="str">
        <x:v>62044300_MM_202510_IMPORT</x:v>
      </x:c>
      <x:c r="B850" s="2" t="n">
        <x:v>202510</x:v>
      </x:c>
      <x:c r="C850" s="2" t="str">
        <x:v>62044300</x:v>
      </x:c>
      <x:c r="D850" s="2" t="str">
        <x:v>Myanmar</x:v>
      </x:c>
      <x:c r="E850" s="2" t="n">
        <x:v>658544</x:v>
      </x:c>
      <x:c r="F850" s="2" t="n">
        <x:v>13407</x:v>
      </x:c>
      <x:c r="G850" s="2" t="str">
        <x:v>WITHIN_BAND</x:v>
      </x:c>
      <x:c r="H850" s="2" t="n">
        <x:v>1</x:v>
      </x:c>
      <x:c r="I850" s="2"/>
      <x:c r="J850" s="2"/>
      <x:c r="K850" s="2"/>
      <x:c r="L850" s="2" t="n">
        <x:f>SUM(IF('Monthly_Data'!A506=A850,IF(ISBLANK('Monthly_Data'!A506)=ISBLANK(A850),0,1),1),IF('Monthly_Data'!B506=B850,IF(ISBLANK('Monthly_Data'!B506)=ISBLANK(B850),0,1),1),IF('Monthly_Data'!C506=C850,IF(ISBLANK('Monthly_Data'!C506)=ISBLANK(C850),0,1),1),IF('Monthly_Data'!D506=D850,IF(ISBLANK('Monthly_Data'!D506)=ISBLANK(D850),0,1),1),IF('Monthly_Data'!E506=E850,IF(ISBLANK('Monthly_Data'!E506)=ISBLANK(E850),0,1),1),IF('Monthly_Data'!F506=F850,IF(ISBLANK('Monthly_Data'!F506)=ISBLANK(F850),0,1),1),IF('Monthly_Data'!G506=G850,IF(ISBLANK('Monthly_Data'!G506)=ISBLANK(G850),0,1),1),IF('Monthly_Data'!H506=H850,IF(ISBLANK('Monthly_Data'!H506)=ISBLANK(H850),0,1),1))</x:f>
        <x:v>0</x:v>
      </x:c>
    </x:row>
    <x:row r="851" ht="23" customHeight="1">
      <x:c r="A851" s="2" t="str">
        <x:v>62044300_PK_202510_IMPORT</x:v>
      </x:c>
      <x:c r="B851" s="2" t="n">
        <x:v>202510</x:v>
      </x:c>
      <x:c r="C851" s="2" t="str">
        <x:v>62044300</x:v>
      </x:c>
      <x:c r="D851" s="2" t="str">
        <x:v>Pakistan</x:v>
      </x:c>
      <x:c r="E851" s="2" t="n">
        <x:v>94633</x:v>
      </x:c>
      <x:c r="F851" s="2" t="n">
        <x:v>5527</x:v>
      </x:c>
      <x:c r="G851" s="2" t="str">
        <x:v>WITHIN_BAND</x:v>
      </x:c>
      <x:c r="H851" s="2" t="n">
        <x:v>1</x:v>
      </x:c>
      <x:c r="I851" s="2"/>
      <x:c r="J851" s="2"/>
      <x:c r="K851" s="2"/>
      <x:c r="L851" s="2" t="n">
        <x:f>SUM(IF('Monthly_Data'!A507=A851,IF(ISBLANK('Monthly_Data'!A507)=ISBLANK(A851),0,1),1),IF('Monthly_Data'!B507=B851,IF(ISBLANK('Monthly_Data'!B507)=ISBLANK(B851),0,1),1),IF('Monthly_Data'!C507=C851,IF(ISBLANK('Monthly_Data'!C507)=ISBLANK(C851),0,1),1),IF('Monthly_Data'!D507=D851,IF(ISBLANK('Monthly_Data'!D507)=ISBLANK(D851),0,1),1),IF('Monthly_Data'!E507=E851,IF(ISBLANK('Monthly_Data'!E507)=ISBLANK(E851),0,1),1),IF('Monthly_Data'!F507=F851,IF(ISBLANK('Monthly_Data'!F507)=ISBLANK(F851),0,1),1),IF('Monthly_Data'!G507=G851,IF(ISBLANK('Monthly_Data'!G507)=ISBLANK(G851),0,1),1),IF('Monthly_Data'!H507=H851,IF(ISBLANK('Monthly_Data'!H507)=ISBLANK(H851),0,1),1))</x:f>
        <x:v>0</x:v>
      </x:c>
    </x:row>
    <x:row r="852" ht="23" customHeight="1">
      <x:c r="A852" s="2" t="str">
        <x:v>62044300_LK_202510_IMPORT</x:v>
      </x:c>
      <x:c r="B852" s="2" t="n">
        <x:v>202510</x:v>
      </x:c>
      <x:c r="C852" s="2" t="str">
        <x:v>62044300</x:v>
      </x:c>
      <x:c r="D852" s="2" t="str">
        <x:v>Sri Lanka</x:v>
      </x:c>
      <x:c r="E852" s="2" t="n">
        <x:v>1425303</x:v>
      </x:c>
      <x:c r="F852" s="2" t="n">
        <x:v>60016</x:v>
      </x:c>
      <x:c r="G852" s="2" t="str">
        <x:v>WITHIN_BAND</x:v>
      </x:c>
      <x:c r="H852" s="2" t="n">
        <x:v>1</x:v>
      </x:c>
      <x:c r="I852" s="2"/>
      <x:c r="J852" s="2"/>
      <x:c r="K852" s="2"/>
      <x:c r="L852" s="2" t="n">
        <x:f>SUM(IF('Monthly_Data'!A508=A852,IF(ISBLANK('Monthly_Data'!A508)=ISBLANK(A852),0,1),1),IF('Monthly_Data'!B508=B852,IF(ISBLANK('Monthly_Data'!B508)=ISBLANK(B852),0,1),1),IF('Monthly_Data'!C508=C852,IF(ISBLANK('Monthly_Data'!C508)=ISBLANK(C852),0,1),1),IF('Monthly_Data'!D508=D852,IF(ISBLANK('Monthly_Data'!D508)=ISBLANK(D852),0,1),1),IF('Monthly_Data'!E508=E852,IF(ISBLANK('Monthly_Data'!E508)=ISBLANK(E852),0,1),1),IF('Monthly_Data'!F508=F852,IF(ISBLANK('Monthly_Data'!F508)=ISBLANK(F852),0,1),1),IF('Monthly_Data'!G508=G852,IF(ISBLANK('Monthly_Data'!G508)=ISBLANK(G852),0,1),1),IF('Monthly_Data'!H508=H852,IF(ISBLANK('Monthly_Data'!H508)=ISBLANK(H852),0,1),1))</x:f>
        <x:v>0</x:v>
      </x:c>
    </x:row>
    <x:row r="853" ht="23" customHeight="1">
      <x:c r="A853" s="2" t="str">
        <x:v>62044300_TR_202510_IMPORT</x:v>
      </x:c>
      <x:c r="B853" s="2" t="n">
        <x:v>202510</x:v>
      </x:c>
      <x:c r="C853" s="2" t="str">
        <x:v>62044300</x:v>
      </x:c>
      <x:c r="D853" s="2" t="str">
        <x:v>Turkey</x:v>
      </x:c>
      <x:c r="E853" s="2" t="n">
        <x:v>633994</x:v>
      </x:c>
      <x:c r="F853" s="2" t="n">
        <x:v>14944</x:v>
      </x:c>
      <x:c r="G853" s="2" t="str">
        <x:v>WITHIN_BAND</x:v>
      </x:c>
      <x:c r="H853" s="2" t="n">
        <x:v>1</x:v>
      </x:c>
      <x:c r="I853" s="2"/>
      <x:c r="J853" s="2"/>
      <x:c r="K853" s="2"/>
      <x:c r="L853" s="2" t="n">
        <x:f>SUM(IF('Monthly_Data'!A509=A853,IF(ISBLANK('Monthly_Data'!A509)=ISBLANK(A853),0,1),1),IF('Monthly_Data'!B509=B853,IF(ISBLANK('Monthly_Data'!B509)=ISBLANK(B853),0,1),1),IF('Monthly_Data'!C509=C853,IF(ISBLANK('Monthly_Data'!C509)=ISBLANK(C853),0,1),1),IF('Monthly_Data'!D509=D853,IF(ISBLANK('Monthly_Data'!D509)=ISBLANK(D853),0,1),1),IF('Monthly_Data'!E509=E853,IF(ISBLANK('Monthly_Data'!E509)=ISBLANK(E853),0,1),1),IF('Monthly_Data'!F509=F853,IF(ISBLANK('Monthly_Data'!F509)=ISBLANK(F853),0,1),1),IF('Monthly_Data'!G509=G853,IF(ISBLANK('Monthly_Data'!G509)=ISBLANK(G853),0,1),1),IF('Monthly_Data'!H509=H853,IF(ISBLANK('Monthly_Data'!H509)=ISBLANK(H853),0,1),1))</x:f>
        <x:v>0</x:v>
      </x:c>
    </x:row>
    <x:row r="854" ht="23" customHeight="1">
      <x:c r="A854" s="2" t="str">
        <x:v>62044300_VN_202510_IMPORT</x:v>
      </x:c>
      <x:c r="B854" s="2" t="n">
        <x:v>202510</x:v>
      </x:c>
      <x:c r="C854" s="2" t="str">
        <x:v>62044300</x:v>
      </x:c>
      <x:c r="D854" s="2" t="str">
        <x:v>Vietnam</x:v>
      </x:c>
      <x:c r="E854" s="2" t="n">
        <x:v>610855</x:v>
      </x:c>
      <x:c r="F854" s="2" t="n">
        <x:v>22101</x:v>
      </x:c>
      <x:c r="G854" s="2" t="str">
        <x:v>WITHIN_BAND</x:v>
      </x:c>
      <x:c r="H854" s="2" t="n">
        <x:v>1</x:v>
      </x:c>
      <x:c r="I854" s="2"/>
      <x:c r="J854" s="2"/>
      <x:c r="K854" s="2"/>
      <x:c r="L854" s="2" t="n">
        <x:f>SUM(IF('Monthly_Data'!A510=A854,IF(ISBLANK('Monthly_Data'!A510)=ISBLANK(A854),0,1),1),IF('Monthly_Data'!B510=B854,IF(ISBLANK('Monthly_Data'!B510)=ISBLANK(B854),0,1),1),IF('Monthly_Data'!C510=C854,IF(ISBLANK('Monthly_Data'!C510)=ISBLANK(C854),0,1),1),IF('Monthly_Data'!D510=D854,IF(ISBLANK('Monthly_Data'!D510)=ISBLANK(D854),0,1),1),IF('Monthly_Data'!E510=E854,IF(ISBLANK('Monthly_Data'!E510)=ISBLANK(E854),0,1),1),IF('Monthly_Data'!F510=F854,IF(ISBLANK('Monthly_Data'!F510)=ISBLANK(F854),0,1),1),IF('Monthly_Data'!G510=G854,IF(ISBLANK('Monthly_Data'!G510)=ISBLANK(G854),0,1),1),IF('Monthly_Data'!H510=H854,IF(ISBLANK('Monthly_Data'!H510)=ISBLANK(H854),0,1),1))</x:f>
        <x:v>0</x:v>
      </x:c>
    </x:row>
    <x:row r="855" ht="23" customHeight="1">
      <x:c r="A855" s="2" t="str">
        <x:v>62044300_WORLD_202510_IMPORT</x:v>
      </x:c>
      <x:c r="B855" s="2" t="n">
        <x:v>202510</x:v>
      </x:c>
      <x:c r="C855" s="2" t="str">
        <x:v>62044300</x:v>
      </x:c>
      <x:c r="D855" s="2" t="str">
        <x:v>World</x:v>
      </x:c>
      <x:c r="E855" s="2" t="n">
        <x:v>32317234</x:v>
      </x:c>
      <x:c r="F855" s="2" t="n">
        <x:v>943473</x:v>
      </x:c>
      <x:c r="G855" s="2" t="str">
        <x:v>WITHIN_BAND</x:v>
      </x:c>
      <x:c r="H855" s="2" t="n">
        <x:v>1</x:v>
      </x:c>
      <x:c r="I855" s="2"/>
      <x:c r="J855" s="2"/>
      <x:c r="K855" s="2"/>
      <x:c r="L855" s="2" t="n">
        <x:f>SUM(IF('Monthly_Data'!A511=A855,IF(ISBLANK('Monthly_Data'!A511)=ISBLANK(A855),0,1),1),IF('Monthly_Data'!B511=B855,IF(ISBLANK('Monthly_Data'!B511)=ISBLANK(B855),0,1),1),IF('Monthly_Data'!C511=C855,IF(ISBLANK('Monthly_Data'!C511)=ISBLANK(C855),0,1),1),IF('Monthly_Data'!D511=D855,IF(ISBLANK('Monthly_Data'!D511)=ISBLANK(D855),0,1),1),IF('Monthly_Data'!E511=E855,IF(ISBLANK('Monthly_Data'!E511)=ISBLANK(E855),0,1),1),IF('Monthly_Data'!F511=F855,IF(ISBLANK('Monthly_Data'!F511)=ISBLANK(F855),0,1),1),IF('Monthly_Data'!G511=G855,IF(ISBLANK('Monthly_Data'!G511)=ISBLANK(G855),0,1),1),IF('Monthly_Data'!H511=H855,IF(ISBLANK('Monthly_Data'!H511)=ISBLANK(H855),0,1),1))</x:f>
        <x:v>0</x:v>
      </x:c>
    </x:row>
    <x:row r="856" ht="23" customHeight="1">
      <x:c r="A856" s="2" t="str">
        <x:v>62044300_BD_202511_IMPORT</x:v>
      </x:c>
      <x:c r="B856" s="2" t="n">
        <x:v>202511</x:v>
      </x:c>
      <x:c r="C856" s="2" t="str">
        <x:v>62044300</x:v>
      </x:c>
      <x:c r="D856" s="2" t="str">
        <x:v>Bangladesh</x:v>
      </x:c>
      <x:c r="E856" s="2" t="n">
        <x:v>986551</x:v>
      </x:c>
      <x:c r="F856" s="2" t="n">
        <x:v>54293</x:v>
      </x:c>
      <x:c r="G856" s="2" t="str">
        <x:v>WITHIN_BAND</x:v>
      </x:c>
      <x:c r="H856" s="2" t="n">
        <x:v>1</x:v>
      </x:c>
      <x:c r="I856" s="2"/>
      <x:c r="J856" s="2"/>
      <x:c r="K856" s="2"/>
      <x:c r="L856" s="2" t="n">
        <x:f>SUM(IF('Monthly_Data'!A512=A856,IF(ISBLANK('Monthly_Data'!A512)=ISBLANK(A856),0,1),1),IF('Monthly_Data'!B512=B856,IF(ISBLANK('Monthly_Data'!B512)=ISBLANK(B856),0,1),1),IF('Monthly_Data'!C512=C856,IF(ISBLANK('Monthly_Data'!C512)=ISBLANK(C856),0,1),1),IF('Monthly_Data'!D512=D856,IF(ISBLANK('Monthly_Data'!D512)=ISBLANK(D856),0,1),1),IF('Monthly_Data'!E512=E856,IF(ISBLANK('Monthly_Data'!E512)=ISBLANK(E856),0,1),1),IF('Monthly_Data'!F512=F856,IF(ISBLANK('Monthly_Data'!F512)=ISBLANK(F856),0,1),1),IF('Monthly_Data'!G512=G856,IF(ISBLANK('Monthly_Data'!G512)=ISBLANK(G856),0,1),1),IF('Monthly_Data'!H512=H856,IF(ISBLANK('Monthly_Data'!H512)=ISBLANK(H856),0,1),1))</x:f>
        <x:v>0</x:v>
      </x:c>
    </x:row>
    <x:row r="857" ht="23" customHeight="1">
      <x:c r="A857" s="2" t="str">
        <x:v>62044300_KH_202511_IMPORT</x:v>
      </x:c>
      <x:c r="B857" s="2" t="n">
        <x:v>202511</x:v>
      </x:c>
      <x:c r="C857" s="2" t="str">
        <x:v>62044300</x:v>
      </x:c>
      <x:c r="D857" s="2" t="str">
        <x:v>Cambodia</x:v>
      </x:c>
      <x:c r="E857" s="2" t="n">
        <x:v>204322</x:v>
      </x:c>
      <x:c r="F857" s="2" t="n">
        <x:v>11842</x:v>
      </x:c>
      <x:c r="G857" s="2" t="str">
        <x:v>WITHIN_BAND</x:v>
      </x:c>
      <x:c r="H857" s="2" t="n">
        <x:v>1</x:v>
      </x:c>
      <x:c r="I857" s="2"/>
      <x:c r="J857" s="2"/>
      <x:c r="K857" s="2"/>
      <x:c r="L857" s="2" t="n">
        <x:f>SUM(IF('Monthly_Data'!A513=A857,IF(ISBLANK('Monthly_Data'!A513)=ISBLANK(A857),0,1),1),IF('Monthly_Data'!B513=B857,IF(ISBLANK('Monthly_Data'!B513)=ISBLANK(B857),0,1),1),IF('Monthly_Data'!C513=C857,IF(ISBLANK('Monthly_Data'!C513)=ISBLANK(C857),0,1),1),IF('Monthly_Data'!D513=D857,IF(ISBLANK('Monthly_Data'!D513)=ISBLANK(D857),0,1),1),IF('Monthly_Data'!E513=E857,IF(ISBLANK('Monthly_Data'!E513)=ISBLANK(E857),0,1),1),IF('Monthly_Data'!F513=F857,IF(ISBLANK('Monthly_Data'!F513)=ISBLANK(F857),0,1),1),IF('Monthly_Data'!G513=G857,IF(ISBLANK('Monthly_Data'!G513)=ISBLANK(G857),0,1),1),IF('Monthly_Data'!H513=H857,IF(ISBLANK('Monthly_Data'!H513)=ISBLANK(H857),0,1),1))</x:f>
        <x:v>0</x:v>
      </x:c>
    </x:row>
    <x:row r="858" ht="23" customHeight="1">
      <x:c r="A858" s="2" t="str">
        <x:v>62044300_CN_202511_IMPORT</x:v>
      </x:c>
      <x:c r="B858" s="2" t="n">
        <x:v>202511</x:v>
      </x:c>
      <x:c r="C858" s="2" t="str">
        <x:v>62044300</x:v>
      </x:c>
      <x:c r="D858" s="2" t="str">
        <x:v>China</x:v>
      </x:c>
      <x:c r="E858" s="2" t="n">
        <x:v>7235436</x:v>
      </x:c>
      <x:c r="F858" s="2" t="n">
        <x:v>274794</x:v>
      </x:c>
      <x:c r="G858" s="2" t="str">
        <x:v>WITHIN_BAND</x:v>
      </x:c>
      <x:c r="H858" s="2" t="n">
        <x:v>1</x:v>
      </x:c>
      <x:c r="I858" s="2"/>
      <x:c r="J858" s="2"/>
      <x:c r="K858" s="2"/>
      <x:c r="L858" s="2" t="n">
        <x:f>SUM(IF('Monthly_Data'!A514=A858,IF(ISBLANK('Monthly_Data'!A514)=ISBLANK(A858),0,1),1),IF('Monthly_Data'!B514=B858,IF(ISBLANK('Monthly_Data'!B514)=ISBLANK(B858),0,1),1),IF('Monthly_Data'!C514=C858,IF(ISBLANK('Monthly_Data'!C514)=ISBLANK(C858),0,1),1),IF('Monthly_Data'!D514=D858,IF(ISBLANK('Monthly_Data'!D514)=ISBLANK(D858),0,1),1),IF('Monthly_Data'!E514=E858,IF(ISBLANK('Monthly_Data'!E514)=ISBLANK(E858),0,1),1),IF('Monthly_Data'!F514=F858,IF(ISBLANK('Monthly_Data'!F514)=ISBLANK(F858),0,1),1),IF('Monthly_Data'!G514=G858,IF(ISBLANK('Monthly_Data'!G514)=ISBLANK(G858),0,1),1),IF('Monthly_Data'!H514=H858,IF(ISBLANK('Monthly_Data'!H514)=ISBLANK(H858),0,1),1))</x:f>
        <x:v>0</x:v>
      </x:c>
    </x:row>
    <x:row r="859" ht="23" customHeight="1">
      <x:c r="A859" s="2" t="str">
        <x:v>62044300_IN_202511_IMPORT</x:v>
      </x:c>
      <x:c r="B859" s="2" t="n">
        <x:v>202511</x:v>
      </x:c>
      <x:c r="C859" s="2" t="str">
        <x:v>62044300</x:v>
      </x:c>
      <x:c r="D859" s="2" t="str">
        <x:v>India</x:v>
      </x:c>
      <x:c r="E859" s="2" t="n">
        <x:v>1896519</x:v>
      </x:c>
      <x:c r="F859" s="2" t="n">
        <x:v>46594</x:v>
      </x:c>
      <x:c r="G859" s="2" t="str">
        <x:v>WITHIN_BAND</x:v>
      </x:c>
      <x:c r="H859" s="2" t="n">
        <x:v>1</x:v>
      </x:c>
      <x:c r="I859" s="2"/>
      <x:c r="J859" s="2"/>
      <x:c r="K859" s="2"/>
      <x:c r="L859" s="2" t="n">
        <x:f>SUM(IF('Monthly_Data'!A515=A859,IF(ISBLANK('Monthly_Data'!A515)=ISBLANK(A859),0,1),1),IF('Monthly_Data'!B515=B859,IF(ISBLANK('Monthly_Data'!B515)=ISBLANK(B859),0,1),1),IF('Monthly_Data'!C515=C859,IF(ISBLANK('Monthly_Data'!C515)=ISBLANK(C859),0,1),1),IF('Monthly_Data'!D515=D859,IF(ISBLANK('Monthly_Data'!D515)=ISBLANK(D859),0,1),1),IF('Monthly_Data'!E515=E859,IF(ISBLANK('Monthly_Data'!E515)=ISBLANK(E859),0,1),1),IF('Monthly_Data'!F515=F859,IF(ISBLANK('Monthly_Data'!F515)=ISBLANK(F859),0,1),1),IF('Monthly_Data'!G515=G859,IF(ISBLANK('Monthly_Data'!G515)=ISBLANK(G859),0,1),1),IF('Monthly_Data'!H515=H859,IF(ISBLANK('Monthly_Data'!H515)=ISBLANK(H859),0,1),1))</x:f>
        <x:v>0</x:v>
      </x:c>
    </x:row>
    <x:row r="860" ht="23" customHeight="1">
      <x:c r="A860" s="2" t="str">
        <x:v>62044300_MA_202511_IMPORT</x:v>
      </x:c>
      <x:c r="B860" s="2" t="n">
        <x:v>202511</x:v>
      </x:c>
      <x:c r="C860" s="2" t="str">
        <x:v>62044300</x:v>
      </x:c>
      <x:c r="D860" s="2" t="str">
        <x:v>Morocco</x:v>
      </x:c>
      <x:c r="E860" s="2" t="n">
        <x:v>414746</x:v>
      </x:c>
      <x:c r="F860" s="2" t="n">
        <x:v>16702</x:v>
      </x:c>
      <x:c r="G860" s="2" t="str">
        <x:v>WITHIN_BAND</x:v>
      </x:c>
      <x:c r="H860" s="2" t="n">
        <x:v>1</x:v>
      </x:c>
      <x:c r="I860" s="2"/>
      <x:c r="J860" s="2"/>
      <x:c r="K860" s="2"/>
      <x:c r="L860" s="2" t="n">
        <x:f>SUM(IF('Monthly_Data'!A516=A860,IF(ISBLANK('Monthly_Data'!A516)=ISBLANK(A860),0,1),1),IF('Monthly_Data'!B516=B860,IF(ISBLANK('Monthly_Data'!B516)=ISBLANK(B860),0,1),1),IF('Monthly_Data'!C516=C860,IF(ISBLANK('Monthly_Data'!C516)=ISBLANK(C860),0,1),1),IF('Monthly_Data'!D516=D860,IF(ISBLANK('Monthly_Data'!D516)=ISBLANK(D860),0,1),1),IF('Monthly_Data'!E516=E860,IF(ISBLANK('Monthly_Data'!E516)=ISBLANK(E860),0,1),1),IF('Monthly_Data'!F516=F860,IF(ISBLANK('Monthly_Data'!F516)=ISBLANK(F860),0,1),1),IF('Monthly_Data'!G516=G860,IF(ISBLANK('Monthly_Data'!G516)=ISBLANK(G860),0,1),1),IF('Monthly_Data'!H516=H860,IF(ISBLANK('Monthly_Data'!H516)=ISBLANK(H860),0,1),1))</x:f>
        <x:v>0</x:v>
      </x:c>
    </x:row>
    <x:row r="861" ht="23" customHeight="1">
      <x:c r="A861" s="2" t="str">
        <x:v>62044300_MM_202511_IMPORT</x:v>
      </x:c>
      <x:c r="B861" s="2" t="n">
        <x:v>202511</x:v>
      </x:c>
      <x:c r="C861" s="2" t="str">
        <x:v>62044300</x:v>
      </x:c>
      <x:c r="D861" s="2" t="str">
        <x:v>Myanmar</x:v>
      </x:c>
      <x:c r="E861" s="2" t="n">
        <x:v>707696</x:v>
      </x:c>
      <x:c r="F861" s="2" t="n">
        <x:v>10946</x:v>
      </x:c>
      <x:c r="G861" s="2" t="str">
        <x:v>WITHIN_BAND</x:v>
      </x:c>
      <x:c r="H861" s="2" t="n">
        <x:v>1</x:v>
      </x:c>
      <x:c r="I861" s="2"/>
      <x:c r="J861" s="2"/>
      <x:c r="K861" s="2"/>
      <x:c r="L861" s="2" t="n">
        <x:f>SUM(IF('Monthly_Data'!A517=A861,IF(ISBLANK('Monthly_Data'!A517)=ISBLANK(A861),0,1),1),IF('Monthly_Data'!B517=B861,IF(ISBLANK('Monthly_Data'!B517)=ISBLANK(B861),0,1),1),IF('Monthly_Data'!C517=C861,IF(ISBLANK('Monthly_Data'!C517)=ISBLANK(C861),0,1),1),IF('Monthly_Data'!D517=D861,IF(ISBLANK('Monthly_Data'!D517)=ISBLANK(D861),0,1),1),IF('Monthly_Data'!E517=E861,IF(ISBLANK('Monthly_Data'!E517)=ISBLANK(E861),0,1),1),IF('Monthly_Data'!F517=F861,IF(ISBLANK('Monthly_Data'!F517)=ISBLANK(F861),0,1),1),IF('Monthly_Data'!G517=G861,IF(ISBLANK('Monthly_Data'!G517)=ISBLANK(G861),0,1),1),IF('Monthly_Data'!H517=H861,IF(ISBLANK('Monthly_Data'!H517)=ISBLANK(H861),0,1),1))</x:f>
        <x:v>0</x:v>
      </x:c>
    </x:row>
    <x:row r="862" ht="23" customHeight="1">
      <x:c r="A862" s="2" t="str">
        <x:v>62044300_PK_202511_IMPORT</x:v>
      </x:c>
      <x:c r="B862" s="2" t="n">
        <x:v>202511</x:v>
      </x:c>
      <x:c r="C862" s="2" t="str">
        <x:v>62044300</x:v>
      </x:c>
      <x:c r="D862" s="2" t="str">
        <x:v>Pakistan</x:v>
      </x:c>
      <x:c r="E862" s="2" t="n">
        <x:v>143418</x:v>
      </x:c>
      <x:c r="F862" s="2" t="n">
        <x:v>10184</x:v>
      </x:c>
      <x:c r="G862" s="2" t="str">
        <x:v>WITHIN_BAND</x:v>
      </x:c>
      <x:c r="H862" s="2" t="n">
        <x:v>1</x:v>
      </x:c>
      <x:c r="I862" s="2"/>
      <x:c r="J862" s="2"/>
      <x:c r="K862" s="2"/>
      <x:c r="L862" s="2" t="n">
        <x:f>SUM(IF('Monthly_Data'!A518=A862,IF(ISBLANK('Monthly_Data'!A518)=ISBLANK(A862),0,1),1),IF('Monthly_Data'!B518=B862,IF(ISBLANK('Monthly_Data'!B518)=ISBLANK(B862),0,1),1),IF('Monthly_Data'!C518=C862,IF(ISBLANK('Monthly_Data'!C518)=ISBLANK(C862),0,1),1),IF('Monthly_Data'!D518=D862,IF(ISBLANK('Monthly_Data'!D518)=ISBLANK(D862),0,1),1),IF('Monthly_Data'!E518=E862,IF(ISBLANK('Monthly_Data'!E518)=ISBLANK(E862),0,1),1),IF('Monthly_Data'!F518=F862,IF(ISBLANK('Monthly_Data'!F518)=ISBLANK(F862),0,1),1),IF('Monthly_Data'!G518=G862,IF(ISBLANK('Monthly_Data'!G518)=ISBLANK(G862),0,1),1),IF('Monthly_Data'!H518=H862,IF(ISBLANK('Monthly_Data'!H518)=ISBLANK(H862),0,1),1))</x:f>
        <x:v>0</x:v>
      </x:c>
    </x:row>
    <x:row r="863" ht="23" customHeight="1">
      <x:c r="A863" s="2" t="str">
        <x:v>62044300_LK_202511_IMPORT</x:v>
      </x:c>
      <x:c r="B863" s="2" t="n">
        <x:v>202511</x:v>
      </x:c>
      <x:c r="C863" s="2" t="str">
        <x:v>62044300</x:v>
      </x:c>
      <x:c r="D863" s="2" t="str">
        <x:v>Sri Lanka</x:v>
      </x:c>
      <x:c r="E863" s="2" t="n">
        <x:v>548287</x:v>
      </x:c>
      <x:c r="F863" s="2" t="n">
        <x:v>24422</x:v>
      </x:c>
      <x:c r="G863" s="2" t="str">
        <x:v>WITHIN_BAND</x:v>
      </x:c>
      <x:c r="H863" s="2" t="n">
        <x:v>1</x:v>
      </x:c>
      <x:c r="I863" s="2"/>
      <x:c r="J863" s="2"/>
      <x:c r="K863" s="2"/>
      <x:c r="L863" s="2" t="n">
        <x:f>SUM(IF('Monthly_Data'!A519=A863,IF(ISBLANK('Monthly_Data'!A519)=ISBLANK(A863),0,1),1),IF('Monthly_Data'!B519=B863,IF(ISBLANK('Monthly_Data'!B519)=ISBLANK(B863),0,1),1),IF('Monthly_Data'!C519=C863,IF(ISBLANK('Monthly_Data'!C519)=ISBLANK(C863),0,1),1),IF('Monthly_Data'!D519=D863,IF(ISBLANK('Monthly_Data'!D519)=ISBLANK(D863),0,1),1),IF('Monthly_Data'!E519=E863,IF(ISBLANK('Monthly_Data'!E519)=ISBLANK(E863),0,1),1),IF('Monthly_Data'!F519=F863,IF(ISBLANK('Monthly_Data'!F519)=ISBLANK(F863),0,1),1),IF('Monthly_Data'!G519=G863,IF(ISBLANK('Monthly_Data'!G519)=ISBLANK(G863),0,1),1),IF('Monthly_Data'!H519=H863,IF(ISBLANK('Monthly_Data'!H519)=ISBLANK(H863),0,1),1))</x:f>
        <x:v>0</x:v>
      </x:c>
    </x:row>
    <x:row r="864" ht="23" customHeight="1">
      <x:c r="A864" s="2" t="str">
        <x:v>62044300_TR_202511_IMPORT</x:v>
      </x:c>
      <x:c r="B864" s="2" t="n">
        <x:v>202511</x:v>
      </x:c>
      <x:c r="C864" s="2" t="str">
        <x:v>62044300</x:v>
      </x:c>
      <x:c r="D864" s="2" t="str">
        <x:v>Turkey</x:v>
      </x:c>
      <x:c r="E864" s="2" t="n">
        <x:v>650121</x:v>
      </x:c>
      <x:c r="F864" s="2" t="n">
        <x:v>19390</x:v>
      </x:c>
      <x:c r="G864" s="2" t="str">
        <x:v>WITHIN_BAND</x:v>
      </x:c>
      <x:c r="H864" s="2" t="n">
        <x:v>1</x:v>
      </x:c>
      <x:c r="I864" s="2"/>
      <x:c r="J864" s="2"/>
      <x:c r="K864" s="2"/>
      <x:c r="L864" s="2" t="n">
        <x:f>SUM(IF('Monthly_Data'!A520=A864,IF(ISBLANK('Monthly_Data'!A520)=ISBLANK(A864),0,1),1),IF('Monthly_Data'!B520=B864,IF(ISBLANK('Monthly_Data'!B520)=ISBLANK(B864),0,1),1),IF('Monthly_Data'!C520=C864,IF(ISBLANK('Monthly_Data'!C520)=ISBLANK(C864),0,1),1),IF('Monthly_Data'!D520=D864,IF(ISBLANK('Monthly_Data'!D520)=ISBLANK(D864),0,1),1),IF('Monthly_Data'!E520=E864,IF(ISBLANK('Monthly_Data'!E520)=ISBLANK(E864),0,1),1),IF('Monthly_Data'!F520=F864,IF(ISBLANK('Monthly_Data'!F520)=ISBLANK(F864),0,1),1),IF('Monthly_Data'!G520=G864,IF(ISBLANK('Monthly_Data'!G520)=ISBLANK(G864),0,1),1),IF('Monthly_Data'!H520=H864,IF(ISBLANK('Monthly_Data'!H520)=ISBLANK(H864),0,1),1))</x:f>
        <x:v>0</x:v>
      </x:c>
    </x:row>
    <x:row r="865" ht="23" customHeight="1">
      <x:c r="A865" s="2" t="str">
        <x:v>62044300_VN_202511_IMPORT</x:v>
      </x:c>
      <x:c r="B865" s="2" t="n">
        <x:v>202511</x:v>
      </x:c>
      <x:c r="C865" s="2" t="str">
        <x:v>62044300</x:v>
      </x:c>
      <x:c r="D865" s="2" t="str">
        <x:v>Vietnam</x:v>
      </x:c>
      <x:c r="E865" s="2" t="n">
        <x:v>397783</x:v>
      </x:c>
      <x:c r="F865" s="2" t="n">
        <x:v>13972</x:v>
      </x:c>
      <x:c r="G865" s="2" t="str">
        <x:v>WITHIN_BAND</x:v>
      </x:c>
      <x:c r="H865" s="2" t="n">
        <x:v>1</x:v>
      </x:c>
      <x:c r="I865" s="2"/>
      <x:c r="J865" s="2"/>
      <x:c r="K865" s="2"/>
      <x:c r="L865" s="2" t="n">
        <x:f>SUM(IF('Monthly_Data'!A521=A865,IF(ISBLANK('Monthly_Data'!A521)=ISBLANK(A865),0,1),1),IF('Monthly_Data'!B521=B865,IF(ISBLANK('Monthly_Data'!B521)=ISBLANK(B865),0,1),1),IF('Monthly_Data'!C521=C865,IF(ISBLANK('Monthly_Data'!C521)=ISBLANK(C865),0,1),1),IF('Monthly_Data'!D521=D865,IF(ISBLANK('Monthly_Data'!D521)=ISBLANK(D865),0,1),1),IF('Monthly_Data'!E521=E865,IF(ISBLANK('Monthly_Data'!E521)=ISBLANK(E865),0,1),1),IF('Monthly_Data'!F521=F865,IF(ISBLANK('Monthly_Data'!F521)=ISBLANK(F865),0,1),1),IF('Monthly_Data'!G521=G865,IF(ISBLANK('Monthly_Data'!G521)=ISBLANK(G865),0,1),1),IF('Monthly_Data'!H521=H865,IF(ISBLANK('Monthly_Data'!H521)=ISBLANK(H865),0,1),1))</x:f>
        <x:v>0</x:v>
      </x:c>
    </x:row>
    <x:row r="866" ht="23" customHeight="1">
      <x:c r="A866" s="2" t="str">
        <x:v>62044300_WORLD_202511_IMPORT</x:v>
      </x:c>
      <x:c r="B866" s="2" t="n">
        <x:v>202511</x:v>
      </x:c>
      <x:c r="C866" s="2" t="str">
        <x:v>62044300</x:v>
      </x:c>
      <x:c r="D866" s="2" t="str">
        <x:v>World</x:v>
      </x:c>
      <x:c r="E866" s="2" t="n">
        <x:v>27432638</x:v>
      </x:c>
      <x:c r="F866" s="2" t="n">
        <x:v>674388</x:v>
      </x:c>
      <x:c r="G866" s="2" t="str">
        <x:v>WITHIN_BAND</x:v>
      </x:c>
      <x:c r="H866" s="2" t="n">
        <x:v>1</x:v>
      </x:c>
      <x:c r="I866" s="2"/>
      <x:c r="J866" s="2"/>
      <x:c r="K866" s="2"/>
      <x:c r="L866" s="2" t="n">
        <x:f>SUM(IF('Monthly_Data'!A522=A866,IF(ISBLANK('Monthly_Data'!A522)=ISBLANK(A866),0,1),1),IF('Monthly_Data'!B522=B866,IF(ISBLANK('Monthly_Data'!B522)=ISBLANK(B866),0,1),1),IF('Monthly_Data'!C522=C866,IF(ISBLANK('Monthly_Data'!C522)=ISBLANK(C866),0,1),1),IF('Monthly_Data'!D522=D866,IF(ISBLANK('Monthly_Data'!D522)=ISBLANK(D866),0,1),1),IF('Monthly_Data'!E522=E866,IF(ISBLANK('Monthly_Data'!E522)=ISBLANK(E866),0,1),1),IF('Monthly_Data'!F522=F866,IF(ISBLANK('Monthly_Data'!F522)=ISBLANK(F866),0,1),1),IF('Monthly_Data'!G522=G866,IF(ISBLANK('Monthly_Data'!G522)=ISBLANK(G866),0,1),1),IF('Monthly_Data'!H522=H866,IF(ISBLANK('Monthly_Data'!H522)=ISBLANK(H866),0,1),1))</x:f>
        <x:v>0</x:v>
      </x:c>
    </x:row>
    <x:row r="867" ht="23" customHeight="1">
      <x:c r="A867" s="2" t="str">
        <x:v>62044300_BD_202512_IMPORT</x:v>
      </x:c>
      <x:c r="B867" s="2" t="n">
        <x:v>202512</x:v>
      </x:c>
      <x:c r="C867" s="2" t="str">
        <x:v>62044300</x:v>
      </x:c>
      <x:c r="D867" s="2" t="str">
        <x:v>Bangladesh</x:v>
      </x:c>
      <x:c r="E867" s="2" t="n">
        <x:v>551183</x:v>
      </x:c>
      <x:c r="F867" s="2" t="n">
        <x:v>32756</x:v>
      </x:c>
      <x:c r="G867" s="2" t="str">
        <x:v>WITHIN_BAND</x:v>
      </x:c>
      <x:c r="H867" s="2" t="n">
        <x:v>1</x:v>
      </x:c>
      <x:c r="I867" s="2"/>
      <x:c r="J867" s="2"/>
      <x:c r="K867" s="2"/>
      <x:c r="L867" s="2" t="n">
        <x:f>SUM(IF('Monthly_Data'!A523=A867,IF(ISBLANK('Monthly_Data'!A523)=ISBLANK(A867),0,1),1),IF('Monthly_Data'!B523=B867,IF(ISBLANK('Monthly_Data'!B523)=ISBLANK(B867),0,1),1),IF('Monthly_Data'!C523=C867,IF(ISBLANK('Monthly_Data'!C523)=ISBLANK(C867),0,1),1),IF('Monthly_Data'!D523=D867,IF(ISBLANK('Monthly_Data'!D523)=ISBLANK(D867),0,1),1),IF('Monthly_Data'!E523=E867,IF(ISBLANK('Monthly_Data'!E523)=ISBLANK(E867),0,1),1),IF('Monthly_Data'!F523=F867,IF(ISBLANK('Monthly_Data'!F523)=ISBLANK(F867),0,1),1),IF('Monthly_Data'!G523=G867,IF(ISBLANK('Monthly_Data'!G523)=ISBLANK(G867),0,1),1),IF('Monthly_Data'!H523=H867,IF(ISBLANK('Monthly_Data'!H523)=ISBLANK(H867),0,1),1))</x:f>
        <x:v>0</x:v>
      </x:c>
    </x:row>
    <x:row r="868" ht="23" customHeight="1">
      <x:c r="A868" s="2" t="str">
        <x:v>62044300_KH_202512_IMPORT</x:v>
      </x:c>
      <x:c r="B868" s="2" t="n">
        <x:v>202512</x:v>
      </x:c>
      <x:c r="C868" s="2" t="str">
        <x:v>62044300</x:v>
      </x:c>
      <x:c r="D868" s="2" t="str">
        <x:v>Cambodia</x:v>
      </x:c>
      <x:c r="E868" s="2" t="n">
        <x:v>44231</x:v>
      </x:c>
      <x:c r="F868" s="2" t="n">
        <x:v>1886</x:v>
      </x:c>
      <x:c r="G868" s="2" t="str">
        <x:v>WITHIN_BAND</x:v>
      </x:c>
      <x:c r="H868" s="2" t="n">
        <x:v>1</x:v>
      </x:c>
      <x:c r="I868" s="2"/>
      <x:c r="J868" s="2"/>
      <x:c r="K868" s="2"/>
      <x:c r="L868" s="2" t="n">
        <x:f>SUM(IF('Monthly_Data'!A524=A868,IF(ISBLANK('Monthly_Data'!A524)=ISBLANK(A868),0,1),1),IF('Monthly_Data'!B524=B868,IF(ISBLANK('Monthly_Data'!B524)=ISBLANK(B868),0,1),1),IF('Monthly_Data'!C524=C868,IF(ISBLANK('Monthly_Data'!C524)=ISBLANK(C868),0,1),1),IF('Monthly_Data'!D524=D868,IF(ISBLANK('Monthly_Data'!D524)=ISBLANK(D868),0,1),1),IF('Monthly_Data'!E524=E868,IF(ISBLANK('Monthly_Data'!E524)=ISBLANK(E868),0,1),1),IF('Monthly_Data'!F524=F868,IF(ISBLANK('Monthly_Data'!F524)=ISBLANK(F868),0,1),1),IF('Monthly_Data'!G524=G868,IF(ISBLANK('Monthly_Data'!G524)=ISBLANK(G868),0,1),1),IF('Monthly_Data'!H524=H868,IF(ISBLANK('Monthly_Data'!H524)=ISBLANK(H868),0,1),1))</x:f>
        <x:v>0</x:v>
      </x:c>
    </x:row>
    <x:row r="869" ht="23" customHeight="1">
      <x:c r="A869" s="2" t="str">
        <x:v>62044300_CN_202512_IMPORT</x:v>
      </x:c>
      <x:c r="B869" s="2" t="n">
        <x:v>202512</x:v>
      </x:c>
      <x:c r="C869" s="2" t="str">
        <x:v>62044300</x:v>
      </x:c>
      <x:c r="D869" s="2" t="str">
        <x:v>China</x:v>
      </x:c>
      <x:c r="E869" s="2" t="n">
        <x:v>7773519</x:v>
      </x:c>
      <x:c r="F869" s="2" t="n">
        <x:v>279783</x:v>
      </x:c>
      <x:c r="G869" s="2" t="str">
        <x:v>WITHIN_BAND</x:v>
      </x:c>
      <x:c r="H869" s="2" t="n">
        <x:v>1</x:v>
      </x:c>
      <x:c r="I869" s="2"/>
      <x:c r="J869" s="2"/>
      <x:c r="K869" s="2"/>
      <x:c r="L869" s="2" t="n">
        <x:f>SUM(IF('Monthly_Data'!A525=A869,IF(ISBLANK('Monthly_Data'!A525)=ISBLANK(A869),0,1),1),IF('Monthly_Data'!B525=B869,IF(ISBLANK('Monthly_Data'!B525)=ISBLANK(B869),0,1),1),IF('Monthly_Data'!C525=C869,IF(ISBLANK('Monthly_Data'!C525)=ISBLANK(C869),0,1),1),IF('Monthly_Data'!D525=D869,IF(ISBLANK('Monthly_Data'!D525)=ISBLANK(D869),0,1),1),IF('Monthly_Data'!E525=E869,IF(ISBLANK('Monthly_Data'!E525)=ISBLANK(E869),0,1),1),IF('Monthly_Data'!F525=F869,IF(ISBLANK('Monthly_Data'!F525)=ISBLANK(F869),0,1),1),IF('Monthly_Data'!G525=G869,IF(ISBLANK('Monthly_Data'!G525)=ISBLANK(G869),0,1),1),IF('Monthly_Data'!H525=H869,IF(ISBLANK('Monthly_Data'!H525)=ISBLANK(H869),0,1),1))</x:f>
        <x:v>0</x:v>
      </x:c>
    </x:row>
    <x:row r="870" ht="23" customHeight="1">
      <x:c r="A870" s="2" t="str">
        <x:v>62044300_IN_202512_IMPORT</x:v>
      </x:c>
      <x:c r="B870" s="2" t="n">
        <x:v>202512</x:v>
      </x:c>
      <x:c r="C870" s="2" t="str">
        <x:v>62044300</x:v>
      </x:c>
      <x:c r="D870" s="2" t="str">
        <x:v>India</x:v>
      </x:c>
      <x:c r="E870" s="2" t="n">
        <x:v>1823559</x:v>
      </x:c>
      <x:c r="F870" s="2" t="n">
        <x:v>57167</x:v>
      </x:c>
      <x:c r="G870" s="2" t="str">
        <x:v>WITHIN_BAND</x:v>
      </x:c>
      <x:c r="H870" s="2" t="n">
        <x:v>1</x:v>
      </x:c>
      <x:c r="I870" s="2"/>
      <x:c r="J870" s="2"/>
      <x:c r="K870" s="2"/>
      <x:c r="L870" s="2" t="n">
        <x:f>SUM(IF('Monthly_Data'!A526=A870,IF(ISBLANK('Monthly_Data'!A526)=ISBLANK(A870),0,1),1),IF('Monthly_Data'!B526=B870,IF(ISBLANK('Monthly_Data'!B526)=ISBLANK(B870),0,1),1),IF('Monthly_Data'!C526=C870,IF(ISBLANK('Monthly_Data'!C526)=ISBLANK(C870),0,1),1),IF('Monthly_Data'!D526=D870,IF(ISBLANK('Monthly_Data'!D526)=ISBLANK(D870),0,1),1),IF('Monthly_Data'!E526=E870,IF(ISBLANK('Monthly_Data'!E526)=ISBLANK(E870),0,1),1),IF('Monthly_Data'!F526=F870,IF(ISBLANK('Monthly_Data'!F526)=ISBLANK(F870),0,1),1),IF('Monthly_Data'!G526=G870,IF(ISBLANK('Monthly_Data'!G526)=ISBLANK(G870),0,1),1),IF('Monthly_Data'!H526=H870,IF(ISBLANK('Monthly_Data'!H526)=ISBLANK(H870),0,1),1))</x:f>
        <x:v>0</x:v>
      </x:c>
    </x:row>
    <x:row r="871" ht="23" customHeight="1">
      <x:c r="A871" s="2" t="str">
        <x:v>62044300_MA_202512_IMPORT</x:v>
      </x:c>
      <x:c r="B871" s="2" t="n">
        <x:v>202512</x:v>
      </x:c>
      <x:c r="C871" s="2" t="str">
        <x:v>62044300</x:v>
      </x:c>
      <x:c r="D871" s="2" t="str">
        <x:v>Morocco</x:v>
      </x:c>
      <x:c r="E871" s="2" t="n">
        <x:v>603858</x:v>
      </x:c>
      <x:c r="F871" s="2" t="n">
        <x:v>22614</x:v>
      </x:c>
      <x:c r="G871" s="2" t="str">
        <x:v>WITHIN_BAND</x:v>
      </x:c>
      <x:c r="H871" s="2" t="n">
        <x:v>1</x:v>
      </x:c>
      <x:c r="I871" s="2"/>
      <x:c r="J871" s="2"/>
      <x:c r="K871" s="2"/>
      <x:c r="L871" s="2" t="n">
        <x:f>SUM(IF('Monthly_Data'!A527=A871,IF(ISBLANK('Monthly_Data'!A527)=ISBLANK(A871),0,1),1),IF('Monthly_Data'!B527=B871,IF(ISBLANK('Monthly_Data'!B527)=ISBLANK(B871),0,1),1),IF('Monthly_Data'!C527=C871,IF(ISBLANK('Monthly_Data'!C527)=ISBLANK(C871),0,1),1),IF('Monthly_Data'!D527=D871,IF(ISBLANK('Monthly_Data'!D527)=ISBLANK(D871),0,1),1),IF('Monthly_Data'!E527=E871,IF(ISBLANK('Monthly_Data'!E527)=ISBLANK(E871),0,1),1),IF('Monthly_Data'!F527=F871,IF(ISBLANK('Monthly_Data'!F527)=ISBLANK(F871),0,1),1),IF('Monthly_Data'!G527=G871,IF(ISBLANK('Monthly_Data'!G527)=ISBLANK(G871),0,1),1),IF('Monthly_Data'!H527=H871,IF(ISBLANK('Monthly_Data'!H527)=ISBLANK(H871),0,1),1))</x:f>
        <x:v>0</x:v>
      </x:c>
    </x:row>
    <x:row r="872" ht="23" customHeight="1">
      <x:c r="A872" s="2" t="str">
        <x:v>62044300_MM_202512_IMPORT</x:v>
      </x:c>
      <x:c r="B872" s="2" t="n">
        <x:v>202512</x:v>
      </x:c>
      <x:c r="C872" s="2" t="str">
        <x:v>62044300</x:v>
      </x:c>
      <x:c r="D872" s="2" t="str">
        <x:v>Myanmar</x:v>
      </x:c>
      <x:c r="E872" s="2" t="n">
        <x:v>651035</x:v>
      </x:c>
      <x:c r="F872" s="2" t="n">
        <x:v>10269</x:v>
      </x:c>
      <x:c r="G872" s="2" t="str">
        <x:v>WITHIN_BAND</x:v>
      </x:c>
      <x:c r="H872" s="2" t="n">
        <x:v>1</x:v>
      </x:c>
      <x:c r="I872" s="2"/>
      <x:c r="J872" s="2"/>
      <x:c r="K872" s="2"/>
      <x:c r="L872" s="2" t="n">
        <x:f>SUM(IF('Monthly_Data'!A528=A872,IF(ISBLANK('Monthly_Data'!A528)=ISBLANK(A872),0,1),1),IF('Monthly_Data'!B528=B872,IF(ISBLANK('Monthly_Data'!B528)=ISBLANK(B872),0,1),1),IF('Monthly_Data'!C528=C872,IF(ISBLANK('Monthly_Data'!C528)=ISBLANK(C872),0,1),1),IF('Monthly_Data'!D528=D872,IF(ISBLANK('Monthly_Data'!D528)=ISBLANK(D872),0,1),1),IF('Monthly_Data'!E528=E872,IF(ISBLANK('Monthly_Data'!E528)=ISBLANK(E872),0,1),1),IF('Monthly_Data'!F528=F872,IF(ISBLANK('Monthly_Data'!F528)=ISBLANK(F872),0,1),1),IF('Monthly_Data'!G528=G872,IF(ISBLANK('Monthly_Data'!G528)=ISBLANK(G872),0,1),1),IF('Monthly_Data'!H528=H872,IF(ISBLANK('Monthly_Data'!H528)=ISBLANK(H872),0,1),1))</x:f>
        <x:v>0</x:v>
      </x:c>
    </x:row>
    <x:row r="873" ht="23" customHeight="1">
      <x:c r="A873" s="2" t="str">
        <x:v>62044300_PK_202512_IMPORT</x:v>
      </x:c>
      <x:c r="B873" s="2" t="n">
        <x:v>202512</x:v>
      </x:c>
      <x:c r="C873" s="2" t="str">
        <x:v>62044300</x:v>
      </x:c>
      <x:c r="D873" s="2" t="str">
        <x:v>Pakistan</x:v>
      </x:c>
      <x:c r="E873" s="2" t="n">
        <x:v>39974</x:v>
      </x:c>
      <x:c r="F873" s="2" t="n">
        <x:v>1290</x:v>
      </x:c>
      <x:c r="G873" s="2" t="str">
        <x:v>WITHIN_BAND</x:v>
      </x:c>
      <x:c r="H873" s="2" t="n">
        <x:v>1</x:v>
      </x:c>
      <x:c r="I873" s="2"/>
      <x:c r="J873" s="2"/>
      <x:c r="K873" s="2"/>
      <x:c r="L873" s="2" t="n">
        <x:f>SUM(IF('Monthly_Data'!A529=A873,IF(ISBLANK('Monthly_Data'!A529)=ISBLANK(A873),0,1),1),IF('Monthly_Data'!B529=B873,IF(ISBLANK('Monthly_Data'!B529)=ISBLANK(B873),0,1),1),IF('Monthly_Data'!C529=C873,IF(ISBLANK('Monthly_Data'!C529)=ISBLANK(C873),0,1),1),IF('Monthly_Data'!D529=D873,IF(ISBLANK('Monthly_Data'!D529)=ISBLANK(D873),0,1),1),IF('Monthly_Data'!E529=E873,IF(ISBLANK('Monthly_Data'!E529)=ISBLANK(E873),0,1),1),IF('Monthly_Data'!F529=F873,IF(ISBLANK('Monthly_Data'!F529)=ISBLANK(F873),0,1),1),IF('Monthly_Data'!G529=G873,IF(ISBLANK('Monthly_Data'!G529)=ISBLANK(G873),0,1),1),IF('Monthly_Data'!H529=H873,IF(ISBLANK('Monthly_Data'!H529)=ISBLANK(H873),0,1),1))</x:f>
        <x:v>0</x:v>
      </x:c>
    </x:row>
    <x:row r="874" ht="23" customHeight="1">
      <x:c r="A874" s="2" t="str">
        <x:v>62044300_LK_202512_IMPORT</x:v>
      </x:c>
      <x:c r="B874" s="2" t="n">
        <x:v>202512</x:v>
      </x:c>
      <x:c r="C874" s="2" t="str">
        <x:v>62044300</x:v>
      </x:c>
      <x:c r="D874" s="2" t="str">
        <x:v>Sri Lanka</x:v>
      </x:c>
      <x:c r="E874" s="2" t="n">
        <x:v>306787</x:v>
      </x:c>
      <x:c r="F874" s="2" t="n">
        <x:v>15388</x:v>
      </x:c>
      <x:c r="G874" s="2" t="str">
        <x:v>WITHIN_BAND</x:v>
      </x:c>
      <x:c r="H874" s="2" t="n">
        <x:v>1</x:v>
      </x:c>
      <x:c r="I874" s="2"/>
      <x:c r="J874" s="2"/>
      <x:c r="K874" s="2"/>
      <x:c r="L874" s="2" t="n">
        <x:f>SUM(IF('Monthly_Data'!A530=A874,IF(ISBLANK('Monthly_Data'!A530)=ISBLANK(A874),0,1),1),IF('Monthly_Data'!B530=B874,IF(ISBLANK('Monthly_Data'!B530)=ISBLANK(B874),0,1),1),IF('Monthly_Data'!C530=C874,IF(ISBLANK('Monthly_Data'!C530)=ISBLANK(C874),0,1),1),IF('Monthly_Data'!D530=D874,IF(ISBLANK('Monthly_Data'!D530)=ISBLANK(D874),0,1),1),IF('Monthly_Data'!E530=E874,IF(ISBLANK('Monthly_Data'!E530)=ISBLANK(E874),0,1),1),IF('Monthly_Data'!F530=F874,IF(ISBLANK('Monthly_Data'!F530)=ISBLANK(F874),0,1),1),IF('Monthly_Data'!G530=G874,IF(ISBLANK('Monthly_Data'!G530)=ISBLANK(G874),0,1),1),IF('Monthly_Data'!H530=H874,IF(ISBLANK('Monthly_Data'!H530)=ISBLANK(H874),0,1),1))</x:f>
        <x:v>0</x:v>
      </x:c>
    </x:row>
    <x:row r="875" ht="23" customHeight="1">
      <x:c r="A875" s="2" t="str">
        <x:v>62044300_TR_202512_IMPORT</x:v>
      </x:c>
      <x:c r="B875" s="2" t="n">
        <x:v>202512</x:v>
      </x:c>
      <x:c r="C875" s="2" t="str">
        <x:v>62044300</x:v>
      </x:c>
      <x:c r="D875" s="2" t="str">
        <x:v>Turkey</x:v>
      </x:c>
      <x:c r="E875" s="2" t="n">
        <x:v>454511</x:v>
      </x:c>
      <x:c r="F875" s="2" t="n">
        <x:v>13207</x:v>
      </x:c>
      <x:c r="G875" s="2" t="str">
        <x:v>WITHIN_BAND</x:v>
      </x:c>
      <x:c r="H875" s="2" t="n">
        <x:v>1</x:v>
      </x:c>
      <x:c r="I875" s="2"/>
      <x:c r="J875" s="2"/>
      <x:c r="K875" s="2"/>
      <x:c r="L875" s="2" t="n">
        <x:f>SUM(IF('Monthly_Data'!A531=A875,IF(ISBLANK('Monthly_Data'!A531)=ISBLANK(A875),0,1),1),IF('Monthly_Data'!B531=B875,IF(ISBLANK('Monthly_Data'!B531)=ISBLANK(B875),0,1),1),IF('Monthly_Data'!C531=C875,IF(ISBLANK('Monthly_Data'!C531)=ISBLANK(C875),0,1),1),IF('Monthly_Data'!D531=D875,IF(ISBLANK('Monthly_Data'!D531)=ISBLANK(D875),0,1),1),IF('Monthly_Data'!E531=E875,IF(ISBLANK('Monthly_Data'!E531)=ISBLANK(E875),0,1),1),IF('Monthly_Data'!F531=F875,IF(ISBLANK('Monthly_Data'!F531)=ISBLANK(F875),0,1),1),IF('Monthly_Data'!G531=G875,IF(ISBLANK('Monthly_Data'!G531)=ISBLANK(G875),0,1),1),IF('Monthly_Data'!H531=H875,IF(ISBLANK('Monthly_Data'!H531)=ISBLANK(H875),0,1),1))</x:f>
        <x:v>0</x:v>
      </x:c>
    </x:row>
    <x:row r="876" ht="23" customHeight="1">
      <x:c r="A876" s="2" t="str">
        <x:v>62044300_VN_202512_IMPORT</x:v>
      </x:c>
      <x:c r="B876" s="2" t="n">
        <x:v>202512</x:v>
      </x:c>
      <x:c r="C876" s="2" t="str">
        <x:v>62044300</x:v>
      </x:c>
      <x:c r="D876" s="2" t="str">
        <x:v>Vietnam</x:v>
      </x:c>
      <x:c r="E876" s="2" t="n">
        <x:v>505566</x:v>
      </x:c>
      <x:c r="F876" s="2" t="n">
        <x:v>16957</x:v>
      </x:c>
      <x:c r="G876" s="2" t="str">
        <x:v>WITHIN_BAND</x:v>
      </x:c>
      <x:c r="H876" s="2" t="n">
        <x:v>1</x:v>
      </x:c>
      <x:c r="I876" s="2"/>
      <x:c r="J876" s="2"/>
      <x:c r="K876" s="2"/>
      <x:c r="L876" s="2" t="n">
        <x:f>SUM(IF('Monthly_Data'!A532=A876,IF(ISBLANK('Monthly_Data'!A532)=ISBLANK(A876),0,1),1),IF('Monthly_Data'!B532=B876,IF(ISBLANK('Monthly_Data'!B532)=ISBLANK(B876),0,1),1),IF('Monthly_Data'!C532=C876,IF(ISBLANK('Monthly_Data'!C532)=ISBLANK(C876),0,1),1),IF('Monthly_Data'!D532=D876,IF(ISBLANK('Monthly_Data'!D532)=ISBLANK(D876),0,1),1),IF('Monthly_Data'!E532=E876,IF(ISBLANK('Monthly_Data'!E532)=ISBLANK(E876),0,1),1),IF('Monthly_Data'!F532=F876,IF(ISBLANK('Monthly_Data'!F532)=ISBLANK(F876),0,1),1),IF('Monthly_Data'!G532=G876,IF(ISBLANK('Monthly_Data'!G532)=ISBLANK(G876),0,1),1),IF('Monthly_Data'!H532=H876,IF(ISBLANK('Monthly_Data'!H532)=ISBLANK(H876),0,1),1))</x:f>
        <x:v>0</x:v>
      </x:c>
    </x:row>
    <x:row r="877" ht="23" customHeight="1">
      <x:c r="A877" s="2" t="str">
        <x:v>62044300_WORLD_202512_IMPORT</x:v>
      </x:c>
      <x:c r="B877" s="2" t="n">
        <x:v>202512</x:v>
      </x:c>
      <x:c r="C877" s="2" t="str">
        <x:v>62044300</x:v>
      </x:c>
      <x:c r="D877" s="2" t="str">
        <x:v>World</x:v>
      </x:c>
      <x:c r="E877" s="2" t="n">
        <x:v>26718903</x:v>
      </x:c>
      <x:c r="F877" s="2" t="n">
        <x:v>613645</x:v>
      </x:c>
      <x:c r="G877" s="2" t="str">
        <x:v>WITHIN_BAND</x:v>
      </x:c>
      <x:c r="H877" s="2" t="n">
        <x:v>1</x:v>
      </x:c>
      <x:c r="I877" s="2"/>
      <x:c r="J877" s="2"/>
      <x:c r="K877" s="2"/>
      <x:c r="L877" s="2" t="n">
        <x:f>SUM(IF('Monthly_Data'!A533=A877,IF(ISBLANK('Monthly_Data'!A533)=ISBLANK(A877),0,1),1),IF('Monthly_Data'!B533=B877,IF(ISBLANK('Monthly_Data'!B533)=ISBLANK(B877),0,1),1),IF('Monthly_Data'!C533=C877,IF(ISBLANK('Monthly_Data'!C533)=ISBLANK(C877),0,1),1),IF('Monthly_Data'!D533=D877,IF(ISBLANK('Monthly_Data'!D533)=ISBLANK(D877),0,1),1),IF('Monthly_Data'!E533=E877,IF(ISBLANK('Monthly_Data'!E533)=ISBLANK(E877),0,1),1),IF('Monthly_Data'!F533=F877,IF(ISBLANK('Monthly_Data'!F533)=ISBLANK(F877),0,1),1),IF('Monthly_Data'!G533=G877,IF(ISBLANK('Monthly_Data'!G533)=ISBLANK(G877),0,1),1),IF('Monthly_Data'!H533=H877,IF(ISBLANK('Monthly_Data'!H533)=ISBLANK(H877),0,1),1))</x:f>
        <x:v>0</x:v>
      </x:c>
    </x:row>
    <x:row r="878" ht="23" customHeight="1">
      <x:c r="A878" s="2" t="str">
        <x:v>62044300_BD_202601_IMPORT</x:v>
      </x:c>
      <x:c r="B878" s="2" t="n">
        <x:v>202601</x:v>
      </x:c>
      <x:c r="C878" s="2" t="str">
        <x:v>62044300</x:v>
      </x:c>
      <x:c r="D878" s="2" t="str">
        <x:v>Bangladesh</x:v>
      </x:c>
      <x:c r="E878" s="2" t="n">
        <x:v>714993</x:v>
      </x:c>
      <x:c r="F878" s="2" t="n">
        <x:v>48484</x:v>
      </x:c>
      <x:c r="G878" s="2" t="str">
        <x:v>WITHIN_BAND</x:v>
      </x:c>
      <x:c r="H878" s="2" t="n">
        <x:v>1</x:v>
      </x:c>
      <x:c r="I878" s="2"/>
      <x:c r="J878" s="2"/>
      <x:c r="K878" s="2"/>
      <x:c r="L878" s="2" t="n">
        <x:f>SUM(IF('Monthly_Data'!A534=A878,IF(ISBLANK('Monthly_Data'!A534)=ISBLANK(A878),0,1),1),IF('Monthly_Data'!B534=B878,IF(ISBLANK('Monthly_Data'!B534)=ISBLANK(B878),0,1),1),IF('Monthly_Data'!C534=C878,IF(ISBLANK('Monthly_Data'!C534)=ISBLANK(C878),0,1),1),IF('Monthly_Data'!D534=D878,IF(ISBLANK('Monthly_Data'!D534)=ISBLANK(D878),0,1),1),IF('Monthly_Data'!E534=E878,IF(ISBLANK('Monthly_Data'!E534)=ISBLANK(E878),0,1),1),IF('Monthly_Data'!F534=F878,IF(ISBLANK('Monthly_Data'!F534)=ISBLANK(F878),0,1),1),IF('Monthly_Data'!G534=G878,IF(ISBLANK('Monthly_Data'!G534)=ISBLANK(G878),0,1),1),IF('Monthly_Data'!H534=H878,IF(ISBLANK('Monthly_Data'!H534)=ISBLANK(H878),0,1),1))</x:f>
        <x:v>0</x:v>
      </x:c>
    </x:row>
    <x:row r="879" ht="23" customHeight="1">
      <x:c r="A879" s="2" t="str">
        <x:v>62044300_KH_202601_IMPORT</x:v>
      </x:c>
      <x:c r="B879" s="2" t="n">
        <x:v>202601</x:v>
      </x:c>
      <x:c r="C879" s="2" t="str">
        <x:v>62044300</x:v>
      </x:c>
      <x:c r="D879" s="2" t="str">
        <x:v>Cambodia</x:v>
      </x:c>
      <x:c r="E879" s="2" t="n">
        <x:v>93092</x:v>
      </x:c>
      <x:c r="F879" s="2" t="n">
        <x:v>4768</x:v>
      </x:c>
      <x:c r="G879" s="2" t="str">
        <x:v>WITHIN_BAND</x:v>
      </x:c>
      <x:c r="H879" s="2" t="n">
        <x:v>1</x:v>
      </x:c>
      <x:c r="I879" s="2"/>
      <x:c r="J879" s="2"/>
      <x:c r="K879" s="2"/>
      <x:c r="L879" s="2" t="n">
        <x:f>SUM(IF('Monthly_Data'!A535=A879,IF(ISBLANK('Monthly_Data'!A535)=ISBLANK(A879),0,1),1),IF('Monthly_Data'!B535=B879,IF(ISBLANK('Monthly_Data'!B535)=ISBLANK(B879),0,1),1),IF('Monthly_Data'!C535=C879,IF(ISBLANK('Monthly_Data'!C535)=ISBLANK(C879),0,1),1),IF('Monthly_Data'!D535=D879,IF(ISBLANK('Monthly_Data'!D535)=ISBLANK(D879),0,1),1),IF('Monthly_Data'!E535=E879,IF(ISBLANK('Monthly_Data'!E535)=ISBLANK(E879),0,1),1),IF('Monthly_Data'!F535=F879,IF(ISBLANK('Monthly_Data'!F535)=ISBLANK(F879),0,1),1),IF('Monthly_Data'!G535=G879,IF(ISBLANK('Monthly_Data'!G535)=ISBLANK(G879),0,1),1),IF('Monthly_Data'!H535=H879,IF(ISBLANK('Monthly_Data'!H535)=ISBLANK(H879),0,1),1))</x:f>
        <x:v>0</x:v>
      </x:c>
    </x:row>
    <x:row r="880" ht="23" customHeight="1">
      <x:c r="A880" s="2" t="str">
        <x:v>62044300_CN_202601_IMPORT</x:v>
      </x:c>
      <x:c r="B880" s="2" t="n">
        <x:v>202601</x:v>
      </x:c>
      <x:c r="C880" s="2" t="str">
        <x:v>62044300</x:v>
      </x:c>
      <x:c r="D880" s="2" t="str">
        <x:v>China</x:v>
      </x:c>
      <x:c r="E880" s="2" t="n">
        <x:v>9507364</x:v>
      </x:c>
      <x:c r="F880" s="2" t="n">
        <x:v>324155</x:v>
      </x:c>
      <x:c r="G880" s="2" t="str">
        <x:v>WITHIN_BAND</x:v>
      </x:c>
      <x:c r="H880" s="2" t="n">
        <x:v>1</x:v>
      </x:c>
      <x:c r="I880" s="2"/>
      <x:c r="J880" s="2"/>
      <x:c r="K880" s="2"/>
      <x:c r="L880" s="2" t="n">
        <x:f>SUM(IF('Monthly_Data'!A536=A880,IF(ISBLANK('Monthly_Data'!A536)=ISBLANK(A880),0,1),1),IF('Monthly_Data'!B536=B880,IF(ISBLANK('Monthly_Data'!B536)=ISBLANK(B880),0,1),1),IF('Monthly_Data'!C536=C880,IF(ISBLANK('Monthly_Data'!C536)=ISBLANK(C880),0,1),1),IF('Monthly_Data'!D536=D880,IF(ISBLANK('Monthly_Data'!D536)=ISBLANK(D880),0,1),1),IF('Monthly_Data'!E536=E880,IF(ISBLANK('Monthly_Data'!E536)=ISBLANK(E880),0,1),1),IF('Monthly_Data'!F536=F880,IF(ISBLANK('Monthly_Data'!F536)=ISBLANK(F880),0,1),1),IF('Monthly_Data'!G536=G880,IF(ISBLANK('Monthly_Data'!G536)=ISBLANK(G880),0,1),1),IF('Monthly_Data'!H536=H880,IF(ISBLANK('Monthly_Data'!H536)=ISBLANK(H880),0,1),1))</x:f>
        <x:v>0</x:v>
      </x:c>
    </x:row>
    <x:row r="881" ht="23" customHeight="1">
      <x:c r="A881" s="2" t="str">
        <x:v>62044300_IN_202601_IMPORT</x:v>
      </x:c>
      <x:c r="B881" s="2" t="n">
        <x:v>202601</x:v>
      </x:c>
      <x:c r="C881" s="2" t="str">
        <x:v>62044300</x:v>
      </x:c>
      <x:c r="D881" s="2" t="str">
        <x:v>India</x:v>
      </x:c>
      <x:c r="E881" s="2" t="n">
        <x:v>4740498</x:v>
      </x:c>
      <x:c r="F881" s="2" t="n">
        <x:v>137380</x:v>
      </x:c>
      <x:c r="G881" s="2" t="str">
        <x:v>WITHIN_BAND</x:v>
      </x:c>
      <x:c r="H881" s="2" t="n">
        <x:v>1</x:v>
      </x:c>
      <x:c r="I881" s="2"/>
      <x:c r="J881" s="2"/>
      <x:c r="K881" s="2"/>
      <x:c r="L881" s="2" t="n">
        <x:f>SUM(IF('Monthly_Data'!A537=A881,IF(ISBLANK('Monthly_Data'!A537)=ISBLANK(A881),0,1),1),IF('Monthly_Data'!B537=B881,IF(ISBLANK('Monthly_Data'!B537)=ISBLANK(B881),0,1),1),IF('Monthly_Data'!C537=C881,IF(ISBLANK('Monthly_Data'!C537)=ISBLANK(C881),0,1),1),IF('Monthly_Data'!D537=D881,IF(ISBLANK('Monthly_Data'!D537)=ISBLANK(D881),0,1),1),IF('Monthly_Data'!E537=E881,IF(ISBLANK('Monthly_Data'!E537)=ISBLANK(E881),0,1),1),IF('Monthly_Data'!F537=F881,IF(ISBLANK('Monthly_Data'!F537)=ISBLANK(F881),0,1),1),IF('Monthly_Data'!G537=G881,IF(ISBLANK('Monthly_Data'!G537)=ISBLANK(G881),0,1),1),IF('Monthly_Data'!H537=H881,IF(ISBLANK('Monthly_Data'!H537)=ISBLANK(H881),0,1),1))</x:f>
        <x:v>0</x:v>
      </x:c>
    </x:row>
    <x:row r="882" ht="23" customHeight="1">
      <x:c r="A882" s="2" t="str">
        <x:v>62044300_MA_202601_IMPORT</x:v>
      </x:c>
      <x:c r="B882" s="2" t="n">
        <x:v>202601</x:v>
      </x:c>
      <x:c r="C882" s="2" t="str">
        <x:v>62044300</x:v>
      </x:c>
      <x:c r="D882" s="2" t="str">
        <x:v>Morocco</x:v>
      </x:c>
      <x:c r="E882" s="2" t="n">
        <x:v>458486</x:v>
      </x:c>
      <x:c r="F882" s="2" t="n">
        <x:v>18391</x:v>
      </x:c>
      <x:c r="G882" s="2" t="str">
        <x:v>WITHIN_BAND</x:v>
      </x:c>
      <x:c r="H882" s="2" t="n">
        <x:v>1</x:v>
      </x:c>
      <x:c r="I882" s="2"/>
      <x:c r="J882" s="2"/>
      <x:c r="K882" s="2"/>
      <x:c r="L882" s="2" t="n">
        <x:f>SUM(IF('Monthly_Data'!A538=A882,IF(ISBLANK('Monthly_Data'!A538)=ISBLANK(A882),0,1),1),IF('Monthly_Data'!B538=B882,IF(ISBLANK('Monthly_Data'!B538)=ISBLANK(B882),0,1),1),IF('Monthly_Data'!C538=C882,IF(ISBLANK('Monthly_Data'!C538)=ISBLANK(C882),0,1),1),IF('Monthly_Data'!D538=D882,IF(ISBLANK('Monthly_Data'!D538)=ISBLANK(D882),0,1),1),IF('Monthly_Data'!E538=E882,IF(ISBLANK('Monthly_Data'!E538)=ISBLANK(E882),0,1),1),IF('Monthly_Data'!F538=F882,IF(ISBLANK('Monthly_Data'!F538)=ISBLANK(F882),0,1),1),IF('Monthly_Data'!G538=G882,IF(ISBLANK('Monthly_Data'!G538)=ISBLANK(G882),0,1),1),IF('Monthly_Data'!H538=H882,IF(ISBLANK('Monthly_Data'!H538)=ISBLANK(H882),0,1),1))</x:f>
        <x:v>0</x:v>
      </x:c>
    </x:row>
    <x:row r="883" ht="23" customHeight="1">
      <x:c r="A883" s="2" t="str">
        <x:v>62044300_MM_202601_IMPORT</x:v>
      </x:c>
      <x:c r="B883" s="2" t="n">
        <x:v>202601</x:v>
      </x:c>
      <x:c r="C883" s="2" t="str">
        <x:v>62044300</x:v>
      </x:c>
      <x:c r="D883" s="2" t="str">
        <x:v>Myanmar</x:v>
      </x:c>
      <x:c r="E883" s="2" t="n">
        <x:v>775752</x:v>
      </x:c>
      <x:c r="F883" s="2" t="n">
        <x:v>11990</x:v>
      </x:c>
      <x:c r="G883" s="2" t="str">
        <x:v>WITHIN_BAND</x:v>
      </x:c>
      <x:c r="H883" s="2" t="n">
        <x:v>1</x:v>
      </x:c>
      <x:c r="I883" s="2"/>
      <x:c r="J883" s="2"/>
      <x:c r="K883" s="2"/>
      <x:c r="L883" s="2" t="n">
        <x:f>SUM(IF('Monthly_Data'!A539=A883,IF(ISBLANK('Monthly_Data'!A539)=ISBLANK(A883),0,1),1),IF('Monthly_Data'!B539=B883,IF(ISBLANK('Monthly_Data'!B539)=ISBLANK(B883),0,1),1),IF('Monthly_Data'!C539=C883,IF(ISBLANK('Monthly_Data'!C539)=ISBLANK(C883),0,1),1),IF('Monthly_Data'!D539=D883,IF(ISBLANK('Monthly_Data'!D539)=ISBLANK(D883),0,1),1),IF('Monthly_Data'!E539=E883,IF(ISBLANK('Monthly_Data'!E539)=ISBLANK(E883),0,1),1),IF('Monthly_Data'!F539=F883,IF(ISBLANK('Monthly_Data'!F539)=ISBLANK(F883),0,1),1),IF('Monthly_Data'!G539=G883,IF(ISBLANK('Monthly_Data'!G539)=ISBLANK(G883),0,1),1),IF('Monthly_Data'!H539=H883,IF(ISBLANK('Monthly_Data'!H539)=ISBLANK(H883),0,1),1))</x:f>
        <x:v>0</x:v>
      </x:c>
    </x:row>
    <x:row r="884" ht="23" customHeight="1">
      <x:c r="A884" s="2" t="str">
        <x:v>62044300_PK_202601_IMPORT</x:v>
      </x:c>
      <x:c r="B884" s="2" t="n">
        <x:v>202601</x:v>
      </x:c>
      <x:c r="C884" s="2" t="str">
        <x:v>62044300</x:v>
      </x:c>
      <x:c r="D884" s="2" t="str">
        <x:v>Pakistan</x:v>
      </x:c>
      <x:c r="E884" s="2" t="n">
        <x:v>130348</x:v>
      </x:c>
      <x:c r="F884" s="2" t="n">
        <x:v>5561</x:v>
      </x:c>
      <x:c r="G884" s="2" t="str">
        <x:v>WITHIN_BAND</x:v>
      </x:c>
      <x:c r="H884" s="2" t="n">
        <x:v>1</x:v>
      </x:c>
      <x:c r="I884" s="2"/>
      <x:c r="J884" s="2"/>
      <x:c r="K884" s="2"/>
      <x:c r="L884" s="2" t="n">
        <x:f>SUM(IF('Monthly_Data'!A540=A884,IF(ISBLANK('Monthly_Data'!A540)=ISBLANK(A884),0,1),1),IF('Monthly_Data'!B540=B884,IF(ISBLANK('Monthly_Data'!B540)=ISBLANK(B884),0,1),1),IF('Monthly_Data'!C540=C884,IF(ISBLANK('Monthly_Data'!C540)=ISBLANK(C884),0,1),1),IF('Monthly_Data'!D540=D884,IF(ISBLANK('Monthly_Data'!D540)=ISBLANK(D884),0,1),1),IF('Monthly_Data'!E540=E884,IF(ISBLANK('Monthly_Data'!E540)=ISBLANK(E884),0,1),1),IF('Monthly_Data'!F540=F884,IF(ISBLANK('Monthly_Data'!F540)=ISBLANK(F884),0,1),1),IF('Monthly_Data'!G540=G884,IF(ISBLANK('Monthly_Data'!G540)=ISBLANK(G884),0,1),1),IF('Monthly_Data'!H540=H884,IF(ISBLANK('Monthly_Data'!H540)=ISBLANK(H884),0,1),1))</x:f>
        <x:v>0</x:v>
      </x:c>
    </x:row>
    <x:row r="885" ht="23" customHeight="1">
      <x:c r="A885" s="2" t="str">
        <x:v>62044300_LK_202601_IMPORT</x:v>
      </x:c>
      <x:c r="B885" s="2" t="n">
        <x:v>202601</x:v>
      </x:c>
      <x:c r="C885" s="2" t="str">
        <x:v>62044300</x:v>
      </x:c>
      <x:c r="D885" s="2" t="str">
        <x:v>Sri Lanka</x:v>
      </x:c>
      <x:c r="E885" s="2" t="n">
        <x:v>978105</x:v>
      </x:c>
      <x:c r="F885" s="2" t="n">
        <x:v>67126</x:v>
      </x:c>
      <x:c r="G885" s="2" t="str">
        <x:v>WITHIN_BAND</x:v>
      </x:c>
      <x:c r="H885" s="2" t="n">
        <x:v>1</x:v>
      </x:c>
      <x:c r="I885" s="2"/>
      <x:c r="J885" s="2"/>
      <x:c r="K885" s="2"/>
      <x:c r="L885" s="2" t="n">
        <x:f>SUM(IF('Monthly_Data'!A541=A885,IF(ISBLANK('Monthly_Data'!A541)=ISBLANK(A885),0,1),1),IF('Monthly_Data'!B541=B885,IF(ISBLANK('Monthly_Data'!B541)=ISBLANK(B885),0,1),1),IF('Monthly_Data'!C541=C885,IF(ISBLANK('Monthly_Data'!C541)=ISBLANK(C885),0,1),1),IF('Monthly_Data'!D541=D885,IF(ISBLANK('Monthly_Data'!D541)=ISBLANK(D885),0,1),1),IF('Monthly_Data'!E541=E885,IF(ISBLANK('Monthly_Data'!E541)=ISBLANK(E885),0,1),1),IF('Monthly_Data'!F541=F885,IF(ISBLANK('Monthly_Data'!F541)=ISBLANK(F885),0,1),1),IF('Monthly_Data'!G541=G885,IF(ISBLANK('Monthly_Data'!G541)=ISBLANK(G885),0,1),1),IF('Monthly_Data'!H541=H885,IF(ISBLANK('Monthly_Data'!H541)=ISBLANK(H885),0,1),1))</x:f>
        <x:v>0</x:v>
      </x:c>
    </x:row>
    <x:row r="886" ht="23" customHeight="1">
      <x:c r="A886" s="2" t="str">
        <x:v>62044300_TR_202601_IMPORT</x:v>
      </x:c>
      <x:c r="B886" s="2" t="n">
        <x:v>202601</x:v>
      </x:c>
      <x:c r="C886" s="2" t="str">
        <x:v>62044300</x:v>
      </x:c>
      <x:c r="D886" s="2" t="str">
        <x:v>Turkey</x:v>
      </x:c>
      <x:c r="E886" s="2" t="n">
        <x:v>260823</x:v>
      </x:c>
      <x:c r="F886" s="2" t="n">
        <x:v>8174</x:v>
      </x:c>
      <x:c r="G886" s="2" t="str">
        <x:v>WITHIN_BAND</x:v>
      </x:c>
      <x:c r="H886" s="2" t="n">
        <x:v>1</x:v>
      </x:c>
      <x:c r="I886" s="2"/>
      <x:c r="J886" s="2"/>
      <x:c r="K886" s="2"/>
      <x:c r="L886" s="2" t="n">
        <x:f>SUM(IF('Monthly_Data'!A542=A886,IF(ISBLANK('Monthly_Data'!A542)=ISBLANK(A886),0,1),1),IF('Monthly_Data'!B542=B886,IF(ISBLANK('Monthly_Data'!B542)=ISBLANK(B886),0,1),1),IF('Monthly_Data'!C542=C886,IF(ISBLANK('Monthly_Data'!C542)=ISBLANK(C886),0,1),1),IF('Monthly_Data'!D542=D886,IF(ISBLANK('Monthly_Data'!D542)=ISBLANK(D886),0,1),1),IF('Monthly_Data'!E542=E886,IF(ISBLANK('Monthly_Data'!E542)=ISBLANK(E886),0,1),1),IF('Monthly_Data'!F542=F886,IF(ISBLANK('Monthly_Data'!F542)=ISBLANK(F886),0,1),1),IF('Monthly_Data'!G542=G886,IF(ISBLANK('Monthly_Data'!G542)=ISBLANK(G886),0,1),1),IF('Monthly_Data'!H542=H886,IF(ISBLANK('Monthly_Data'!H542)=ISBLANK(H886),0,1),1))</x:f>
        <x:v>0</x:v>
      </x:c>
    </x:row>
    <x:row r="887" ht="23" customHeight="1">
      <x:c r="A887" s="2" t="str">
        <x:v>62044300_VN_202601_IMPORT</x:v>
      </x:c>
      <x:c r="B887" s="2" t="n">
        <x:v>202601</x:v>
      </x:c>
      <x:c r="C887" s="2" t="str">
        <x:v>62044300</x:v>
      </x:c>
      <x:c r="D887" s="2" t="str">
        <x:v>Vietnam</x:v>
      </x:c>
      <x:c r="E887" s="2" t="n">
        <x:v>613263</x:v>
      </x:c>
      <x:c r="F887" s="2" t="n">
        <x:v>22039</x:v>
      </x:c>
      <x:c r="G887" s="2" t="str">
        <x:v>WITHIN_BAND</x:v>
      </x:c>
      <x:c r="H887" s="2" t="n">
        <x:v>1</x:v>
      </x:c>
      <x:c r="I887" s="2"/>
      <x:c r="J887" s="2"/>
      <x:c r="K887" s="2"/>
      <x:c r="L887" s="2" t="n">
        <x:f>SUM(IF('Monthly_Data'!A543=A887,IF(ISBLANK('Monthly_Data'!A543)=ISBLANK(A887),0,1),1),IF('Monthly_Data'!B543=B887,IF(ISBLANK('Monthly_Data'!B543)=ISBLANK(B887),0,1),1),IF('Monthly_Data'!C543=C887,IF(ISBLANK('Monthly_Data'!C543)=ISBLANK(C887),0,1),1),IF('Monthly_Data'!D543=D887,IF(ISBLANK('Monthly_Data'!D543)=ISBLANK(D887),0,1),1),IF('Monthly_Data'!E543=E887,IF(ISBLANK('Monthly_Data'!E543)=ISBLANK(E887),0,1),1),IF('Monthly_Data'!F543=F887,IF(ISBLANK('Monthly_Data'!F543)=ISBLANK(F887),0,1),1),IF('Monthly_Data'!G543=G887,IF(ISBLANK('Monthly_Data'!G543)=ISBLANK(G887),0,1),1),IF('Monthly_Data'!H543=H887,IF(ISBLANK('Monthly_Data'!H543)=ISBLANK(H887),0,1),1))</x:f>
        <x:v>0</x:v>
      </x:c>
    </x:row>
    <x:row r="888" ht="23" customHeight="1">
      <x:c r="A888" s="2" t="str">
        <x:v>62044300_WORLD_202601_IMPORT</x:v>
      </x:c>
      <x:c r="B888" s="2" t="n">
        <x:v>202601</x:v>
      </x:c>
      <x:c r="C888" s="2" t="str">
        <x:v>62044300</x:v>
      </x:c>
      <x:c r="D888" s="2" t="str">
        <x:v>World</x:v>
      </x:c>
      <x:c r="E888" s="2" t="n">
        <x:v>29694985</x:v>
      </x:c>
      <x:c r="F888" s="2" t="n">
        <x:v>858837</x:v>
      </x:c>
      <x:c r="G888" s="2" t="str">
        <x:v>WITHIN_BAND</x:v>
      </x:c>
      <x:c r="H888" s="2" t="n">
        <x:v>1</x:v>
      </x:c>
      <x:c r="I888" s="2"/>
      <x:c r="J888" s="2"/>
      <x:c r="K888" s="2"/>
      <x:c r="L888" s="2" t="n">
        <x:f>SUM(IF('Monthly_Data'!A544=A888,IF(ISBLANK('Monthly_Data'!A544)=ISBLANK(A888),0,1),1),IF('Monthly_Data'!B544=B888,IF(ISBLANK('Monthly_Data'!B544)=ISBLANK(B888),0,1),1),IF('Monthly_Data'!C544=C888,IF(ISBLANK('Monthly_Data'!C544)=ISBLANK(C888),0,1),1),IF('Monthly_Data'!D544=D888,IF(ISBLANK('Monthly_Data'!D544)=ISBLANK(D888),0,1),1),IF('Monthly_Data'!E544=E888,IF(ISBLANK('Monthly_Data'!E544)=ISBLANK(E888),0,1),1),IF('Monthly_Data'!F544=F888,IF(ISBLANK('Monthly_Data'!F544)=ISBLANK(F888),0,1),1),IF('Monthly_Data'!G544=G888,IF(ISBLANK('Monthly_Data'!G544)=ISBLANK(G888),0,1),1),IF('Monthly_Data'!H544=H888,IF(ISBLANK('Monthly_Data'!H544)=ISBLANK(H888),0,1),1))</x:f>
        <x:v>0</x:v>
      </x:c>
    </x:row>
    <x:row r="889" ht="23" customHeight="1">
      <x:c r="A889" s="2" t="str">
        <x:v>62044300_BD_202602_IMPORT</x:v>
      </x:c>
      <x:c r="B889" s="2" t="n">
        <x:v>202602</x:v>
      </x:c>
      <x:c r="C889" s="2" t="str">
        <x:v>62044300</x:v>
      </x:c>
      <x:c r="D889" s="2" t="str">
        <x:v>Bangladesh</x:v>
      </x:c>
      <x:c r="E889" s="2" t="n">
        <x:v>1247529</x:v>
      </x:c>
      <x:c r="F889" s="2" t="n">
        <x:v>79040</x:v>
      </x:c>
      <x:c r="G889" s="2" t="str">
        <x:v>WITHIN_BAND</x:v>
      </x:c>
      <x:c r="H889" s="2" t="n">
        <x:v>1</x:v>
      </x:c>
      <x:c r="I889" s="2"/>
      <x:c r="J889" s="2"/>
      <x:c r="K889" s="2"/>
      <x:c r="L889" s="2" t="n">
        <x:f>SUM(IF('Monthly_Data'!A545=A889,IF(ISBLANK('Monthly_Data'!A545)=ISBLANK(A889),0,1),1),IF('Monthly_Data'!B545=B889,IF(ISBLANK('Monthly_Data'!B545)=ISBLANK(B889),0,1),1),IF('Monthly_Data'!C545=C889,IF(ISBLANK('Monthly_Data'!C545)=ISBLANK(C889),0,1),1),IF('Monthly_Data'!D545=D889,IF(ISBLANK('Monthly_Data'!D545)=ISBLANK(D889),0,1),1),IF('Monthly_Data'!E545=E889,IF(ISBLANK('Monthly_Data'!E545)=ISBLANK(E889),0,1),1),IF('Monthly_Data'!F545=F889,IF(ISBLANK('Monthly_Data'!F545)=ISBLANK(F889),0,1),1),IF('Monthly_Data'!G545=G889,IF(ISBLANK('Monthly_Data'!G545)=ISBLANK(G889),0,1),1),IF('Monthly_Data'!H545=H889,IF(ISBLANK('Monthly_Data'!H545)=ISBLANK(H889),0,1),1))</x:f>
        <x:v>0</x:v>
      </x:c>
    </x:row>
    <x:row r="890" ht="23" customHeight="1">
      <x:c r="A890" s="2" t="str">
        <x:v>62044300_KH_202602_IMPORT</x:v>
      </x:c>
      <x:c r="B890" s="2" t="n">
        <x:v>202602</x:v>
      </x:c>
      <x:c r="C890" s="2" t="str">
        <x:v>62044300</x:v>
      </x:c>
      <x:c r="D890" s="2" t="str">
        <x:v>Cambodia</x:v>
      </x:c>
      <x:c r="E890" s="2" t="n">
        <x:v>253334</x:v>
      </x:c>
      <x:c r="F890" s="2" t="n">
        <x:v>15423</x:v>
      </x:c>
      <x:c r="G890" s="2" t="str">
        <x:v>WITHIN_BAND</x:v>
      </x:c>
      <x:c r="H890" s="2" t="n">
        <x:v>1</x:v>
      </x:c>
      <x:c r="I890" s="2"/>
      <x:c r="J890" s="2"/>
      <x:c r="K890" s="2"/>
      <x:c r="L890" s="2" t="n">
        <x:f>SUM(IF('Monthly_Data'!A546=A890,IF(ISBLANK('Monthly_Data'!A546)=ISBLANK(A890),0,1),1),IF('Monthly_Data'!B546=B890,IF(ISBLANK('Monthly_Data'!B546)=ISBLANK(B890),0,1),1),IF('Monthly_Data'!C546=C890,IF(ISBLANK('Monthly_Data'!C546)=ISBLANK(C890),0,1),1),IF('Monthly_Data'!D546=D890,IF(ISBLANK('Monthly_Data'!D546)=ISBLANK(D890),0,1),1),IF('Monthly_Data'!E546=E890,IF(ISBLANK('Monthly_Data'!E546)=ISBLANK(E890),0,1),1),IF('Monthly_Data'!F546=F890,IF(ISBLANK('Monthly_Data'!F546)=ISBLANK(F890),0,1),1),IF('Monthly_Data'!G546=G890,IF(ISBLANK('Monthly_Data'!G546)=ISBLANK(G890),0,1),1),IF('Monthly_Data'!H546=H890,IF(ISBLANK('Monthly_Data'!H546)=ISBLANK(H890),0,1),1))</x:f>
        <x:v>0</x:v>
      </x:c>
    </x:row>
    <x:row r="891" ht="23" customHeight="1">
      <x:c r="A891" s="2" t="str">
        <x:v>62044300_CN_202602_IMPORT</x:v>
      </x:c>
      <x:c r="B891" s="2" t="n">
        <x:v>202602</x:v>
      </x:c>
      <x:c r="C891" s="2" t="str">
        <x:v>62044300</x:v>
      </x:c>
      <x:c r="D891" s="2" t="str">
        <x:v>China</x:v>
      </x:c>
      <x:c r="E891" s="2" t="n">
        <x:v>11106392</x:v>
      </x:c>
      <x:c r="F891" s="2" t="n">
        <x:v>428376</x:v>
      </x:c>
      <x:c r="G891" s="2" t="str">
        <x:v>WITHIN_BAND</x:v>
      </x:c>
      <x:c r="H891" s="2" t="n">
        <x:v>1</x:v>
      </x:c>
      <x:c r="I891" s="2"/>
      <x:c r="J891" s="2"/>
      <x:c r="K891" s="2"/>
      <x:c r="L891" s="2" t="n">
        <x:f>SUM(IF('Monthly_Data'!A547=A891,IF(ISBLANK('Monthly_Data'!A547)=ISBLANK(A891),0,1),1),IF('Monthly_Data'!B547=B891,IF(ISBLANK('Monthly_Data'!B547)=ISBLANK(B891),0,1),1),IF('Monthly_Data'!C547=C891,IF(ISBLANK('Monthly_Data'!C547)=ISBLANK(C891),0,1),1),IF('Monthly_Data'!D547=D891,IF(ISBLANK('Monthly_Data'!D547)=ISBLANK(D891),0,1),1),IF('Monthly_Data'!E547=E891,IF(ISBLANK('Monthly_Data'!E547)=ISBLANK(E891),0,1),1),IF('Monthly_Data'!F547=F891,IF(ISBLANK('Monthly_Data'!F547)=ISBLANK(F891),0,1),1),IF('Monthly_Data'!G547=G891,IF(ISBLANK('Monthly_Data'!G547)=ISBLANK(G891),0,1),1),IF('Monthly_Data'!H547=H891,IF(ISBLANK('Monthly_Data'!H547)=ISBLANK(H891),0,1),1))</x:f>
        <x:v>0</x:v>
      </x:c>
    </x:row>
    <x:row r="892" ht="23" customHeight="1">
      <x:c r="A892" s="2" t="str">
        <x:v>62044300_IN_202602_IMPORT</x:v>
      </x:c>
      <x:c r="B892" s="2" t="n">
        <x:v>202602</x:v>
      </x:c>
      <x:c r="C892" s="2" t="str">
        <x:v>62044300</x:v>
      </x:c>
      <x:c r="D892" s="2" t="str">
        <x:v>India</x:v>
      </x:c>
      <x:c r="E892" s="2" t="n">
        <x:v>3203390</x:v>
      </x:c>
      <x:c r="F892" s="2" t="n">
        <x:v>117131</x:v>
      </x:c>
      <x:c r="G892" s="2" t="str">
        <x:v>WITHIN_BAND</x:v>
      </x:c>
      <x:c r="H892" s="2" t="n">
        <x:v>1</x:v>
      </x:c>
      <x:c r="I892" s="2"/>
      <x:c r="J892" s="2"/>
      <x:c r="K892" s="2"/>
      <x:c r="L892" s="2" t="n">
        <x:f>SUM(IF('Monthly_Data'!A548=A892,IF(ISBLANK('Monthly_Data'!A548)=ISBLANK(A892),0,1),1),IF('Monthly_Data'!B548=B892,IF(ISBLANK('Monthly_Data'!B548)=ISBLANK(B892),0,1),1),IF('Monthly_Data'!C548=C892,IF(ISBLANK('Monthly_Data'!C548)=ISBLANK(C892),0,1),1),IF('Monthly_Data'!D548=D892,IF(ISBLANK('Monthly_Data'!D548)=ISBLANK(D892),0,1),1),IF('Monthly_Data'!E548=E892,IF(ISBLANK('Monthly_Data'!E548)=ISBLANK(E892),0,1),1),IF('Monthly_Data'!F548=F892,IF(ISBLANK('Monthly_Data'!F548)=ISBLANK(F892),0,1),1),IF('Monthly_Data'!G548=G892,IF(ISBLANK('Monthly_Data'!G548)=ISBLANK(G892),0,1),1),IF('Monthly_Data'!H548=H892,IF(ISBLANK('Monthly_Data'!H548)=ISBLANK(H892),0,1),1))</x:f>
        <x:v>0</x:v>
      </x:c>
    </x:row>
    <x:row r="893" ht="23" customHeight="1">
      <x:c r="A893" s="2" t="str">
        <x:v>62044300_MA_202602_IMPORT</x:v>
      </x:c>
      <x:c r="B893" s="2" t="n">
        <x:v>202602</x:v>
      </x:c>
      <x:c r="C893" s="2" t="str">
        <x:v>62044300</x:v>
      </x:c>
      <x:c r="D893" s="2" t="str">
        <x:v>Morocco</x:v>
      </x:c>
      <x:c r="E893" s="2" t="n">
        <x:v>301583</x:v>
      </x:c>
      <x:c r="F893" s="2" t="n">
        <x:v>10345</x:v>
      </x:c>
      <x:c r="G893" s="2" t="str">
        <x:v>WITHIN_BAND</x:v>
      </x:c>
      <x:c r="H893" s="2" t="n">
        <x:v>1</x:v>
      </x:c>
      <x:c r="I893" s="2"/>
      <x:c r="J893" s="2"/>
      <x:c r="K893" s="2"/>
      <x:c r="L893" s="2" t="n">
        <x:f>SUM(IF('Monthly_Data'!A549=A893,IF(ISBLANK('Monthly_Data'!A549)=ISBLANK(A893),0,1),1),IF('Monthly_Data'!B549=B893,IF(ISBLANK('Monthly_Data'!B549)=ISBLANK(B893),0,1),1),IF('Monthly_Data'!C549=C893,IF(ISBLANK('Monthly_Data'!C549)=ISBLANK(C893),0,1),1),IF('Monthly_Data'!D549=D893,IF(ISBLANK('Monthly_Data'!D549)=ISBLANK(D893),0,1),1),IF('Monthly_Data'!E549=E893,IF(ISBLANK('Monthly_Data'!E549)=ISBLANK(E893),0,1),1),IF('Monthly_Data'!F549=F893,IF(ISBLANK('Monthly_Data'!F549)=ISBLANK(F893),0,1),1),IF('Monthly_Data'!G549=G893,IF(ISBLANK('Monthly_Data'!G549)=ISBLANK(G893),0,1),1),IF('Monthly_Data'!H549=H893,IF(ISBLANK('Monthly_Data'!H549)=ISBLANK(H893),0,1),1))</x:f>
        <x:v>0</x:v>
      </x:c>
    </x:row>
    <x:row r="894" ht="23" customHeight="1">
      <x:c r="A894" s="2" t="str">
        <x:v>62044300_MM_202602_IMPORT</x:v>
      </x:c>
      <x:c r="B894" s="2" t="n">
        <x:v>202602</x:v>
      </x:c>
      <x:c r="C894" s="2" t="str">
        <x:v>62044300</x:v>
      </x:c>
      <x:c r="D894" s="2" t="str">
        <x:v>Myanmar</x:v>
      </x:c>
      <x:c r="E894" s="2" t="n">
        <x:v>361227</x:v>
      </x:c>
      <x:c r="F894" s="2" t="n">
        <x:v>6020</x:v>
      </x:c>
      <x:c r="G894" s="2" t="str">
        <x:v>WITHIN_BAND</x:v>
      </x:c>
      <x:c r="H894" s="2" t="n">
        <x:v>1</x:v>
      </x:c>
      <x:c r="I894" s="2"/>
      <x:c r="J894" s="2"/>
      <x:c r="K894" s="2"/>
      <x:c r="L894" s="2" t="n">
        <x:f>SUM(IF('Monthly_Data'!A550=A894,IF(ISBLANK('Monthly_Data'!A550)=ISBLANK(A894),0,1),1),IF('Monthly_Data'!B550=B894,IF(ISBLANK('Monthly_Data'!B550)=ISBLANK(B894),0,1),1),IF('Monthly_Data'!C550=C894,IF(ISBLANK('Monthly_Data'!C550)=ISBLANK(C894),0,1),1),IF('Monthly_Data'!D550=D894,IF(ISBLANK('Monthly_Data'!D550)=ISBLANK(D894),0,1),1),IF('Monthly_Data'!E550=E894,IF(ISBLANK('Monthly_Data'!E550)=ISBLANK(E894),0,1),1),IF('Monthly_Data'!F550=F894,IF(ISBLANK('Monthly_Data'!F550)=ISBLANK(F894),0,1),1),IF('Monthly_Data'!G550=G894,IF(ISBLANK('Monthly_Data'!G550)=ISBLANK(G894),0,1),1),IF('Monthly_Data'!H550=H894,IF(ISBLANK('Monthly_Data'!H550)=ISBLANK(H894),0,1),1))</x:f>
        <x:v>0</x:v>
      </x:c>
    </x:row>
    <x:row r="895" ht="23" customHeight="1">
      <x:c r="A895" s="2" t="str">
        <x:v>62044300_PK_202602_IMPORT</x:v>
      </x:c>
      <x:c r="B895" s="2" t="n">
        <x:v>202602</x:v>
      </x:c>
      <x:c r="C895" s="2" t="str">
        <x:v>62044300</x:v>
      </x:c>
      <x:c r="D895" s="2" t="str">
        <x:v>Pakistan</x:v>
      </x:c>
      <x:c r="E895" s="2" t="n">
        <x:v>187927</x:v>
      </x:c>
      <x:c r="F895" s="2" t="n">
        <x:v>10130</x:v>
      </x:c>
      <x:c r="G895" s="2" t="str">
        <x:v>WITHIN_BAND</x:v>
      </x:c>
      <x:c r="H895" s="2" t="n">
        <x:v>1</x:v>
      </x:c>
      <x:c r="I895" s="2"/>
      <x:c r="J895" s="2"/>
      <x:c r="K895" s="2"/>
      <x:c r="L895" s="2" t="n">
        <x:f>SUM(IF('Monthly_Data'!A551=A895,IF(ISBLANK('Monthly_Data'!A551)=ISBLANK(A895),0,1),1),IF('Monthly_Data'!B551=B895,IF(ISBLANK('Monthly_Data'!B551)=ISBLANK(B895),0,1),1),IF('Monthly_Data'!C551=C895,IF(ISBLANK('Monthly_Data'!C551)=ISBLANK(C895),0,1),1),IF('Monthly_Data'!D551=D895,IF(ISBLANK('Monthly_Data'!D551)=ISBLANK(D895),0,1),1),IF('Monthly_Data'!E551=E895,IF(ISBLANK('Monthly_Data'!E551)=ISBLANK(E895),0,1),1),IF('Monthly_Data'!F551=F895,IF(ISBLANK('Monthly_Data'!F551)=ISBLANK(F895),0,1),1),IF('Monthly_Data'!G551=G895,IF(ISBLANK('Monthly_Data'!G551)=ISBLANK(G895),0,1),1),IF('Monthly_Data'!H551=H895,IF(ISBLANK('Monthly_Data'!H551)=ISBLANK(H895),0,1),1))</x:f>
        <x:v>0</x:v>
      </x:c>
    </x:row>
    <x:row r="896" ht="23" customHeight="1">
      <x:c r="A896" s="2" t="str">
        <x:v>62044300_LK_202602_IMPORT</x:v>
      </x:c>
      <x:c r="B896" s="2" t="n">
        <x:v>202602</x:v>
      </x:c>
      <x:c r="C896" s="2" t="str">
        <x:v>62044300</x:v>
      </x:c>
      <x:c r="D896" s="2" t="str">
        <x:v>Sri Lanka</x:v>
      </x:c>
      <x:c r="E896" s="2" t="n">
        <x:v>914706</x:v>
      </x:c>
      <x:c r="F896" s="2" t="n">
        <x:v>67690</x:v>
      </x:c>
      <x:c r="G896" s="2" t="str">
        <x:v>WITHIN_BAND</x:v>
      </x:c>
      <x:c r="H896" s="2" t="n">
        <x:v>1</x:v>
      </x:c>
      <x:c r="I896" s="2"/>
      <x:c r="J896" s="2"/>
      <x:c r="K896" s="2"/>
      <x:c r="L896" s="2" t="n">
        <x:f>SUM(IF('Monthly_Data'!A552=A896,IF(ISBLANK('Monthly_Data'!A552)=ISBLANK(A896),0,1),1),IF('Monthly_Data'!B552=B896,IF(ISBLANK('Monthly_Data'!B552)=ISBLANK(B896),0,1),1),IF('Monthly_Data'!C552=C896,IF(ISBLANK('Monthly_Data'!C552)=ISBLANK(C896),0,1),1),IF('Monthly_Data'!D552=D896,IF(ISBLANK('Monthly_Data'!D552)=ISBLANK(D896),0,1),1),IF('Monthly_Data'!E552=E896,IF(ISBLANK('Monthly_Data'!E552)=ISBLANK(E896),0,1),1),IF('Monthly_Data'!F552=F896,IF(ISBLANK('Monthly_Data'!F552)=ISBLANK(F896),0,1),1),IF('Monthly_Data'!G552=G896,IF(ISBLANK('Monthly_Data'!G552)=ISBLANK(G896),0,1),1),IF('Monthly_Data'!H552=H896,IF(ISBLANK('Monthly_Data'!H552)=ISBLANK(H896),0,1),1))</x:f>
        <x:v>0</x:v>
      </x:c>
    </x:row>
    <x:row r="897" ht="23" customHeight="1">
      <x:c r="A897" s="2" t="str">
        <x:v>62044300_TR_202602_IMPORT</x:v>
      </x:c>
      <x:c r="B897" s="2" t="n">
        <x:v>202602</x:v>
      </x:c>
      <x:c r="C897" s="2" t="str">
        <x:v>62044300</x:v>
      </x:c>
      <x:c r="D897" s="2" t="str">
        <x:v>Turkey</x:v>
      </x:c>
      <x:c r="E897" s="2" t="n">
        <x:v>565703</x:v>
      </x:c>
      <x:c r="F897" s="2" t="n">
        <x:v>20483</x:v>
      </x:c>
      <x:c r="G897" s="2" t="str">
        <x:v>WITHIN_BAND</x:v>
      </x:c>
      <x:c r="H897" s="2" t="n">
        <x:v>1</x:v>
      </x:c>
      <x:c r="I897" s="2"/>
      <x:c r="J897" s="2"/>
      <x:c r="K897" s="2"/>
      <x:c r="L897" s="2" t="n">
        <x:f>SUM(IF('Monthly_Data'!A553=A897,IF(ISBLANK('Monthly_Data'!A553)=ISBLANK(A897),0,1),1),IF('Monthly_Data'!B553=B897,IF(ISBLANK('Monthly_Data'!B553)=ISBLANK(B897),0,1),1),IF('Monthly_Data'!C553=C897,IF(ISBLANK('Monthly_Data'!C553)=ISBLANK(C897),0,1),1),IF('Monthly_Data'!D553=D897,IF(ISBLANK('Monthly_Data'!D553)=ISBLANK(D897),0,1),1),IF('Monthly_Data'!E553=E897,IF(ISBLANK('Monthly_Data'!E553)=ISBLANK(E897),0,1),1),IF('Monthly_Data'!F553=F897,IF(ISBLANK('Monthly_Data'!F553)=ISBLANK(F897),0,1),1),IF('Monthly_Data'!G553=G897,IF(ISBLANK('Monthly_Data'!G553)=ISBLANK(G897),0,1),1),IF('Monthly_Data'!H553=H897,IF(ISBLANK('Monthly_Data'!H553)=ISBLANK(H897),0,1),1))</x:f>
        <x:v>0</x:v>
      </x:c>
    </x:row>
    <x:row r="898" ht="23" customHeight="1">
      <x:c r="A898" s="2" t="str">
        <x:v>62044300_VN_202602_IMPORT</x:v>
      </x:c>
      <x:c r="B898" s="2" t="n">
        <x:v>202602</x:v>
      </x:c>
      <x:c r="C898" s="2" t="str">
        <x:v>62044300</x:v>
      </x:c>
      <x:c r="D898" s="2" t="str">
        <x:v>Vietnam</x:v>
      </x:c>
      <x:c r="E898" s="2" t="n">
        <x:v>399287</x:v>
      </x:c>
      <x:c r="F898" s="2" t="n">
        <x:v>11567</x:v>
      </x:c>
      <x:c r="G898" s="2" t="str">
        <x:v>WITHIN_BAND</x:v>
      </x:c>
      <x:c r="H898" s="2" t="n">
        <x:v>1</x:v>
      </x:c>
      <x:c r="I898" s="2"/>
      <x:c r="J898" s="2"/>
      <x:c r="K898" s="2"/>
      <x:c r="L898" s="2" t="n">
        <x:f>SUM(IF('Monthly_Data'!A554=A898,IF(ISBLANK('Monthly_Data'!A554)=ISBLANK(A898),0,1),1),IF('Monthly_Data'!B554=B898,IF(ISBLANK('Monthly_Data'!B554)=ISBLANK(B898),0,1),1),IF('Monthly_Data'!C554=C898,IF(ISBLANK('Monthly_Data'!C554)=ISBLANK(C898),0,1),1),IF('Monthly_Data'!D554=D898,IF(ISBLANK('Monthly_Data'!D554)=ISBLANK(D898),0,1),1),IF('Monthly_Data'!E554=E898,IF(ISBLANK('Monthly_Data'!E554)=ISBLANK(E898),0,1),1),IF('Monthly_Data'!F554=F898,IF(ISBLANK('Monthly_Data'!F554)=ISBLANK(F898),0,1),1),IF('Monthly_Data'!G554=G898,IF(ISBLANK('Monthly_Data'!G554)=ISBLANK(G898),0,1),1),IF('Monthly_Data'!H554=H898,IF(ISBLANK('Monthly_Data'!H554)=ISBLANK(H898),0,1),1))</x:f>
        <x:v>0</x:v>
      </x:c>
    </x:row>
    <x:row r="899" ht="23" customHeight="1">
      <x:c r="A899" s="2" t="str">
        <x:v>62044300_WORLD_202602_IMPORT</x:v>
      </x:c>
      <x:c r="B899" s="2" t="n">
        <x:v>202602</x:v>
      </x:c>
      <x:c r="C899" s="2" t="str">
        <x:v>62044300</x:v>
      </x:c>
      <x:c r="D899" s="2" t="str">
        <x:v>World</x:v>
      </x:c>
      <x:c r="E899" s="2" t="n">
        <x:v>32013764</x:v>
      </x:c>
      <x:c r="F899" s="2" t="n">
        <x:v>933716</x:v>
      </x:c>
      <x:c r="G899" s="2" t="str">
        <x:v>WITHIN_BAND</x:v>
      </x:c>
      <x:c r="H899" s="2" t="n">
        <x:v>1</x:v>
      </x:c>
      <x:c r="I899" s="2"/>
      <x:c r="J899" s="2"/>
      <x:c r="K899" s="2"/>
      <x:c r="L899" s="2" t="n">
        <x:f>SUM(IF('Monthly_Data'!A555=A899,IF(ISBLANK('Monthly_Data'!A555)=ISBLANK(A899),0,1),1),IF('Monthly_Data'!B555=B899,IF(ISBLANK('Monthly_Data'!B555)=ISBLANK(B899),0,1),1),IF('Monthly_Data'!C555=C899,IF(ISBLANK('Monthly_Data'!C555)=ISBLANK(C899),0,1),1),IF('Monthly_Data'!D555=D899,IF(ISBLANK('Monthly_Data'!D555)=ISBLANK(D899),0,1),1),IF('Monthly_Data'!E555=E899,IF(ISBLANK('Monthly_Data'!E555)=ISBLANK(E899),0,1),1),IF('Monthly_Data'!F555=F899,IF(ISBLANK('Monthly_Data'!F555)=ISBLANK(F899),0,1),1),IF('Monthly_Data'!G555=G899,IF(ISBLANK('Monthly_Data'!G555)=ISBLANK(G899),0,1),1),IF('Monthly_Data'!H555=H899,IF(ISBLANK('Monthly_Data'!H555)=ISBLANK(H899),0,1),1))</x:f>
        <x:v>0</x:v>
      </x:c>
    </x:row>
    <x:row r="900" ht="23" customHeight="1">
      <x:c r="A900" s="2" t="str">
        <x:v>62044300_BD_202603_IMPORT</x:v>
      </x:c>
      <x:c r="B900" s="2" t="n">
        <x:v>202603</x:v>
      </x:c>
      <x:c r="C900" s="2" t="str">
        <x:v>62044300</x:v>
      </x:c>
      <x:c r="D900" s="2" t="str">
        <x:v>Bangladesh</x:v>
      </x:c>
      <x:c r="E900" s="2" t="n">
        <x:v>723571</x:v>
      </x:c>
      <x:c r="F900" s="2" t="n">
        <x:v>51999</x:v>
      </x:c>
      <x:c r="G900" s="2" t="str">
        <x:v>WITHIN_BAND</x:v>
      </x:c>
      <x:c r="H900" s="2" t="n">
        <x:v>1</x:v>
      </x:c>
      <x:c r="I900" s="2"/>
      <x:c r="J900" s="2"/>
      <x:c r="K900" s="2"/>
      <x:c r="L900" s="2" t="n">
        <x:f>SUM(IF('Monthly_Data'!A556=A900,IF(ISBLANK('Monthly_Data'!A556)=ISBLANK(A900),0,1),1),IF('Monthly_Data'!B556=B900,IF(ISBLANK('Monthly_Data'!B556)=ISBLANK(B900),0,1),1),IF('Monthly_Data'!C556=C900,IF(ISBLANK('Monthly_Data'!C556)=ISBLANK(C900),0,1),1),IF('Monthly_Data'!D556=D900,IF(ISBLANK('Monthly_Data'!D556)=ISBLANK(D900),0,1),1),IF('Monthly_Data'!E556=E900,IF(ISBLANK('Monthly_Data'!E556)=ISBLANK(E900),0,1),1),IF('Monthly_Data'!F556=F900,IF(ISBLANK('Monthly_Data'!F556)=ISBLANK(F900),0,1),1),IF('Monthly_Data'!G556=G900,IF(ISBLANK('Monthly_Data'!G556)=ISBLANK(G900),0,1),1),IF('Monthly_Data'!H556=H900,IF(ISBLANK('Monthly_Data'!H556)=ISBLANK(H900),0,1),1))</x:f>
        <x:v>0</x:v>
      </x:c>
    </x:row>
    <x:row r="901" ht="23" customHeight="1">
      <x:c r="A901" s="2" t="str">
        <x:v>62044300_KH_202603_IMPORT</x:v>
      </x:c>
      <x:c r="B901" s="2" t="n">
        <x:v>202603</x:v>
      </x:c>
      <x:c r="C901" s="2" t="str">
        <x:v>62044300</x:v>
      </x:c>
      <x:c r="D901" s="2" t="str">
        <x:v>Cambodia</x:v>
      </x:c>
      <x:c r="E901" s="2" t="n">
        <x:v>77745</x:v>
      </x:c>
      <x:c r="F901" s="2" t="n">
        <x:v>4027</x:v>
      </x:c>
      <x:c r="G901" s="2" t="str">
        <x:v>WITHIN_BAND</x:v>
      </x:c>
      <x:c r="H901" s="2" t="n">
        <x:v>1</x:v>
      </x:c>
      <x:c r="I901" s="2"/>
      <x:c r="J901" s="2"/>
      <x:c r="K901" s="2"/>
      <x:c r="L901" s="2" t="n">
        <x:f>SUM(IF('Monthly_Data'!A557=A901,IF(ISBLANK('Monthly_Data'!A557)=ISBLANK(A901),0,1),1),IF('Monthly_Data'!B557=B901,IF(ISBLANK('Monthly_Data'!B557)=ISBLANK(B901),0,1),1),IF('Monthly_Data'!C557=C901,IF(ISBLANK('Monthly_Data'!C557)=ISBLANK(C901),0,1),1),IF('Monthly_Data'!D557=D901,IF(ISBLANK('Monthly_Data'!D557)=ISBLANK(D901),0,1),1),IF('Monthly_Data'!E557=E901,IF(ISBLANK('Monthly_Data'!E557)=ISBLANK(E901),0,1),1),IF('Monthly_Data'!F557=F901,IF(ISBLANK('Monthly_Data'!F557)=ISBLANK(F901),0,1),1),IF('Monthly_Data'!G557=G901,IF(ISBLANK('Monthly_Data'!G557)=ISBLANK(G901),0,1),1),IF('Monthly_Data'!H557=H901,IF(ISBLANK('Monthly_Data'!H557)=ISBLANK(H901),0,1),1))</x:f>
        <x:v>0</x:v>
      </x:c>
    </x:row>
    <x:row r="902" ht="23" customHeight="1">
      <x:c r="A902" s="2" t="str">
        <x:v>62044300_CN_202603_IMPORT</x:v>
      </x:c>
      <x:c r="B902" s="2" t="n">
        <x:v>202603</x:v>
      </x:c>
      <x:c r="C902" s="2" t="str">
        <x:v>62044300</x:v>
      </x:c>
      <x:c r="D902" s="2" t="str">
        <x:v>China</x:v>
      </x:c>
      <x:c r="E902" s="2" t="n">
        <x:v>9139711</x:v>
      </x:c>
      <x:c r="F902" s="2" t="n">
        <x:v>360768</x:v>
      </x:c>
      <x:c r="G902" s="2" t="str">
        <x:v>WITHIN_BAND</x:v>
      </x:c>
      <x:c r="H902" s="2" t="n">
        <x:v>1</x:v>
      </x:c>
      <x:c r="I902" s="2"/>
      <x:c r="J902" s="2"/>
      <x:c r="K902" s="2"/>
      <x:c r="L902" s="2" t="n">
        <x:f>SUM(IF('Monthly_Data'!A558=A902,IF(ISBLANK('Monthly_Data'!A558)=ISBLANK(A902),0,1),1),IF('Monthly_Data'!B558=B902,IF(ISBLANK('Monthly_Data'!B558)=ISBLANK(B902),0,1),1),IF('Monthly_Data'!C558=C902,IF(ISBLANK('Monthly_Data'!C558)=ISBLANK(C902),0,1),1),IF('Monthly_Data'!D558=D902,IF(ISBLANK('Monthly_Data'!D558)=ISBLANK(D902),0,1),1),IF('Monthly_Data'!E558=E902,IF(ISBLANK('Monthly_Data'!E558)=ISBLANK(E902),0,1),1),IF('Monthly_Data'!F558=F902,IF(ISBLANK('Monthly_Data'!F558)=ISBLANK(F902),0,1),1),IF('Monthly_Data'!G558=G902,IF(ISBLANK('Monthly_Data'!G558)=ISBLANK(G902),0,1),1),IF('Monthly_Data'!H558=H902,IF(ISBLANK('Monthly_Data'!H558)=ISBLANK(H902),0,1),1))</x:f>
        <x:v>0</x:v>
      </x:c>
    </x:row>
    <x:row r="903" ht="23" customHeight="1">
      <x:c r="A903" s="2" t="str">
        <x:v>62044300_IN_202603_IMPORT</x:v>
      </x:c>
      <x:c r="B903" s="2" t="n">
        <x:v>202603</x:v>
      </x:c>
      <x:c r="C903" s="2" t="str">
        <x:v>62044300</x:v>
      </x:c>
      <x:c r="D903" s="2" t="str">
        <x:v>India</x:v>
      </x:c>
      <x:c r="E903" s="2" t="n">
        <x:v>3290273</x:v>
      </x:c>
      <x:c r="F903" s="2" t="n">
        <x:v>126036</x:v>
      </x:c>
      <x:c r="G903" s="2" t="str">
        <x:v>WITHIN_BAND</x:v>
      </x:c>
      <x:c r="H903" s="2" t="n">
        <x:v>1</x:v>
      </x:c>
      <x:c r="I903" s="2"/>
      <x:c r="J903" s="2"/>
      <x:c r="K903" s="2"/>
      <x:c r="L903" s="2" t="n">
        <x:f>SUM(IF('Monthly_Data'!A559=A903,IF(ISBLANK('Monthly_Data'!A559)=ISBLANK(A903),0,1),1),IF('Monthly_Data'!B559=B903,IF(ISBLANK('Monthly_Data'!B559)=ISBLANK(B903),0,1),1),IF('Monthly_Data'!C559=C903,IF(ISBLANK('Monthly_Data'!C559)=ISBLANK(C903),0,1),1),IF('Monthly_Data'!D559=D903,IF(ISBLANK('Monthly_Data'!D559)=ISBLANK(D903),0,1),1),IF('Monthly_Data'!E559=E903,IF(ISBLANK('Monthly_Data'!E559)=ISBLANK(E903),0,1),1),IF('Monthly_Data'!F559=F903,IF(ISBLANK('Monthly_Data'!F559)=ISBLANK(F903),0,1),1),IF('Monthly_Data'!G559=G903,IF(ISBLANK('Monthly_Data'!G559)=ISBLANK(G903),0,1),1),IF('Monthly_Data'!H559=H903,IF(ISBLANK('Monthly_Data'!H559)=ISBLANK(H903),0,1),1))</x:f>
        <x:v>0</x:v>
      </x:c>
    </x:row>
    <x:row r="904" ht="23" customHeight="1">
      <x:c r="A904" s="2" t="str">
        <x:v>62044300_MA_202603_IMPORT</x:v>
      </x:c>
      <x:c r="B904" s="2" t="n">
        <x:v>202603</x:v>
      </x:c>
      <x:c r="C904" s="2" t="str">
        <x:v>62044300</x:v>
      </x:c>
      <x:c r="D904" s="2" t="str">
        <x:v>Morocco</x:v>
      </x:c>
      <x:c r="E904" s="2" t="n">
        <x:v>747416</x:v>
      </x:c>
      <x:c r="F904" s="2" t="n">
        <x:v>30028</x:v>
      </x:c>
      <x:c r="G904" s="2" t="str">
        <x:v>WITHIN_BAND</x:v>
      </x:c>
      <x:c r="H904" s="2" t="n">
        <x:v>1</x:v>
      </x:c>
      <x:c r="I904" s="2"/>
      <x:c r="J904" s="2"/>
      <x:c r="K904" s="2"/>
      <x:c r="L904" s="2" t="n">
        <x:f>SUM(IF('Monthly_Data'!A560=A904,IF(ISBLANK('Monthly_Data'!A560)=ISBLANK(A904),0,1),1),IF('Monthly_Data'!B560=B904,IF(ISBLANK('Monthly_Data'!B560)=ISBLANK(B904),0,1),1),IF('Monthly_Data'!C560=C904,IF(ISBLANK('Monthly_Data'!C560)=ISBLANK(C904),0,1),1),IF('Monthly_Data'!D560=D904,IF(ISBLANK('Monthly_Data'!D560)=ISBLANK(D904),0,1),1),IF('Monthly_Data'!E560=E904,IF(ISBLANK('Monthly_Data'!E560)=ISBLANK(E904),0,1),1),IF('Monthly_Data'!F560=F904,IF(ISBLANK('Monthly_Data'!F560)=ISBLANK(F904),0,1),1),IF('Monthly_Data'!G560=G904,IF(ISBLANK('Monthly_Data'!G560)=ISBLANK(G904),0,1),1),IF('Monthly_Data'!H560=H904,IF(ISBLANK('Monthly_Data'!H560)=ISBLANK(H904),0,1),1))</x:f>
        <x:v>0</x:v>
      </x:c>
    </x:row>
    <x:row r="905" ht="23" customHeight="1">
      <x:c r="A905" s="2" t="str">
        <x:v>62044300_MM_202603_IMPORT</x:v>
      </x:c>
      <x:c r="B905" s="2" t="n">
        <x:v>202603</x:v>
      </x:c>
      <x:c r="C905" s="2" t="str">
        <x:v>62044300</x:v>
      </x:c>
      <x:c r="D905" s="2" t="str">
        <x:v>Myanmar</x:v>
      </x:c>
      <x:c r="E905" s="2" t="n">
        <x:v>276397</x:v>
      </x:c>
      <x:c r="F905" s="2" t="n">
        <x:v>4547</x:v>
      </x:c>
      <x:c r="G905" s="2" t="str">
        <x:v>WITHIN_BAND</x:v>
      </x:c>
      <x:c r="H905" s="2" t="n">
        <x:v>1</x:v>
      </x:c>
      <x:c r="I905" s="2"/>
      <x:c r="J905" s="2"/>
      <x:c r="K905" s="2"/>
      <x:c r="L905" s="2" t="n">
        <x:f>SUM(IF('Monthly_Data'!A561=A905,IF(ISBLANK('Monthly_Data'!A561)=ISBLANK(A905),0,1),1),IF('Monthly_Data'!B561=B905,IF(ISBLANK('Monthly_Data'!B561)=ISBLANK(B905),0,1),1),IF('Monthly_Data'!C561=C905,IF(ISBLANK('Monthly_Data'!C561)=ISBLANK(C905),0,1),1),IF('Monthly_Data'!D561=D905,IF(ISBLANK('Monthly_Data'!D561)=ISBLANK(D905),0,1),1),IF('Monthly_Data'!E561=E905,IF(ISBLANK('Monthly_Data'!E561)=ISBLANK(E905),0,1),1),IF('Monthly_Data'!F561=F905,IF(ISBLANK('Monthly_Data'!F561)=ISBLANK(F905),0,1),1),IF('Monthly_Data'!G561=G905,IF(ISBLANK('Monthly_Data'!G561)=ISBLANK(G905),0,1),1),IF('Monthly_Data'!H561=H905,IF(ISBLANK('Monthly_Data'!H561)=ISBLANK(H905),0,1),1))</x:f>
        <x:v>0</x:v>
      </x:c>
    </x:row>
    <x:row r="906" ht="23" customHeight="1">
      <x:c r="A906" s="2" t="str">
        <x:v>62044300_PK_202603_IMPORT</x:v>
      </x:c>
      <x:c r="B906" s="2" t="n">
        <x:v>202603</x:v>
      </x:c>
      <x:c r="C906" s="2" t="str">
        <x:v>62044300</x:v>
      </x:c>
      <x:c r="D906" s="2" t="str">
        <x:v>Pakistan</x:v>
      </x:c>
      <x:c r="E906" s="2" t="n">
        <x:v>51119</x:v>
      </x:c>
      <x:c r="F906" s="2" t="n">
        <x:v>4057</x:v>
      </x:c>
      <x:c r="G906" s="2" t="str">
        <x:v>WITHIN_BAND</x:v>
      </x:c>
      <x:c r="H906" s="2" t="n">
        <x:v>1</x:v>
      </x:c>
      <x:c r="I906" s="2"/>
      <x:c r="J906" s="2"/>
      <x:c r="K906" s="2"/>
      <x:c r="L906" s="2" t="n">
        <x:f>SUM(IF('Monthly_Data'!A562=A906,IF(ISBLANK('Monthly_Data'!A562)=ISBLANK(A906),0,1),1),IF('Monthly_Data'!B562=B906,IF(ISBLANK('Monthly_Data'!B562)=ISBLANK(B906),0,1),1),IF('Monthly_Data'!C562=C906,IF(ISBLANK('Monthly_Data'!C562)=ISBLANK(C906),0,1),1),IF('Monthly_Data'!D562=D906,IF(ISBLANK('Monthly_Data'!D562)=ISBLANK(D906),0,1),1),IF('Monthly_Data'!E562=E906,IF(ISBLANK('Monthly_Data'!E562)=ISBLANK(E906),0,1),1),IF('Monthly_Data'!F562=F906,IF(ISBLANK('Monthly_Data'!F562)=ISBLANK(F906),0,1),1),IF('Monthly_Data'!G562=G906,IF(ISBLANK('Monthly_Data'!G562)=ISBLANK(G906),0,1),1),IF('Monthly_Data'!H562=H906,IF(ISBLANK('Monthly_Data'!H562)=ISBLANK(H906),0,1),1))</x:f>
        <x:v>0</x:v>
      </x:c>
    </x:row>
    <x:row r="907" ht="23" customHeight="1">
      <x:c r="A907" s="2" t="str">
        <x:v>62044300_LK_202603_IMPORT</x:v>
      </x:c>
      <x:c r="B907" s="2" t="n">
        <x:v>202603</x:v>
      </x:c>
      <x:c r="C907" s="2" t="str">
        <x:v>62044300</x:v>
      </x:c>
      <x:c r="D907" s="2" t="str">
        <x:v>Sri Lanka</x:v>
      </x:c>
      <x:c r="E907" s="2" t="n">
        <x:v>1673826</x:v>
      </x:c>
      <x:c r="F907" s="2" t="n">
        <x:v>101862</x:v>
      </x:c>
      <x:c r="G907" s="2" t="str">
        <x:v>WITHIN_BAND</x:v>
      </x:c>
      <x:c r="H907" s="2" t="n">
        <x:v>1</x:v>
      </x:c>
      <x:c r="I907" s="2"/>
      <x:c r="J907" s="2"/>
      <x:c r="K907" s="2"/>
      <x:c r="L907" s="2" t="n">
        <x:f>SUM(IF('Monthly_Data'!A563=A907,IF(ISBLANK('Monthly_Data'!A563)=ISBLANK(A907),0,1),1),IF('Monthly_Data'!B563=B907,IF(ISBLANK('Monthly_Data'!B563)=ISBLANK(B907),0,1),1),IF('Monthly_Data'!C563=C907,IF(ISBLANK('Monthly_Data'!C563)=ISBLANK(C907),0,1),1),IF('Monthly_Data'!D563=D907,IF(ISBLANK('Monthly_Data'!D563)=ISBLANK(D907),0,1),1),IF('Monthly_Data'!E563=E907,IF(ISBLANK('Monthly_Data'!E563)=ISBLANK(E907),0,1),1),IF('Monthly_Data'!F563=F907,IF(ISBLANK('Monthly_Data'!F563)=ISBLANK(F907),0,1),1),IF('Monthly_Data'!G563=G907,IF(ISBLANK('Monthly_Data'!G563)=ISBLANK(G907),0,1),1),IF('Monthly_Data'!H563=H907,IF(ISBLANK('Monthly_Data'!H563)=ISBLANK(H907),0,1),1))</x:f>
        <x:v>0</x:v>
      </x:c>
    </x:row>
    <x:row r="908" ht="23" customHeight="1">
      <x:c r="A908" s="2" t="str">
        <x:v>62044300_TR_202603_IMPORT</x:v>
      </x:c>
      <x:c r="B908" s="2" t="n">
        <x:v>202603</x:v>
      </x:c>
      <x:c r="C908" s="2" t="str">
        <x:v>62044300</x:v>
      </x:c>
      <x:c r="D908" s="2" t="str">
        <x:v>Turkey</x:v>
      </x:c>
      <x:c r="E908" s="2" t="n">
        <x:v>387551</x:v>
      </x:c>
      <x:c r="F908" s="2" t="n">
        <x:v>9465</x:v>
      </x:c>
      <x:c r="G908" s="2" t="str">
        <x:v>WITHIN_BAND</x:v>
      </x:c>
      <x:c r="H908" s="2" t="n">
        <x:v>1</x:v>
      </x:c>
      <x:c r="I908" s="2"/>
      <x:c r="J908" s="2"/>
      <x:c r="K908" s="2"/>
      <x:c r="L908" s="2" t="n">
        <x:f>SUM(IF('Monthly_Data'!A564=A908,IF(ISBLANK('Monthly_Data'!A564)=ISBLANK(A908),0,1),1),IF('Monthly_Data'!B564=B908,IF(ISBLANK('Monthly_Data'!B564)=ISBLANK(B908),0,1),1),IF('Monthly_Data'!C564=C908,IF(ISBLANK('Monthly_Data'!C564)=ISBLANK(C908),0,1),1),IF('Monthly_Data'!D564=D908,IF(ISBLANK('Monthly_Data'!D564)=ISBLANK(D908),0,1),1),IF('Monthly_Data'!E564=E908,IF(ISBLANK('Monthly_Data'!E564)=ISBLANK(E908),0,1),1),IF('Monthly_Data'!F564=F908,IF(ISBLANK('Monthly_Data'!F564)=ISBLANK(F908),0,1),1),IF('Monthly_Data'!G564=G908,IF(ISBLANK('Monthly_Data'!G564)=ISBLANK(G908),0,1),1),IF('Monthly_Data'!H564=H908,IF(ISBLANK('Monthly_Data'!H564)=ISBLANK(H908),0,1),1))</x:f>
        <x:v>0</x:v>
      </x:c>
    </x:row>
    <x:row r="909" ht="23" customHeight="1">
      <x:c r="A909" s="2" t="str">
        <x:v>62044300_VN_202603_IMPORT</x:v>
      </x:c>
      <x:c r="B909" s="2" t="n">
        <x:v>202603</x:v>
      </x:c>
      <x:c r="C909" s="2" t="str">
        <x:v>62044300</x:v>
      </x:c>
      <x:c r="D909" s="2" t="str">
        <x:v>Vietnam</x:v>
      </x:c>
      <x:c r="E909" s="2" t="n">
        <x:v>1222485</x:v>
      </x:c>
      <x:c r="F909" s="2" t="n">
        <x:v>45869</x:v>
      </x:c>
      <x:c r="G909" s="2" t="str">
        <x:v>WITHIN_BAND</x:v>
      </x:c>
      <x:c r="H909" s="2" t="n">
        <x:v>1</x:v>
      </x:c>
      <x:c r="I909" s="2"/>
      <x:c r="J909" s="2"/>
      <x:c r="K909" s="2"/>
      <x:c r="L909" s="2" t="n">
        <x:f>SUM(IF('Monthly_Data'!A565=A909,IF(ISBLANK('Monthly_Data'!A565)=ISBLANK(A909),0,1),1),IF('Monthly_Data'!B565=B909,IF(ISBLANK('Monthly_Data'!B565)=ISBLANK(B909),0,1),1),IF('Monthly_Data'!C565=C909,IF(ISBLANK('Monthly_Data'!C565)=ISBLANK(C909),0,1),1),IF('Monthly_Data'!D565=D909,IF(ISBLANK('Monthly_Data'!D565)=ISBLANK(D909),0,1),1),IF('Monthly_Data'!E565=E909,IF(ISBLANK('Monthly_Data'!E565)=ISBLANK(E909),0,1),1),IF('Monthly_Data'!F565=F909,IF(ISBLANK('Monthly_Data'!F565)=ISBLANK(F909),0,1),1),IF('Monthly_Data'!G565=G909,IF(ISBLANK('Monthly_Data'!G565)=ISBLANK(G909),0,1),1),IF('Monthly_Data'!H565=H909,IF(ISBLANK('Monthly_Data'!H565)=ISBLANK(H909),0,1),1))</x:f>
        <x:v>0</x:v>
      </x:c>
    </x:row>
    <x:row r="910" ht="23" customHeight="1">
      <x:c r="A910" s="2" t="str">
        <x:v>62044300_WORLD_202603_IMPORT</x:v>
      </x:c>
      <x:c r="B910" s="2" t="n">
        <x:v>202603</x:v>
      </x:c>
      <x:c r="C910" s="2" t="str">
        <x:v>62044300</x:v>
      </x:c>
      <x:c r="D910" s="2" t="str">
        <x:v>World</x:v>
      </x:c>
      <x:c r="E910" s="2" t="n">
        <x:v>29735887</x:v>
      </x:c>
      <x:c r="F910" s="2" t="n">
        <x:v>921599</x:v>
      </x:c>
      <x:c r="G910" s="2" t="str">
        <x:v>WITHIN_BAND</x:v>
      </x:c>
      <x:c r="H910" s="2" t="n">
        <x:v>1</x:v>
      </x:c>
      <x:c r="I910" s="2"/>
      <x:c r="J910" s="2"/>
      <x:c r="K910" s="2"/>
      <x:c r="L910" s="2" t="n">
        <x:f>SUM(IF('Monthly_Data'!A566=A910,IF(ISBLANK('Monthly_Data'!A566)=ISBLANK(A910),0,1),1),IF('Monthly_Data'!B566=B910,IF(ISBLANK('Monthly_Data'!B566)=ISBLANK(B910),0,1),1),IF('Monthly_Data'!C566=C910,IF(ISBLANK('Monthly_Data'!C566)=ISBLANK(C910),0,1),1),IF('Monthly_Data'!D566=D910,IF(ISBLANK('Monthly_Data'!D566)=ISBLANK(D910),0,1),1),IF('Monthly_Data'!E566=E910,IF(ISBLANK('Monthly_Data'!E566)=ISBLANK(E910),0,1),1),IF('Monthly_Data'!F566=F910,IF(ISBLANK('Monthly_Data'!F566)=ISBLANK(F910),0,1),1),IF('Monthly_Data'!G566=G910,IF(ISBLANK('Monthly_Data'!G566)=ISBLANK(G910),0,1),1),IF('Monthly_Data'!H566=H910,IF(ISBLANK('Monthly_Data'!H566)=ISBLANK(H910),0,1),1))</x:f>
        <x:v>0</x:v>
      </x:c>
    </x:row>
    <x:row r="911" ht="23" customHeight="1">
      <x:c r="A911" s="2" t="str">
        <x:v>62044300_BD_202604_IMPORT</x:v>
      </x:c>
      <x:c r="B911" s="2" t="n">
        <x:v>202604</x:v>
      </x:c>
      <x:c r="C911" s="2" t="str">
        <x:v>62044300</x:v>
      </x:c>
      <x:c r="D911" s="2" t="str">
        <x:v>Bangladesh</x:v>
      </x:c>
      <x:c r="E911" s="2" t="n">
        <x:v>1836082</x:v>
      </x:c>
      <x:c r="F911" s="2" t="n">
        <x:v>104146</x:v>
      </x:c>
      <x:c r="G911" s="2" t="str">
        <x:v>WITHIN_BAND</x:v>
      </x:c>
      <x:c r="H911" s="2" t="n">
        <x:v>1</x:v>
      </x:c>
      <x:c r="I911" s="2"/>
      <x:c r="J911" s="2"/>
      <x:c r="K911" s="2"/>
      <x:c r="L911" s="2" t="n">
        <x:f>SUM(IF('Monthly_Data'!A567=A911,IF(ISBLANK('Monthly_Data'!A567)=ISBLANK(A911),0,1),1),IF('Monthly_Data'!B567=B911,IF(ISBLANK('Monthly_Data'!B567)=ISBLANK(B911),0,1),1),IF('Monthly_Data'!C567=C911,IF(ISBLANK('Monthly_Data'!C567)=ISBLANK(C911),0,1),1),IF('Monthly_Data'!D567=D911,IF(ISBLANK('Monthly_Data'!D567)=ISBLANK(D911),0,1),1),IF('Monthly_Data'!E567=E911,IF(ISBLANK('Monthly_Data'!E567)=ISBLANK(E911),0,1),1),IF('Monthly_Data'!F567=F911,IF(ISBLANK('Monthly_Data'!F567)=ISBLANK(F911),0,1),1),IF('Monthly_Data'!G567=G911,IF(ISBLANK('Monthly_Data'!G567)=ISBLANK(G911),0,1),1),IF('Monthly_Data'!H567=H911,IF(ISBLANK('Monthly_Data'!H567)=ISBLANK(H911),0,1),1))</x:f>
        <x:v>0</x:v>
      </x:c>
    </x:row>
    <x:row r="912" ht="23" customHeight="1">
      <x:c r="A912" s="2" t="str">
        <x:v>62044300_KH_202604_IMPORT</x:v>
      </x:c>
      <x:c r="B912" s="2" t="n">
        <x:v>202604</x:v>
      </x:c>
      <x:c r="C912" s="2" t="str">
        <x:v>62044300</x:v>
      </x:c>
      <x:c r="D912" s="2" t="str">
        <x:v>Cambodia</x:v>
      </x:c>
      <x:c r="E912" s="2" t="n">
        <x:v>1130525</x:v>
      </x:c>
      <x:c r="F912" s="2" t="n">
        <x:v>57081</x:v>
      </x:c>
      <x:c r="G912" s="2" t="str">
        <x:v>WITHIN_BAND</x:v>
      </x:c>
      <x:c r="H912" s="2" t="n">
        <x:v>1</x:v>
      </x:c>
      <x:c r="I912" s="2"/>
      <x:c r="J912" s="2"/>
      <x:c r="K912" s="2"/>
      <x:c r="L912" s="2" t="n">
        <x:f>SUM(IF('Monthly_Data'!A568=A912,IF(ISBLANK('Monthly_Data'!A568)=ISBLANK(A912),0,1),1),IF('Monthly_Data'!B568=B912,IF(ISBLANK('Monthly_Data'!B568)=ISBLANK(B912),0,1),1),IF('Monthly_Data'!C568=C912,IF(ISBLANK('Monthly_Data'!C568)=ISBLANK(C912),0,1),1),IF('Monthly_Data'!D568=D912,IF(ISBLANK('Monthly_Data'!D568)=ISBLANK(D912),0,1),1),IF('Monthly_Data'!E568=E912,IF(ISBLANK('Monthly_Data'!E568)=ISBLANK(E912),0,1),1),IF('Monthly_Data'!F568=F912,IF(ISBLANK('Monthly_Data'!F568)=ISBLANK(F912),0,1),1),IF('Monthly_Data'!G568=G912,IF(ISBLANK('Monthly_Data'!G568)=ISBLANK(G912),0,1),1),IF('Monthly_Data'!H568=H912,IF(ISBLANK('Monthly_Data'!H568)=ISBLANK(H912),0,1),1))</x:f>
        <x:v>0</x:v>
      </x:c>
    </x:row>
    <x:row r="913" ht="23" customHeight="1">
      <x:c r="A913" s="2" t="str">
        <x:v>62044300_CN_202604_IMPORT</x:v>
      </x:c>
      <x:c r="B913" s="2" t="n">
        <x:v>202604</x:v>
      </x:c>
      <x:c r="C913" s="2" t="str">
        <x:v>62044300</x:v>
      </x:c>
      <x:c r="D913" s="2" t="str">
        <x:v>China</x:v>
      </x:c>
      <x:c r="E913" s="2" t="n">
        <x:v>7904408</x:v>
      </x:c>
      <x:c r="F913" s="2" t="n">
        <x:v>286292</x:v>
      </x:c>
      <x:c r="G913" s="2" t="str">
        <x:v>WITHIN_BAND</x:v>
      </x:c>
      <x:c r="H913" s="2" t="n">
        <x:v>1</x:v>
      </x:c>
      <x:c r="I913" s="2"/>
      <x:c r="J913" s="2"/>
      <x:c r="K913" s="2"/>
      <x:c r="L913" s="2" t="n">
        <x:f>SUM(IF('Monthly_Data'!A569=A913,IF(ISBLANK('Monthly_Data'!A569)=ISBLANK(A913),0,1),1),IF('Monthly_Data'!B569=B913,IF(ISBLANK('Monthly_Data'!B569)=ISBLANK(B913),0,1),1),IF('Monthly_Data'!C569=C913,IF(ISBLANK('Monthly_Data'!C569)=ISBLANK(C913),0,1),1),IF('Monthly_Data'!D569=D913,IF(ISBLANK('Monthly_Data'!D569)=ISBLANK(D913),0,1),1),IF('Monthly_Data'!E569=E913,IF(ISBLANK('Monthly_Data'!E569)=ISBLANK(E913),0,1),1),IF('Monthly_Data'!F569=F913,IF(ISBLANK('Monthly_Data'!F569)=ISBLANK(F913),0,1),1),IF('Monthly_Data'!G569=G913,IF(ISBLANK('Monthly_Data'!G569)=ISBLANK(G913),0,1),1),IF('Monthly_Data'!H569=H913,IF(ISBLANK('Monthly_Data'!H569)=ISBLANK(H913),0,1),1))</x:f>
        <x:v>0</x:v>
      </x:c>
    </x:row>
    <x:row r="914" ht="23" customHeight="1">
      <x:c r="A914" s="2" t="str">
        <x:v>62044300_IN_202604_IMPORT</x:v>
      </x:c>
      <x:c r="B914" s="2" t="n">
        <x:v>202604</x:v>
      </x:c>
      <x:c r="C914" s="2" t="str">
        <x:v>62044300</x:v>
      </x:c>
      <x:c r="D914" s="2" t="str">
        <x:v>India</x:v>
      </x:c>
      <x:c r="E914" s="2" t="n">
        <x:v>3455147</x:v>
      </x:c>
      <x:c r="F914" s="2" t="n">
        <x:v>137729</x:v>
      </x:c>
      <x:c r="G914" s="2" t="str">
        <x:v>WITHIN_BAND</x:v>
      </x:c>
      <x:c r="H914" s="2" t="n">
        <x:v>1</x:v>
      </x:c>
      <x:c r="I914" s="2"/>
      <x:c r="J914" s="2"/>
      <x:c r="K914" s="2"/>
      <x:c r="L914" s="2" t="n">
        <x:f>SUM(IF('Monthly_Data'!A570=A914,IF(ISBLANK('Monthly_Data'!A570)=ISBLANK(A914),0,1),1),IF('Monthly_Data'!B570=B914,IF(ISBLANK('Monthly_Data'!B570)=ISBLANK(B914),0,1),1),IF('Monthly_Data'!C570=C914,IF(ISBLANK('Monthly_Data'!C570)=ISBLANK(C914),0,1),1),IF('Monthly_Data'!D570=D914,IF(ISBLANK('Monthly_Data'!D570)=ISBLANK(D914),0,1),1),IF('Monthly_Data'!E570=E914,IF(ISBLANK('Monthly_Data'!E570)=ISBLANK(E914),0,1),1),IF('Monthly_Data'!F570=F914,IF(ISBLANK('Monthly_Data'!F570)=ISBLANK(F914),0,1),1),IF('Monthly_Data'!G570=G914,IF(ISBLANK('Monthly_Data'!G570)=ISBLANK(G914),0,1),1),IF('Monthly_Data'!H570=H914,IF(ISBLANK('Monthly_Data'!H570)=ISBLANK(H914),0,1),1))</x:f>
        <x:v>0</x:v>
      </x:c>
    </x:row>
    <x:row r="915" ht="23" customHeight="1">
      <x:c r="A915" s="2" t="str">
        <x:v>62044300_MA_202604_IMPORT</x:v>
      </x:c>
      <x:c r="B915" s="2" t="n">
        <x:v>202604</x:v>
      </x:c>
      <x:c r="C915" s="2" t="str">
        <x:v>62044300</x:v>
      </x:c>
      <x:c r="D915" s="2" t="str">
        <x:v>Morocco</x:v>
      </x:c>
      <x:c r="E915" s="2" t="n">
        <x:v>1197116</x:v>
      </x:c>
      <x:c r="F915" s="2" t="n">
        <x:v>45556</x:v>
      </x:c>
      <x:c r="G915" s="2" t="str">
        <x:v>WITHIN_BAND</x:v>
      </x:c>
      <x:c r="H915" s="2" t="n">
        <x:v>1</x:v>
      </x:c>
      <x:c r="I915" s="2"/>
      <x:c r="J915" s="2"/>
      <x:c r="K915" s="2"/>
      <x:c r="L915" s="2" t="n">
        <x:f>SUM(IF('Monthly_Data'!A571=A915,IF(ISBLANK('Monthly_Data'!A571)=ISBLANK(A915),0,1),1),IF('Monthly_Data'!B571=B915,IF(ISBLANK('Monthly_Data'!B571)=ISBLANK(B915),0,1),1),IF('Monthly_Data'!C571=C915,IF(ISBLANK('Monthly_Data'!C571)=ISBLANK(C915),0,1),1),IF('Monthly_Data'!D571=D915,IF(ISBLANK('Monthly_Data'!D571)=ISBLANK(D915),0,1),1),IF('Monthly_Data'!E571=E915,IF(ISBLANK('Monthly_Data'!E571)=ISBLANK(E915),0,1),1),IF('Monthly_Data'!F571=F915,IF(ISBLANK('Monthly_Data'!F571)=ISBLANK(F915),0,1),1),IF('Monthly_Data'!G571=G915,IF(ISBLANK('Monthly_Data'!G571)=ISBLANK(G915),0,1),1),IF('Monthly_Data'!H571=H915,IF(ISBLANK('Monthly_Data'!H571)=ISBLANK(H915),0,1),1))</x:f>
        <x:v>0</x:v>
      </x:c>
    </x:row>
    <x:row r="916" ht="23" customHeight="1">
      <x:c r="A916" s="2" t="str">
        <x:v>62044300_MM_202604_IMPORT</x:v>
      </x:c>
      <x:c r="B916" s="2" t="n">
        <x:v>202604</x:v>
      </x:c>
      <x:c r="C916" s="2" t="str">
        <x:v>62044300</x:v>
      </x:c>
      <x:c r="D916" s="2" t="str">
        <x:v>Myanmar</x:v>
      </x:c>
      <x:c r="E916" s="2" t="n">
        <x:v>285741</x:v>
      </x:c>
      <x:c r="F916" s="2" t="n">
        <x:v>4318</x:v>
      </x:c>
      <x:c r="G916" s="2" t="str">
        <x:v>WITHIN_BAND</x:v>
      </x:c>
      <x:c r="H916" s="2" t="n">
        <x:v>1</x:v>
      </x:c>
      <x:c r="I916" s="2"/>
      <x:c r="J916" s="2"/>
      <x:c r="K916" s="2"/>
      <x:c r="L916" s="2" t="n">
        <x:f>SUM(IF('Monthly_Data'!A572=A916,IF(ISBLANK('Monthly_Data'!A572)=ISBLANK(A916),0,1),1),IF('Monthly_Data'!B572=B916,IF(ISBLANK('Monthly_Data'!B572)=ISBLANK(B916),0,1),1),IF('Monthly_Data'!C572=C916,IF(ISBLANK('Monthly_Data'!C572)=ISBLANK(C916),0,1),1),IF('Monthly_Data'!D572=D916,IF(ISBLANK('Monthly_Data'!D572)=ISBLANK(D916),0,1),1),IF('Monthly_Data'!E572=E916,IF(ISBLANK('Monthly_Data'!E572)=ISBLANK(E916),0,1),1),IF('Monthly_Data'!F572=F916,IF(ISBLANK('Monthly_Data'!F572)=ISBLANK(F916),0,1),1),IF('Monthly_Data'!G572=G916,IF(ISBLANK('Monthly_Data'!G572)=ISBLANK(G916),0,1),1),IF('Monthly_Data'!H572=H916,IF(ISBLANK('Monthly_Data'!H572)=ISBLANK(H916),0,1),1))</x:f>
        <x:v>0</x:v>
      </x:c>
    </x:row>
    <x:row r="917" ht="23" customHeight="1">
      <x:c r="A917" s="2" t="str">
        <x:v>62044300_PK_202604_IMPORT</x:v>
      </x:c>
      <x:c r="B917" s="2" t="n">
        <x:v>202604</x:v>
      </x:c>
      <x:c r="C917" s="2" t="str">
        <x:v>62044300</x:v>
      </x:c>
      <x:c r="D917" s="2" t="str">
        <x:v>Pakistan</x:v>
      </x:c>
      <x:c r="E917" s="2" t="n">
        <x:v>51630</x:v>
      </x:c>
      <x:c r="F917" s="2" t="n">
        <x:v>3798</x:v>
      </x:c>
      <x:c r="G917" s="2" t="str">
        <x:v>WITHIN_BAND</x:v>
      </x:c>
      <x:c r="H917" s="2" t="n">
        <x:v>1</x:v>
      </x:c>
      <x:c r="I917" s="2"/>
      <x:c r="J917" s="2"/>
      <x:c r="K917" s="2"/>
      <x:c r="L917" s="2" t="n">
        <x:f>SUM(IF('Monthly_Data'!A573=A917,IF(ISBLANK('Monthly_Data'!A573)=ISBLANK(A917),0,1),1),IF('Monthly_Data'!B573=B917,IF(ISBLANK('Monthly_Data'!B573)=ISBLANK(B917),0,1),1),IF('Monthly_Data'!C573=C917,IF(ISBLANK('Monthly_Data'!C573)=ISBLANK(C917),0,1),1),IF('Monthly_Data'!D573=D917,IF(ISBLANK('Monthly_Data'!D573)=ISBLANK(D917),0,1),1),IF('Monthly_Data'!E573=E917,IF(ISBLANK('Monthly_Data'!E573)=ISBLANK(E917),0,1),1),IF('Monthly_Data'!F573=F917,IF(ISBLANK('Monthly_Data'!F573)=ISBLANK(F917),0,1),1),IF('Monthly_Data'!G573=G917,IF(ISBLANK('Monthly_Data'!G573)=ISBLANK(G917),0,1),1),IF('Monthly_Data'!H573=H917,IF(ISBLANK('Monthly_Data'!H573)=ISBLANK(H917),0,1),1))</x:f>
        <x:v>0</x:v>
      </x:c>
    </x:row>
    <x:row r="918" ht="23" customHeight="1">
      <x:c r="A918" s="2" t="str">
        <x:v>62044300_LK_202604_IMPORT</x:v>
      </x:c>
      <x:c r="B918" s="2" t="n">
        <x:v>202604</x:v>
      </x:c>
      <x:c r="C918" s="2" t="str">
        <x:v>62044300</x:v>
      </x:c>
      <x:c r="D918" s="2" t="str">
        <x:v>Sri Lanka</x:v>
      </x:c>
      <x:c r="E918" s="2" t="n">
        <x:v>1652998</x:v>
      </x:c>
      <x:c r="F918" s="2" t="n">
        <x:v>105987</x:v>
      </x:c>
      <x:c r="G918" s="2" t="str">
        <x:v>WITHIN_BAND</x:v>
      </x:c>
      <x:c r="H918" s="2" t="n">
        <x:v>1</x:v>
      </x:c>
      <x:c r="I918" s="2"/>
      <x:c r="J918" s="2"/>
      <x:c r="K918" s="2"/>
      <x:c r="L918" s="2" t="n">
        <x:f>SUM(IF('Monthly_Data'!A574=A918,IF(ISBLANK('Monthly_Data'!A574)=ISBLANK(A918),0,1),1),IF('Monthly_Data'!B574=B918,IF(ISBLANK('Monthly_Data'!B574)=ISBLANK(B918),0,1),1),IF('Monthly_Data'!C574=C918,IF(ISBLANK('Monthly_Data'!C574)=ISBLANK(C918),0,1),1),IF('Monthly_Data'!D574=D918,IF(ISBLANK('Monthly_Data'!D574)=ISBLANK(D918),0,1),1),IF('Monthly_Data'!E574=E918,IF(ISBLANK('Monthly_Data'!E574)=ISBLANK(E918),0,1),1),IF('Monthly_Data'!F574=F918,IF(ISBLANK('Monthly_Data'!F574)=ISBLANK(F918),0,1),1),IF('Monthly_Data'!G574=G918,IF(ISBLANK('Monthly_Data'!G574)=ISBLANK(G918),0,1),1),IF('Monthly_Data'!H574=H918,IF(ISBLANK('Monthly_Data'!H574)=ISBLANK(H918),0,1),1))</x:f>
        <x:v>0</x:v>
      </x:c>
    </x:row>
    <x:row r="919" ht="23" customHeight="1">
      <x:c r="A919" s="2" t="str">
        <x:v>62044300_TR_202604_IMPORT</x:v>
      </x:c>
      <x:c r="B919" s="2" t="n">
        <x:v>202604</x:v>
      </x:c>
      <x:c r="C919" s="2" t="str">
        <x:v>62044300</x:v>
      </x:c>
      <x:c r="D919" s="2" t="str">
        <x:v>Turkey</x:v>
      </x:c>
      <x:c r="E919" s="2" t="n">
        <x:v>325406</x:v>
      </x:c>
      <x:c r="F919" s="2" t="n">
        <x:v>9302</x:v>
      </x:c>
      <x:c r="G919" s="2" t="str">
        <x:v>WITHIN_BAND</x:v>
      </x:c>
      <x:c r="H919" s="2" t="n">
        <x:v>1</x:v>
      </x:c>
      <x:c r="I919" s="2"/>
      <x:c r="J919" s="2"/>
      <x:c r="K919" s="2"/>
      <x:c r="L919" s="2" t="n">
        <x:f>SUM(IF('Monthly_Data'!A575=A919,IF(ISBLANK('Monthly_Data'!A575)=ISBLANK(A919),0,1),1),IF('Monthly_Data'!B575=B919,IF(ISBLANK('Monthly_Data'!B575)=ISBLANK(B919),0,1),1),IF('Monthly_Data'!C575=C919,IF(ISBLANK('Monthly_Data'!C575)=ISBLANK(C919),0,1),1),IF('Monthly_Data'!D575=D919,IF(ISBLANK('Monthly_Data'!D575)=ISBLANK(D919),0,1),1),IF('Monthly_Data'!E575=E919,IF(ISBLANK('Monthly_Data'!E575)=ISBLANK(E919),0,1),1),IF('Monthly_Data'!F575=F919,IF(ISBLANK('Monthly_Data'!F575)=ISBLANK(F919),0,1),1),IF('Monthly_Data'!G575=G919,IF(ISBLANK('Monthly_Data'!G575)=ISBLANK(G919),0,1),1),IF('Monthly_Data'!H575=H919,IF(ISBLANK('Monthly_Data'!H575)=ISBLANK(H919),0,1),1))</x:f>
        <x:v>0</x:v>
      </x:c>
    </x:row>
    <x:row r="920" ht="23" customHeight="1">
      <x:c r="A920" s="2" t="str">
        <x:v>62044300_VN_202604_IMPORT</x:v>
      </x:c>
      <x:c r="B920" s="2" t="n">
        <x:v>202604</x:v>
      </x:c>
      <x:c r="C920" s="2" t="str">
        <x:v>62044300</x:v>
      </x:c>
      <x:c r="D920" s="2" t="str">
        <x:v>Vietnam</x:v>
      </x:c>
      <x:c r="E920" s="2" t="n">
        <x:v>831992</x:v>
      </x:c>
      <x:c r="F920" s="2" t="n">
        <x:v>48067</x:v>
      </x:c>
      <x:c r="G920" s="2" t="str">
        <x:v>WITHIN_BAND</x:v>
      </x:c>
      <x:c r="H920" s="2" t="n">
        <x:v>1</x:v>
      </x:c>
      <x:c r="I920" s="2"/>
      <x:c r="J920" s="2"/>
      <x:c r="K920" s="2"/>
      <x:c r="L920" s="2" t="n">
        <x:f>SUM(IF('Monthly_Data'!A576=A920,IF(ISBLANK('Monthly_Data'!A576)=ISBLANK(A920),0,1),1),IF('Monthly_Data'!B576=B920,IF(ISBLANK('Monthly_Data'!B576)=ISBLANK(B920),0,1),1),IF('Monthly_Data'!C576=C920,IF(ISBLANK('Monthly_Data'!C576)=ISBLANK(C920),0,1),1),IF('Monthly_Data'!D576=D920,IF(ISBLANK('Monthly_Data'!D576)=ISBLANK(D920),0,1),1),IF('Monthly_Data'!E576=E920,IF(ISBLANK('Monthly_Data'!E576)=ISBLANK(E920),0,1),1),IF('Monthly_Data'!F576=F920,IF(ISBLANK('Monthly_Data'!F576)=ISBLANK(F920),0,1),1),IF('Monthly_Data'!G576=G920,IF(ISBLANK('Monthly_Data'!G576)=ISBLANK(G920),0,1),1),IF('Monthly_Data'!H576=H920,IF(ISBLANK('Monthly_Data'!H576)=ISBLANK(H920),0,1),1))</x:f>
        <x:v>0</x:v>
      </x:c>
    </x:row>
    <x:row r="921" ht="23" customHeight="1">
      <x:c r="A921" s="2" t="str">
        <x:v>62044300_WORLD_202604_IMPORT</x:v>
      </x:c>
      <x:c r="B921" s="2" t="n">
        <x:v>202604</x:v>
      </x:c>
      <x:c r="C921" s="2" t="str">
        <x:v>62044300</x:v>
      </x:c>
      <x:c r="D921" s="2" t="str">
        <x:v>World</x:v>
      </x:c>
      <x:c r="E921" s="2" t="n">
        <x:v>32945837</x:v>
      </x:c>
      <x:c r="F921" s="2" t="n">
        <x:v>977575</x:v>
      </x:c>
      <x:c r="G921" s="2" t="str">
        <x:v>WITHIN_BAND</x:v>
      </x:c>
      <x:c r="H921" s="2" t="n">
        <x:v>1</x:v>
      </x:c>
      <x:c r="I921" s="2"/>
      <x:c r="J921" s="2"/>
      <x:c r="K921" s="2"/>
      <x:c r="L921" s="2" t="n">
        <x:f>SUM(IF('Monthly_Data'!A577=A921,IF(ISBLANK('Monthly_Data'!A577)=ISBLANK(A921),0,1),1),IF('Monthly_Data'!B577=B921,IF(ISBLANK('Monthly_Data'!B577)=ISBLANK(B921),0,1),1),IF('Monthly_Data'!C577=C921,IF(ISBLANK('Monthly_Data'!C577)=ISBLANK(C921),0,1),1),IF('Monthly_Data'!D577=D921,IF(ISBLANK('Monthly_Data'!D577)=ISBLANK(D921),0,1),1),IF('Monthly_Data'!E577=E921,IF(ISBLANK('Monthly_Data'!E577)=ISBLANK(E921),0,1),1),IF('Monthly_Data'!F577=F921,IF(ISBLANK('Monthly_Data'!F577)=ISBLANK(F921),0,1),1),IF('Monthly_Data'!G577=G921,IF(ISBLANK('Monthly_Data'!G577)=ISBLANK(G921),0,1),1),IF('Monthly_Data'!H577=H921,IF(ISBLANK('Monthly_Data'!H577)=ISBLANK(H921),0,1),1))</x:f>
        <x:v>0</x:v>
      </x:c>
    </x:row>
    <x:row r="922" ht="23" customHeight="1">
      <x:c r="A922" s="2" t="str">
        <x:v>62044300_BD_202605_IMPORT</x:v>
      </x:c>
      <x:c r="B922" s="2" t="n">
        <x:v>202605</x:v>
      </x:c>
      <x:c r="C922" s="2" t="str">
        <x:v>62044300</x:v>
      </x:c>
      <x:c r="D922" s="2" t="str">
        <x:v>Bangladesh</x:v>
      </x:c>
      <x:c r="E922" s="2" t="n">
        <x:v>1315669</x:v>
      </x:c>
      <x:c r="F922" s="2" t="n">
        <x:v>102114</x:v>
      </x:c>
      <x:c r="G922" s="2" t="str">
        <x:v>WITHIN_BAND</x:v>
      </x:c>
      <x:c r="H922" s="2" t="n">
        <x:v>1</x:v>
      </x:c>
      <x:c r="I922" s="2"/>
      <x:c r="J922" s="2"/>
      <x:c r="K922" s="2"/>
      <x:c r="L922" s="2" t="n">
        <x:f>SUM(IF('Monthly_Data'!A578=A922,IF(ISBLANK('Monthly_Data'!A578)=ISBLANK(A922),0,1),1),IF('Monthly_Data'!B578=B922,IF(ISBLANK('Monthly_Data'!B578)=ISBLANK(B922),0,1),1),IF('Monthly_Data'!C578=C922,IF(ISBLANK('Monthly_Data'!C578)=ISBLANK(C922),0,1),1),IF('Monthly_Data'!D578=D922,IF(ISBLANK('Monthly_Data'!D578)=ISBLANK(D922),0,1),1),IF('Monthly_Data'!E578=E922,IF(ISBLANK('Monthly_Data'!E578)=ISBLANK(E922),0,1),1),IF('Monthly_Data'!F578=F922,IF(ISBLANK('Monthly_Data'!F578)=ISBLANK(F922),0,1),1),IF('Monthly_Data'!G578=G922,IF(ISBLANK('Monthly_Data'!G578)=ISBLANK(G922),0,1),1),IF('Monthly_Data'!H578=H922,IF(ISBLANK('Monthly_Data'!H578)=ISBLANK(H922),0,1),1))</x:f>
        <x:v>0</x:v>
      </x:c>
    </x:row>
    <x:row r="923" ht="23" customHeight="1">
      <x:c r="A923" s="2" t="str">
        <x:v>62044300_KH_202605_IMPORT</x:v>
      </x:c>
      <x:c r="B923" s="2" t="n">
        <x:v>202605</x:v>
      </x:c>
      <x:c r="C923" s="2" t="str">
        <x:v>62044300</x:v>
      </x:c>
      <x:c r="D923" s="2" t="str">
        <x:v>Cambodia</x:v>
      </x:c>
      <x:c r="E923" s="2" t="n">
        <x:v>1007227</x:v>
      </x:c>
      <x:c r="F923" s="2" t="n">
        <x:v>56320</x:v>
      </x:c>
      <x:c r="G923" s="2" t="str">
        <x:v>WITHIN_BAND</x:v>
      </x:c>
      <x:c r="H923" s="2" t="n">
        <x:v>1</x:v>
      </x:c>
      <x:c r="I923" s="2"/>
      <x:c r="J923" s="2"/>
      <x:c r="K923" s="2"/>
      <x:c r="L923" s="2" t="n">
        <x:f>SUM(IF('Monthly_Data'!A579=A923,IF(ISBLANK('Monthly_Data'!A579)=ISBLANK(A923),0,1),1),IF('Monthly_Data'!B579=B923,IF(ISBLANK('Monthly_Data'!B579)=ISBLANK(B923),0,1),1),IF('Monthly_Data'!C579=C923,IF(ISBLANK('Monthly_Data'!C579)=ISBLANK(C923),0,1),1),IF('Monthly_Data'!D579=D923,IF(ISBLANK('Monthly_Data'!D579)=ISBLANK(D923),0,1),1),IF('Monthly_Data'!E579=E923,IF(ISBLANK('Monthly_Data'!E579)=ISBLANK(E923),0,1),1),IF('Monthly_Data'!F579=F923,IF(ISBLANK('Monthly_Data'!F579)=ISBLANK(F923),0,1),1),IF('Monthly_Data'!G579=G923,IF(ISBLANK('Monthly_Data'!G579)=ISBLANK(G923),0,1),1),IF('Monthly_Data'!H579=H923,IF(ISBLANK('Monthly_Data'!H579)=ISBLANK(H923),0,1),1))</x:f>
        <x:v>0</x:v>
      </x:c>
    </x:row>
    <x:row r="924" ht="23" customHeight="1">
      <x:c r="A924" s="2" t="str">
        <x:v>62044300_CN_202605_IMPORT</x:v>
      </x:c>
      <x:c r="B924" s="2" t="n">
        <x:v>202605</x:v>
      </x:c>
      <x:c r="C924" s="2" t="str">
        <x:v>62044300</x:v>
      </x:c>
      <x:c r="D924" s="2" t="str">
        <x:v>China</x:v>
      </x:c>
      <x:c r="E924" s="2" t="n">
        <x:v>7268151</x:v>
      </x:c>
      <x:c r="F924" s="2" t="n">
        <x:v>243945</x:v>
      </x:c>
      <x:c r="G924" s="2" t="str">
        <x:v>WITHIN_BAND</x:v>
      </x:c>
      <x:c r="H924" s="2" t="n">
        <x:v>1</x:v>
      </x:c>
      <x:c r="I924" s="2"/>
      <x:c r="J924" s="2"/>
      <x:c r="K924" s="2"/>
      <x:c r="L924" s="2" t="n">
        <x:f>SUM(IF('Monthly_Data'!A580=A924,IF(ISBLANK('Monthly_Data'!A580)=ISBLANK(A924),0,1),1),IF('Monthly_Data'!B580=B924,IF(ISBLANK('Monthly_Data'!B580)=ISBLANK(B924),0,1),1),IF('Monthly_Data'!C580=C924,IF(ISBLANK('Monthly_Data'!C580)=ISBLANK(C924),0,1),1),IF('Monthly_Data'!D580=D924,IF(ISBLANK('Monthly_Data'!D580)=ISBLANK(D924),0,1),1),IF('Monthly_Data'!E580=E924,IF(ISBLANK('Monthly_Data'!E580)=ISBLANK(E924),0,1),1),IF('Monthly_Data'!F580=F924,IF(ISBLANK('Monthly_Data'!F580)=ISBLANK(F924),0,1),1),IF('Monthly_Data'!G580=G924,IF(ISBLANK('Monthly_Data'!G580)=ISBLANK(G924),0,1),1),IF('Monthly_Data'!H580=H924,IF(ISBLANK('Monthly_Data'!H580)=ISBLANK(H924),0,1),1))</x:f>
        <x:v>0</x:v>
      </x:c>
    </x:row>
    <x:row r="925" ht="23" customHeight="1">
      <x:c r="A925" s="2" t="str">
        <x:v>62044300_IN_202605_IMPORT</x:v>
      </x:c>
      <x:c r="B925" s="2" t="n">
        <x:v>202605</x:v>
      </x:c>
      <x:c r="C925" s="2" t="str">
        <x:v>62044300</x:v>
      </x:c>
      <x:c r="D925" s="2" t="str">
        <x:v>India</x:v>
      </x:c>
      <x:c r="E925" s="2" t="n">
        <x:v>3339046</x:v>
      </x:c>
      <x:c r="F925" s="2" t="n">
        <x:v>127324</x:v>
      </x:c>
      <x:c r="G925" s="2" t="str">
        <x:v>WITHIN_BAND</x:v>
      </x:c>
      <x:c r="H925" s="2" t="n">
        <x:v>1</x:v>
      </x:c>
      <x:c r="I925" s="2"/>
      <x:c r="J925" s="2"/>
      <x:c r="K925" s="2"/>
      <x:c r="L925" s="2" t="n">
        <x:f>SUM(IF('Monthly_Data'!A581=A925,IF(ISBLANK('Monthly_Data'!A581)=ISBLANK(A925),0,1),1),IF('Monthly_Data'!B581=B925,IF(ISBLANK('Monthly_Data'!B581)=ISBLANK(B925),0,1),1),IF('Monthly_Data'!C581=C925,IF(ISBLANK('Monthly_Data'!C581)=ISBLANK(C925),0,1),1),IF('Monthly_Data'!D581=D925,IF(ISBLANK('Monthly_Data'!D581)=ISBLANK(D925),0,1),1),IF('Monthly_Data'!E581=E925,IF(ISBLANK('Monthly_Data'!E581)=ISBLANK(E925),0,1),1),IF('Monthly_Data'!F581=F925,IF(ISBLANK('Monthly_Data'!F581)=ISBLANK(F925),0,1),1),IF('Monthly_Data'!G581=G925,IF(ISBLANK('Monthly_Data'!G581)=ISBLANK(G925),0,1),1),IF('Monthly_Data'!H581=H925,IF(ISBLANK('Monthly_Data'!H581)=ISBLANK(H925),0,1),1))</x:f>
        <x:v>0</x:v>
      </x:c>
    </x:row>
    <x:row r="926" ht="23" customHeight="1">
      <x:c r="A926" s="2" t="str">
        <x:v>62044300_MA_202605_IMPORT</x:v>
      </x:c>
      <x:c r="B926" s="2" t="n">
        <x:v>202605</x:v>
      </x:c>
      <x:c r="C926" s="2" t="str">
        <x:v>62044300</x:v>
      </x:c>
      <x:c r="D926" s="2" t="str">
        <x:v>Morocco</x:v>
      </x:c>
      <x:c r="E926" s="2" t="n">
        <x:v>1086207</x:v>
      </x:c>
      <x:c r="F926" s="2" t="n">
        <x:v>43026</x:v>
      </x:c>
      <x:c r="G926" s="2" t="str">
        <x:v>WITHIN_BAND</x:v>
      </x:c>
      <x:c r="H926" s="2" t="n">
        <x:v>1</x:v>
      </x:c>
      <x:c r="I926" s="2"/>
      <x:c r="J926" s="2"/>
      <x:c r="K926" s="2"/>
      <x:c r="L926" s="2" t="n">
        <x:f>SUM(IF('Monthly_Data'!A582=A926,IF(ISBLANK('Monthly_Data'!A582)=ISBLANK(A926),0,1),1),IF('Monthly_Data'!B582=B926,IF(ISBLANK('Monthly_Data'!B582)=ISBLANK(B926),0,1),1),IF('Monthly_Data'!C582=C926,IF(ISBLANK('Monthly_Data'!C582)=ISBLANK(C926),0,1),1),IF('Monthly_Data'!D582=D926,IF(ISBLANK('Monthly_Data'!D582)=ISBLANK(D926),0,1),1),IF('Monthly_Data'!E582=E926,IF(ISBLANK('Monthly_Data'!E582)=ISBLANK(E926),0,1),1),IF('Monthly_Data'!F582=F926,IF(ISBLANK('Monthly_Data'!F582)=ISBLANK(F926),0,1),1),IF('Monthly_Data'!G582=G926,IF(ISBLANK('Monthly_Data'!G582)=ISBLANK(G926),0,1),1),IF('Monthly_Data'!H582=H926,IF(ISBLANK('Monthly_Data'!H582)=ISBLANK(H926),0,1),1))</x:f>
        <x:v>0</x:v>
      </x:c>
    </x:row>
    <x:row r="927" ht="23" customHeight="1">
      <x:c r="A927" s="2" t="str">
        <x:v>62044300_MM_202605_IMPORT</x:v>
      </x:c>
      <x:c r="B927" s="2" t="n">
        <x:v>202605</x:v>
      </x:c>
      <x:c r="C927" s="2" t="str">
        <x:v>62044300</x:v>
      </x:c>
      <x:c r="D927" s="2" t="str">
        <x:v>Myanmar</x:v>
      </x:c>
      <x:c r="E927" s="2" t="n">
        <x:v>403692</x:v>
      </x:c>
      <x:c r="F927" s="2" t="n">
        <x:v>6746</x:v>
      </x:c>
      <x:c r="G927" s="2" t="str">
        <x:v>WITHIN_BAND</x:v>
      </x:c>
      <x:c r="H927" s="2" t="n">
        <x:v>1</x:v>
      </x:c>
      <x:c r="I927" s="2"/>
      <x:c r="J927" s="2"/>
      <x:c r="K927" s="2"/>
      <x:c r="L927" s="2" t="n">
        <x:f>SUM(IF('Monthly_Data'!A583=A927,IF(ISBLANK('Monthly_Data'!A583)=ISBLANK(A927),0,1),1),IF('Monthly_Data'!B583=B927,IF(ISBLANK('Monthly_Data'!B583)=ISBLANK(B927),0,1),1),IF('Monthly_Data'!C583=C927,IF(ISBLANK('Monthly_Data'!C583)=ISBLANK(C927),0,1),1),IF('Monthly_Data'!D583=D927,IF(ISBLANK('Monthly_Data'!D583)=ISBLANK(D927),0,1),1),IF('Monthly_Data'!E583=E927,IF(ISBLANK('Monthly_Data'!E583)=ISBLANK(E927),0,1),1),IF('Monthly_Data'!F583=F927,IF(ISBLANK('Monthly_Data'!F583)=ISBLANK(F927),0,1),1),IF('Monthly_Data'!G583=G927,IF(ISBLANK('Monthly_Data'!G583)=ISBLANK(G927),0,1),1),IF('Monthly_Data'!H583=H927,IF(ISBLANK('Monthly_Data'!H583)=ISBLANK(H927),0,1),1))</x:f>
        <x:v>0</x:v>
      </x:c>
    </x:row>
    <x:row r="928" ht="23" customHeight="1">
      <x:c r="A928" s="2" t="str">
        <x:v>62044300_PK_202605_IMPORT</x:v>
      </x:c>
      <x:c r="B928" s="2" t="n">
        <x:v>202605</x:v>
      </x:c>
      <x:c r="C928" s="2" t="str">
        <x:v>62044300</x:v>
      </x:c>
      <x:c r="D928" s="2" t="str">
        <x:v>Pakistan</x:v>
      </x:c>
      <x:c r="E928" s="2" t="n">
        <x:v>42237</x:v>
      </x:c>
      <x:c r="F928" s="2" t="n">
        <x:v>1893</x:v>
      </x:c>
      <x:c r="G928" s="2" t="str">
        <x:v>WITHIN_BAND</x:v>
      </x:c>
      <x:c r="H928" s="2" t="n">
        <x:v>1</x:v>
      </x:c>
      <x:c r="I928" s="2"/>
      <x:c r="J928" s="2"/>
      <x:c r="K928" s="2"/>
      <x:c r="L928" s="2" t="n">
        <x:f>SUM(IF('Monthly_Data'!A584=A928,IF(ISBLANK('Monthly_Data'!A584)=ISBLANK(A928),0,1),1),IF('Monthly_Data'!B584=B928,IF(ISBLANK('Monthly_Data'!B584)=ISBLANK(B928),0,1),1),IF('Monthly_Data'!C584=C928,IF(ISBLANK('Monthly_Data'!C584)=ISBLANK(C928),0,1),1),IF('Monthly_Data'!D584=D928,IF(ISBLANK('Monthly_Data'!D584)=ISBLANK(D928),0,1),1),IF('Monthly_Data'!E584=E928,IF(ISBLANK('Monthly_Data'!E584)=ISBLANK(E928),0,1),1),IF('Monthly_Data'!F584=F928,IF(ISBLANK('Monthly_Data'!F584)=ISBLANK(F928),0,1),1),IF('Monthly_Data'!G584=G928,IF(ISBLANK('Monthly_Data'!G584)=ISBLANK(G928),0,1),1),IF('Monthly_Data'!H584=H928,IF(ISBLANK('Monthly_Data'!H584)=ISBLANK(H928),0,1),1))</x:f>
        <x:v>0</x:v>
      </x:c>
    </x:row>
    <x:row r="929" ht="23" customHeight="1">
      <x:c r="A929" s="2" t="str">
        <x:v>62044300_LK_202605_IMPORT</x:v>
      </x:c>
      <x:c r="B929" s="2" t="n">
        <x:v>202605</x:v>
      </x:c>
      <x:c r="C929" s="2" t="str">
        <x:v>62044300</x:v>
      </x:c>
      <x:c r="D929" s="2" t="str">
        <x:v>Sri Lanka</x:v>
      </x:c>
      <x:c r="E929" s="2" t="n">
        <x:v>1529655</x:v>
      </x:c>
      <x:c r="F929" s="2" t="n">
        <x:v>74521</x:v>
      </x:c>
      <x:c r="G929" s="2" t="str">
        <x:v>WITHIN_BAND</x:v>
      </x:c>
      <x:c r="H929" s="2" t="n">
        <x:v>1</x:v>
      </x:c>
      <x:c r="I929" s="2"/>
      <x:c r="J929" s="2"/>
      <x:c r="K929" s="2"/>
      <x:c r="L929" s="2" t="n">
        <x:f>SUM(IF('Monthly_Data'!A585=A929,IF(ISBLANK('Monthly_Data'!A585)=ISBLANK(A929),0,1),1),IF('Monthly_Data'!B585=B929,IF(ISBLANK('Monthly_Data'!B585)=ISBLANK(B929),0,1),1),IF('Monthly_Data'!C585=C929,IF(ISBLANK('Monthly_Data'!C585)=ISBLANK(C929),0,1),1),IF('Monthly_Data'!D585=D929,IF(ISBLANK('Monthly_Data'!D585)=ISBLANK(D929),0,1),1),IF('Monthly_Data'!E585=E929,IF(ISBLANK('Monthly_Data'!E585)=ISBLANK(E929),0,1),1),IF('Monthly_Data'!F585=F929,IF(ISBLANK('Monthly_Data'!F585)=ISBLANK(F929),0,1),1),IF('Monthly_Data'!G585=G929,IF(ISBLANK('Monthly_Data'!G585)=ISBLANK(G929),0,1),1),IF('Monthly_Data'!H585=H929,IF(ISBLANK('Monthly_Data'!H585)=ISBLANK(H929),0,1),1))</x:f>
        <x:v>0</x:v>
      </x:c>
    </x:row>
    <x:row r="930" ht="23" customHeight="1">
      <x:c r="A930" s="2" t="str">
        <x:v>62044300_TR_202605_IMPORT</x:v>
      </x:c>
      <x:c r="B930" s="2" t="n">
        <x:v>202605</x:v>
      </x:c>
      <x:c r="C930" s="2" t="str">
        <x:v>62044300</x:v>
      </x:c>
      <x:c r="D930" s="2" t="str">
        <x:v>Turkey</x:v>
      </x:c>
      <x:c r="E930" s="2" t="n">
        <x:v>273975</x:v>
      </x:c>
      <x:c r="F930" s="2" t="n">
        <x:v>7229</x:v>
      </x:c>
      <x:c r="G930" s="2" t="str">
        <x:v>WITHIN_BAND</x:v>
      </x:c>
      <x:c r="H930" s="2" t="n">
        <x:v>1</x:v>
      </x:c>
      <x:c r="I930" s="2"/>
      <x:c r="J930" s="2"/>
      <x:c r="K930" s="2"/>
      <x:c r="L930" s="2" t="n">
        <x:f>SUM(IF('Monthly_Data'!A586=A930,IF(ISBLANK('Monthly_Data'!A586)=ISBLANK(A930),0,1),1),IF('Monthly_Data'!B586=B930,IF(ISBLANK('Monthly_Data'!B586)=ISBLANK(B930),0,1),1),IF('Monthly_Data'!C586=C930,IF(ISBLANK('Monthly_Data'!C586)=ISBLANK(C930),0,1),1),IF('Monthly_Data'!D586=D930,IF(ISBLANK('Monthly_Data'!D586)=ISBLANK(D930),0,1),1),IF('Monthly_Data'!E586=E930,IF(ISBLANK('Monthly_Data'!E586)=ISBLANK(E930),0,1),1),IF('Monthly_Data'!F586=F930,IF(ISBLANK('Monthly_Data'!F586)=ISBLANK(F930),0,1),1),IF('Monthly_Data'!G586=G930,IF(ISBLANK('Monthly_Data'!G586)=ISBLANK(G930),0,1),1),IF('Monthly_Data'!H586=H930,IF(ISBLANK('Monthly_Data'!H586)=ISBLANK(H930),0,1),1))</x:f>
        <x:v>0</x:v>
      </x:c>
    </x:row>
    <x:row r="931" ht="23" customHeight="1">
      <x:c r="A931" s="2" t="str">
        <x:v>62044300_VN_202605_IMPORT</x:v>
      </x:c>
      <x:c r="B931" s="2" t="n">
        <x:v>202605</x:v>
      </x:c>
      <x:c r="C931" s="2" t="str">
        <x:v>62044300</x:v>
      </x:c>
      <x:c r="D931" s="2" t="str">
        <x:v>Vietnam</x:v>
      </x:c>
      <x:c r="E931" s="2" t="n">
        <x:v>709745</x:v>
      </x:c>
      <x:c r="F931" s="2" t="n">
        <x:v>34194</x:v>
      </x:c>
      <x:c r="G931" s="2" t="str">
        <x:v>WITHIN_BAND</x:v>
      </x:c>
      <x:c r="H931" s="2" t="n">
        <x:v>1</x:v>
      </x:c>
      <x:c r="I931" s="2"/>
      <x:c r="J931" s="2"/>
      <x:c r="K931" s="2"/>
      <x:c r="L931" s="2" t="n">
        <x:f>SUM(IF('Monthly_Data'!A587=A931,IF(ISBLANK('Monthly_Data'!A587)=ISBLANK(A931),0,1),1),IF('Monthly_Data'!B587=B931,IF(ISBLANK('Monthly_Data'!B587)=ISBLANK(B931),0,1),1),IF('Monthly_Data'!C587=C931,IF(ISBLANK('Monthly_Data'!C587)=ISBLANK(C931),0,1),1),IF('Monthly_Data'!D587=D931,IF(ISBLANK('Monthly_Data'!D587)=ISBLANK(D931),0,1),1),IF('Monthly_Data'!E587=E931,IF(ISBLANK('Monthly_Data'!E587)=ISBLANK(E931),0,1),1),IF('Monthly_Data'!F587=F931,IF(ISBLANK('Monthly_Data'!F587)=ISBLANK(F931),0,1),1),IF('Monthly_Data'!G587=G931,IF(ISBLANK('Monthly_Data'!G587)=ISBLANK(G931),0,1),1),IF('Monthly_Data'!H587=H931,IF(ISBLANK('Monthly_Data'!H587)=ISBLANK(H931),0,1),1))</x:f>
        <x:v>0</x:v>
      </x:c>
    </x:row>
    <x:row r="932" ht="23" customHeight="1">
      <x:c r="A932" s="2" t="str">
        <x:v>62044300_WORLD_202605_IMPORT</x:v>
      </x:c>
      <x:c r="B932" s="2" t="n">
        <x:v>202605</x:v>
      </x:c>
      <x:c r="C932" s="2" t="str">
        <x:v>62044300</x:v>
      </x:c>
      <x:c r="D932" s="2" t="str">
        <x:v>World</x:v>
      </x:c>
      <x:c r="E932" s="2" t="n">
        <x:v>29170442</x:v>
      </x:c>
      <x:c r="F932" s="2" t="n">
        <x:v>922618</x:v>
      </x:c>
      <x:c r="G932" s="2" t="str">
        <x:v>WITHIN_BAND</x:v>
      </x:c>
      <x:c r="H932" s="2" t="n">
        <x:v>1</x:v>
      </x:c>
      <x:c r="I932" s="2"/>
      <x:c r="J932" s="2"/>
      <x:c r="K932" s="2"/>
      <x:c r="L932" s="2" t="n">
        <x:f>SUM(IF('Monthly_Data'!A588=A932,IF(ISBLANK('Monthly_Data'!A588)=ISBLANK(A932),0,1),1),IF('Monthly_Data'!B588=B932,IF(ISBLANK('Monthly_Data'!B588)=ISBLANK(B932),0,1),1),IF('Monthly_Data'!C588=C932,IF(ISBLANK('Monthly_Data'!C588)=ISBLANK(C932),0,1),1),IF('Monthly_Data'!D588=D932,IF(ISBLANK('Monthly_Data'!D588)=ISBLANK(D932),0,1),1),IF('Monthly_Data'!E588=E932,IF(ISBLANK('Monthly_Data'!E588)=ISBLANK(E932),0,1),1),IF('Monthly_Data'!F588=F932,IF(ISBLANK('Monthly_Data'!F588)=ISBLANK(F932),0,1),1),IF('Monthly_Data'!G588=G932,IF(ISBLANK('Monthly_Data'!G588)=ISBLANK(G932),0,1),1),IF('Monthly_Data'!H588=H932,IF(ISBLANK('Monthly_Data'!H588)=ISBLANK(H932),0,1),1))</x:f>
        <x:v>0</x:v>
      </x:c>
    </x:row>
    <x:row r="933" ht="23" customHeight="1">
      <x:c r="A933" s="2" t="str">
        <x:v>62044300_BD_202606_IMPORT</x:v>
      </x:c>
      <x:c r="B933" s="2" t="n">
        <x:v>202606</x:v>
      </x:c>
      <x:c r="C933" s="2" t="str">
        <x:v>62044300</x:v>
      </x:c>
      <x:c r="D933" s="2" t="str">
        <x:v>Bangladesh</x:v>
      </x:c>
      <x:c r="E933" s="2" t="n">
        <x:v>1086185</x:v>
      </x:c>
      <x:c r="F933" s="2" t="n">
        <x:v>64453</x:v>
      </x:c>
      <x:c r="G933" s="2" t="str">
        <x:v>WITHIN_BAND</x:v>
      </x:c>
      <x:c r="H933" s="2" t="n">
        <x:v>1</x:v>
      </x:c>
      <x:c r="I933" s="2"/>
      <x:c r="J933" s="2"/>
      <x:c r="K933" s="2"/>
      <x:c r="L933" s="2" t="n">
        <x:f>SUM(IF('Monthly_Data'!A589=A933,IF(ISBLANK('Monthly_Data'!A589)=ISBLANK(A933),0,1),1),IF('Monthly_Data'!B589=B933,IF(ISBLANK('Monthly_Data'!B589)=ISBLANK(B933),0,1),1),IF('Monthly_Data'!C589=C933,IF(ISBLANK('Monthly_Data'!C589)=ISBLANK(C933),0,1),1),IF('Monthly_Data'!D589=D933,IF(ISBLANK('Monthly_Data'!D589)=ISBLANK(D933),0,1),1),IF('Monthly_Data'!E589=E933,IF(ISBLANK('Monthly_Data'!E589)=ISBLANK(E933),0,1),1),IF('Monthly_Data'!F589=F933,IF(ISBLANK('Monthly_Data'!F589)=ISBLANK(F933),0,1),1),IF('Monthly_Data'!G589=G933,IF(ISBLANK('Monthly_Data'!G589)=ISBLANK(G933),0,1),1),IF('Monthly_Data'!H589=H933,IF(ISBLANK('Monthly_Data'!H589)=ISBLANK(H933),0,1),1))</x:f>
        <x:v>0</x:v>
      </x:c>
    </x:row>
    <x:row r="934" ht="23" customHeight="1">
      <x:c r="A934" s="2" t="str">
        <x:v>62044300_KH_202606_IMPORT</x:v>
      </x:c>
      <x:c r="B934" s="2" t="n">
        <x:v>202606</x:v>
      </x:c>
      <x:c r="C934" s="2" t="str">
        <x:v>62044300</x:v>
      </x:c>
      <x:c r="D934" s="2" t="str">
        <x:v>Cambodia</x:v>
      </x:c>
      <x:c r="E934" s="2" t="n">
        <x:v>246481</x:v>
      </x:c>
      <x:c r="F934" s="2" t="n">
        <x:v>13251</x:v>
      </x:c>
      <x:c r="G934" s="2" t="str">
        <x:v>WITHIN_BAND</x:v>
      </x:c>
      <x:c r="H934" s="2" t="n">
        <x:v>1</x:v>
      </x:c>
      <x:c r="I934" s="2"/>
      <x:c r="J934" s="2"/>
      <x:c r="K934" s="2"/>
      <x:c r="L934" s="2" t="n">
        <x:f>SUM(IF('Monthly_Data'!A590=A934,IF(ISBLANK('Monthly_Data'!A590)=ISBLANK(A934),0,1),1),IF('Monthly_Data'!B590=B934,IF(ISBLANK('Monthly_Data'!B590)=ISBLANK(B934),0,1),1),IF('Monthly_Data'!C590=C934,IF(ISBLANK('Monthly_Data'!C590)=ISBLANK(C934),0,1),1),IF('Monthly_Data'!D590=D934,IF(ISBLANK('Monthly_Data'!D590)=ISBLANK(D934),0,1),1),IF('Monthly_Data'!E590=E934,IF(ISBLANK('Monthly_Data'!E590)=ISBLANK(E934),0,1),1),IF('Monthly_Data'!F590=F934,IF(ISBLANK('Monthly_Data'!F590)=ISBLANK(F934),0,1),1),IF('Monthly_Data'!G590=G934,IF(ISBLANK('Monthly_Data'!G590)=ISBLANK(G934),0,1),1),IF('Monthly_Data'!H590=H934,IF(ISBLANK('Monthly_Data'!H590)=ISBLANK(H934),0,1),1))</x:f>
        <x:v>0</x:v>
      </x:c>
    </x:row>
    <x:row r="935" ht="23" customHeight="1">
      <x:c r="A935" s="2" t="str">
        <x:v>62044300_CN_202606_IMPORT</x:v>
      </x:c>
      <x:c r="B935" s="2" t="n">
        <x:v>202606</x:v>
      </x:c>
      <x:c r="C935" s="2" t="str">
        <x:v>62044300</x:v>
      </x:c>
      <x:c r="D935" s="2" t="str">
        <x:v>China</x:v>
      </x:c>
      <x:c r="E935" s="2" t="n">
        <x:v>7407724</x:v>
      </x:c>
      <x:c r="F935" s="2" t="n">
        <x:v>249367</x:v>
      </x:c>
      <x:c r="G935" s="2" t="str">
        <x:v>WITHIN_BAND</x:v>
      </x:c>
      <x:c r="H935" s="2" t="n">
        <x:v>1</x:v>
      </x:c>
      <x:c r="I935" s="2"/>
      <x:c r="J935" s="2"/>
      <x:c r="K935" s="2"/>
      <x:c r="L935" s="2" t="n">
        <x:f>SUM(IF('Monthly_Data'!A591=A935,IF(ISBLANK('Monthly_Data'!A591)=ISBLANK(A935),0,1),1),IF('Monthly_Data'!B591=B935,IF(ISBLANK('Monthly_Data'!B591)=ISBLANK(B935),0,1),1),IF('Monthly_Data'!C591=C935,IF(ISBLANK('Monthly_Data'!C591)=ISBLANK(C935),0,1),1),IF('Monthly_Data'!D591=D935,IF(ISBLANK('Monthly_Data'!D591)=ISBLANK(D935),0,1),1),IF('Monthly_Data'!E591=E935,IF(ISBLANK('Monthly_Data'!E591)=ISBLANK(E935),0,1),1),IF('Monthly_Data'!F591=F935,IF(ISBLANK('Monthly_Data'!F591)=ISBLANK(F935),0,1),1),IF('Monthly_Data'!G591=G935,IF(ISBLANK('Monthly_Data'!G591)=ISBLANK(G935),0,1),1),IF('Monthly_Data'!H591=H935,IF(ISBLANK('Monthly_Data'!H591)=ISBLANK(H935),0,1),1))</x:f>
        <x:v>0</x:v>
      </x:c>
    </x:row>
    <x:row r="936" ht="23" customHeight="1">
      <x:c r="A936" s="2" t="str">
        <x:v>62044300_IN_202606_IMPORT</x:v>
      </x:c>
      <x:c r="B936" s="2" t="n">
        <x:v>202606</x:v>
      </x:c>
      <x:c r="C936" s="2" t="str">
        <x:v>62044300</x:v>
      </x:c>
      <x:c r="D936" s="2" t="str">
        <x:v>India</x:v>
      </x:c>
      <x:c r="E936" s="2" t="n">
        <x:v>2230522</x:v>
      </x:c>
      <x:c r="F936" s="2" t="n">
        <x:v>75570</x:v>
      </x:c>
      <x:c r="G936" s="2" t="str">
        <x:v>WITHIN_BAND</x:v>
      </x:c>
      <x:c r="H936" s="2" t="n">
        <x:v>1</x:v>
      </x:c>
      <x:c r="I936" s="2"/>
      <x:c r="J936" s="2"/>
      <x:c r="K936" s="2"/>
      <x:c r="L936" s="2" t="n">
        <x:f>SUM(IF('Monthly_Data'!A592=A936,IF(ISBLANK('Monthly_Data'!A592)=ISBLANK(A936),0,1),1),IF('Monthly_Data'!B592=B936,IF(ISBLANK('Monthly_Data'!B592)=ISBLANK(B936),0,1),1),IF('Monthly_Data'!C592=C936,IF(ISBLANK('Monthly_Data'!C592)=ISBLANK(C936),0,1),1),IF('Monthly_Data'!D592=D936,IF(ISBLANK('Monthly_Data'!D592)=ISBLANK(D936),0,1),1),IF('Monthly_Data'!E592=E936,IF(ISBLANK('Monthly_Data'!E592)=ISBLANK(E936),0,1),1),IF('Monthly_Data'!F592=F936,IF(ISBLANK('Monthly_Data'!F592)=ISBLANK(F936),0,1),1),IF('Monthly_Data'!G592=G936,IF(ISBLANK('Monthly_Data'!G592)=ISBLANK(G936),0,1),1),IF('Monthly_Data'!H592=H936,IF(ISBLANK('Monthly_Data'!H592)=ISBLANK(H936),0,1),1))</x:f>
        <x:v>0</x:v>
      </x:c>
    </x:row>
    <x:row r="937" ht="23" customHeight="1">
      <x:c r="A937" s="2" t="str">
        <x:v>62044300_MA_202606_IMPORT</x:v>
      </x:c>
      <x:c r="B937" s="2" t="n">
        <x:v>202606</x:v>
      </x:c>
      <x:c r="C937" s="2" t="str">
        <x:v>62044300</x:v>
      </x:c>
      <x:c r="D937" s="2" t="str">
        <x:v>Morocco</x:v>
      </x:c>
      <x:c r="E937" s="2" t="n">
        <x:v>1720368</x:v>
      </x:c>
      <x:c r="F937" s="2" t="n">
        <x:v>71191</x:v>
      </x:c>
      <x:c r="G937" s="2" t="str">
        <x:v>WITHIN_BAND</x:v>
      </x:c>
      <x:c r="H937" s="2" t="n">
        <x:v>1</x:v>
      </x:c>
      <x:c r="I937" s="2"/>
      <x:c r="J937" s="2"/>
      <x:c r="K937" s="2"/>
      <x:c r="L937" s="2" t="n">
        <x:f>SUM(IF('Monthly_Data'!A593=A937,IF(ISBLANK('Monthly_Data'!A593)=ISBLANK(A937),0,1),1),IF('Monthly_Data'!B593=B937,IF(ISBLANK('Monthly_Data'!B593)=ISBLANK(B937),0,1),1),IF('Monthly_Data'!C593=C937,IF(ISBLANK('Monthly_Data'!C593)=ISBLANK(C937),0,1),1),IF('Monthly_Data'!D593=D937,IF(ISBLANK('Monthly_Data'!D593)=ISBLANK(D937),0,1),1),IF('Monthly_Data'!E593=E937,IF(ISBLANK('Monthly_Data'!E593)=ISBLANK(E937),0,1),1),IF('Monthly_Data'!F593=F937,IF(ISBLANK('Monthly_Data'!F593)=ISBLANK(F937),0,1),1),IF('Monthly_Data'!G593=G937,IF(ISBLANK('Monthly_Data'!G593)=ISBLANK(G937),0,1),1),IF('Monthly_Data'!H593=H937,IF(ISBLANK('Monthly_Data'!H593)=ISBLANK(H937),0,1),1))</x:f>
        <x:v>0</x:v>
      </x:c>
    </x:row>
    <x:row r="938" ht="23" customHeight="1">
      <x:c r="A938" s="2" t="str">
        <x:v>62044300_MM_202606_IMPORT</x:v>
      </x:c>
      <x:c r="B938" s="2" t="n">
        <x:v>202606</x:v>
      </x:c>
      <x:c r="C938" s="2" t="str">
        <x:v>62044300</x:v>
      </x:c>
      <x:c r="D938" s="2" t="str">
        <x:v>Myanmar</x:v>
      </x:c>
      <x:c r="E938" s="2" t="n">
        <x:v>309987</x:v>
      </x:c>
      <x:c r="F938" s="2" t="n">
        <x:v>4365</x:v>
      </x:c>
      <x:c r="G938" s="2" t="str">
        <x:v>WITHIN_BAND</x:v>
      </x:c>
      <x:c r="H938" s="2" t="n">
        <x:v>1</x:v>
      </x:c>
      <x:c r="I938" s="2"/>
      <x:c r="J938" s="2"/>
      <x:c r="K938" s="2"/>
      <x:c r="L938" s="2" t="n">
        <x:f>SUM(IF('Monthly_Data'!A594=A938,IF(ISBLANK('Monthly_Data'!A594)=ISBLANK(A938),0,1),1),IF('Monthly_Data'!B594=B938,IF(ISBLANK('Monthly_Data'!B594)=ISBLANK(B938),0,1),1),IF('Monthly_Data'!C594=C938,IF(ISBLANK('Monthly_Data'!C594)=ISBLANK(C938),0,1),1),IF('Monthly_Data'!D594=D938,IF(ISBLANK('Monthly_Data'!D594)=ISBLANK(D938),0,1),1),IF('Monthly_Data'!E594=E938,IF(ISBLANK('Monthly_Data'!E594)=ISBLANK(E938),0,1),1),IF('Monthly_Data'!F594=F938,IF(ISBLANK('Monthly_Data'!F594)=ISBLANK(F938),0,1),1),IF('Monthly_Data'!G594=G938,IF(ISBLANK('Monthly_Data'!G594)=ISBLANK(G938),0,1),1),IF('Monthly_Data'!H594=H938,IF(ISBLANK('Monthly_Data'!H594)=ISBLANK(H938),0,1),1))</x:f>
        <x:v>0</x:v>
      </x:c>
    </x:row>
    <x:row r="939" ht="23" customHeight="1">
      <x:c r="A939" s="2" t="str">
        <x:v>62044300_PK_202606_IMPORT</x:v>
      </x:c>
      <x:c r="B939" s="2" t="n">
        <x:v>202606</x:v>
      </x:c>
      <x:c r="C939" s="2" t="str">
        <x:v>62044300</x:v>
      </x:c>
      <x:c r="D939" s="2" t="str">
        <x:v>Pakistan</x:v>
      </x:c>
      <x:c r="E939" s="2" t="n">
        <x:v>33262</x:v>
      </x:c>
      <x:c r="F939" s="2" t="n">
        <x:v>1536</x:v>
      </x:c>
      <x:c r="G939" s="2" t="str">
        <x:v>WITHIN_BAND</x:v>
      </x:c>
      <x:c r="H939" s="2" t="n">
        <x:v>1</x:v>
      </x:c>
      <x:c r="I939" s="2"/>
      <x:c r="J939" s="2"/>
      <x:c r="K939" s="2"/>
      <x:c r="L939" s="2" t="n">
        <x:f>SUM(IF('Monthly_Data'!A595=A939,IF(ISBLANK('Monthly_Data'!A595)=ISBLANK(A939),0,1),1),IF('Monthly_Data'!B595=B939,IF(ISBLANK('Monthly_Data'!B595)=ISBLANK(B939),0,1),1),IF('Monthly_Data'!C595=C939,IF(ISBLANK('Monthly_Data'!C595)=ISBLANK(C939),0,1),1),IF('Monthly_Data'!D595=D939,IF(ISBLANK('Monthly_Data'!D595)=ISBLANK(D939),0,1),1),IF('Monthly_Data'!E595=E939,IF(ISBLANK('Monthly_Data'!E595)=ISBLANK(E939),0,1),1),IF('Monthly_Data'!F595=F939,IF(ISBLANK('Monthly_Data'!F595)=ISBLANK(F939),0,1),1),IF('Monthly_Data'!G595=G939,IF(ISBLANK('Monthly_Data'!G595)=ISBLANK(G939),0,1),1),IF('Monthly_Data'!H595=H939,IF(ISBLANK('Monthly_Data'!H595)=ISBLANK(H939),0,1),1))</x:f>
        <x:v>0</x:v>
      </x:c>
    </x:row>
    <x:row r="940" ht="23" customHeight="1">
      <x:c r="A940" s="2" t="str">
        <x:v>62044300_LK_202606_IMPORT</x:v>
      </x:c>
      <x:c r="B940" s="2" t="n">
        <x:v>202606</x:v>
      </x:c>
      <x:c r="C940" s="2" t="str">
        <x:v>62044300</x:v>
      </x:c>
      <x:c r="D940" s="2" t="str">
        <x:v>Sri Lanka</x:v>
      </x:c>
      <x:c r="E940" s="2" t="n">
        <x:v>948451</x:v>
      </x:c>
      <x:c r="F940" s="2" t="n">
        <x:v>45663</x:v>
      </x:c>
      <x:c r="G940" s="2" t="str">
        <x:v>WITHIN_BAND</x:v>
      </x:c>
      <x:c r="H940" s="2" t="n">
        <x:v>1</x:v>
      </x:c>
      <x:c r="I940" s="2"/>
      <x:c r="J940" s="2"/>
      <x:c r="K940" s="2"/>
      <x:c r="L940" s="2" t="n">
        <x:f>SUM(IF('Monthly_Data'!A596=A940,IF(ISBLANK('Monthly_Data'!A596)=ISBLANK(A940),0,1),1),IF('Monthly_Data'!B596=B940,IF(ISBLANK('Monthly_Data'!B596)=ISBLANK(B940),0,1),1),IF('Monthly_Data'!C596=C940,IF(ISBLANK('Monthly_Data'!C596)=ISBLANK(C940),0,1),1),IF('Monthly_Data'!D596=D940,IF(ISBLANK('Monthly_Data'!D596)=ISBLANK(D940),0,1),1),IF('Monthly_Data'!E596=E940,IF(ISBLANK('Monthly_Data'!E596)=ISBLANK(E940),0,1),1),IF('Monthly_Data'!F596=F940,IF(ISBLANK('Monthly_Data'!F596)=ISBLANK(F940),0,1),1),IF('Monthly_Data'!G596=G940,IF(ISBLANK('Monthly_Data'!G596)=ISBLANK(G940),0,1),1),IF('Monthly_Data'!H596=H940,IF(ISBLANK('Monthly_Data'!H596)=ISBLANK(H940),0,1),1))</x:f>
        <x:v>0</x:v>
      </x:c>
    </x:row>
    <x:row r="941" ht="23" customHeight="1">
      <x:c r="A941" s="2" t="str">
        <x:v>62044300_TR_202606_IMPORT</x:v>
      </x:c>
      <x:c r="B941" s="2" t="n">
        <x:v>202606</x:v>
      </x:c>
      <x:c r="C941" s="2" t="str">
        <x:v>62044300</x:v>
      </x:c>
      <x:c r="D941" s="2" t="str">
        <x:v>Turkey</x:v>
      </x:c>
      <x:c r="E941" s="2" t="n">
        <x:v>839239</x:v>
      </x:c>
      <x:c r="F941" s="2" t="n">
        <x:v>14304</x:v>
      </x:c>
      <x:c r="G941" s="2" t="str">
        <x:v>WITHIN_BAND</x:v>
      </x:c>
      <x:c r="H941" s="2" t="n">
        <x:v>1</x:v>
      </x:c>
      <x:c r="I941" s="2"/>
      <x:c r="J941" s="2"/>
      <x:c r="K941" s="2"/>
      <x:c r="L941" s="2" t="n">
        <x:f>SUM(IF('Monthly_Data'!A597=A941,IF(ISBLANK('Monthly_Data'!A597)=ISBLANK(A941),0,1),1),IF('Monthly_Data'!B597=B941,IF(ISBLANK('Monthly_Data'!B597)=ISBLANK(B941),0,1),1),IF('Monthly_Data'!C597=C941,IF(ISBLANK('Monthly_Data'!C597)=ISBLANK(C941),0,1),1),IF('Monthly_Data'!D597=D941,IF(ISBLANK('Monthly_Data'!D597)=ISBLANK(D941),0,1),1),IF('Monthly_Data'!E597=E941,IF(ISBLANK('Monthly_Data'!E597)=ISBLANK(E941),0,1),1),IF('Monthly_Data'!F597=F941,IF(ISBLANK('Monthly_Data'!F597)=ISBLANK(F941),0,1),1),IF('Monthly_Data'!G597=G941,IF(ISBLANK('Monthly_Data'!G597)=ISBLANK(G941),0,1),1),IF('Monthly_Data'!H597=H941,IF(ISBLANK('Monthly_Data'!H597)=ISBLANK(H941),0,1),1))</x:f>
        <x:v>0</x:v>
      </x:c>
    </x:row>
    <x:row r="942" ht="23" customHeight="1">
      <x:c r="A942" s="2" t="str">
        <x:v>62044300_VN_202606_IMPORT</x:v>
      </x:c>
      <x:c r="B942" s="2" t="n">
        <x:v>202606</x:v>
      </x:c>
      <x:c r="C942" s="2" t="str">
        <x:v>62044300</x:v>
      </x:c>
      <x:c r="D942" s="2" t="str">
        <x:v>Vietnam</x:v>
      </x:c>
      <x:c r="E942" s="2" t="n">
        <x:v>476093</x:v>
      </x:c>
      <x:c r="F942" s="2" t="n">
        <x:v>19607</x:v>
      </x:c>
      <x:c r="G942" s="2" t="str">
        <x:v>WITHIN_BAND</x:v>
      </x:c>
      <x:c r="H942" s="2" t="n">
        <x:v>1</x:v>
      </x:c>
      <x:c r="I942" s="2"/>
      <x:c r="J942" s="2"/>
      <x:c r="K942" s="2"/>
      <x:c r="L942" s="2" t="n">
        <x:f>SUM(IF('Monthly_Data'!A598=A942,IF(ISBLANK('Monthly_Data'!A598)=ISBLANK(A942),0,1),1),IF('Monthly_Data'!B598=B942,IF(ISBLANK('Monthly_Data'!B598)=ISBLANK(B942),0,1),1),IF('Monthly_Data'!C598=C942,IF(ISBLANK('Monthly_Data'!C598)=ISBLANK(C942),0,1),1),IF('Monthly_Data'!D598=D942,IF(ISBLANK('Monthly_Data'!D598)=ISBLANK(D942),0,1),1),IF('Monthly_Data'!E598=E942,IF(ISBLANK('Monthly_Data'!E598)=ISBLANK(E942),0,1),1),IF('Monthly_Data'!F598=F942,IF(ISBLANK('Monthly_Data'!F598)=ISBLANK(F942),0,1),1),IF('Monthly_Data'!G598=G942,IF(ISBLANK('Monthly_Data'!G598)=ISBLANK(G942),0,1),1),IF('Monthly_Data'!H598=H942,IF(ISBLANK('Monthly_Data'!H598)=ISBLANK(H942),0,1),1))</x:f>
        <x:v>0</x:v>
      </x:c>
    </x:row>
    <x:row r="943" ht="23" customHeight="1">
      <x:c r="A943" s="2" t="str">
        <x:v>62044300_WORLD_202606_IMPORT</x:v>
      </x:c>
      <x:c r="B943" s="2" t="n">
        <x:v>202606</x:v>
      </x:c>
      <x:c r="C943" s="2" t="str">
        <x:v>62044300</x:v>
      </x:c>
      <x:c r="D943" s="2" t="str">
        <x:v>World</x:v>
      </x:c>
      <x:c r="E943" s="2" t="n">
        <x:v>26802445</x:v>
      </x:c>
      <x:c r="F943" s="2" t="n">
        <x:v>814051</x:v>
      </x:c>
      <x:c r="G943" s="2" t="str">
        <x:v>WITHIN_BAND</x:v>
      </x:c>
      <x:c r="H943" s="2" t="n">
        <x:v>1</x:v>
      </x:c>
      <x:c r="I943" s="2"/>
      <x:c r="J943" s="2"/>
      <x:c r="K943" s="2"/>
      <x:c r="L943" s="2" t="n">
        <x:f>SUM(IF('Monthly_Data'!A599=A943,IF(ISBLANK('Monthly_Data'!A599)=ISBLANK(A943),0,1),1),IF('Monthly_Data'!B599=B943,IF(ISBLANK('Monthly_Data'!B599)=ISBLANK(B943),0,1),1),IF('Monthly_Data'!C599=C943,IF(ISBLANK('Monthly_Data'!C599)=ISBLANK(C943),0,1),1),IF('Monthly_Data'!D599=D943,IF(ISBLANK('Monthly_Data'!D599)=ISBLANK(D943),0,1),1),IF('Monthly_Data'!E599=E943,IF(ISBLANK('Monthly_Data'!E599)=ISBLANK(E943),0,1),1),IF('Monthly_Data'!F599=F943,IF(ISBLANK('Monthly_Data'!F599)=ISBLANK(F943),0,1),1),IF('Monthly_Data'!G599=G943,IF(ISBLANK('Monthly_Data'!G599)=ISBLANK(G943),0,1),1),IF('Monthly_Data'!H599=H943,IF(ISBLANK('Monthly_Data'!H599)=ISBLANK(H943),0,1),1))</x:f>
        <x:v>0</x:v>
      </x:c>
    </x:row>
    <x:row r="944" ht="23" customHeight="1">
      <x:c r="A944" s="2" t="str">
        <x:v>62052000_BD_202501_IMPORT</x:v>
      </x:c>
      <x:c r="B944" s="2" t="n">
        <x:v>202501</x:v>
      </x:c>
      <x:c r="C944" s="2" t="str">
        <x:v>62052000</x:v>
      </x:c>
      <x:c r="D944" s="2" t="str">
        <x:v>Bangladesh</x:v>
      </x:c>
      <x:c r="E944" s="2" t="n">
        <x:v>6513240</x:v>
      </x:c>
      <x:c r="F944" s="2" t="n">
        <x:v>356170</x:v>
      </x:c>
      <x:c r="G944" s="2" t="str">
        <x:v>WITHIN_BAND</x:v>
      </x:c>
      <x:c r="H944" s="2" t="n">
        <x:v>1</x:v>
      </x:c>
      <x:c r="I944" s="2"/>
      <x:c r="J944" s="2"/>
      <x:c r="K944" s="2"/>
      <x:c r="L944" s="2" t="n">
        <x:f>SUM(IF('Monthly_Data'!A600=A944,IF(ISBLANK('Monthly_Data'!A600)=ISBLANK(A944),0,1),1),IF('Monthly_Data'!B600=B944,IF(ISBLANK('Monthly_Data'!B600)=ISBLANK(B944),0,1),1),IF('Monthly_Data'!C600=C944,IF(ISBLANK('Monthly_Data'!C600)=ISBLANK(C944),0,1),1),IF('Monthly_Data'!D600=D944,IF(ISBLANK('Monthly_Data'!D600)=ISBLANK(D944),0,1),1),IF('Monthly_Data'!E600=E944,IF(ISBLANK('Monthly_Data'!E600)=ISBLANK(E944),0,1),1),IF('Monthly_Data'!F600=F944,IF(ISBLANK('Monthly_Data'!F600)=ISBLANK(F944),0,1),1),IF('Monthly_Data'!G600=G944,IF(ISBLANK('Monthly_Data'!G600)=ISBLANK(G944),0,1),1),IF('Monthly_Data'!H600=H944,IF(ISBLANK('Monthly_Data'!H600)=ISBLANK(H944),0,1),1))</x:f>
        <x:v>0</x:v>
      </x:c>
    </x:row>
    <x:row r="945" ht="23" customHeight="1">
      <x:c r="A945" s="2" t="str">
        <x:v>62052000_KH_202501_IMPORT</x:v>
      </x:c>
      <x:c r="B945" s="2" t="n">
        <x:v>202501</x:v>
      </x:c>
      <x:c r="C945" s="2" t="str">
        <x:v>62052000</x:v>
      </x:c>
      <x:c r="D945" s="2" t="str">
        <x:v>Cambodia</x:v>
      </x:c>
      <x:c r="E945" s="2" t="n">
        <x:v>405341</x:v>
      </x:c>
      <x:c r="F945" s="2" t="n">
        <x:v>13888</x:v>
      </x:c>
      <x:c r="G945" s="2" t="str">
        <x:v>WITHIN_BAND</x:v>
      </x:c>
      <x:c r="H945" s="2" t="n">
        <x:v>1</x:v>
      </x:c>
      <x:c r="I945" s="2"/>
      <x:c r="J945" s="2"/>
      <x:c r="K945" s="2"/>
      <x:c r="L945" s="2" t="n">
        <x:f>SUM(IF('Monthly_Data'!A601=A945,IF(ISBLANK('Monthly_Data'!A601)=ISBLANK(A945),0,1),1),IF('Monthly_Data'!B601=B945,IF(ISBLANK('Monthly_Data'!B601)=ISBLANK(B945),0,1),1),IF('Monthly_Data'!C601=C945,IF(ISBLANK('Monthly_Data'!C601)=ISBLANK(C945),0,1),1),IF('Monthly_Data'!D601=D945,IF(ISBLANK('Monthly_Data'!D601)=ISBLANK(D945),0,1),1),IF('Monthly_Data'!E601=E945,IF(ISBLANK('Monthly_Data'!E601)=ISBLANK(E945),0,1),1),IF('Monthly_Data'!F601=F945,IF(ISBLANK('Monthly_Data'!F601)=ISBLANK(F945),0,1),1),IF('Monthly_Data'!G601=G945,IF(ISBLANK('Monthly_Data'!G601)=ISBLANK(G945),0,1),1),IF('Monthly_Data'!H601=H945,IF(ISBLANK('Monthly_Data'!H601)=ISBLANK(H945),0,1),1))</x:f>
        <x:v>0</x:v>
      </x:c>
    </x:row>
    <x:row r="946" ht="23" customHeight="1">
      <x:c r="A946" s="2" t="str">
        <x:v>62052000_CN_202501_IMPORT</x:v>
      </x:c>
      <x:c r="B946" s="2" t="n">
        <x:v>202501</x:v>
      </x:c>
      <x:c r="C946" s="2" t="str">
        <x:v>62052000</x:v>
      </x:c>
      <x:c r="D946" s="2" t="str">
        <x:v>China</x:v>
      </x:c>
      <x:c r="E946" s="2" t="n">
        <x:v>1159999</x:v>
      </x:c>
      <x:c r="F946" s="2" t="n">
        <x:v>64293</x:v>
      </x:c>
      <x:c r="G946" s="2" t="str">
        <x:v>WITHIN_BAND</x:v>
      </x:c>
      <x:c r="H946" s="2" t="n">
        <x:v>1</x:v>
      </x:c>
      <x:c r="I946" s="2"/>
      <x:c r="J946" s="2"/>
      <x:c r="K946" s="2"/>
      <x:c r="L946" s="2" t="n">
        <x:f>SUM(IF('Monthly_Data'!A602=A946,IF(ISBLANK('Monthly_Data'!A602)=ISBLANK(A946),0,1),1),IF('Monthly_Data'!B602=B946,IF(ISBLANK('Monthly_Data'!B602)=ISBLANK(B946),0,1),1),IF('Monthly_Data'!C602=C946,IF(ISBLANK('Monthly_Data'!C602)=ISBLANK(C946),0,1),1),IF('Monthly_Data'!D602=D946,IF(ISBLANK('Monthly_Data'!D602)=ISBLANK(D946),0,1),1),IF('Monthly_Data'!E602=E946,IF(ISBLANK('Monthly_Data'!E602)=ISBLANK(E946),0,1),1),IF('Monthly_Data'!F602=F946,IF(ISBLANK('Monthly_Data'!F602)=ISBLANK(F946),0,1),1),IF('Monthly_Data'!G602=G946,IF(ISBLANK('Monthly_Data'!G602)=ISBLANK(G946),0,1),1),IF('Monthly_Data'!H602=H946,IF(ISBLANK('Monthly_Data'!H602)=ISBLANK(H946),0,1),1))</x:f>
        <x:v>0</x:v>
      </x:c>
    </x:row>
    <x:row r="947" ht="23" customHeight="1">
      <x:c r="A947" s="2" t="str">
        <x:v>62052000_IN_202501_IMPORT</x:v>
      </x:c>
      <x:c r="B947" s="2" t="n">
        <x:v>202501</x:v>
      </x:c>
      <x:c r="C947" s="2" t="str">
        <x:v>62052000</x:v>
      </x:c>
      <x:c r="D947" s="2" t="str">
        <x:v>India</x:v>
      </x:c>
      <x:c r="E947" s="2" t="n">
        <x:v>2105009</x:v>
      </x:c>
      <x:c r="F947" s="2" t="n">
        <x:v>95095</x:v>
      </x:c>
      <x:c r="G947" s="2" t="str">
        <x:v>WITHIN_BAND</x:v>
      </x:c>
      <x:c r="H947" s="2" t="n">
        <x:v>1</x:v>
      </x:c>
      <x:c r="I947" s="2"/>
      <x:c r="J947" s="2"/>
      <x:c r="K947" s="2"/>
      <x:c r="L947" s="2" t="n">
        <x:f>SUM(IF('Monthly_Data'!A603=A947,IF(ISBLANK('Monthly_Data'!A603)=ISBLANK(A947),0,1),1),IF('Monthly_Data'!B603=B947,IF(ISBLANK('Monthly_Data'!B603)=ISBLANK(B947),0,1),1),IF('Monthly_Data'!C603=C947,IF(ISBLANK('Monthly_Data'!C603)=ISBLANK(C947),0,1),1),IF('Monthly_Data'!D603=D947,IF(ISBLANK('Monthly_Data'!D603)=ISBLANK(D947),0,1),1),IF('Monthly_Data'!E603=E947,IF(ISBLANK('Monthly_Data'!E603)=ISBLANK(E947),0,1),1),IF('Monthly_Data'!F603=F947,IF(ISBLANK('Monthly_Data'!F603)=ISBLANK(F947),0,1),1),IF('Monthly_Data'!G603=G947,IF(ISBLANK('Monthly_Data'!G603)=ISBLANK(G947),0,1),1),IF('Monthly_Data'!H603=H947,IF(ISBLANK('Monthly_Data'!H603)=ISBLANK(H947),0,1),1))</x:f>
        <x:v>0</x:v>
      </x:c>
    </x:row>
    <x:row r="948" ht="23" customHeight="1">
      <x:c r="A948" s="2" t="str">
        <x:v>62052000_MA_202501_IMPORT</x:v>
      </x:c>
      <x:c r="B948" s="2" t="n">
        <x:v>202501</x:v>
      </x:c>
      <x:c r="C948" s="2" t="str">
        <x:v>62052000</x:v>
      </x:c>
      <x:c r="D948" s="2" t="str">
        <x:v>Morocco</x:v>
      </x:c>
      <x:c r="E948" s="2" t="n">
        <x:v>88209</x:v>
      </x:c>
      <x:c r="F948" s="2" t="n">
        <x:v>1784</x:v>
      </x:c>
      <x:c r="G948" s="2" t="str">
        <x:v>WITHIN_BAND</x:v>
      </x:c>
      <x:c r="H948" s="2" t="n">
        <x:v>1</x:v>
      </x:c>
      <x:c r="I948" s="2"/>
      <x:c r="J948" s="2"/>
      <x:c r="K948" s="2"/>
      <x:c r="L948" s="2" t="n">
        <x:f>SUM(IF('Monthly_Data'!A604=A948,IF(ISBLANK('Monthly_Data'!A604)=ISBLANK(A948),0,1),1),IF('Monthly_Data'!B604=B948,IF(ISBLANK('Monthly_Data'!B604)=ISBLANK(B948),0,1),1),IF('Monthly_Data'!C604=C948,IF(ISBLANK('Monthly_Data'!C604)=ISBLANK(C948),0,1),1),IF('Monthly_Data'!D604=D948,IF(ISBLANK('Monthly_Data'!D604)=ISBLANK(D948),0,1),1),IF('Monthly_Data'!E604=E948,IF(ISBLANK('Monthly_Data'!E604)=ISBLANK(E948),0,1),1),IF('Monthly_Data'!F604=F948,IF(ISBLANK('Monthly_Data'!F604)=ISBLANK(F948),0,1),1),IF('Monthly_Data'!G604=G948,IF(ISBLANK('Monthly_Data'!G604)=ISBLANK(G948),0,1),1),IF('Monthly_Data'!H604=H948,IF(ISBLANK('Monthly_Data'!H604)=ISBLANK(H948),0,1),1))</x:f>
        <x:v>0</x:v>
      </x:c>
    </x:row>
    <x:row r="949" ht="23" customHeight="1">
      <x:c r="A949" s="2" t="str">
        <x:v>62052000_MM_202501_IMPORT</x:v>
      </x:c>
      <x:c r="B949" s="2" t="n">
        <x:v>202501</x:v>
      </x:c>
      <x:c r="C949" s="2" t="str">
        <x:v>62052000</x:v>
      </x:c>
      <x:c r="D949" s="2" t="str">
        <x:v>Myanmar</x:v>
      </x:c>
      <x:c r="E949" s="2" t="n">
        <x:v>78782</x:v>
      </x:c>
      <x:c r="F949" s="2" t="n">
        <x:v>3468</x:v>
      </x:c>
      <x:c r="G949" s="2" t="str">
        <x:v>WITHIN_BAND</x:v>
      </x:c>
      <x:c r="H949" s="2" t="n">
        <x:v>1</x:v>
      </x:c>
      <x:c r="I949" s="2"/>
      <x:c r="J949" s="2"/>
      <x:c r="K949" s="2"/>
      <x:c r="L949" s="2" t="n">
        <x:f>SUM(IF('Monthly_Data'!A605=A949,IF(ISBLANK('Monthly_Data'!A605)=ISBLANK(A949),0,1),1),IF('Monthly_Data'!B605=B949,IF(ISBLANK('Monthly_Data'!B605)=ISBLANK(B949),0,1),1),IF('Monthly_Data'!C605=C949,IF(ISBLANK('Monthly_Data'!C605)=ISBLANK(C949),0,1),1),IF('Monthly_Data'!D605=D949,IF(ISBLANK('Monthly_Data'!D605)=ISBLANK(D949),0,1),1),IF('Monthly_Data'!E605=E949,IF(ISBLANK('Monthly_Data'!E605)=ISBLANK(E949),0,1),1),IF('Monthly_Data'!F605=F949,IF(ISBLANK('Monthly_Data'!F605)=ISBLANK(F949),0,1),1),IF('Monthly_Data'!G605=G949,IF(ISBLANK('Monthly_Data'!G605)=ISBLANK(G949),0,1),1),IF('Monthly_Data'!H605=H949,IF(ISBLANK('Monthly_Data'!H605)=ISBLANK(H949),0,1),1))</x:f>
        <x:v>0</x:v>
      </x:c>
    </x:row>
    <x:row r="950" ht="23" customHeight="1">
      <x:c r="A950" s="2" t="str">
        <x:v>62052000_PK_202501_IMPORT</x:v>
      </x:c>
      <x:c r="B950" s="2" t="n">
        <x:v>202501</x:v>
      </x:c>
      <x:c r="C950" s="2" t="str">
        <x:v>62052000</x:v>
      </x:c>
      <x:c r="D950" s="2" t="str">
        <x:v>Pakistan</x:v>
      </x:c>
      <x:c r="E950" s="2" t="n">
        <x:v>99448</x:v>
      </x:c>
      <x:c r="F950" s="2" t="n">
        <x:v>6704</x:v>
      </x:c>
      <x:c r="G950" s="2" t="str">
        <x:v>WITHIN_BAND</x:v>
      </x:c>
      <x:c r="H950" s="2" t="n">
        <x:v>1</x:v>
      </x:c>
      <x:c r="I950" s="2"/>
      <x:c r="J950" s="2"/>
      <x:c r="K950" s="2"/>
      <x:c r="L950" s="2" t="n">
        <x:f>SUM(IF('Monthly_Data'!A606=A950,IF(ISBLANK('Monthly_Data'!A606)=ISBLANK(A950),0,1),1),IF('Monthly_Data'!B606=B950,IF(ISBLANK('Monthly_Data'!B606)=ISBLANK(B950),0,1),1),IF('Monthly_Data'!C606=C950,IF(ISBLANK('Monthly_Data'!C606)=ISBLANK(C950),0,1),1),IF('Monthly_Data'!D606=D950,IF(ISBLANK('Monthly_Data'!D606)=ISBLANK(D950),0,1),1),IF('Monthly_Data'!E606=E950,IF(ISBLANK('Monthly_Data'!E606)=ISBLANK(E950),0,1),1),IF('Monthly_Data'!F606=F950,IF(ISBLANK('Monthly_Data'!F606)=ISBLANK(F950),0,1),1),IF('Monthly_Data'!G606=G950,IF(ISBLANK('Monthly_Data'!G606)=ISBLANK(G950),0,1),1),IF('Monthly_Data'!H606=H950,IF(ISBLANK('Monthly_Data'!H606)=ISBLANK(H950),0,1),1))</x:f>
        <x:v>0</x:v>
      </x:c>
    </x:row>
    <x:row r="951" ht="23" customHeight="1">
      <x:c r="A951" s="2" t="str">
        <x:v>62052000_LK_202501_IMPORT</x:v>
      </x:c>
      <x:c r="B951" s="2" t="n">
        <x:v>202501</x:v>
      </x:c>
      <x:c r="C951" s="2" t="str">
        <x:v>62052000</x:v>
      </x:c>
      <x:c r="D951" s="2" t="str">
        <x:v>Sri Lanka</x:v>
      </x:c>
      <x:c r="E951" s="2" t="n">
        <x:v>249407</x:v>
      </x:c>
      <x:c r="F951" s="2" t="n">
        <x:v>10914</x:v>
      </x:c>
      <x:c r="G951" s="2" t="str">
        <x:v>WITHIN_BAND</x:v>
      </x:c>
      <x:c r="H951" s="2" t="n">
        <x:v>1</x:v>
      </x:c>
      <x:c r="I951" s="2"/>
      <x:c r="J951" s="2"/>
      <x:c r="K951" s="2"/>
      <x:c r="L951" s="2" t="n">
        <x:f>SUM(IF('Monthly_Data'!A607=A951,IF(ISBLANK('Monthly_Data'!A607)=ISBLANK(A951),0,1),1),IF('Monthly_Data'!B607=B951,IF(ISBLANK('Monthly_Data'!B607)=ISBLANK(B951),0,1),1),IF('Monthly_Data'!C607=C951,IF(ISBLANK('Monthly_Data'!C607)=ISBLANK(C951),0,1),1),IF('Monthly_Data'!D607=D951,IF(ISBLANK('Monthly_Data'!D607)=ISBLANK(D951),0,1),1),IF('Monthly_Data'!E607=E951,IF(ISBLANK('Monthly_Data'!E607)=ISBLANK(E951),0,1),1),IF('Monthly_Data'!F607=F951,IF(ISBLANK('Monthly_Data'!F607)=ISBLANK(F951),0,1),1),IF('Monthly_Data'!G607=G951,IF(ISBLANK('Monthly_Data'!G607)=ISBLANK(G951),0,1),1),IF('Monthly_Data'!H607=H951,IF(ISBLANK('Monthly_Data'!H607)=ISBLANK(H951),0,1),1))</x:f>
        <x:v>0</x:v>
      </x:c>
    </x:row>
    <x:row r="952" ht="23" customHeight="1">
      <x:c r="A952" s="2" t="str">
        <x:v>62052000_TR_202501_IMPORT</x:v>
      </x:c>
      <x:c r="B952" s="2" t="n">
        <x:v>202501</x:v>
      </x:c>
      <x:c r="C952" s="2" t="str">
        <x:v>62052000</x:v>
      </x:c>
      <x:c r="D952" s="2" t="str">
        <x:v>Turkey</x:v>
      </x:c>
      <x:c r="E952" s="2" t="n">
        <x:v>1411460</x:v>
      </x:c>
      <x:c r="F952" s="2" t="n">
        <x:v>36603</x:v>
      </x:c>
      <x:c r="G952" s="2" t="str">
        <x:v>WITHIN_BAND</x:v>
      </x:c>
      <x:c r="H952" s="2" t="n">
        <x:v>1</x:v>
      </x:c>
      <x:c r="I952" s="2"/>
      <x:c r="J952" s="2"/>
      <x:c r="K952" s="2"/>
      <x:c r="L952" s="2" t="n">
        <x:f>SUM(IF('Monthly_Data'!A608=A952,IF(ISBLANK('Monthly_Data'!A608)=ISBLANK(A952),0,1),1),IF('Monthly_Data'!B608=B952,IF(ISBLANK('Monthly_Data'!B608)=ISBLANK(B952),0,1),1),IF('Monthly_Data'!C608=C952,IF(ISBLANK('Monthly_Data'!C608)=ISBLANK(C952),0,1),1),IF('Monthly_Data'!D608=D952,IF(ISBLANK('Monthly_Data'!D608)=ISBLANK(D952),0,1),1),IF('Monthly_Data'!E608=E952,IF(ISBLANK('Monthly_Data'!E608)=ISBLANK(E952),0,1),1),IF('Monthly_Data'!F608=F952,IF(ISBLANK('Monthly_Data'!F608)=ISBLANK(F952),0,1),1),IF('Monthly_Data'!G608=G952,IF(ISBLANK('Monthly_Data'!G608)=ISBLANK(G952),0,1),1),IF('Monthly_Data'!H608=H952,IF(ISBLANK('Monthly_Data'!H608)=ISBLANK(H952),0,1),1))</x:f>
        <x:v>0</x:v>
      </x:c>
    </x:row>
    <x:row r="953" ht="23" customHeight="1">
      <x:c r="A953" s="2" t="str">
        <x:v>62052000_VN_202501_IMPORT</x:v>
      </x:c>
      <x:c r="B953" s="2" t="n">
        <x:v>202501</x:v>
      </x:c>
      <x:c r="C953" s="2" t="str">
        <x:v>62052000</x:v>
      </x:c>
      <x:c r="D953" s="2" t="str">
        <x:v>Vietnam</x:v>
      </x:c>
      <x:c r="E953" s="2" t="n">
        <x:v>985149</x:v>
      </x:c>
      <x:c r="F953" s="2" t="n">
        <x:v>35235</x:v>
      </x:c>
      <x:c r="G953" s="2" t="str">
        <x:v>WITHIN_BAND</x:v>
      </x:c>
      <x:c r="H953" s="2" t="n">
        <x:v>1</x:v>
      </x:c>
      <x:c r="I953" s="2"/>
      <x:c r="J953" s="2"/>
      <x:c r="K953" s="2"/>
      <x:c r="L953" s="2" t="n">
        <x:f>SUM(IF('Monthly_Data'!A609=A953,IF(ISBLANK('Monthly_Data'!A609)=ISBLANK(A953),0,1),1),IF('Monthly_Data'!B609=B953,IF(ISBLANK('Monthly_Data'!B609)=ISBLANK(B953),0,1),1),IF('Monthly_Data'!C609=C953,IF(ISBLANK('Monthly_Data'!C609)=ISBLANK(C953),0,1),1),IF('Monthly_Data'!D609=D953,IF(ISBLANK('Monthly_Data'!D609)=ISBLANK(D953),0,1),1),IF('Monthly_Data'!E609=E953,IF(ISBLANK('Monthly_Data'!E609)=ISBLANK(E953),0,1),1),IF('Monthly_Data'!F609=F953,IF(ISBLANK('Monthly_Data'!F609)=ISBLANK(F953),0,1),1),IF('Monthly_Data'!G609=G953,IF(ISBLANK('Monthly_Data'!G609)=ISBLANK(G953),0,1),1),IF('Monthly_Data'!H609=H953,IF(ISBLANK('Monthly_Data'!H609)=ISBLANK(H953),0,1),1))</x:f>
        <x:v>0</x:v>
      </x:c>
    </x:row>
    <x:row r="954" ht="23" customHeight="1">
      <x:c r="A954" s="2" t="str">
        <x:v>62052000_WORLD_202501_IMPORT</x:v>
      </x:c>
      <x:c r="B954" s="2" t="n">
        <x:v>202501</x:v>
      </x:c>
      <x:c r="C954" s="2" t="str">
        <x:v>62052000</x:v>
      </x:c>
      <x:c r="D954" s="2" t="str">
        <x:v>World</x:v>
      </x:c>
      <x:c r="E954" s="2" t="n">
        <x:v>20170282</x:v>
      </x:c>
      <x:c r="F954" s="2" t="n">
        <x:v>744278</x:v>
      </x:c>
      <x:c r="G954" s="2" t="str">
        <x:v>WITHIN_BAND</x:v>
      </x:c>
      <x:c r="H954" s="2" t="n">
        <x:v>1</x:v>
      </x:c>
      <x:c r="I954" s="2"/>
      <x:c r="J954" s="2"/>
      <x:c r="K954" s="2"/>
      <x:c r="L954" s="2" t="n">
        <x:f>SUM(IF('Monthly_Data'!A610=A954,IF(ISBLANK('Monthly_Data'!A610)=ISBLANK(A954),0,1),1),IF('Monthly_Data'!B610=B954,IF(ISBLANK('Monthly_Data'!B610)=ISBLANK(B954),0,1),1),IF('Monthly_Data'!C610=C954,IF(ISBLANK('Monthly_Data'!C610)=ISBLANK(C954),0,1),1),IF('Monthly_Data'!D610=D954,IF(ISBLANK('Monthly_Data'!D610)=ISBLANK(D954),0,1),1),IF('Monthly_Data'!E610=E954,IF(ISBLANK('Monthly_Data'!E610)=ISBLANK(E954),0,1),1),IF('Monthly_Data'!F610=F954,IF(ISBLANK('Monthly_Data'!F610)=ISBLANK(F954),0,1),1),IF('Monthly_Data'!G610=G954,IF(ISBLANK('Monthly_Data'!G610)=ISBLANK(G954),0,1),1),IF('Monthly_Data'!H610=H954,IF(ISBLANK('Monthly_Data'!H610)=ISBLANK(H954),0,1),1))</x:f>
        <x:v>0</x:v>
      </x:c>
    </x:row>
    <x:row r="955" ht="23" customHeight="1">
      <x:c r="A955" s="2" t="str">
        <x:v>62052000_BD_202502_IMPORT</x:v>
      </x:c>
      <x:c r="B955" s="2" t="n">
        <x:v>202502</x:v>
      </x:c>
      <x:c r="C955" s="2" t="str">
        <x:v>62052000</x:v>
      </x:c>
      <x:c r="D955" s="2" t="str">
        <x:v>Bangladesh</x:v>
      </x:c>
      <x:c r="E955" s="2" t="n">
        <x:v>6404661</x:v>
      </x:c>
      <x:c r="F955" s="2" t="n">
        <x:v>325067</x:v>
      </x:c>
      <x:c r="G955" s="2" t="str">
        <x:v>WITHIN_BAND</x:v>
      </x:c>
      <x:c r="H955" s="2" t="n">
        <x:v>1</x:v>
      </x:c>
      <x:c r="I955" s="2"/>
      <x:c r="J955" s="2"/>
      <x:c r="K955" s="2"/>
      <x:c r="L955" s="2" t="n">
        <x:f>SUM(IF('Monthly_Data'!A611=A955,IF(ISBLANK('Monthly_Data'!A611)=ISBLANK(A955),0,1),1),IF('Monthly_Data'!B611=B955,IF(ISBLANK('Monthly_Data'!B611)=ISBLANK(B955),0,1),1),IF('Monthly_Data'!C611=C955,IF(ISBLANK('Monthly_Data'!C611)=ISBLANK(C955),0,1),1),IF('Monthly_Data'!D611=D955,IF(ISBLANK('Monthly_Data'!D611)=ISBLANK(D955),0,1),1),IF('Monthly_Data'!E611=E955,IF(ISBLANK('Monthly_Data'!E611)=ISBLANK(E955),0,1),1),IF('Monthly_Data'!F611=F955,IF(ISBLANK('Monthly_Data'!F611)=ISBLANK(F955),0,1),1),IF('Monthly_Data'!G611=G955,IF(ISBLANK('Monthly_Data'!G611)=ISBLANK(G955),0,1),1),IF('Monthly_Data'!H611=H955,IF(ISBLANK('Monthly_Data'!H611)=ISBLANK(H955),0,1),1))</x:f>
        <x:v>0</x:v>
      </x:c>
    </x:row>
    <x:row r="956" ht="23" customHeight="1">
      <x:c r="A956" s="2" t="str">
        <x:v>62052000_KH_202502_IMPORT</x:v>
      </x:c>
      <x:c r="B956" s="2" t="n">
        <x:v>202502</x:v>
      </x:c>
      <x:c r="C956" s="2" t="str">
        <x:v>62052000</x:v>
      </x:c>
      <x:c r="D956" s="2" t="str">
        <x:v>Cambodia</x:v>
      </x:c>
      <x:c r="E956" s="2" t="n">
        <x:v>836550</x:v>
      </x:c>
      <x:c r="F956" s="2" t="n">
        <x:v>44862</x:v>
      </x:c>
      <x:c r="G956" s="2" t="str">
        <x:v>WITHIN_BAND</x:v>
      </x:c>
      <x:c r="H956" s="2" t="n">
        <x:v>1</x:v>
      </x:c>
      <x:c r="I956" s="2"/>
      <x:c r="J956" s="2"/>
      <x:c r="K956" s="2"/>
      <x:c r="L956" s="2" t="n">
        <x:f>SUM(IF('Monthly_Data'!A612=A956,IF(ISBLANK('Monthly_Data'!A612)=ISBLANK(A956),0,1),1),IF('Monthly_Data'!B612=B956,IF(ISBLANK('Monthly_Data'!B612)=ISBLANK(B956),0,1),1),IF('Monthly_Data'!C612=C956,IF(ISBLANK('Monthly_Data'!C612)=ISBLANK(C956),0,1),1),IF('Monthly_Data'!D612=D956,IF(ISBLANK('Monthly_Data'!D612)=ISBLANK(D956),0,1),1),IF('Monthly_Data'!E612=E956,IF(ISBLANK('Monthly_Data'!E612)=ISBLANK(E956),0,1),1),IF('Monthly_Data'!F612=F956,IF(ISBLANK('Monthly_Data'!F612)=ISBLANK(F956),0,1),1),IF('Monthly_Data'!G612=G956,IF(ISBLANK('Monthly_Data'!G612)=ISBLANK(G956),0,1),1),IF('Monthly_Data'!H612=H956,IF(ISBLANK('Monthly_Data'!H612)=ISBLANK(H956),0,1),1))</x:f>
        <x:v>0</x:v>
      </x:c>
    </x:row>
    <x:row r="957" ht="23" customHeight="1">
      <x:c r="A957" s="2" t="str">
        <x:v>62052000_CN_202502_IMPORT</x:v>
      </x:c>
      <x:c r="B957" s="2" t="n">
        <x:v>202502</x:v>
      </x:c>
      <x:c r="C957" s="2" t="str">
        <x:v>62052000</x:v>
      </x:c>
      <x:c r="D957" s="2" t="str">
        <x:v>China</x:v>
      </x:c>
      <x:c r="E957" s="2" t="n">
        <x:v>1629350</x:v>
      </x:c>
      <x:c r="F957" s="2" t="n">
        <x:v>71392</x:v>
      </x:c>
      <x:c r="G957" s="2" t="str">
        <x:v>WITHIN_BAND</x:v>
      </x:c>
      <x:c r="H957" s="2" t="n">
        <x:v>1</x:v>
      </x:c>
      <x:c r="I957" s="2"/>
      <x:c r="J957" s="2"/>
      <x:c r="K957" s="2"/>
      <x:c r="L957" s="2" t="n">
        <x:f>SUM(IF('Monthly_Data'!A613=A957,IF(ISBLANK('Monthly_Data'!A613)=ISBLANK(A957),0,1),1),IF('Monthly_Data'!B613=B957,IF(ISBLANK('Monthly_Data'!B613)=ISBLANK(B957),0,1),1),IF('Monthly_Data'!C613=C957,IF(ISBLANK('Monthly_Data'!C613)=ISBLANK(C957),0,1),1),IF('Monthly_Data'!D613=D957,IF(ISBLANK('Monthly_Data'!D613)=ISBLANK(D957),0,1),1),IF('Monthly_Data'!E613=E957,IF(ISBLANK('Monthly_Data'!E613)=ISBLANK(E957),0,1),1),IF('Monthly_Data'!F613=F957,IF(ISBLANK('Monthly_Data'!F613)=ISBLANK(F957),0,1),1),IF('Monthly_Data'!G613=G957,IF(ISBLANK('Monthly_Data'!G613)=ISBLANK(G957),0,1),1),IF('Monthly_Data'!H613=H957,IF(ISBLANK('Monthly_Data'!H613)=ISBLANK(H957),0,1),1))</x:f>
        <x:v>0</x:v>
      </x:c>
    </x:row>
    <x:row r="958" ht="23" customHeight="1">
      <x:c r="A958" s="2" t="str">
        <x:v>62052000_IN_202502_IMPORT</x:v>
      </x:c>
      <x:c r="B958" s="2" t="n">
        <x:v>202502</x:v>
      </x:c>
      <x:c r="C958" s="2" t="str">
        <x:v>62052000</x:v>
      </x:c>
      <x:c r="D958" s="2" t="str">
        <x:v>India</x:v>
      </x:c>
      <x:c r="E958" s="2" t="n">
        <x:v>2315214</x:v>
      </x:c>
      <x:c r="F958" s="2" t="n">
        <x:v>102475</x:v>
      </x:c>
      <x:c r="G958" s="2" t="str">
        <x:v>WITHIN_BAND</x:v>
      </x:c>
      <x:c r="H958" s="2" t="n">
        <x:v>1</x:v>
      </x:c>
      <x:c r="I958" s="2"/>
      <x:c r="J958" s="2"/>
      <x:c r="K958" s="2"/>
      <x:c r="L958" s="2" t="n">
        <x:f>SUM(IF('Monthly_Data'!A614=A958,IF(ISBLANK('Monthly_Data'!A614)=ISBLANK(A958),0,1),1),IF('Monthly_Data'!B614=B958,IF(ISBLANK('Monthly_Data'!B614)=ISBLANK(B958),0,1),1),IF('Monthly_Data'!C614=C958,IF(ISBLANK('Monthly_Data'!C614)=ISBLANK(C958),0,1),1),IF('Monthly_Data'!D614=D958,IF(ISBLANK('Monthly_Data'!D614)=ISBLANK(D958),0,1),1),IF('Monthly_Data'!E614=E958,IF(ISBLANK('Monthly_Data'!E614)=ISBLANK(E958),0,1),1),IF('Monthly_Data'!F614=F958,IF(ISBLANK('Monthly_Data'!F614)=ISBLANK(F958),0,1),1),IF('Monthly_Data'!G614=G958,IF(ISBLANK('Monthly_Data'!G614)=ISBLANK(G958),0,1),1),IF('Monthly_Data'!H614=H958,IF(ISBLANK('Monthly_Data'!H614)=ISBLANK(H958),0,1),1))</x:f>
        <x:v>0</x:v>
      </x:c>
    </x:row>
    <x:row r="959" ht="23" customHeight="1">
      <x:c r="A959" s="2" t="str">
        <x:v>62052000_MA_202502_IMPORT</x:v>
      </x:c>
      <x:c r="B959" s="2" t="n">
        <x:v>202502</x:v>
      </x:c>
      <x:c r="C959" s="2" t="str">
        <x:v>62052000</x:v>
      </x:c>
      <x:c r="D959" s="2" t="str">
        <x:v>Morocco</x:v>
      </x:c>
      <x:c r="E959" s="2" t="n">
        <x:v>51318</x:v>
      </x:c>
      <x:c r="F959" s="2" t="n">
        <x:v>749</x:v>
      </x:c>
      <x:c r="G959" s="2" t="str">
        <x:v>WITHIN_BAND</x:v>
      </x:c>
      <x:c r="H959" s="2" t="n">
        <x:v>1</x:v>
      </x:c>
      <x:c r="I959" s="2"/>
      <x:c r="J959" s="2"/>
      <x:c r="K959" s="2"/>
      <x:c r="L959" s="2" t="n">
        <x:f>SUM(IF('Monthly_Data'!A615=A959,IF(ISBLANK('Monthly_Data'!A615)=ISBLANK(A959),0,1),1),IF('Monthly_Data'!B615=B959,IF(ISBLANK('Monthly_Data'!B615)=ISBLANK(B959),0,1),1),IF('Monthly_Data'!C615=C959,IF(ISBLANK('Monthly_Data'!C615)=ISBLANK(C959),0,1),1),IF('Monthly_Data'!D615=D959,IF(ISBLANK('Monthly_Data'!D615)=ISBLANK(D959),0,1),1),IF('Monthly_Data'!E615=E959,IF(ISBLANK('Monthly_Data'!E615)=ISBLANK(E959),0,1),1),IF('Monthly_Data'!F615=F959,IF(ISBLANK('Monthly_Data'!F615)=ISBLANK(F959),0,1),1),IF('Monthly_Data'!G615=G959,IF(ISBLANK('Monthly_Data'!G615)=ISBLANK(G959),0,1),1),IF('Monthly_Data'!H615=H959,IF(ISBLANK('Monthly_Data'!H615)=ISBLANK(H959),0,1),1))</x:f>
        <x:v>0</x:v>
      </x:c>
    </x:row>
    <x:row r="960" ht="23" customHeight="1">
      <x:c r="A960" s="2" t="str">
        <x:v>62052000_MM_202502_IMPORT</x:v>
      </x:c>
      <x:c r="B960" s="2" t="n">
        <x:v>202502</x:v>
      </x:c>
      <x:c r="C960" s="2" t="str">
        <x:v>62052000</x:v>
      </x:c>
      <x:c r="D960" s="2" t="str">
        <x:v>Myanmar</x:v>
      </x:c>
      <x:c r="E960" s="2" t="n">
        <x:v>92077</x:v>
      </x:c>
      <x:c r="F960" s="2" t="n">
        <x:v>3594</x:v>
      </x:c>
      <x:c r="G960" s="2" t="str">
        <x:v>WITHIN_BAND</x:v>
      </x:c>
      <x:c r="H960" s="2" t="n">
        <x:v>1</x:v>
      </x:c>
      <x:c r="I960" s="2"/>
      <x:c r="J960" s="2"/>
      <x:c r="K960" s="2"/>
      <x:c r="L960" s="2" t="n">
        <x:f>SUM(IF('Monthly_Data'!A616=A960,IF(ISBLANK('Monthly_Data'!A616)=ISBLANK(A960),0,1),1),IF('Monthly_Data'!B616=B960,IF(ISBLANK('Monthly_Data'!B616)=ISBLANK(B960),0,1),1),IF('Monthly_Data'!C616=C960,IF(ISBLANK('Monthly_Data'!C616)=ISBLANK(C960),0,1),1),IF('Monthly_Data'!D616=D960,IF(ISBLANK('Monthly_Data'!D616)=ISBLANK(D960),0,1),1),IF('Monthly_Data'!E616=E960,IF(ISBLANK('Monthly_Data'!E616)=ISBLANK(E960),0,1),1),IF('Monthly_Data'!F616=F960,IF(ISBLANK('Monthly_Data'!F616)=ISBLANK(F960),0,1),1),IF('Monthly_Data'!G616=G960,IF(ISBLANK('Monthly_Data'!G616)=ISBLANK(G960),0,1),1),IF('Monthly_Data'!H616=H960,IF(ISBLANK('Monthly_Data'!H616)=ISBLANK(H960),0,1),1))</x:f>
        <x:v>0</x:v>
      </x:c>
    </x:row>
    <x:row r="961" ht="23" customHeight="1">
      <x:c r="A961" s="2" t="str">
        <x:v>62052000_PK_202502_IMPORT</x:v>
      </x:c>
      <x:c r="B961" s="2" t="n">
        <x:v>202502</x:v>
      </x:c>
      <x:c r="C961" s="2" t="str">
        <x:v>62052000</x:v>
      </x:c>
      <x:c r="D961" s="2" t="str">
        <x:v>Pakistan</x:v>
      </x:c>
      <x:c r="E961" s="2" t="n">
        <x:v>54385</x:v>
      </x:c>
      <x:c r="F961" s="2" t="n">
        <x:v>3075</x:v>
      </x:c>
      <x:c r="G961" s="2" t="str">
        <x:v>WITHIN_BAND</x:v>
      </x:c>
      <x:c r="H961" s="2" t="n">
        <x:v>1</x:v>
      </x:c>
      <x:c r="I961" s="2"/>
      <x:c r="J961" s="2"/>
      <x:c r="K961" s="2"/>
      <x:c r="L961" s="2" t="n">
        <x:f>SUM(IF('Monthly_Data'!A617=A961,IF(ISBLANK('Monthly_Data'!A617)=ISBLANK(A961),0,1),1),IF('Monthly_Data'!B617=B961,IF(ISBLANK('Monthly_Data'!B617)=ISBLANK(B961),0,1),1),IF('Monthly_Data'!C617=C961,IF(ISBLANK('Monthly_Data'!C617)=ISBLANK(C961),0,1),1),IF('Monthly_Data'!D617=D961,IF(ISBLANK('Monthly_Data'!D617)=ISBLANK(D961),0,1),1),IF('Monthly_Data'!E617=E961,IF(ISBLANK('Monthly_Data'!E617)=ISBLANK(E961),0,1),1),IF('Monthly_Data'!F617=F961,IF(ISBLANK('Monthly_Data'!F617)=ISBLANK(F961),0,1),1),IF('Monthly_Data'!G617=G961,IF(ISBLANK('Monthly_Data'!G617)=ISBLANK(G961),0,1),1),IF('Monthly_Data'!H617=H961,IF(ISBLANK('Monthly_Data'!H617)=ISBLANK(H961),0,1),1))</x:f>
        <x:v>0</x:v>
      </x:c>
    </x:row>
    <x:row r="962" ht="23" customHeight="1">
      <x:c r="A962" s="2" t="str">
        <x:v>62052000_LK_202502_IMPORT</x:v>
      </x:c>
      <x:c r="B962" s="2" t="n">
        <x:v>202502</x:v>
      </x:c>
      <x:c r="C962" s="2" t="str">
        <x:v>62052000</x:v>
      </x:c>
      <x:c r="D962" s="2" t="str">
        <x:v>Sri Lanka</x:v>
      </x:c>
      <x:c r="E962" s="2" t="n">
        <x:v>239825</x:v>
      </x:c>
      <x:c r="F962" s="2" t="n">
        <x:v>11833</x:v>
      </x:c>
      <x:c r="G962" s="2" t="str">
        <x:v>WITHIN_BAND</x:v>
      </x:c>
      <x:c r="H962" s="2" t="n">
        <x:v>1</x:v>
      </x:c>
      <x:c r="I962" s="2"/>
      <x:c r="J962" s="2"/>
      <x:c r="K962" s="2"/>
      <x:c r="L962" s="2" t="n">
        <x:f>SUM(IF('Monthly_Data'!A618=A962,IF(ISBLANK('Monthly_Data'!A618)=ISBLANK(A962),0,1),1),IF('Monthly_Data'!B618=B962,IF(ISBLANK('Monthly_Data'!B618)=ISBLANK(B962),0,1),1),IF('Monthly_Data'!C618=C962,IF(ISBLANK('Monthly_Data'!C618)=ISBLANK(C962),0,1),1),IF('Monthly_Data'!D618=D962,IF(ISBLANK('Monthly_Data'!D618)=ISBLANK(D962),0,1),1),IF('Monthly_Data'!E618=E962,IF(ISBLANK('Monthly_Data'!E618)=ISBLANK(E962),0,1),1),IF('Monthly_Data'!F618=F962,IF(ISBLANK('Monthly_Data'!F618)=ISBLANK(F962),0,1),1),IF('Monthly_Data'!G618=G962,IF(ISBLANK('Monthly_Data'!G618)=ISBLANK(G962),0,1),1),IF('Monthly_Data'!H618=H962,IF(ISBLANK('Monthly_Data'!H618)=ISBLANK(H962),0,1),1))</x:f>
        <x:v>0</x:v>
      </x:c>
    </x:row>
    <x:row r="963" ht="23" customHeight="1">
      <x:c r="A963" s="2" t="str">
        <x:v>62052000_TR_202502_IMPORT</x:v>
      </x:c>
      <x:c r="B963" s="2" t="n">
        <x:v>202502</x:v>
      </x:c>
      <x:c r="C963" s="2" t="str">
        <x:v>62052000</x:v>
      </x:c>
      <x:c r="D963" s="2" t="str">
        <x:v>Turkey</x:v>
      </x:c>
      <x:c r="E963" s="2" t="n">
        <x:v>1265277</x:v>
      </x:c>
      <x:c r="F963" s="2" t="n">
        <x:v>32932</x:v>
      </x:c>
      <x:c r="G963" s="2" t="str">
        <x:v>WITHIN_BAND</x:v>
      </x:c>
      <x:c r="H963" s="2" t="n">
        <x:v>1</x:v>
      </x:c>
      <x:c r="I963" s="2"/>
      <x:c r="J963" s="2"/>
      <x:c r="K963" s="2"/>
      <x:c r="L963" s="2" t="n">
        <x:f>SUM(IF('Monthly_Data'!A619=A963,IF(ISBLANK('Monthly_Data'!A619)=ISBLANK(A963),0,1),1),IF('Monthly_Data'!B619=B963,IF(ISBLANK('Monthly_Data'!B619)=ISBLANK(B963),0,1),1),IF('Monthly_Data'!C619=C963,IF(ISBLANK('Monthly_Data'!C619)=ISBLANK(C963),0,1),1),IF('Monthly_Data'!D619=D963,IF(ISBLANK('Monthly_Data'!D619)=ISBLANK(D963),0,1),1),IF('Monthly_Data'!E619=E963,IF(ISBLANK('Monthly_Data'!E619)=ISBLANK(E963),0,1),1),IF('Monthly_Data'!F619=F963,IF(ISBLANK('Monthly_Data'!F619)=ISBLANK(F963),0,1),1),IF('Monthly_Data'!G619=G963,IF(ISBLANK('Monthly_Data'!G619)=ISBLANK(G963),0,1),1),IF('Monthly_Data'!H619=H963,IF(ISBLANK('Monthly_Data'!H619)=ISBLANK(H963),0,1),1))</x:f>
        <x:v>0</x:v>
      </x:c>
    </x:row>
    <x:row r="964" ht="23" customHeight="1">
      <x:c r="A964" s="2" t="str">
        <x:v>62052000_VN_202502_IMPORT</x:v>
      </x:c>
      <x:c r="B964" s="2" t="n">
        <x:v>202502</x:v>
      </x:c>
      <x:c r="C964" s="2" t="str">
        <x:v>62052000</x:v>
      </x:c>
      <x:c r="D964" s="2" t="str">
        <x:v>Vietnam</x:v>
      </x:c>
      <x:c r="E964" s="2" t="n">
        <x:v>1052577</x:v>
      </x:c>
      <x:c r="F964" s="2" t="n">
        <x:v>27302</x:v>
      </x:c>
      <x:c r="G964" s="2" t="str">
        <x:v>WITHIN_BAND</x:v>
      </x:c>
      <x:c r="H964" s="2" t="n">
        <x:v>1</x:v>
      </x:c>
      <x:c r="I964" s="2"/>
      <x:c r="J964" s="2"/>
      <x:c r="K964" s="2"/>
      <x:c r="L964" s="2" t="n">
        <x:f>SUM(IF('Monthly_Data'!A620=A964,IF(ISBLANK('Monthly_Data'!A620)=ISBLANK(A964),0,1),1),IF('Monthly_Data'!B620=B964,IF(ISBLANK('Monthly_Data'!B620)=ISBLANK(B964),0,1),1),IF('Monthly_Data'!C620=C964,IF(ISBLANK('Monthly_Data'!C620)=ISBLANK(C964),0,1),1),IF('Monthly_Data'!D620=D964,IF(ISBLANK('Monthly_Data'!D620)=ISBLANK(D964),0,1),1),IF('Monthly_Data'!E620=E964,IF(ISBLANK('Monthly_Data'!E620)=ISBLANK(E964),0,1),1),IF('Monthly_Data'!F620=F964,IF(ISBLANK('Monthly_Data'!F620)=ISBLANK(F964),0,1),1),IF('Monthly_Data'!G620=G964,IF(ISBLANK('Monthly_Data'!G620)=ISBLANK(G964),0,1),1),IF('Monthly_Data'!H620=H964,IF(ISBLANK('Monthly_Data'!H620)=ISBLANK(H964),0,1),1))</x:f>
        <x:v>0</x:v>
      </x:c>
    </x:row>
    <x:row r="965" ht="23" customHeight="1">
      <x:c r="A965" s="2" t="str">
        <x:v>62052000_WORLD_202502_IMPORT</x:v>
      </x:c>
      <x:c r="B965" s="2" t="n">
        <x:v>202502</x:v>
      </x:c>
      <x:c r="C965" s="2" t="str">
        <x:v>62052000</x:v>
      </x:c>
      <x:c r="D965" s="2" t="str">
        <x:v>World</x:v>
      </x:c>
      <x:c r="E965" s="2" t="n">
        <x:v>21479765</x:v>
      </x:c>
      <x:c r="F965" s="2" t="n">
        <x:v>736293</x:v>
      </x:c>
      <x:c r="G965" s="2" t="str">
        <x:v>WITHIN_BAND</x:v>
      </x:c>
      <x:c r="H965" s="2" t="n">
        <x:v>1</x:v>
      </x:c>
      <x:c r="I965" s="2"/>
      <x:c r="J965" s="2"/>
      <x:c r="K965" s="2"/>
      <x:c r="L965" s="2" t="n">
        <x:f>SUM(IF('Monthly_Data'!A621=A965,IF(ISBLANK('Monthly_Data'!A621)=ISBLANK(A965),0,1),1),IF('Monthly_Data'!B621=B965,IF(ISBLANK('Monthly_Data'!B621)=ISBLANK(B965),0,1),1),IF('Monthly_Data'!C621=C965,IF(ISBLANK('Monthly_Data'!C621)=ISBLANK(C965),0,1),1),IF('Monthly_Data'!D621=D965,IF(ISBLANK('Monthly_Data'!D621)=ISBLANK(D965),0,1),1),IF('Monthly_Data'!E621=E965,IF(ISBLANK('Monthly_Data'!E621)=ISBLANK(E965),0,1),1),IF('Monthly_Data'!F621=F965,IF(ISBLANK('Monthly_Data'!F621)=ISBLANK(F965),0,1),1),IF('Monthly_Data'!G621=G965,IF(ISBLANK('Monthly_Data'!G621)=ISBLANK(G965),0,1),1),IF('Monthly_Data'!H621=H965,IF(ISBLANK('Monthly_Data'!H621)=ISBLANK(H965),0,1),1))</x:f>
        <x:v>0</x:v>
      </x:c>
    </x:row>
    <x:row r="966" ht="23" customHeight="1">
      <x:c r="A966" s="2" t="str">
        <x:v>62052000_BD_202503_IMPORT</x:v>
      </x:c>
      <x:c r="B966" s="2" t="n">
        <x:v>202503</x:v>
      </x:c>
      <x:c r="C966" s="2" t="str">
        <x:v>62052000</x:v>
      </x:c>
      <x:c r="D966" s="2" t="str">
        <x:v>Bangladesh</x:v>
      </x:c>
      <x:c r="E966" s="2" t="n">
        <x:v>7869065</x:v>
      </x:c>
      <x:c r="F966" s="2" t="n">
        <x:v>395350</x:v>
      </x:c>
      <x:c r="G966" s="2" t="str">
        <x:v>WITHIN_BAND</x:v>
      </x:c>
      <x:c r="H966" s="2" t="n">
        <x:v>1</x:v>
      </x:c>
      <x:c r="I966" s="2"/>
      <x:c r="J966" s="2"/>
      <x:c r="K966" s="2"/>
      <x:c r="L966" s="2" t="n">
        <x:f>SUM(IF('Monthly_Data'!A622=A966,IF(ISBLANK('Monthly_Data'!A622)=ISBLANK(A966),0,1),1),IF('Monthly_Data'!B622=B966,IF(ISBLANK('Monthly_Data'!B622)=ISBLANK(B966),0,1),1),IF('Monthly_Data'!C622=C966,IF(ISBLANK('Monthly_Data'!C622)=ISBLANK(C966),0,1),1),IF('Monthly_Data'!D622=D966,IF(ISBLANK('Monthly_Data'!D622)=ISBLANK(D966),0,1),1),IF('Monthly_Data'!E622=E966,IF(ISBLANK('Monthly_Data'!E622)=ISBLANK(E966),0,1),1),IF('Monthly_Data'!F622=F966,IF(ISBLANK('Monthly_Data'!F622)=ISBLANK(F966),0,1),1),IF('Monthly_Data'!G622=G966,IF(ISBLANK('Monthly_Data'!G622)=ISBLANK(G966),0,1),1),IF('Monthly_Data'!H622=H966,IF(ISBLANK('Monthly_Data'!H622)=ISBLANK(H966),0,1),1))</x:f>
        <x:v>0</x:v>
      </x:c>
    </x:row>
    <x:row r="967" ht="23" customHeight="1">
      <x:c r="A967" s="2" t="str">
        <x:v>62052000_KH_202503_IMPORT</x:v>
      </x:c>
      <x:c r="B967" s="2" t="n">
        <x:v>202503</x:v>
      </x:c>
      <x:c r="C967" s="2" t="str">
        <x:v>62052000</x:v>
      </x:c>
      <x:c r="D967" s="2" t="str">
        <x:v>Cambodia</x:v>
      </x:c>
      <x:c r="E967" s="2" t="n">
        <x:v>690028</x:v>
      </x:c>
      <x:c r="F967" s="2" t="n">
        <x:v>34188</x:v>
      </x:c>
      <x:c r="G967" s="2" t="str">
        <x:v>WITHIN_BAND</x:v>
      </x:c>
      <x:c r="H967" s="2" t="n">
        <x:v>1</x:v>
      </x:c>
      <x:c r="I967" s="2"/>
      <x:c r="J967" s="2"/>
      <x:c r="K967" s="2"/>
      <x:c r="L967" s="2" t="n">
        <x:f>SUM(IF('Monthly_Data'!A623=A967,IF(ISBLANK('Monthly_Data'!A623)=ISBLANK(A967),0,1),1),IF('Monthly_Data'!B623=B967,IF(ISBLANK('Monthly_Data'!B623)=ISBLANK(B967),0,1),1),IF('Monthly_Data'!C623=C967,IF(ISBLANK('Monthly_Data'!C623)=ISBLANK(C967),0,1),1),IF('Monthly_Data'!D623=D967,IF(ISBLANK('Monthly_Data'!D623)=ISBLANK(D967),0,1),1),IF('Monthly_Data'!E623=E967,IF(ISBLANK('Monthly_Data'!E623)=ISBLANK(E967),0,1),1),IF('Monthly_Data'!F623=F967,IF(ISBLANK('Monthly_Data'!F623)=ISBLANK(F967),0,1),1),IF('Monthly_Data'!G623=G967,IF(ISBLANK('Monthly_Data'!G623)=ISBLANK(G967),0,1),1),IF('Monthly_Data'!H623=H967,IF(ISBLANK('Monthly_Data'!H623)=ISBLANK(H967),0,1),1))</x:f>
        <x:v>0</x:v>
      </x:c>
    </x:row>
    <x:row r="968" ht="23" customHeight="1">
      <x:c r="A968" s="2" t="str">
        <x:v>62052000_CN_202503_IMPORT</x:v>
      </x:c>
      <x:c r="B968" s="2" t="n">
        <x:v>202503</x:v>
      </x:c>
      <x:c r="C968" s="2" t="str">
        <x:v>62052000</x:v>
      </x:c>
      <x:c r="D968" s="2" t="str">
        <x:v>China</x:v>
      </x:c>
      <x:c r="E968" s="2" t="n">
        <x:v>1147077</x:v>
      </x:c>
      <x:c r="F968" s="2" t="n">
        <x:v>44505</x:v>
      </x:c>
      <x:c r="G968" s="2" t="str">
        <x:v>WITHIN_BAND</x:v>
      </x:c>
      <x:c r="H968" s="2" t="n">
        <x:v>1</x:v>
      </x:c>
      <x:c r="I968" s="2"/>
      <x:c r="J968" s="2"/>
      <x:c r="K968" s="2"/>
      <x:c r="L968" s="2" t="n">
        <x:f>SUM(IF('Monthly_Data'!A624=A968,IF(ISBLANK('Monthly_Data'!A624)=ISBLANK(A968),0,1),1),IF('Monthly_Data'!B624=B968,IF(ISBLANK('Monthly_Data'!B624)=ISBLANK(B968),0,1),1),IF('Monthly_Data'!C624=C968,IF(ISBLANK('Monthly_Data'!C624)=ISBLANK(C968),0,1),1),IF('Monthly_Data'!D624=D968,IF(ISBLANK('Monthly_Data'!D624)=ISBLANK(D968),0,1),1),IF('Monthly_Data'!E624=E968,IF(ISBLANK('Monthly_Data'!E624)=ISBLANK(E968),0,1),1),IF('Monthly_Data'!F624=F968,IF(ISBLANK('Monthly_Data'!F624)=ISBLANK(F968),0,1),1),IF('Monthly_Data'!G624=G968,IF(ISBLANK('Monthly_Data'!G624)=ISBLANK(G968),0,1),1),IF('Monthly_Data'!H624=H968,IF(ISBLANK('Monthly_Data'!H624)=ISBLANK(H968),0,1),1))</x:f>
        <x:v>0</x:v>
      </x:c>
    </x:row>
    <x:row r="969" ht="23" customHeight="1">
      <x:c r="A969" s="2" t="str">
        <x:v>62052000_IN_202503_IMPORT</x:v>
      </x:c>
      <x:c r="B969" s="2" t="n">
        <x:v>202503</x:v>
      </x:c>
      <x:c r="C969" s="2" t="str">
        <x:v>62052000</x:v>
      </x:c>
      <x:c r="D969" s="2" t="str">
        <x:v>India</x:v>
      </x:c>
      <x:c r="E969" s="2" t="n">
        <x:v>3668332</x:v>
      </x:c>
      <x:c r="F969" s="2" t="n">
        <x:v>159071</x:v>
      </x:c>
      <x:c r="G969" s="2" t="str">
        <x:v>WITHIN_BAND</x:v>
      </x:c>
      <x:c r="H969" s="2" t="n">
        <x:v>1</x:v>
      </x:c>
      <x:c r="I969" s="2"/>
      <x:c r="J969" s="2"/>
      <x:c r="K969" s="2"/>
      <x:c r="L969" s="2" t="n">
        <x:f>SUM(IF('Monthly_Data'!A625=A969,IF(ISBLANK('Monthly_Data'!A625)=ISBLANK(A969),0,1),1),IF('Monthly_Data'!B625=B969,IF(ISBLANK('Monthly_Data'!B625)=ISBLANK(B969),0,1),1),IF('Monthly_Data'!C625=C969,IF(ISBLANK('Monthly_Data'!C625)=ISBLANK(C969),0,1),1),IF('Monthly_Data'!D625=D969,IF(ISBLANK('Monthly_Data'!D625)=ISBLANK(D969),0,1),1),IF('Monthly_Data'!E625=E969,IF(ISBLANK('Monthly_Data'!E625)=ISBLANK(E969),0,1),1),IF('Monthly_Data'!F625=F969,IF(ISBLANK('Monthly_Data'!F625)=ISBLANK(F969),0,1),1),IF('Monthly_Data'!G625=G969,IF(ISBLANK('Monthly_Data'!G625)=ISBLANK(G969),0,1),1),IF('Monthly_Data'!H625=H969,IF(ISBLANK('Monthly_Data'!H625)=ISBLANK(H969),0,1),1))</x:f>
        <x:v>0</x:v>
      </x:c>
    </x:row>
    <x:row r="970" ht="23" customHeight="1">
      <x:c r="A970" s="2" t="str">
        <x:v>62052000_MA_202503_IMPORT</x:v>
      </x:c>
      <x:c r="B970" s="2" t="n">
        <x:v>202503</x:v>
      </x:c>
      <x:c r="C970" s="2" t="str">
        <x:v>62052000</x:v>
      </x:c>
      <x:c r="D970" s="2" t="str">
        <x:v>Morocco</x:v>
      </x:c>
      <x:c r="E970" s="2" t="n">
        <x:v>52362</x:v>
      </x:c>
      <x:c r="F970" s="2" t="n">
        <x:v>1345</x:v>
      </x:c>
      <x:c r="G970" s="2" t="str">
        <x:v>WITHIN_BAND</x:v>
      </x:c>
      <x:c r="H970" s="2" t="n">
        <x:v>1</x:v>
      </x:c>
      <x:c r="I970" s="2"/>
      <x:c r="J970" s="2"/>
      <x:c r="K970" s="2"/>
      <x:c r="L970" s="2" t="n">
        <x:f>SUM(IF('Monthly_Data'!A626=A970,IF(ISBLANK('Monthly_Data'!A626)=ISBLANK(A970),0,1),1),IF('Monthly_Data'!B626=B970,IF(ISBLANK('Monthly_Data'!B626)=ISBLANK(B970),0,1),1),IF('Monthly_Data'!C626=C970,IF(ISBLANK('Monthly_Data'!C626)=ISBLANK(C970),0,1),1),IF('Monthly_Data'!D626=D970,IF(ISBLANK('Monthly_Data'!D626)=ISBLANK(D970),0,1),1),IF('Monthly_Data'!E626=E970,IF(ISBLANK('Monthly_Data'!E626)=ISBLANK(E970),0,1),1),IF('Monthly_Data'!F626=F970,IF(ISBLANK('Monthly_Data'!F626)=ISBLANK(F970),0,1),1),IF('Monthly_Data'!G626=G970,IF(ISBLANK('Monthly_Data'!G626)=ISBLANK(G970),0,1),1),IF('Monthly_Data'!H626=H970,IF(ISBLANK('Monthly_Data'!H626)=ISBLANK(H970),0,1),1))</x:f>
        <x:v>0</x:v>
      </x:c>
    </x:row>
    <x:row r="971" ht="23" customHeight="1">
      <x:c r="A971" s="2" t="str">
        <x:v>62052000_MM_202503_IMPORT</x:v>
      </x:c>
      <x:c r="B971" s="2" t="n">
        <x:v>202503</x:v>
      </x:c>
      <x:c r="C971" s="2" t="str">
        <x:v>62052000</x:v>
      </x:c>
      <x:c r="D971" s="2" t="str">
        <x:v>Myanmar</x:v>
      </x:c>
      <x:c r="E971" s="2" t="n">
        <x:v>70804</x:v>
      </x:c>
      <x:c r="F971" s="2" t="n">
        <x:v>3453</x:v>
      </x:c>
      <x:c r="G971" s="2" t="str">
        <x:v>WITHIN_BAND</x:v>
      </x:c>
      <x:c r="H971" s="2" t="n">
        <x:v>1</x:v>
      </x:c>
      <x:c r="I971" s="2"/>
      <x:c r="J971" s="2"/>
      <x:c r="K971" s="2"/>
      <x:c r="L971" s="2" t="n">
        <x:f>SUM(IF('Monthly_Data'!A627=A971,IF(ISBLANK('Monthly_Data'!A627)=ISBLANK(A971),0,1),1),IF('Monthly_Data'!B627=B971,IF(ISBLANK('Monthly_Data'!B627)=ISBLANK(B971),0,1),1),IF('Monthly_Data'!C627=C971,IF(ISBLANK('Monthly_Data'!C627)=ISBLANK(C971),0,1),1),IF('Monthly_Data'!D627=D971,IF(ISBLANK('Monthly_Data'!D627)=ISBLANK(D971),0,1),1),IF('Monthly_Data'!E627=E971,IF(ISBLANK('Monthly_Data'!E627)=ISBLANK(E971),0,1),1),IF('Monthly_Data'!F627=F971,IF(ISBLANK('Monthly_Data'!F627)=ISBLANK(F971),0,1),1),IF('Monthly_Data'!G627=G971,IF(ISBLANK('Monthly_Data'!G627)=ISBLANK(G971),0,1),1),IF('Monthly_Data'!H627=H971,IF(ISBLANK('Monthly_Data'!H627)=ISBLANK(H971),0,1),1))</x:f>
        <x:v>0</x:v>
      </x:c>
    </x:row>
    <x:row r="972" ht="23" customHeight="1">
      <x:c r="A972" s="2" t="str">
        <x:v>62052000_PK_202503_IMPORT</x:v>
      </x:c>
      <x:c r="B972" s="2" t="n">
        <x:v>202503</x:v>
      </x:c>
      <x:c r="C972" s="2" t="str">
        <x:v>62052000</x:v>
      </x:c>
      <x:c r="D972" s="2" t="str">
        <x:v>Pakistan</x:v>
      </x:c>
      <x:c r="E972" s="2" t="n">
        <x:v>87595</x:v>
      </x:c>
      <x:c r="F972" s="2" t="n">
        <x:v>8596</x:v>
      </x:c>
      <x:c r="G972" s="2" t="str">
        <x:v>WITHIN_BAND</x:v>
      </x:c>
      <x:c r="H972" s="2" t="n">
        <x:v>1</x:v>
      </x:c>
      <x:c r="I972" s="2"/>
      <x:c r="J972" s="2"/>
      <x:c r="K972" s="2"/>
      <x:c r="L972" s="2" t="n">
        <x:f>SUM(IF('Monthly_Data'!A628=A972,IF(ISBLANK('Monthly_Data'!A628)=ISBLANK(A972),0,1),1),IF('Monthly_Data'!B628=B972,IF(ISBLANK('Monthly_Data'!B628)=ISBLANK(B972),0,1),1),IF('Monthly_Data'!C628=C972,IF(ISBLANK('Monthly_Data'!C628)=ISBLANK(C972),0,1),1),IF('Monthly_Data'!D628=D972,IF(ISBLANK('Monthly_Data'!D628)=ISBLANK(D972),0,1),1),IF('Monthly_Data'!E628=E972,IF(ISBLANK('Monthly_Data'!E628)=ISBLANK(E972),0,1),1),IF('Monthly_Data'!F628=F972,IF(ISBLANK('Monthly_Data'!F628)=ISBLANK(F972),0,1),1),IF('Monthly_Data'!G628=G972,IF(ISBLANK('Monthly_Data'!G628)=ISBLANK(G972),0,1),1),IF('Monthly_Data'!H628=H972,IF(ISBLANK('Monthly_Data'!H628)=ISBLANK(H972),0,1),1))</x:f>
        <x:v>0</x:v>
      </x:c>
    </x:row>
    <x:row r="973" ht="23" customHeight="1">
      <x:c r="A973" s="2" t="str">
        <x:v>62052000_LK_202503_IMPORT</x:v>
      </x:c>
      <x:c r="B973" s="2" t="n">
        <x:v>202503</x:v>
      </x:c>
      <x:c r="C973" s="2" t="str">
        <x:v>62052000</x:v>
      </x:c>
      <x:c r="D973" s="2" t="str">
        <x:v>Sri Lanka</x:v>
      </x:c>
      <x:c r="E973" s="2" t="n">
        <x:v>288980</x:v>
      </x:c>
      <x:c r="F973" s="2" t="n">
        <x:v>15693</x:v>
      </x:c>
      <x:c r="G973" s="2" t="str">
        <x:v>WITHIN_BAND</x:v>
      </x:c>
      <x:c r="H973" s="2" t="n">
        <x:v>1</x:v>
      </x:c>
      <x:c r="I973" s="2"/>
      <x:c r="J973" s="2"/>
      <x:c r="K973" s="2"/>
      <x:c r="L973" s="2" t="n">
        <x:f>SUM(IF('Monthly_Data'!A629=A973,IF(ISBLANK('Monthly_Data'!A629)=ISBLANK(A973),0,1),1),IF('Monthly_Data'!B629=B973,IF(ISBLANK('Monthly_Data'!B629)=ISBLANK(B973),0,1),1),IF('Monthly_Data'!C629=C973,IF(ISBLANK('Monthly_Data'!C629)=ISBLANK(C973),0,1),1),IF('Monthly_Data'!D629=D973,IF(ISBLANK('Monthly_Data'!D629)=ISBLANK(D973),0,1),1),IF('Monthly_Data'!E629=E973,IF(ISBLANK('Monthly_Data'!E629)=ISBLANK(E973),0,1),1),IF('Monthly_Data'!F629=F973,IF(ISBLANK('Monthly_Data'!F629)=ISBLANK(F973),0,1),1),IF('Monthly_Data'!G629=G973,IF(ISBLANK('Monthly_Data'!G629)=ISBLANK(G973),0,1),1),IF('Monthly_Data'!H629=H973,IF(ISBLANK('Monthly_Data'!H629)=ISBLANK(H973),0,1),1))</x:f>
        <x:v>0</x:v>
      </x:c>
    </x:row>
    <x:row r="974" ht="23" customHeight="1">
      <x:c r="A974" s="2" t="str">
        <x:v>62052000_TR_202503_IMPORT</x:v>
      </x:c>
      <x:c r="B974" s="2" t="n">
        <x:v>202503</x:v>
      </x:c>
      <x:c r="C974" s="2" t="str">
        <x:v>62052000</x:v>
      </x:c>
      <x:c r="D974" s="2" t="str">
        <x:v>Turkey</x:v>
      </x:c>
      <x:c r="E974" s="2" t="n">
        <x:v>1023096</x:v>
      </x:c>
      <x:c r="F974" s="2" t="n">
        <x:v>27004</x:v>
      </x:c>
      <x:c r="G974" s="2" t="str">
        <x:v>WITHIN_BAND</x:v>
      </x:c>
      <x:c r="H974" s="2" t="n">
        <x:v>1</x:v>
      </x:c>
      <x:c r="I974" s="2"/>
      <x:c r="J974" s="2"/>
      <x:c r="K974" s="2"/>
      <x:c r="L974" s="2" t="n">
        <x:f>SUM(IF('Monthly_Data'!A630=A974,IF(ISBLANK('Monthly_Data'!A630)=ISBLANK(A974),0,1),1),IF('Monthly_Data'!B630=B974,IF(ISBLANK('Monthly_Data'!B630)=ISBLANK(B974),0,1),1),IF('Monthly_Data'!C630=C974,IF(ISBLANK('Monthly_Data'!C630)=ISBLANK(C974),0,1),1),IF('Monthly_Data'!D630=D974,IF(ISBLANK('Monthly_Data'!D630)=ISBLANK(D974),0,1),1),IF('Monthly_Data'!E630=E974,IF(ISBLANK('Monthly_Data'!E630)=ISBLANK(E974),0,1),1),IF('Monthly_Data'!F630=F974,IF(ISBLANK('Monthly_Data'!F630)=ISBLANK(F974),0,1),1),IF('Monthly_Data'!G630=G974,IF(ISBLANK('Monthly_Data'!G630)=ISBLANK(G974),0,1),1),IF('Monthly_Data'!H630=H974,IF(ISBLANK('Monthly_Data'!H630)=ISBLANK(H974),0,1),1))</x:f>
        <x:v>0</x:v>
      </x:c>
    </x:row>
    <x:row r="975" ht="23" customHeight="1">
      <x:c r="A975" s="2" t="str">
        <x:v>62052000_VN_202503_IMPORT</x:v>
      </x:c>
      <x:c r="B975" s="2" t="n">
        <x:v>202503</x:v>
      </x:c>
      <x:c r="C975" s="2" t="str">
        <x:v>62052000</x:v>
      </x:c>
      <x:c r="D975" s="2" t="str">
        <x:v>Vietnam</x:v>
      </x:c>
      <x:c r="E975" s="2" t="n">
        <x:v>701701</x:v>
      </x:c>
      <x:c r="F975" s="2" t="n">
        <x:v>23596</x:v>
      </x:c>
      <x:c r="G975" s="2" t="str">
        <x:v>WITHIN_BAND</x:v>
      </x:c>
      <x:c r="H975" s="2" t="n">
        <x:v>1</x:v>
      </x:c>
      <x:c r="I975" s="2"/>
      <x:c r="J975" s="2"/>
      <x:c r="K975" s="2"/>
      <x:c r="L975" s="2" t="n">
        <x:f>SUM(IF('Monthly_Data'!A631=A975,IF(ISBLANK('Monthly_Data'!A631)=ISBLANK(A975),0,1),1),IF('Monthly_Data'!B631=B975,IF(ISBLANK('Monthly_Data'!B631)=ISBLANK(B975),0,1),1),IF('Monthly_Data'!C631=C975,IF(ISBLANK('Monthly_Data'!C631)=ISBLANK(C975),0,1),1),IF('Monthly_Data'!D631=D975,IF(ISBLANK('Monthly_Data'!D631)=ISBLANK(D975),0,1),1),IF('Monthly_Data'!E631=E975,IF(ISBLANK('Monthly_Data'!E631)=ISBLANK(E975),0,1),1),IF('Monthly_Data'!F631=F975,IF(ISBLANK('Monthly_Data'!F631)=ISBLANK(F975),0,1),1),IF('Monthly_Data'!G631=G975,IF(ISBLANK('Monthly_Data'!G631)=ISBLANK(G975),0,1),1),IF('Monthly_Data'!H631=H975,IF(ISBLANK('Monthly_Data'!H631)=ISBLANK(H975),0,1),1))</x:f>
        <x:v>0</x:v>
      </x:c>
    </x:row>
    <x:row r="976" ht="23" customHeight="1">
      <x:c r="A976" s="2" t="str">
        <x:v>62052000_WORLD_202503_IMPORT</x:v>
      </x:c>
      <x:c r="B976" s="2" t="n">
        <x:v>202503</x:v>
      </x:c>
      <x:c r="C976" s="2" t="str">
        <x:v>62052000</x:v>
      </x:c>
      <x:c r="D976" s="2" t="str">
        <x:v>World</x:v>
      </x:c>
      <x:c r="E976" s="2" t="n">
        <x:v>22760523</x:v>
      </x:c>
      <x:c r="F976" s="2" t="n">
        <x:v>854773</x:v>
      </x:c>
      <x:c r="G976" s="2" t="str">
        <x:v>WITHIN_BAND</x:v>
      </x:c>
      <x:c r="H976" s="2" t="n">
        <x:v>1</x:v>
      </x:c>
      <x:c r="I976" s="2"/>
      <x:c r="J976" s="2"/>
      <x:c r="K976" s="2"/>
      <x:c r="L976" s="2" t="n">
        <x:f>SUM(IF('Monthly_Data'!A632=A976,IF(ISBLANK('Monthly_Data'!A632)=ISBLANK(A976),0,1),1),IF('Monthly_Data'!B632=B976,IF(ISBLANK('Monthly_Data'!B632)=ISBLANK(B976),0,1),1),IF('Monthly_Data'!C632=C976,IF(ISBLANK('Monthly_Data'!C632)=ISBLANK(C976),0,1),1),IF('Monthly_Data'!D632=D976,IF(ISBLANK('Monthly_Data'!D632)=ISBLANK(D976),0,1),1),IF('Monthly_Data'!E632=E976,IF(ISBLANK('Monthly_Data'!E632)=ISBLANK(E976),0,1),1),IF('Monthly_Data'!F632=F976,IF(ISBLANK('Monthly_Data'!F632)=ISBLANK(F976),0,1),1),IF('Monthly_Data'!G632=G976,IF(ISBLANK('Monthly_Data'!G632)=ISBLANK(G976),0,1),1),IF('Monthly_Data'!H632=H976,IF(ISBLANK('Monthly_Data'!H632)=ISBLANK(H976),0,1),1))</x:f>
        <x:v>0</x:v>
      </x:c>
    </x:row>
    <x:row r="977" ht="23" customHeight="1">
      <x:c r="A977" s="2" t="str">
        <x:v>62052000_BD_202504_IMPORT</x:v>
      </x:c>
      <x:c r="B977" s="2" t="n">
        <x:v>202504</x:v>
      </x:c>
      <x:c r="C977" s="2" t="str">
        <x:v>62052000</x:v>
      </x:c>
      <x:c r="D977" s="2" t="str">
        <x:v>Bangladesh</x:v>
      </x:c>
      <x:c r="E977" s="2" t="n">
        <x:v>6838182</x:v>
      </x:c>
      <x:c r="F977" s="2" t="n">
        <x:v>346203</x:v>
      </x:c>
      <x:c r="G977" s="2" t="str">
        <x:v>WITHIN_BAND</x:v>
      </x:c>
      <x:c r="H977" s="2" t="n">
        <x:v>1</x:v>
      </x:c>
      <x:c r="I977" s="2"/>
      <x:c r="J977" s="2"/>
      <x:c r="K977" s="2"/>
      <x:c r="L977" s="2" t="n">
        <x:f>SUM(IF('Monthly_Data'!A633=A977,IF(ISBLANK('Monthly_Data'!A633)=ISBLANK(A977),0,1),1),IF('Monthly_Data'!B633=B977,IF(ISBLANK('Monthly_Data'!B633)=ISBLANK(B977),0,1),1),IF('Monthly_Data'!C633=C977,IF(ISBLANK('Monthly_Data'!C633)=ISBLANK(C977),0,1),1),IF('Monthly_Data'!D633=D977,IF(ISBLANK('Monthly_Data'!D633)=ISBLANK(D977),0,1),1),IF('Monthly_Data'!E633=E977,IF(ISBLANK('Monthly_Data'!E633)=ISBLANK(E977),0,1),1),IF('Monthly_Data'!F633=F977,IF(ISBLANK('Monthly_Data'!F633)=ISBLANK(F977),0,1),1),IF('Monthly_Data'!G633=G977,IF(ISBLANK('Monthly_Data'!G633)=ISBLANK(G977),0,1),1),IF('Monthly_Data'!H633=H977,IF(ISBLANK('Monthly_Data'!H633)=ISBLANK(H977),0,1),1))</x:f>
        <x:v>0</x:v>
      </x:c>
    </x:row>
    <x:row r="978" ht="23" customHeight="1">
      <x:c r="A978" s="2" t="str">
        <x:v>62052000_KH_202504_IMPORT</x:v>
      </x:c>
      <x:c r="B978" s="2" t="n">
        <x:v>202504</x:v>
      </x:c>
      <x:c r="C978" s="2" t="str">
        <x:v>62052000</x:v>
      </x:c>
      <x:c r="D978" s="2" t="str">
        <x:v>Cambodia</x:v>
      </x:c>
      <x:c r="E978" s="2" t="n">
        <x:v>698304</x:v>
      </x:c>
      <x:c r="F978" s="2" t="n">
        <x:v>26747</x:v>
      </x:c>
      <x:c r="G978" s="2" t="str">
        <x:v>WITHIN_BAND</x:v>
      </x:c>
      <x:c r="H978" s="2" t="n">
        <x:v>1</x:v>
      </x:c>
      <x:c r="I978" s="2"/>
      <x:c r="J978" s="2"/>
      <x:c r="K978" s="2"/>
      <x:c r="L978" s="2" t="n">
        <x:f>SUM(IF('Monthly_Data'!A634=A978,IF(ISBLANK('Monthly_Data'!A634)=ISBLANK(A978),0,1),1),IF('Monthly_Data'!B634=B978,IF(ISBLANK('Monthly_Data'!B634)=ISBLANK(B978),0,1),1),IF('Monthly_Data'!C634=C978,IF(ISBLANK('Monthly_Data'!C634)=ISBLANK(C978),0,1),1),IF('Monthly_Data'!D634=D978,IF(ISBLANK('Monthly_Data'!D634)=ISBLANK(D978),0,1),1),IF('Monthly_Data'!E634=E978,IF(ISBLANK('Monthly_Data'!E634)=ISBLANK(E978),0,1),1),IF('Monthly_Data'!F634=F978,IF(ISBLANK('Monthly_Data'!F634)=ISBLANK(F978),0,1),1),IF('Monthly_Data'!G634=G978,IF(ISBLANK('Monthly_Data'!G634)=ISBLANK(G978),0,1),1),IF('Monthly_Data'!H634=H978,IF(ISBLANK('Monthly_Data'!H634)=ISBLANK(H978),0,1),1))</x:f>
        <x:v>0</x:v>
      </x:c>
    </x:row>
    <x:row r="979" ht="23" customHeight="1">
      <x:c r="A979" s="2" t="str">
        <x:v>62052000_CN_202504_IMPORT</x:v>
      </x:c>
      <x:c r="B979" s="2" t="n">
        <x:v>202504</x:v>
      </x:c>
      <x:c r="C979" s="2" t="str">
        <x:v>62052000</x:v>
      </x:c>
      <x:c r="D979" s="2" t="str">
        <x:v>China</x:v>
      </x:c>
      <x:c r="E979" s="2" t="n">
        <x:v>1104635</x:v>
      </x:c>
      <x:c r="F979" s="2" t="n">
        <x:v>35986</x:v>
      </x:c>
      <x:c r="G979" s="2" t="str">
        <x:v>WITHIN_BAND</x:v>
      </x:c>
      <x:c r="H979" s="2" t="n">
        <x:v>1</x:v>
      </x:c>
      <x:c r="I979" s="2"/>
      <x:c r="J979" s="2"/>
      <x:c r="K979" s="2"/>
      <x:c r="L979" s="2" t="n">
        <x:f>SUM(IF('Monthly_Data'!A635=A979,IF(ISBLANK('Monthly_Data'!A635)=ISBLANK(A979),0,1),1),IF('Monthly_Data'!B635=B979,IF(ISBLANK('Monthly_Data'!B635)=ISBLANK(B979),0,1),1),IF('Monthly_Data'!C635=C979,IF(ISBLANK('Monthly_Data'!C635)=ISBLANK(C979),0,1),1),IF('Monthly_Data'!D635=D979,IF(ISBLANK('Monthly_Data'!D635)=ISBLANK(D979),0,1),1),IF('Monthly_Data'!E635=E979,IF(ISBLANK('Monthly_Data'!E635)=ISBLANK(E979),0,1),1),IF('Monthly_Data'!F635=F979,IF(ISBLANK('Monthly_Data'!F635)=ISBLANK(F979),0,1),1),IF('Monthly_Data'!G635=G979,IF(ISBLANK('Monthly_Data'!G635)=ISBLANK(G979),0,1),1),IF('Monthly_Data'!H635=H979,IF(ISBLANK('Monthly_Data'!H635)=ISBLANK(H979),0,1),1))</x:f>
        <x:v>0</x:v>
      </x:c>
    </x:row>
    <x:row r="980" ht="23" customHeight="1">
      <x:c r="A980" s="2" t="str">
        <x:v>62052000_IN_202504_IMPORT</x:v>
      </x:c>
      <x:c r="B980" s="2" t="n">
        <x:v>202504</x:v>
      </x:c>
      <x:c r="C980" s="2" t="str">
        <x:v>62052000</x:v>
      </x:c>
      <x:c r="D980" s="2" t="str">
        <x:v>India</x:v>
      </x:c>
      <x:c r="E980" s="2" t="n">
        <x:v>3226681</x:v>
      </x:c>
      <x:c r="F980" s="2" t="n">
        <x:v>136947</x:v>
      </x:c>
      <x:c r="G980" s="2" t="str">
        <x:v>WITHIN_BAND</x:v>
      </x:c>
      <x:c r="H980" s="2" t="n">
        <x:v>1</x:v>
      </x:c>
      <x:c r="I980" s="2"/>
      <x:c r="J980" s="2"/>
      <x:c r="K980" s="2"/>
      <x:c r="L980" s="2" t="n">
        <x:f>SUM(IF('Monthly_Data'!A636=A980,IF(ISBLANK('Monthly_Data'!A636)=ISBLANK(A980),0,1),1),IF('Monthly_Data'!B636=B980,IF(ISBLANK('Monthly_Data'!B636)=ISBLANK(B980),0,1),1),IF('Monthly_Data'!C636=C980,IF(ISBLANK('Monthly_Data'!C636)=ISBLANK(C980),0,1),1),IF('Monthly_Data'!D636=D980,IF(ISBLANK('Monthly_Data'!D636)=ISBLANK(D980),0,1),1),IF('Monthly_Data'!E636=E980,IF(ISBLANK('Monthly_Data'!E636)=ISBLANK(E980),0,1),1),IF('Monthly_Data'!F636=F980,IF(ISBLANK('Monthly_Data'!F636)=ISBLANK(F980),0,1),1),IF('Monthly_Data'!G636=G980,IF(ISBLANK('Monthly_Data'!G636)=ISBLANK(G980),0,1),1),IF('Monthly_Data'!H636=H980,IF(ISBLANK('Monthly_Data'!H636)=ISBLANK(H980),0,1),1))</x:f>
        <x:v>0</x:v>
      </x:c>
    </x:row>
    <x:row r="981" ht="23" customHeight="1">
      <x:c r="A981" s="2" t="str">
        <x:v>62052000_MA_202504_IMPORT</x:v>
      </x:c>
      <x:c r="B981" s="2" t="n">
        <x:v>202504</x:v>
      </x:c>
      <x:c r="C981" s="2" t="str">
        <x:v>62052000</x:v>
      </x:c>
      <x:c r="D981" s="2" t="str">
        <x:v>Morocco</x:v>
      </x:c>
      <x:c r="E981" s="2" t="n">
        <x:v>107356</x:v>
      </x:c>
      <x:c r="F981" s="2" t="n">
        <x:v>2401</x:v>
      </x:c>
      <x:c r="G981" s="2" t="str">
        <x:v>WITHIN_BAND</x:v>
      </x:c>
      <x:c r="H981" s="2" t="n">
        <x:v>1</x:v>
      </x:c>
      <x:c r="I981" s="2"/>
      <x:c r="J981" s="2"/>
      <x:c r="K981" s="2"/>
      <x:c r="L981" s="2" t="n">
        <x:f>SUM(IF('Monthly_Data'!A637=A981,IF(ISBLANK('Monthly_Data'!A637)=ISBLANK(A981),0,1),1),IF('Monthly_Data'!B637=B981,IF(ISBLANK('Monthly_Data'!B637)=ISBLANK(B981),0,1),1),IF('Monthly_Data'!C637=C981,IF(ISBLANK('Monthly_Data'!C637)=ISBLANK(C981),0,1),1),IF('Monthly_Data'!D637=D981,IF(ISBLANK('Monthly_Data'!D637)=ISBLANK(D981),0,1),1),IF('Monthly_Data'!E637=E981,IF(ISBLANK('Monthly_Data'!E637)=ISBLANK(E981),0,1),1),IF('Monthly_Data'!F637=F981,IF(ISBLANK('Monthly_Data'!F637)=ISBLANK(F981),0,1),1),IF('Monthly_Data'!G637=G981,IF(ISBLANK('Monthly_Data'!G637)=ISBLANK(G981),0,1),1),IF('Monthly_Data'!H637=H981,IF(ISBLANK('Monthly_Data'!H637)=ISBLANK(H981),0,1),1))</x:f>
        <x:v>0</x:v>
      </x:c>
    </x:row>
    <x:row r="982" ht="23" customHeight="1">
      <x:c r="A982" s="2" t="str">
        <x:v>62052000_MM_202504_IMPORT</x:v>
      </x:c>
      <x:c r="B982" s="2" t="n">
        <x:v>202504</x:v>
      </x:c>
      <x:c r="C982" s="2" t="str">
        <x:v>62052000</x:v>
      </x:c>
      <x:c r="D982" s="2" t="str">
        <x:v>Myanmar</x:v>
      </x:c>
      <x:c r="E982" s="2" t="n">
        <x:v>105561</x:v>
      </x:c>
      <x:c r="F982" s="2" t="n">
        <x:v>5099</x:v>
      </x:c>
      <x:c r="G982" s="2" t="str">
        <x:v>WITHIN_BAND</x:v>
      </x:c>
      <x:c r="H982" s="2" t="n">
        <x:v>1</x:v>
      </x:c>
      <x:c r="I982" s="2"/>
      <x:c r="J982" s="2"/>
      <x:c r="K982" s="2"/>
      <x:c r="L982" s="2" t="n">
        <x:f>SUM(IF('Monthly_Data'!A638=A982,IF(ISBLANK('Monthly_Data'!A638)=ISBLANK(A982),0,1),1),IF('Monthly_Data'!B638=B982,IF(ISBLANK('Monthly_Data'!B638)=ISBLANK(B982),0,1),1),IF('Monthly_Data'!C638=C982,IF(ISBLANK('Monthly_Data'!C638)=ISBLANK(C982),0,1),1),IF('Monthly_Data'!D638=D982,IF(ISBLANK('Monthly_Data'!D638)=ISBLANK(D982),0,1),1),IF('Monthly_Data'!E638=E982,IF(ISBLANK('Monthly_Data'!E638)=ISBLANK(E982),0,1),1),IF('Monthly_Data'!F638=F982,IF(ISBLANK('Monthly_Data'!F638)=ISBLANK(F982),0,1),1),IF('Monthly_Data'!G638=G982,IF(ISBLANK('Monthly_Data'!G638)=ISBLANK(G982),0,1),1),IF('Monthly_Data'!H638=H982,IF(ISBLANK('Monthly_Data'!H638)=ISBLANK(H982),0,1),1))</x:f>
        <x:v>0</x:v>
      </x:c>
    </x:row>
    <x:row r="983" ht="23" customHeight="1">
      <x:c r="A983" s="2" t="str">
        <x:v>62052000_PK_202504_IMPORT</x:v>
      </x:c>
      <x:c r="B983" s="2" t="n">
        <x:v>202504</x:v>
      </x:c>
      <x:c r="C983" s="2" t="str">
        <x:v>62052000</x:v>
      </x:c>
      <x:c r="D983" s="2" t="str">
        <x:v>Pakistan</x:v>
      </x:c>
      <x:c r="E983" s="2" t="n">
        <x:v>77129</x:v>
      </x:c>
      <x:c r="F983" s="2" t="n">
        <x:v>5890</x:v>
      </x:c>
      <x:c r="G983" s="2" t="str">
        <x:v>WITHIN_BAND</x:v>
      </x:c>
      <x:c r="H983" s="2" t="n">
        <x:v>1</x:v>
      </x:c>
      <x:c r="I983" s="2"/>
      <x:c r="J983" s="2"/>
      <x:c r="K983" s="2"/>
      <x:c r="L983" s="2" t="n">
        <x:f>SUM(IF('Monthly_Data'!A639=A983,IF(ISBLANK('Monthly_Data'!A639)=ISBLANK(A983),0,1),1),IF('Monthly_Data'!B639=B983,IF(ISBLANK('Monthly_Data'!B639)=ISBLANK(B983),0,1),1),IF('Monthly_Data'!C639=C983,IF(ISBLANK('Monthly_Data'!C639)=ISBLANK(C983),0,1),1),IF('Monthly_Data'!D639=D983,IF(ISBLANK('Monthly_Data'!D639)=ISBLANK(D983),0,1),1),IF('Monthly_Data'!E639=E983,IF(ISBLANK('Monthly_Data'!E639)=ISBLANK(E983),0,1),1),IF('Monthly_Data'!F639=F983,IF(ISBLANK('Monthly_Data'!F639)=ISBLANK(F983),0,1),1),IF('Monthly_Data'!G639=G983,IF(ISBLANK('Monthly_Data'!G639)=ISBLANK(G983),0,1),1),IF('Monthly_Data'!H639=H983,IF(ISBLANK('Monthly_Data'!H639)=ISBLANK(H983),0,1),1))</x:f>
        <x:v>0</x:v>
      </x:c>
    </x:row>
    <x:row r="984" ht="23" customHeight="1">
      <x:c r="A984" s="2" t="str">
        <x:v>62052000_LK_202504_IMPORT</x:v>
      </x:c>
      <x:c r="B984" s="2" t="n">
        <x:v>202504</x:v>
      </x:c>
      <x:c r="C984" s="2" t="str">
        <x:v>62052000</x:v>
      </x:c>
      <x:c r="D984" s="2" t="str">
        <x:v>Sri Lanka</x:v>
      </x:c>
      <x:c r="E984" s="2" t="n">
        <x:v>276951</x:v>
      </x:c>
      <x:c r="F984" s="2" t="n">
        <x:v>12508</x:v>
      </x:c>
      <x:c r="G984" s="2" t="str">
        <x:v>WITHIN_BAND</x:v>
      </x:c>
      <x:c r="H984" s="2" t="n">
        <x:v>1</x:v>
      </x:c>
      <x:c r="I984" s="2"/>
      <x:c r="J984" s="2"/>
      <x:c r="K984" s="2"/>
      <x:c r="L984" s="2" t="n">
        <x:f>SUM(IF('Monthly_Data'!A640=A984,IF(ISBLANK('Monthly_Data'!A640)=ISBLANK(A984),0,1),1),IF('Monthly_Data'!B640=B984,IF(ISBLANK('Monthly_Data'!B640)=ISBLANK(B984),0,1),1),IF('Monthly_Data'!C640=C984,IF(ISBLANK('Monthly_Data'!C640)=ISBLANK(C984),0,1),1),IF('Monthly_Data'!D640=D984,IF(ISBLANK('Monthly_Data'!D640)=ISBLANK(D984),0,1),1),IF('Monthly_Data'!E640=E984,IF(ISBLANK('Monthly_Data'!E640)=ISBLANK(E984),0,1),1),IF('Monthly_Data'!F640=F984,IF(ISBLANK('Monthly_Data'!F640)=ISBLANK(F984),0,1),1),IF('Monthly_Data'!G640=G984,IF(ISBLANK('Monthly_Data'!G640)=ISBLANK(G984),0,1),1),IF('Monthly_Data'!H640=H984,IF(ISBLANK('Monthly_Data'!H640)=ISBLANK(H984),0,1),1))</x:f>
        <x:v>0</x:v>
      </x:c>
    </x:row>
    <x:row r="985" ht="23" customHeight="1">
      <x:c r="A985" s="2" t="str">
        <x:v>62052000_TR_202504_IMPORT</x:v>
      </x:c>
      <x:c r="B985" s="2" t="n">
        <x:v>202504</x:v>
      </x:c>
      <x:c r="C985" s="2" t="str">
        <x:v>62052000</x:v>
      </x:c>
      <x:c r="D985" s="2" t="str">
        <x:v>Turkey</x:v>
      </x:c>
      <x:c r="E985" s="2" t="n">
        <x:v>1154885</x:v>
      </x:c>
      <x:c r="F985" s="2" t="n">
        <x:v>31359</x:v>
      </x:c>
      <x:c r="G985" s="2" t="str">
        <x:v>WITHIN_BAND</x:v>
      </x:c>
      <x:c r="H985" s="2" t="n">
        <x:v>1</x:v>
      </x:c>
      <x:c r="I985" s="2"/>
      <x:c r="J985" s="2"/>
      <x:c r="K985" s="2"/>
      <x:c r="L985" s="2" t="n">
        <x:f>SUM(IF('Monthly_Data'!A641=A985,IF(ISBLANK('Monthly_Data'!A641)=ISBLANK(A985),0,1),1),IF('Monthly_Data'!B641=B985,IF(ISBLANK('Monthly_Data'!B641)=ISBLANK(B985),0,1),1),IF('Monthly_Data'!C641=C985,IF(ISBLANK('Monthly_Data'!C641)=ISBLANK(C985),0,1),1),IF('Monthly_Data'!D641=D985,IF(ISBLANK('Monthly_Data'!D641)=ISBLANK(D985),0,1),1),IF('Monthly_Data'!E641=E985,IF(ISBLANK('Monthly_Data'!E641)=ISBLANK(E985),0,1),1),IF('Monthly_Data'!F641=F985,IF(ISBLANK('Monthly_Data'!F641)=ISBLANK(F985),0,1),1),IF('Monthly_Data'!G641=G985,IF(ISBLANK('Monthly_Data'!G641)=ISBLANK(G985),0,1),1),IF('Monthly_Data'!H641=H985,IF(ISBLANK('Monthly_Data'!H641)=ISBLANK(H985),0,1),1))</x:f>
        <x:v>0</x:v>
      </x:c>
    </x:row>
    <x:row r="986" ht="23" customHeight="1">
      <x:c r="A986" s="2" t="str">
        <x:v>62052000_VN_202504_IMPORT</x:v>
      </x:c>
      <x:c r="B986" s="2" t="n">
        <x:v>202504</x:v>
      </x:c>
      <x:c r="C986" s="2" t="str">
        <x:v>62052000</x:v>
      </x:c>
      <x:c r="D986" s="2" t="str">
        <x:v>Vietnam</x:v>
      </x:c>
      <x:c r="E986" s="2" t="n">
        <x:v>399520</x:v>
      </x:c>
      <x:c r="F986" s="2" t="n">
        <x:v>10355</x:v>
      </x:c>
      <x:c r="G986" s="2" t="str">
        <x:v>WITHIN_BAND</x:v>
      </x:c>
      <x:c r="H986" s="2" t="n">
        <x:v>1</x:v>
      </x:c>
      <x:c r="I986" s="2"/>
      <x:c r="J986" s="2"/>
      <x:c r="K986" s="2"/>
      <x:c r="L986" s="2" t="n">
        <x:f>SUM(IF('Monthly_Data'!A642=A986,IF(ISBLANK('Monthly_Data'!A642)=ISBLANK(A986),0,1),1),IF('Monthly_Data'!B642=B986,IF(ISBLANK('Monthly_Data'!B642)=ISBLANK(B986),0,1),1),IF('Monthly_Data'!C642=C986,IF(ISBLANK('Monthly_Data'!C642)=ISBLANK(C986),0,1),1),IF('Monthly_Data'!D642=D986,IF(ISBLANK('Monthly_Data'!D642)=ISBLANK(D986),0,1),1),IF('Monthly_Data'!E642=E986,IF(ISBLANK('Monthly_Data'!E642)=ISBLANK(E986),0,1),1),IF('Monthly_Data'!F642=F986,IF(ISBLANK('Monthly_Data'!F642)=ISBLANK(F986),0,1),1),IF('Monthly_Data'!G642=G986,IF(ISBLANK('Monthly_Data'!G642)=ISBLANK(G986),0,1),1),IF('Monthly_Data'!H642=H986,IF(ISBLANK('Monthly_Data'!H642)=ISBLANK(H986),0,1),1))</x:f>
        <x:v>0</x:v>
      </x:c>
    </x:row>
    <x:row r="987" ht="23" customHeight="1">
      <x:c r="A987" s="2" t="str">
        <x:v>62052000_WORLD_202504_IMPORT</x:v>
      </x:c>
      <x:c r="B987" s="2" t="n">
        <x:v>202504</x:v>
      </x:c>
      <x:c r="C987" s="2" t="str">
        <x:v>62052000</x:v>
      </x:c>
      <x:c r="D987" s="2" t="str">
        <x:v>World</x:v>
      </x:c>
      <x:c r="E987" s="2" t="n">
        <x:v>22599336</x:v>
      </x:c>
      <x:c r="F987" s="2" t="n">
        <x:v>780864</x:v>
      </x:c>
      <x:c r="G987" s="2" t="str">
        <x:v>WITHIN_BAND</x:v>
      </x:c>
      <x:c r="H987" s="2" t="n">
        <x:v>1</x:v>
      </x:c>
      <x:c r="I987" s="2"/>
      <x:c r="J987" s="2"/>
      <x:c r="K987" s="2"/>
      <x:c r="L987" s="2" t="n">
        <x:f>SUM(IF('Monthly_Data'!A643=A987,IF(ISBLANK('Monthly_Data'!A643)=ISBLANK(A987),0,1),1),IF('Monthly_Data'!B643=B987,IF(ISBLANK('Monthly_Data'!B643)=ISBLANK(B987),0,1),1),IF('Monthly_Data'!C643=C987,IF(ISBLANK('Monthly_Data'!C643)=ISBLANK(C987),0,1),1),IF('Monthly_Data'!D643=D987,IF(ISBLANK('Monthly_Data'!D643)=ISBLANK(D987),0,1),1),IF('Monthly_Data'!E643=E987,IF(ISBLANK('Monthly_Data'!E643)=ISBLANK(E987),0,1),1),IF('Monthly_Data'!F643=F987,IF(ISBLANK('Monthly_Data'!F643)=ISBLANK(F987),0,1),1),IF('Monthly_Data'!G643=G987,IF(ISBLANK('Monthly_Data'!G643)=ISBLANK(G987),0,1),1),IF('Monthly_Data'!H643=H987,IF(ISBLANK('Monthly_Data'!H643)=ISBLANK(H987),0,1),1))</x:f>
        <x:v>0</x:v>
      </x:c>
    </x:row>
    <x:row r="988" ht="23" customHeight="1">
      <x:c r="A988" s="2" t="str">
        <x:v>62052000_BD_202505_IMPORT</x:v>
      </x:c>
      <x:c r="B988" s="2" t="n">
        <x:v>202505</x:v>
      </x:c>
      <x:c r="C988" s="2" t="str">
        <x:v>62052000</x:v>
      </x:c>
      <x:c r="D988" s="2" t="str">
        <x:v>Bangladesh</x:v>
      </x:c>
      <x:c r="E988" s="2" t="n">
        <x:v>7415393</x:v>
      </x:c>
      <x:c r="F988" s="2" t="n">
        <x:v>384470</x:v>
      </x:c>
      <x:c r="G988" s="2" t="str">
        <x:v>WITHIN_BAND</x:v>
      </x:c>
      <x:c r="H988" s="2" t="n">
        <x:v>1</x:v>
      </x:c>
      <x:c r="I988" s="2"/>
      <x:c r="J988" s="2"/>
      <x:c r="K988" s="2"/>
      <x:c r="L988" s="2" t="n">
        <x:f>SUM(IF('Monthly_Data'!A644=A988,IF(ISBLANK('Monthly_Data'!A644)=ISBLANK(A988),0,1),1),IF('Monthly_Data'!B644=B988,IF(ISBLANK('Monthly_Data'!B644)=ISBLANK(B988),0,1),1),IF('Monthly_Data'!C644=C988,IF(ISBLANK('Monthly_Data'!C644)=ISBLANK(C988),0,1),1),IF('Monthly_Data'!D644=D988,IF(ISBLANK('Monthly_Data'!D644)=ISBLANK(D988),0,1),1),IF('Monthly_Data'!E644=E988,IF(ISBLANK('Monthly_Data'!E644)=ISBLANK(E988),0,1),1),IF('Monthly_Data'!F644=F988,IF(ISBLANK('Monthly_Data'!F644)=ISBLANK(F988),0,1),1),IF('Monthly_Data'!G644=G988,IF(ISBLANK('Monthly_Data'!G644)=ISBLANK(G988),0,1),1),IF('Monthly_Data'!H644=H988,IF(ISBLANK('Monthly_Data'!H644)=ISBLANK(H988),0,1),1))</x:f>
        <x:v>0</x:v>
      </x:c>
    </x:row>
    <x:row r="989" ht="23" customHeight="1">
      <x:c r="A989" s="2" t="str">
        <x:v>62052000_KH_202505_IMPORT</x:v>
      </x:c>
      <x:c r="B989" s="2" t="n">
        <x:v>202505</x:v>
      </x:c>
      <x:c r="C989" s="2" t="str">
        <x:v>62052000</x:v>
      </x:c>
      <x:c r="D989" s="2" t="str">
        <x:v>Cambodia</x:v>
      </x:c>
      <x:c r="E989" s="2" t="n">
        <x:v>1264440</x:v>
      </x:c>
      <x:c r="F989" s="2" t="n">
        <x:v>48527</x:v>
      </x:c>
      <x:c r="G989" s="2" t="str">
        <x:v>WITHIN_BAND</x:v>
      </x:c>
      <x:c r="H989" s="2" t="n">
        <x:v>1</x:v>
      </x:c>
      <x:c r="I989" s="2"/>
      <x:c r="J989" s="2"/>
      <x:c r="K989" s="2"/>
      <x:c r="L989" s="2" t="n">
        <x:f>SUM(IF('Monthly_Data'!A645=A989,IF(ISBLANK('Monthly_Data'!A645)=ISBLANK(A989),0,1),1),IF('Monthly_Data'!B645=B989,IF(ISBLANK('Monthly_Data'!B645)=ISBLANK(B989),0,1),1),IF('Monthly_Data'!C645=C989,IF(ISBLANK('Monthly_Data'!C645)=ISBLANK(C989),0,1),1),IF('Monthly_Data'!D645=D989,IF(ISBLANK('Monthly_Data'!D645)=ISBLANK(D989),0,1),1),IF('Monthly_Data'!E645=E989,IF(ISBLANK('Monthly_Data'!E645)=ISBLANK(E989),0,1),1),IF('Monthly_Data'!F645=F989,IF(ISBLANK('Monthly_Data'!F645)=ISBLANK(F989),0,1),1),IF('Monthly_Data'!G645=G989,IF(ISBLANK('Monthly_Data'!G645)=ISBLANK(G989),0,1),1),IF('Monthly_Data'!H645=H989,IF(ISBLANK('Monthly_Data'!H645)=ISBLANK(H989),0,1),1))</x:f>
        <x:v>0</x:v>
      </x:c>
    </x:row>
    <x:row r="990" ht="23" customHeight="1">
      <x:c r="A990" s="2" t="str">
        <x:v>62052000_CN_202505_IMPORT</x:v>
      </x:c>
      <x:c r="B990" s="2" t="n">
        <x:v>202505</x:v>
      </x:c>
      <x:c r="C990" s="2" t="str">
        <x:v>62052000</x:v>
      </x:c>
      <x:c r="D990" s="2" t="str">
        <x:v>China</x:v>
      </x:c>
      <x:c r="E990" s="2" t="n">
        <x:v>958580</x:v>
      </x:c>
      <x:c r="F990" s="2" t="n">
        <x:v>51583</x:v>
      </x:c>
      <x:c r="G990" s="2" t="str">
        <x:v>WITHIN_BAND</x:v>
      </x:c>
      <x:c r="H990" s="2" t="n">
        <x:v>1</x:v>
      </x:c>
      <x:c r="I990" s="2"/>
      <x:c r="J990" s="2"/>
      <x:c r="K990" s="2"/>
      <x:c r="L990" s="2" t="n">
        <x:f>SUM(IF('Monthly_Data'!A646=A990,IF(ISBLANK('Monthly_Data'!A646)=ISBLANK(A990),0,1),1),IF('Monthly_Data'!B646=B990,IF(ISBLANK('Monthly_Data'!B646)=ISBLANK(B990),0,1),1),IF('Monthly_Data'!C646=C990,IF(ISBLANK('Monthly_Data'!C646)=ISBLANK(C990),0,1),1),IF('Monthly_Data'!D646=D990,IF(ISBLANK('Monthly_Data'!D646)=ISBLANK(D990),0,1),1),IF('Monthly_Data'!E646=E990,IF(ISBLANK('Monthly_Data'!E646)=ISBLANK(E990),0,1),1),IF('Monthly_Data'!F646=F990,IF(ISBLANK('Monthly_Data'!F646)=ISBLANK(F990),0,1),1),IF('Monthly_Data'!G646=G990,IF(ISBLANK('Monthly_Data'!G646)=ISBLANK(G990),0,1),1),IF('Monthly_Data'!H646=H990,IF(ISBLANK('Monthly_Data'!H646)=ISBLANK(H990),0,1),1))</x:f>
        <x:v>0</x:v>
      </x:c>
    </x:row>
    <x:row r="991" ht="23" customHeight="1">
      <x:c r="A991" s="2" t="str">
        <x:v>62052000_IN_202505_IMPORT</x:v>
      </x:c>
      <x:c r="B991" s="2" t="n">
        <x:v>202505</x:v>
      </x:c>
      <x:c r="C991" s="2" t="str">
        <x:v>62052000</x:v>
      </x:c>
      <x:c r="D991" s="2" t="str">
        <x:v>India</x:v>
      </x:c>
      <x:c r="E991" s="2" t="n">
        <x:v>3166495</x:v>
      </x:c>
      <x:c r="F991" s="2" t="n">
        <x:v>139445</x:v>
      </x:c>
      <x:c r="G991" s="2" t="str">
        <x:v>WITHIN_BAND</x:v>
      </x:c>
      <x:c r="H991" s="2" t="n">
        <x:v>1</x:v>
      </x:c>
      <x:c r="I991" s="2"/>
      <x:c r="J991" s="2"/>
      <x:c r="K991" s="2"/>
      <x:c r="L991" s="2" t="n">
        <x:f>SUM(IF('Monthly_Data'!A647=A991,IF(ISBLANK('Monthly_Data'!A647)=ISBLANK(A991),0,1),1),IF('Monthly_Data'!B647=B991,IF(ISBLANK('Monthly_Data'!B647)=ISBLANK(B991),0,1),1),IF('Monthly_Data'!C647=C991,IF(ISBLANK('Monthly_Data'!C647)=ISBLANK(C991),0,1),1),IF('Monthly_Data'!D647=D991,IF(ISBLANK('Monthly_Data'!D647)=ISBLANK(D991),0,1),1),IF('Monthly_Data'!E647=E991,IF(ISBLANK('Monthly_Data'!E647)=ISBLANK(E991),0,1),1),IF('Monthly_Data'!F647=F991,IF(ISBLANK('Monthly_Data'!F647)=ISBLANK(F991),0,1),1),IF('Monthly_Data'!G647=G991,IF(ISBLANK('Monthly_Data'!G647)=ISBLANK(G991),0,1),1),IF('Monthly_Data'!H647=H991,IF(ISBLANK('Monthly_Data'!H647)=ISBLANK(H991),0,1),1))</x:f>
        <x:v>0</x:v>
      </x:c>
    </x:row>
    <x:row r="992" ht="23" customHeight="1">
      <x:c r="A992" s="2" t="str">
        <x:v>62052000_MA_202505_IMPORT</x:v>
      </x:c>
      <x:c r="B992" s="2" t="n">
        <x:v>202505</x:v>
      </x:c>
      <x:c r="C992" s="2" t="str">
        <x:v>62052000</x:v>
      </x:c>
      <x:c r="D992" s="2" t="str">
        <x:v>Morocco</x:v>
      </x:c>
      <x:c r="E992" s="2" t="n">
        <x:v>232820</x:v>
      </x:c>
      <x:c r="F992" s="2" t="n">
        <x:v>6165</x:v>
      </x:c>
      <x:c r="G992" s="2" t="str">
        <x:v>WITHIN_BAND</x:v>
      </x:c>
      <x:c r="H992" s="2" t="n">
        <x:v>1</x:v>
      </x:c>
      <x:c r="I992" s="2"/>
      <x:c r="J992" s="2"/>
      <x:c r="K992" s="2"/>
      <x:c r="L992" s="2" t="n">
        <x:f>SUM(IF('Monthly_Data'!A648=A992,IF(ISBLANK('Monthly_Data'!A648)=ISBLANK(A992),0,1),1),IF('Monthly_Data'!B648=B992,IF(ISBLANK('Monthly_Data'!B648)=ISBLANK(B992),0,1),1),IF('Monthly_Data'!C648=C992,IF(ISBLANK('Monthly_Data'!C648)=ISBLANK(C992),0,1),1),IF('Monthly_Data'!D648=D992,IF(ISBLANK('Monthly_Data'!D648)=ISBLANK(D992),0,1),1),IF('Monthly_Data'!E648=E992,IF(ISBLANK('Monthly_Data'!E648)=ISBLANK(E992),0,1),1),IF('Monthly_Data'!F648=F992,IF(ISBLANK('Monthly_Data'!F648)=ISBLANK(F992),0,1),1),IF('Monthly_Data'!G648=G992,IF(ISBLANK('Monthly_Data'!G648)=ISBLANK(G992),0,1),1),IF('Monthly_Data'!H648=H992,IF(ISBLANK('Monthly_Data'!H648)=ISBLANK(H992),0,1),1))</x:f>
        <x:v>0</x:v>
      </x:c>
    </x:row>
    <x:row r="993" ht="23" customHeight="1">
      <x:c r="A993" s="2" t="str">
        <x:v>62052000_MM_202505_IMPORT</x:v>
      </x:c>
      <x:c r="B993" s="2" t="n">
        <x:v>202505</x:v>
      </x:c>
      <x:c r="C993" s="2" t="str">
        <x:v>62052000</x:v>
      </x:c>
      <x:c r="D993" s="2" t="str">
        <x:v>Myanmar</x:v>
      </x:c>
      <x:c r="E993" s="2" t="n">
        <x:v>128054</x:v>
      </x:c>
      <x:c r="F993" s="2" t="n">
        <x:v>8635</x:v>
      </x:c>
      <x:c r="G993" s="2" t="str">
        <x:v>WITHIN_BAND</x:v>
      </x:c>
      <x:c r="H993" s="2" t="n">
        <x:v>1</x:v>
      </x:c>
      <x:c r="I993" s="2"/>
      <x:c r="J993" s="2"/>
      <x:c r="K993" s="2"/>
      <x:c r="L993" s="2" t="n">
        <x:f>SUM(IF('Monthly_Data'!A649=A993,IF(ISBLANK('Monthly_Data'!A649)=ISBLANK(A993),0,1),1),IF('Monthly_Data'!B649=B993,IF(ISBLANK('Monthly_Data'!B649)=ISBLANK(B993),0,1),1),IF('Monthly_Data'!C649=C993,IF(ISBLANK('Monthly_Data'!C649)=ISBLANK(C993),0,1),1),IF('Monthly_Data'!D649=D993,IF(ISBLANK('Monthly_Data'!D649)=ISBLANK(D993),0,1),1),IF('Monthly_Data'!E649=E993,IF(ISBLANK('Monthly_Data'!E649)=ISBLANK(E993),0,1),1),IF('Monthly_Data'!F649=F993,IF(ISBLANK('Monthly_Data'!F649)=ISBLANK(F993),0,1),1),IF('Monthly_Data'!G649=G993,IF(ISBLANK('Monthly_Data'!G649)=ISBLANK(G993),0,1),1),IF('Monthly_Data'!H649=H993,IF(ISBLANK('Monthly_Data'!H649)=ISBLANK(H993),0,1),1))</x:f>
        <x:v>0</x:v>
      </x:c>
    </x:row>
    <x:row r="994" ht="23" customHeight="1">
      <x:c r="A994" s="2" t="str">
        <x:v>62052000_PK_202505_IMPORT</x:v>
      </x:c>
      <x:c r="B994" s="2" t="n">
        <x:v>202505</x:v>
      </x:c>
      <x:c r="C994" s="2" t="str">
        <x:v>62052000</x:v>
      </x:c>
      <x:c r="D994" s="2" t="str">
        <x:v>Pakistan</x:v>
      </x:c>
      <x:c r="E994" s="2" t="n">
        <x:v>99370</x:v>
      </x:c>
      <x:c r="F994" s="2" t="n">
        <x:v>8704</x:v>
      </x:c>
      <x:c r="G994" s="2" t="str">
        <x:v>WITHIN_BAND</x:v>
      </x:c>
      <x:c r="H994" s="2" t="n">
        <x:v>1</x:v>
      </x:c>
      <x:c r="I994" s="2"/>
      <x:c r="J994" s="2"/>
      <x:c r="K994" s="2"/>
      <x:c r="L994" s="2" t="n">
        <x:f>SUM(IF('Monthly_Data'!A650=A994,IF(ISBLANK('Monthly_Data'!A650)=ISBLANK(A994),0,1),1),IF('Monthly_Data'!B650=B994,IF(ISBLANK('Monthly_Data'!B650)=ISBLANK(B994),0,1),1),IF('Monthly_Data'!C650=C994,IF(ISBLANK('Monthly_Data'!C650)=ISBLANK(C994),0,1),1),IF('Monthly_Data'!D650=D994,IF(ISBLANK('Monthly_Data'!D650)=ISBLANK(D994),0,1),1),IF('Monthly_Data'!E650=E994,IF(ISBLANK('Monthly_Data'!E650)=ISBLANK(E994),0,1),1),IF('Monthly_Data'!F650=F994,IF(ISBLANK('Monthly_Data'!F650)=ISBLANK(F994),0,1),1),IF('Monthly_Data'!G650=G994,IF(ISBLANK('Monthly_Data'!G650)=ISBLANK(G994),0,1),1),IF('Monthly_Data'!H650=H994,IF(ISBLANK('Monthly_Data'!H650)=ISBLANK(H994),0,1),1))</x:f>
        <x:v>0</x:v>
      </x:c>
    </x:row>
    <x:row r="995" ht="23" customHeight="1">
      <x:c r="A995" s="2" t="str">
        <x:v>62052000_LK_202505_IMPORT</x:v>
      </x:c>
      <x:c r="B995" s="2" t="n">
        <x:v>202505</x:v>
      </x:c>
      <x:c r="C995" s="2" t="str">
        <x:v>62052000</x:v>
      </x:c>
      <x:c r="D995" s="2" t="str">
        <x:v>Sri Lanka</x:v>
      </x:c>
      <x:c r="E995" s="2" t="n">
        <x:v>356011</x:v>
      </x:c>
      <x:c r="F995" s="2" t="n">
        <x:v>20769</x:v>
      </x:c>
      <x:c r="G995" s="2" t="str">
        <x:v>WITHIN_BAND</x:v>
      </x:c>
      <x:c r="H995" s="2" t="n">
        <x:v>1</x:v>
      </x:c>
      <x:c r="I995" s="2"/>
      <x:c r="J995" s="2"/>
      <x:c r="K995" s="2"/>
      <x:c r="L995" s="2" t="n">
        <x:f>SUM(IF('Monthly_Data'!A651=A995,IF(ISBLANK('Monthly_Data'!A651)=ISBLANK(A995),0,1),1),IF('Monthly_Data'!B651=B995,IF(ISBLANK('Monthly_Data'!B651)=ISBLANK(B995),0,1),1),IF('Monthly_Data'!C651=C995,IF(ISBLANK('Monthly_Data'!C651)=ISBLANK(C995),0,1),1),IF('Monthly_Data'!D651=D995,IF(ISBLANK('Monthly_Data'!D651)=ISBLANK(D995),0,1),1),IF('Monthly_Data'!E651=E995,IF(ISBLANK('Monthly_Data'!E651)=ISBLANK(E995),0,1),1),IF('Monthly_Data'!F651=F995,IF(ISBLANK('Monthly_Data'!F651)=ISBLANK(F995),0,1),1),IF('Monthly_Data'!G651=G995,IF(ISBLANK('Monthly_Data'!G651)=ISBLANK(G995),0,1),1),IF('Monthly_Data'!H651=H995,IF(ISBLANK('Monthly_Data'!H651)=ISBLANK(H995),0,1),1))</x:f>
        <x:v>0</x:v>
      </x:c>
    </x:row>
    <x:row r="996" ht="23" customHeight="1">
      <x:c r="A996" s="2" t="str">
        <x:v>62052000_TR_202505_IMPORT</x:v>
      </x:c>
      <x:c r="B996" s="2" t="n">
        <x:v>202505</x:v>
      </x:c>
      <x:c r="C996" s="2" t="str">
        <x:v>62052000</x:v>
      </x:c>
      <x:c r="D996" s="2" t="str">
        <x:v>Turkey</x:v>
      </x:c>
      <x:c r="E996" s="2" t="n">
        <x:v>973631</x:v>
      </x:c>
      <x:c r="F996" s="2" t="n">
        <x:v>27326</x:v>
      </x:c>
      <x:c r="G996" s="2" t="str">
        <x:v>WITHIN_BAND</x:v>
      </x:c>
      <x:c r="H996" s="2" t="n">
        <x:v>1</x:v>
      </x:c>
      <x:c r="I996" s="2"/>
      <x:c r="J996" s="2"/>
      <x:c r="K996" s="2"/>
      <x:c r="L996" s="2" t="n">
        <x:f>SUM(IF('Monthly_Data'!A652=A996,IF(ISBLANK('Monthly_Data'!A652)=ISBLANK(A996),0,1),1),IF('Monthly_Data'!B652=B996,IF(ISBLANK('Monthly_Data'!B652)=ISBLANK(B996),0,1),1),IF('Monthly_Data'!C652=C996,IF(ISBLANK('Monthly_Data'!C652)=ISBLANK(C996),0,1),1),IF('Monthly_Data'!D652=D996,IF(ISBLANK('Monthly_Data'!D652)=ISBLANK(D996),0,1),1),IF('Monthly_Data'!E652=E996,IF(ISBLANK('Monthly_Data'!E652)=ISBLANK(E996),0,1),1),IF('Monthly_Data'!F652=F996,IF(ISBLANK('Monthly_Data'!F652)=ISBLANK(F996),0,1),1),IF('Monthly_Data'!G652=G996,IF(ISBLANK('Monthly_Data'!G652)=ISBLANK(G996),0,1),1),IF('Monthly_Data'!H652=H996,IF(ISBLANK('Monthly_Data'!H652)=ISBLANK(H996),0,1),1))</x:f>
        <x:v>0</x:v>
      </x:c>
    </x:row>
    <x:row r="997" ht="23" customHeight="1">
      <x:c r="A997" s="2" t="str">
        <x:v>62052000_VN_202505_IMPORT</x:v>
      </x:c>
      <x:c r="B997" s="2" t="n">
        <x:v>202505</x:v>
      </x:c>
      <x:c r="C997" s="2" t="str">
        <x:v>62052000</x:v>
      </x:c>
      <x:c r="D997" s="2" t="str">
        <x:v>Vietnam</x:v>
      </x:c>
      <x:c r="E997" s="2" t="n">
        <x:v>949400</x:v>
      </x:c>
      <x:c r="F997" s="2" t="n">
        <x:v>33324</x:v>
      </x:c>
      <x:c r="G997" s="2" t="str">
        <x:v>WITHIN_BAND</x:v>
      </x:c>
      <x:c r="H997" s="2" t="n">
        <x:v>1</x:v>
      </x:c>
      <x:c r="I997" s="2"/>
      <x:c r="J997" s="2"/>
      <x:c r="K997" s="2"/>
      <x:c r="L997" s="2" t="n">
        <x:f>SUM(IF('Monthly_Data'!A653=A997,IF(ISBLANK('Monthly_Data'!A653)=ISBLANK(A997),0,1),1),IF('Monthly_Data'!B653=B997,IF(ISBLANK('Monthly_Data'!B653)=ISBLANK(B997),0,1),1),IF('Monthly_Data'!C653=C997,IF(ISBLANK('Monthly_Data'!C653)=ISBLANK(C997),0,1),1),IF('Monthly_Data'!D653=D997,IF(ISBLANK('Monthly_Data'!D653)=ISBLANK(D997),0,1),1),IF('Monthly_Data'!E653=E997,IF(ISBLANK('Monthly_Data'!E653)=ISBLANK(E997),0,1),1),IF('Monthly_Data'!F653=F997,IF(ISBLANK('Monthly_Data'!F653)=ISBLANK(F997),0,1),1),IF('Monthly_Data'!G653=G997,IF(ISBLANK('Monthly_Data'!G653)=ISBLANK(G997),0,1),1),IF('Monthly_Data'!H653=H997,IF(ISBLANK('Monthly_Data'!H653)=ISBLANK(H997),0,1),1))</x:f>
        <x:v>0</x:v>
      </x:c>
    </x:row>
    <x:row r="998" ht="23" customHeight="1">
      <x:c r="A998" s="2" t="str">
        <x:v>62052000_WORLD_202505_IMPORT</x:v>
      </x:c>
      <x:c r="B998" s="2" t="n">
        <x:v>202505</x:v>
      </x:c>
      <x:c r="C998" s="2" t="str">
        <x:v>62052000</x:v>
      </x:c>
      <x:c r="D998" s="2" t="str">
        <x:v>World</x:v>
      </x:c>
      <x:c r="E998" s="2" t="n">
        <x:v>23433219</x:v>
      </x:c>
      <x:c r="F998" s="2" t="n">
        <x:v>931861</x:v>
      </x:c>
      <x:c r="G998" s="2" t="str">
        <x:v>WITHIN_BAND</x:v>
      </x:c>
      <x:c r="H998" s="2" t="n">
        <x:v>1</x:v>
      </x:c>
      <x:c r="I998" s="2"/>
      <x:c r="J998" s="2"/>
      <x:c r="K998" s="2"/>
      <x:c r="L998" s="2" t="n">
        <x:f>SUM(IF('Monthly_Data'!A654=A998,IF(ISBLANK('Monthly_Data'!A654)=ISBLANK(A998),0,1),1),IF('Monthly_Data'!B654=B998,IF(ISBLANK('Monthly_Data'!B654)=ISBLANK(B998),0,1),1),IF('Monthly_Data'!C654=C998,IF(ISBLANK('Monthly_Data'!C654)=ISBLANK(C998),0,1),1),IF('Monthly_Data'!D654=D998,IF(ISBLANK('Monthly_Data'!D654)=ISBLANK(D998),0,1),1),IF('Monthly_Data'!E654=E998,IF(ISBLANK('Monthly_Data'!E654)=ISBLANK(E998),0,1),1),IF('Monthly_Data'!F654=F998,IF(ISBLANK('Monthly_Data'!F654)=ISBLANK(F998),0,1),1),IF('Monthly_Data'!G654=G998,IF(ISBLANK('Monthly_Data'!G654)=ISBLANK(G998),0,1),1),IF('Monthly_Data'!H654=H998,IF(ISBLANK('Monthly_Data'!H654)=ISBLANK(H998),0,1),1))</x:f>
        <x:v>0</x:v>
      </x:c>
    </x:row>
    <x:row r="999" ht="23" customHeight="1">
      <x:c r="A999" s="2" t="str">
        <x:v>62052000_BD_202506_IMPORT</x:v>
      </x:c>
      <x:c r="B999" s="2" t="n">
        <x:v>202506</x:v>
      </x:c>
      <x:c r="C999" s="2" t="str">
        <x:v>62052000</x:v>
      </x:c>
      <x:c r="D999" s="2" t="str">
        <x:v>Bangladesh</x:v>
      </x:c>
      <x:c r="E999" s="2" t="n">
        <x:v>6112493</x:v>
      </x:c>
      <x:c r="F999" s="2" t="n">
        <x:v>363194</x:v>
      </x:c>
      <x:c r="G999" s="2" t="str">
        <x:v>WITHIN_BAND</x:v>
      </x:c>
      <x:c r="H999" s="2" t="n">
        <x:v>1</x:v>
      </x:c>
      <x:c r="I999" s="2"/>
      <x:c r="J999" s="2"/>
      <x:c r="K999" s="2"/>
      <x:c r="L999" s="2" t="n">
        <x:f>SUM(IF('Monthly_Data'!A655=A999,IF(ISBLANK('Monthly_Data'!A655)=ISBLANK(A999),0,1),1),IF('Monthly_Data'!B655=B999,IF(ISBLANK('Monthly_Data'!B655)=ISBLANK(B999),0,1),1),IF('Monthly_Data'!C655=C999,IF(ISBLANK('Monthly_Data'!C655)=ISBLANK(C999),0,1),1),IF('Monthly_Data'!D655=D999,IF(ISBLANK('Monthly_Data'!D655)=ISBLANK(D999),0,1),1),IF('Monthly_Data'!E655=E999,IF(ISBLANK('Monthly_Data'!E655)=ISBLANK(E999),0,1),1),IF('Monthly_Data'!F655=F999,IF(ISBLANK('Monthly_Data'!F655)=ISBLANK(F999),0,1),1),IF('Monthly_Data'!G655=G999,IF(ISBLANK('Monthly_Data'!G655)=ISBLANK(G999),0,1),1),IF('Monthly_Data'!H655=H999,IF(ISBLANK('Monthly_Data'!H655)=ISBLANK(H999),0,1),1))</x:f>
        <x:v>0</x:v>
      </x:c>
    </x:row>
    <x:row r="1000" ht="23" customHeight="1">
      <x:c r="A1000" s="2" t="str">
        <x:v>62052000_KH_202506_IMPORT</x:v>
      </x:c>
      <x:c r="B1000" s="2" t="n">
        <x:v>202506</x:v>
      </x:c>
      <x:c r="C1000" s="2" t="str">
        <x:v>62052000</x:v>
      </x:c>
      <x:c r="D1000" s="2" t="str">
        <x:v>Cambodia</x:v>
      </x:c>
      <x:c r="E1000" s="2" t="n">
        <x:v>2792569</x:v>
      </x:c>
      <x:c r="F1000" s="2" t="n">
        <x:v>104758</x:v>
      </x:c>
      <x:c r="G1000" s="2" t="str">
        <x:v>WITHIN_BAND</x:v>
      </x:c>
      <x:c r="H1000" s="2" t="n">
        <x:v>1</x:v>
      </x:c>
      <x:c r="I1000" s="2"/>
      <x:c r="J1000" s="2"/>
      <x:c r="K1000" s="2"/>
      <x:c r="L1000" s="2" t="n">
        <x:f>SUM(IF('Monthly_Data'!A656=A1000,IF(ISBLANK('Monthly_Data'!A656)=ISBLANK(A1000),0,1),1),IF('Monthly_Data'!B656=B1000,IF(ISBLANK('Monthly_Data'!B656)=ISBLANK(B1000),0,1),1),IF('Monthly_Data'!C656=C1000,IF(ISBLANK('Monthly_Data'!C656)=ISBLANK(C1000),0,1),1),IF('Monthly_Data'!D656=D1000,IF(ISBLANK('Monthly_Data'!D656)=ISBLANK(D1000),0,1),1),IF('Monthly_Data'!E656=E1000,IF(ISBLANK('Monthly_Data'!E656)=ISBLANK(E1000),0,1),1),IF('Monthly_Data'!F656=F1000,IF(ISBLANK('Monthly_Data'!F656)=ISBLANK(F1000),0,1),1),IF('Monthly_Data'!G656=G1000,IF(ISBLANK('Monthly_Data'!G656)=ISBLANK(G1000),0,1),1),IF('Monthly_Data'!H656=H1000,IF(ISBLANK('Monthly_Data'!H656)=ISBLANK(H1000),0,1),1))</x:f>
        <x:v>0</x:v>
      </x:c>
    </x:row>
    <x:row r="1001" ht="23" customHeight="1">
      <x:c r="A1001" s="2" t="str">
        <x:v>62052000_CN_202506_IMPORT</x:v>
      </x:c>
      <x:c r="B1001" s="2" t="n">
        <x:v>202506</x:v>
      </x:c>
      <x:c r="C1001" s="2" t="str">
        <x:v>62052000</x:v>
      </x:c>
      <x:c r="D1001" s="2" t="str">
        <x:v>China</x:v>
      </x:c>
      <x:c r="E1001" s="2" t="n">
        <x:v>742074</x:v>
      </x:c>
      <x:c r="F1001" s="2" t="n">
        <x:v>42333</x:v>
      </x:c>
      <x:c r="G1001" s="2" t="str">
        <x:v>WITHIN_BAND</x:v>
      </x:c>
      <x:c r="H1001" s="2" t="n">
        <x:v>1</x:v>
      </x:c>
      <x:c r="I1001" s="2"/>
      <x:c r="J1001" s="2"/>
      <x:c r="K1001" s="2"/>
      <x:c r="L1001" s="2" t="n">
        <x:f>SUM(IF('Monthly_Data'!A657=A1001,IF(ISBLANK('Monthly_Data'!A657)=ISBLANK(A1001),0,1),1),IF('Monthly_Data'!B657=B1001,IF(ISBLANK('Monthly_Data'!B657)=ISBLANK(B1001),0,1),1),IF('Monthly_Data'!C657=C1001,IF(ISBLANK('Monthly_Data'!C657)=ISBLANK(C1001),0,1),1),IF('Monthly_Data'!D657=D1001,IF(ISBLANK('Monthly_Data'!D657)=ISBLANK(D1001),0,1),1),IF('Monthly_Data'!E657=E1001,IF(ISBLANK('Monthly_Data'!E657)=ISBLANK(E1001),0,1),1),IF('Monthly_Data'!F657=F1001,IF(ISBLANK('Monthly_Data'!F657)=ISBLANK(F1001),0,1),1),IF('Monthly_Data'!G657=G1001,IF(ISBLANK('Monthly_Data'!G657)=ISBLANK(G1001),0,1),1),IF('Monthly_Data'!H657=H1001,IF(ISBLANK('Monthly_Data'!H657)=ISBLANK(H1001),0,1),1))</x:f>
        <x:v>0</x:v>
      </x:c>
    </x:row>
    <x:row r="1002" ht="23" customHeight="1">
      <x:c r="A1002" s="2" t="str">
        <x:v>62052000_IN_202506_IMPORT</x:v>
      </x:c>
      <x:c r="B1002" s="2" t="n">
        <x:v>202506</x:v>
      </x:c>
      <x:c r="C1002" s="2" t="str">
        <x:v>62052000</x:v>
      </x:c>
      <x:c r="D1002" s="2" t="str">
        <x:v>India</x:v>
      </x:c>
      <x:c r="E1002" s="2" t="n">
        <x:v>2474899</x:v>
      </x:c>
      <x:c r="F1002" s="2" t="n">
        <x:v>108579</x:v>
      </x:c>
      <x:c r="G1002" s="2" t="str">
        <x:v>WITHIN_BAND</x:v>
      </x:c>
      <x:c r="H1002" s="2" t="n">
        <x:v>1</x:v>
      </x:c>
      <x:c r="I1002" s="2"/>
      <x:c r="J1002" s="2"/>
      <x:c r="K1002" s="2"/>
      <x:c r="L1002" s="2" t="n">
        <x:f>SUM(IF('Monthly_Data'!A658=A1002,IF(ISBLANK('Monthly_Data'!A658)=ISBLANK(A1002),0,1),1),IF('Monthly_Data'!B658=B1002,IF(ISBLANK('Monthly_Data'!B658)=ISBLANK(B1002),0,1),1),IF('Monthly_Data'!C658=C1002,IF(ISBLANK('Monthly_Data'!C658)=ISBLANK(C1002),0,1),1),IF('Monthly_Data'!D658=D1002,IF(ISBLANK('Monthly_Data'!D658)=ISBLANK(D1002),0,1),1),IF('Monthly_Data'!E658=E1002,IF(ISBLANK('Monthly_Data'!E658)=ISBLANK(E1002),0,1),1),IF('Monthly_Data'!F658=F1002,IF(ISBLANK('Monthly_Data'!F658)=ISBLANK(F1002),0,1),1),IF('Monthly_Data'!G658=G1002,IF(ISBLANK('Monthly_Data'!G658)=ISBLANK(G1002),0,1),1),IF('Monthly_Data'!H658=H1002,IF(ISBLANK('Monthly_Data'!H658)=ISBLANK(H1002),0,1),1))</x:f>
        <x:v>0</x:v>
      </x:c>
    </x:row>
    <x:row r="1003" ht="23" customHeight="1">
      <x:c r="A1003" s="2" t="str">
        <x:v>62052000_MA_202506_IMPORT</x:v>
      </x:c>
      <x:c r="B1003" s="2" t="n">
        <x:v>202506</x:v>
      </x:c>
      <x:c r="C1003" s="2" t="str">
        <x:v>62052000</x:v>
      </x:c>
      <x:c r="D1003" s="2" t="str">
        <x:v>Morocco</x:v>
      </x:c>
      <x:c r="E1003" s="2" t="n">
        <x:v>166121</x:v>
      </x:c>
      <x:c r="F1003" s="2" t="n">
        <x:v>3215</x:v>
      </x:c>
      <x:c r="G1003" s="2" t="str">
        <x:v>WITHIN_BAND</x:v>
      </x:c>
      <x:c r="H1003" s="2" t="n">
        <x:v>1</x:v>
      </x:c>
      <x:c r="I1003" s="2"/>
      <x:c r="J1003" s="2"/>
      <x:c r="K1003" s="2"/>
      <x:c r="L1003" s="2" t="n">
        <x:f>SUM(IF('Monthly_Data'!A659=A1003,IF(ISBLANK('Monthly_Data'!A659)=ISBLANK(A1003),0,1),1),IF('Monthly_Data'!B659=B1003,IF(ISBLANK('Monthly_Data'!B659)=ISBLANK(B1003),0,1),1),IF('Monthly_Data'!C659=C1003,IF(ISBLANK('Monthly_Data'!C659)=ISBLANK(C1003),0,1),1),IF('Monthly_Data'!D659=D1003,IF(ISBLANK('Monthly_Data'!D659)=ISBLANK(D1003),0,1),1),IF('Monthly_Data'!E659=E1003,IF(ISBLANK('Monthly_Data'!E659)=ISBLANK(E1003),0,1),1),IF('Monthly_Data'!F659=F1003,IF(ISBLANK('Monthly_Data'!F659)=ISBLANK(F1003),0,1),1),IF('Monthly_Data'!G659=G1003,IF(ISBLANK('Monthly_Data'!G659)=ISBLANK(G1003),0,1),1),IF('Monthly_Data'!H659=H1003,IF(ISBLANK('Monthly_Data'!H659)=ISBLANK(H1003),0,1),1))</x:f>
        <x:v>0</x:v>
      </x:c>
    </x:row>
    <x:row r="1004" ht="23" customHeight="1">
      <x:c r="A1004" s="2" t="str">
        <x:v>62052000_MM_202506_IMPORT</x:v>
      </x:c>
      <x:c r="B1004" s="2" t="n">
        <x:v>202506</x:v>
      </x:c>
      <x:c r="C1004" s="2" t="str">
        <x:v>62052000</x:v>
      </x:c>
      <x:c r="D1004" s="2" t="str">
        <x:v>Myanmar</x:v>
      </x:c>
      <x:c r="E1004" s="2" t="n">
        <x:v>74593</x:v>
      </x:c>
      <x:c r="F1004" s="2" t="n">
        <x:v>6943</x:v>
      </x:c>
      <x:c r="G1004" s="2" t="str">
        <x:v>WITHIN_BAND</x:v>
      </x:c>
      <x:c r="H1004" s="2" t="n">
        <x:v>1</x:v>
      </x:c>
      <x:c r="I1004" s="2"/>
      <x:c r="J1004" s="2"/>
      <x:c r="K1004" s="2"/>
      <x:c r="L1004" s="2" t="n">
        <x:f>SUM(IF('Monthly_Data'!A660=A1004,IF(ISBLANK('Monthly_Data'!A660)=ISBLANK(A1004),0,1),1),IF('Monthly_Data'!B660=B1004,IF(ISBLANK('Monthly_Data'!B660)=ISBLANK(B1004),0,1),1),IF('Monthly_Data'!C660=C1004,IF(ISBLANK('Monthly_Data'!C660)=ISBLANK(C1004),0,1),1),IF('Monthly_Data'!D660=D1004,IF(ISBLANK('Monthly_Data'!D660)=ISBLANK(D1004),0,1),1),IF('Monthly_Data'!E660=E1004,IF(ISBLANK('Monthly_Data'!E660)=ISBLANK(E1004),0,1),1),IF('Monthly_Data'!F660=F1004,IF(ISBLANK('Monthly_Data'!F660)=ISBLANK(F1004),0,1),1),IF('Monthly_Data'!G660=G1004,IF(ISBLANK('Monthly_Data'!G660)=ISBLANK(G1004),0,1),1),IF('Monthly_Data'!H660=H1004,IF(ISBLANK('Monthly_Data'!H660)=ISBLANK(H1004),0,1),1))</x:f>
        <x:v>0</x:v>
      </x:c>
    </x:row>
    <x:row r="1005" ht="23" customHeight="1">
      <x:c r="A1005" s="2" t="str">
        <x:v>62052000_PK_202506_IMPORT</x:v>
      </x:c>
      <x:c r="B1005" s="2" t="n">
        <x:v>202506</x:v>
      </x:c>
      <x:c r="C1005" s="2" t="str">
        <x:v>62052000</x:v>
      </x:c>
      <x:c r="D1005" s="2" t="str">
        <x:v>Pakistan</x:v>
      </x:c>
      <x:c r="E1005" s="2" t="n">
        <x:v>39738</x:v>
      </x:c>
      <x:c r="F1005" s="2" t="n">
        <x:v>3691</x:v>
      </x:c>
      <x:c r="G1005" s="2" t="str">
        <x:v>WITHIN_BAND</x:v>
      </x:c>
      <x:c r="H1005" s="2" t="n">
        <x:v>1</x:v>
      </x:c>
      <x:c r="I1005" s="2"/>
      <x:c r="J1005" s="2"/>
      <x:c r="K1005" s="2"/>
      <x:c r="L1005" s="2" t="n">
        <x:f>SUM(IF('Monthly_Data'!A661=A1005,IF(ISBLANK('Monthly_Data'!A661)=ISBLANK(A1005),0,1),1),IF('Monthly_Data'!B661=B1005,IF(ISBLANK('Monthly_Data'!B661)=ISBLANK(B1005),0,1),1),IF('Monthly_Data'!C661=C1005,IF(ISBLANK('Monthly_Data'!C661)=ISBLANK(C1005),0,1),1),IF('Monthly_Data'!D661=D1005,IF(ISBLANK('Monthly_Data'!D661)=ISBLANK(D1005),0,1),1),IF('Monthly_Data'!E661=E1005,IF(ISBLANK('Monthly_Data'!E661)=ISBLANK(E1005),0,1),1),IF('Monthly_Data'!F661=F1005,IF(ISBLANK('Monthly_Data'!F661)=ISBLANK(F1005),0,1),1),IF('Monthly_Data'!G661=G1005,IF(ISBLANK('Monthly_Data'!G661)=ISBLANK(G1005),0,1),1),IF('Monthly_Data'!H661=H1005,IF(ISBLANK('Monthly_Data'!H661)=ISBLANK(H1005),0,1),1))</x:f>
        <x:v>0</x:v>
      </x:c>
    </x:row>
    <x:row r="1006" ht="23" customHeight="1">
      <x:c r="A1006" s="2" t="str">
        <x:v>62052000_LK_202506_IMPORT</x:v>
      </x:c>
      <x:c r="B1006" s="2" t="n">
        <x:v>202506</x:v>
      </x:c>
      <x:c r="C1006" s="2" t="str">
        <x:v>62052000</x:v>
      </x:c>
      <x:c r="D1006" s="2" t="str">
        <x:v>Sri Lanka</x:v>
      </x:c>
      <x:c r="E1006" s="2" t="n">
        <x:v>489732</x:v>
      </x:c>
      <x:c r="F1006" s="2" t="n">
        <x:v>16168</x:v>
      </x:c>
      <x:c r="G1006" s="2" t="str">
        <x:v>WITHIN_BAND</x:v>
      </x:c>
      <x:c r="H1006" s="2" t="n">
        <x:v>1</x:v>
      </x:c>
      <x:c r="I1006" s="2"/>
      <x:c r="J1006" s="2"/>
      <x:c r="K1006" s="2"/>
      <x:c r="L1006" s="2" t="n">
        <x:f>SUM(IF('Monthly_Data'!A662=A1006,IF(ISBLANK('Monthly_Data'!A662)=ISBLANK(A1006),0,1),1),IF('Monthly_Data'!B662=B1006,IF(ISBLANK('Monthly_Data'!B662)=ISBLANK(B1006),0,1),1),IF('Monthly_Data'!C662=C1006,IF(ISBLANK('Monthly_Data'!C662)=ISBLANK(C1006),0,1),1),IF('Monthly_Data'!D662=D1006,IF(ISBLANK('Monthly_Data'!D662)=ISBLANK(D1006),0,1),1),IF('Monthly_Data'!E662=E1006,IF(ISBLANK('Monthly_Data'!E662)=ISBLANK(E1006),0,1),1),IF('Monthly_Data'!F662=F1006,IF(ISBLANK('Monthly_Data'!F662)=ISBLANK(F1006),0,1),1),IF('Monthly_Data'!G662=G1006,IF(ISBLANK('Monthly_Data'!G662)=ISBLANK(G1006),0,1),1),IF('Monthly_Data'!H662=H1006,IF(ISBLANK('Monthly_Data'!H662)=ISBLANK(H1006),0,1),1))</x:f>
        <x:v>0</x:v>
      </x:c>
    </x:row>
    <x:row r="1007" ht="23" customHeight="1">
      <x:c r="A1007" s="2" t="str">
        <x:v>62052000_TR_202506_IMPORT</x:v>
      </x:c>
      <x:c r="B1007" s="2" t="n">
        <x:v>202506</x:v>
      </x:c>
      <x:c r="C1007" s="2" t="str">
        <x:v>62052000</x:v>
      </x:c>
      <x:c r="D1007" s="2" t="str">
        <x:v>Turkey</x:v>
      </x:c>
      <x:c r="E1007" s="2" t="n">
        <x:v>803813</x:v>
      </x:c>
      <x:c r="F1007" s="2" t="n">
        <x:v>20868</x:v>
      </x:c>
      <x:c r="G1007" s="2" t="str">
        <x:v>WITHIN_BAND</x:v>
      </x:c>
      <x:c r="H1007" s="2" t="n">
        <x:v>1</x:v>
      </x:c>
      <x:c r="I1007" s="2"/>
      <x:c r="J1007" s="2"/>
      <x:c r="K1007" s="2"/>
      <x:c r="L1007" s="2" t="n">
        <x:f>SUM(IF('Monthly_Data'!A663=A1007,IF(ISBLANK('Monthly_Data'!A663)=ISBLANK(A1007),0,1),1),IF('Monthly_Data'!B663=B1007,IF(ISBLANK('Monthly_Data'!B663)=ISBLANK(B1007),0,1),1),IF('Monthly_Data'!C663=C1007,IF(ISBLANK('Monthly_Data'!C663)=ISBLANK(C1007),0,1),1),IF('Monthly_Data'!D663=D1007,IF(ISBLANK('Monthly_Data'!D663)=ISBLANK(D1007),0,1),1),IF('Monthly_Data'!E663=E1007,IF(ISBLANK('Monthly_Data'!E663)=ISBLANK(E1007),0,1),1),IF('Monthly_Data'!F663=F1007,IF(ISBLANK('Monthly_Data'!F663)=ISBLANK(F1007),0,1),1),IF('Monthly_Data'!G663=G1007,IF(ISBLANK('Monthly_Data'!G663)=ISBLANK(G1007),0,1),1),IF('Monthly_Data'!H663=H1007,IF(ISBLANK('Monthly_Data'!H663)=ISBLANK(H1007),0,1),1))</x:f>
        <x:v>0</x:v>
      </x:c>
    </x:row>
    <x:row r="1008" ht="23" customHeight="1">
      <x:c r="A1008" s="2" t="str">
        <x:v>62052000_VN_202506_IMPORT</x:v>
      </x:c>
      <x:c r="B1008" s="2" t="n">
        <x:v>202506</x:v>
      </x:c>
      <x:c r="C1008" s="2" t="str">
        <x:v>62052000</x:v>
      </x:c>
      <x:c r="D1008" s="2" t="str">
        <x:v>Vietnam</x:v>
      </x:c>
      <x:c r="E1008" s="2" t="n">
        <x:v>666333</x:v>
      </x:c>
      <x:c r="F1008" s="2" t="n">
        <x:v>24265</x:v>
      </x:c>
      <x:c r="G1008" s="2" t="str">
        <x:v>WITHIN_BAND</x:v>
      </x:c>
      <x:c r="H1008" s="2" t="n">
        <x:v>1</x:v>
      </x:c>
      <x:c r="I1008" s="2"/>
      <x:c r="J1008" s="2"/>
      <x:c r="K1008" s="2"/>
      <x:c r="L1008" s="2" t="n">
        <x:f>SUM(IF('Monthly_Data'!A664=A1008,IF(ISBLANK('Monthly_Data'!A664)=ISBLANK(A1008),0,1),1),IF('Monthly_Data'!B664=B1008,IF(ISBLANK('Monthly_Data'!B664)=ISBLANK(B1008),0,1),1),IF('Monthly_Data'!C664=C1008,IF(ISBLANK('Monthly_Data'!C664)=ISBLANK(C1008),0,1),1),IF('Monthly_Data'!D664=D1008,IF(ISBLANK('Monthly_Data'!D664)=ISBLANK(D1008),0,1),1),IF('Monthly_Data'!E664=E1008,IF(ISBLANK('Monthly_Data'!E664)=ISBLANK(E1008),0,1),1),IF('Monthly_Data'!F664=F1008,IF(ISBLANK('Monthly_Data'!F664)=ISBLANK(F1008),0,1),1),IF('Monthly_Data'!G664=G1008,IF(ISBLANK('Monthly_Data'!G664)=ISBLANK(G1008),0,1),1),IF('Monthly_Data'!H664=H1008,IF(ISBLANK('Monthly_Data'!H664)=ISBLANK(H1008),0,1),1))</x:f>
        <x:v>0</x:v>
      </x:c>
    </x:row>
    <x:row r="1009" ht="23" customHeight="1">
      <x:c r="A1009" s="2" t="str">
        <x:v>62052000_WORLD_202506_IMPORT</x:v>
      </x:c>
      <x:c r="B1009" s="2" t="n">
        <x:v>202506</x:v>
      </x:c>
      <x:c r="C1009" s="2" t="str">
        <x:v>62052000</x:v>
      </x:c>
      <x:c r="D1009" s="2" t="str">
        <x:v>World</x:v>
      </x:c>
      <x:c r="E1009" s="2" t="n">
        <x:v>21406585</x:v>
      </x:c>
      <x:c r="F1009" s="2" t="n">
        <x:v>821333</x:v>
      </x:c>
      <x:c r="G1009" s="2" t="str">
        <x:v>WITHIN_BAND</x:v>
      </x:c>
      <x:c r="H1009" s="2" t="n">
        <x:v>1</x:v>
      </x:c>
      <x:c r="I1009" s="2"/>
      <x:c r="J1009" s="2"/>
      <x:c r="K1009" s="2"/>
      <x:c r="L1009" s="2" t="n">
        <x:f>SUM(IF('Monthly_Data'!A665=A1009,IF(ISBLANK('Monthly_Data'!A665)=ISBLANK(A1009),0,1),1),IF('Monthly_Data'!B665=B1009,IF(ISBLANK('Monthly_Data'!B665)=ISBLANK(B1009),0,1),1),IF('Monthly_Data'!C665=C1009,IF(ISBLANK('Monthly_Data'!C665)=ISBLANK(C1009),0,1),1),IF('Monthly_Data'!D665=D1009,IF(ISBLANK('Monthly_Data'!D665)=ISBLANK(D1009),0,1),1),IF('Monthly_Data'!E665=E1009,IF(ISBLANK('Monthly_Data'!E665)=ISBLANK(E1009),0,1),1),IF('Monthly_Data'!F665=F1009,IF(ISBLANK('Monthly_Data'!F665)=ISBLANK(F1009),0,1),1),IF('Monthly_Data'!G665=G1009,IF(ISBLANK('Monthly_Data'!G665)=ISBLANK(G1009),0,1),1),IF('Monthly_Data'!H665=H1009,IF(ISBLANK('Monthly_Data'!H665)=ISBLANK(H1009),0,1),1))</x:f>
        <x:v>0</x:v>
      </x:c>
    </x:row>
    <x:row r="1010" ht="23" customHeight="1">
      <x:c r="A1010" s="2" t="str">
        <x:v>62052000_BD_202507_IMPORT</x:v>
      </x:c>
      <x:c r="B1010" s="2" t="n">
        <x:v>202507</x:v>
      </x:c>
      <x:c r="C1010" s="2" t="str">
        <x:v>62052000</x:v>
      </x:c>
      <x:c r="D1010" s="2" t="str">
        <x:v>Bangladesh</x:v>
      </x:c>
      <x:c r="E1010" s="2" t="n">
        <x:v>6720288</x:v>
      </x:c>
      <x:c r="F1010" s="2" t="n">
        <x:v>386519</x:v>
      </x:c>
      <x:c r="G1010" s="2" t="str">
        <x:v>WITHIN_BAND</x:v>
      </x:c>
      <x:c r="H1010" s="2" t="n">
        <x:v>1</x:v>
      </x:c>
      <x:c r="I1010" s="2"/>
      <x:c r="J1010" s="2"/>
      <x:c r="K1010" s="2"/>
      <x:c r="L1010" s="2" t="n">
        <x:f>SUM(IF('Monthly_Data'!A666=A1010,IF(ISBLANK('Monthly_Data'!A666)=ISBLANK(A1010),0,1),1),IF('Monthly_Data'!B666=B1010,IF(ISBLANK('Monthly_Data'!B666)=ISBLANK(B1010),0,1),1),IF('Monthly_Data'!C666=C1010,IF(ISBLANK('Monthly_Data'!C666)=ISBLANK(C1010),0,1),1),IF('Monthly_Data'!D666=D1010,IF(ISBLANK('Monthly_Data'!D666)=ISBLANK(D1010),0,1),1),IF('Monthly_Data'!E666=E1010,IF(ISBLANK('Monthly_Data'!E666)=ISBLANK(E1010),0,1),1),IF('Monthly_Data'!F666=F1010,IF(ISBLANK('Monthly_Data'!F666)=ISBLANK(F1010),0,1),1),IF('Monthly_Data'!G666=G1010,IF(ISBLANK('Monthly_Data'!G666)=ISBLANK(G1010),0,1),1),IF('Monthly_Data'!H666=H1010,IF(ISBLANK('Monthly_Data'!H666)=ISBLANK(H1010),0,1),1))</x:f>
        <x:v>0</x:v>
      </x:c>
    </x:row>
    <x:row r="1011" ht="23" customHeight="1">
      <x:c r="A1011" s="2" t="str">
        <x:v>62052000_KH_202507_IMPORT</x:v>
      </x:c>
      <x:c r="B1011" s="2" t="n">
        <x:v>202507</x:v>
      </x:c>
      <x:c r="C1011" s="2" t="str">
        <x:v>62052000</x:v>
      </x:c>
      <x:c r="D1011" s="2" t="str">
        <x:v>Cambodia</x:v>
      </x:c>
      <x:c r="E1011" s="2" t="n">
        <x:v>1115255</x:v>
      </x:c>
      <x:c r="F1011" s="2" t="n">
        <x:v>49672</x:v>
      </x:c>
      <x:c r="G1011" s="2" t="str">
        <x:v>WITHIN_BAND</x:v>
      </x:c>
      <x:c r="H1011" s="2" t="n">
        <x:v>1</x:v>
      </x:c>
      <x:c r="I1011" s="2"/>
      <x:c r="J1011" s="2"/>
      <x:c r="K1011" s="2"/>
      <x:c r="L1011" s="2" t="n">
        <x:f>SUM(IF('Monthly_Data'!A667=A1011,IF(ISBLANK('Monthly_Data'!A667)=ISBLANK(A1011),0,1),1),IF('Monthly_Data'!B667=B1011,IF(ISBLANK('Monthly_Data'!B667)=ISBLANK(B1011),0,1),1),IF('Monthly_Data'!C667=C1011,IF(ISBLANK('Monthly_Data'!C667)=ISBLANK(C1011),0,1),1),IF('Monthly_Data'!D667=D1011,IF(ISBLANK('Monthly_Data'!D667)=ISBLANK(D1011),0,1),1),IF('Monthly_Data'!E667=E1011,IF(ISBLANK('Monthly_Data'!E667)=ISBLANK(E1011),0,1),1),IF('Monthly_Data'!F667=F1011,IF(ISBLANK('Monthly_Data'!F667)=ISBLANK(F1011),0,1),1),IF('Monthly_Data'!G667=G1011,IF(ISBLANK('Monthly_Data'!G667)=ISBLANK(G1011),0,1),1),IF('Monthly_Data'!H667=H1011,IF(ISBLANK('Monthly_Data'!H667)=ISBLANK(H1011),0,1),1))</x:f>
        <x:v>0</x:v>
      </x:c>
    </x:row>
    <x:row r="1012" ht="23" customHeight="1">
      <x:c r="A1012" s="2" t="str">
        <x:v>62052000_CN_202507_IMPORT</x:v>
      </x:c>
      <x:c r="B1012" s="2" t="n">
        <x:v>202507</x:v>
      </x:c>
      <x:c r="C1012" s="2" t="str">
        <x:v>62052000</x:v>
      </x:c>
      <x:c r="D1012" s="2" t="str">
        <x:v>China</x:v>
      </x:c>
      <x:c r="E1012" s="2" t="n">
        <x:v>1285983</x:v>
      </x:c>
      <x:c r="F1012" s="2" t="n">
        <x:v>61923</x:v>
      </x:c>
      <x:c r="G1012" s="2" t="str">
        <x:v>WITHIN_BAND</x:v>
      </x:c>
      <x:c r="H1012" s="2" t="n">
        <x:v>1</x:v>
      </x:c>
      <x:c r="I1012" s="2"/>
      <x:c r="J1012" s="2"/>
      <x:c r="K1012" s="2"/>
      <x:c r="L1012" s="2" t="n">
        <x:f>SUM(IF('Monthly_Data'!A668=A1012,IF(ISBLANK('Monthly_Data'!A668)=ISBLANK(A1012),0,1),1),IF('Monthly_Data'!B668=B1012,IF(ISBLANK('Monthly_Data'!B668)=ISBLANK(B1012),0,1),1),IF('Monthly_Data'!C668=C1012,IF(ISBLANK('Monthly_Data'!C668)=ISBLANK(C1012),0,1),1),IF('Monthly_Data'!D668=D1012,IF(ISBLANK('Monthly_Data'!D668)=ISBLANK(D1012),0,1),1),IF('Monthly_Data'!E668=E1012,IF(ISBLANK('Monthly_Data'!E668)=ISBLANK(E1012),0,1),1),IF('Monthly_Data'!F668=F1012,IF(ISBLANK('Monthly_Data'!F668)=ISBLANK(F1012),0,1),1),IF('Monthly_Data'!G668=G1012,IF(ISBLANK('Monthly_Data'!G668)=ISBLANK(G1012),0,1),1),IF('Monthly_Data'!H668=H1012,IF(ISBLANK('Monthly_Data'!H668)=ISBLANK(H1012),0,1),1))</x:f>
        <x:v>0</x:v>
      </x:c>
    </x:row>
    <x:row r="1013" ht="23" customHeight="1">
      <x:c r="A1013" s="2" t="str">
        <x:v>62052000_IN_202507_IMPORT</x:v>
      </x:c>
      <x:c r="B1013" s="2" t="n">
        <x:v>202507</x:v>
      </x:c>
      <x:c r="C1013" s="2" t="str">
        <x:v>62052000</x:v>
      </x:c>
      <x:c r="D1013" s="2" t="str">
        <x:v>India</x:v>
      </x:c>
      <x:c r="E1013" s="2" t="n">
        <x:v>2433614</x:v>
      </x:c>
      <x:c r="F1013" s="2" t="n">
        <x:v>115572</x:v>
      </x:c>
      <x:c r="G1013" s="2" t="str">
        <x:v>WITHIN_BAND</x:v>
      </x:c>
      <x:c r="H1013" s="2" t="n">
        <x:v>1</x:v>
      </x:c>
      <x:c r="I1013" s="2"/>
      <x:c r="J1013" s="2"/>
      <x:c r="K1013" s="2"/>
      <x:c r="L1013" s="2" t="n">
        <x:f>SUM(IF('Monthly_Data'!A669=A1013,IF(ISBLANK('Monthly_Data'!A669)=ISBLANK(A1013),0,1),1),IF('Monthly_Data'!B669=B1013,IF(ISBLANK('Monthly_Data'!B669)=ISBLANK(B1013),0,1),1),IF('Monthly_Data'!C669=C1013,IF(ISBLANK('Monthly_Data'!C669)=ISBLANK(C1013),0,1),1),IF('Monthly_Data'!D669=D1013,IF(ISBLANK('Monthly_Data'!D669)=ISBLANK(D1013),0,1),1),IF('Monthly_Data'!E669=E1013,IF(ISBLANK('Monthly_Data'!E669)=ISBLANK(E1013),0,1),1),IF('Monthly_Data'!F669=F1013,IF(ISBLANK('Monthly_Data'!F669)=ISBLANK(F1013),0,1),1),IF('Monthly_Data'!G669=G1013,IF(ISBLANK('Monthly_Data'!G669)=ISBLANK(G1013),0,1),1),IF('Monthly_Data'!H669=H1013,IF(ISBLANK('Monthly_Data'!H669)=ISBLANK(H1013),0,1),1))</x:f>
        <x:v>0</x:v>
      </x:c>
    </x:row>
    <x:row r="1014" ht="23" customHeight="1">
      <x:c r="A1014" s="2" t="str">
        <x:v>62052000_MA_202507_IMPORT</x:v>
      </x:c>
      <x:c r="B1014" s="2" t="n">
        <x:v>202507</x:v>
      </x:c>
      <x:c r="C1014" s="2" t="str">
        <x:v>62052000</x:v>
      </x:c>
      <x:c r="D1014" s="2" t="str">
        <x:v>Morocco</x:v>
      </x:c>
      <x:c r="E1014" s="2" t="n">
        <x:v>192356</x:v>
      </x:c>
      <x:c r="F1014" s="2" t="n">
        <x:v>4195</x:v>
      </x:c>
      <x:c r="G1014" s="2" t="str">
        <x:v>WITHIN_BAND</x:v>
      </x:c>
      <x:c r="H1014" s="2" t="n">
        <x:v>1</x:v>
      </x:c>
      <x:c r="I1014" s="2"/>
      <x:c r="J1014" s="2"/>
      <x:c r="K1014" s="2"/>
      <x:c r="L1014" s="2" t="n">
        <x:f>SUM(IF('Monthly_Data'!A670=A1014,IF(ISBLANK('Monthly_Data'!A670)=ISBLANK(A1014),0,1),1),IF('Monthly_Data'!B670=B1014,IF(ISBLANK('Monthly_Data'!B670)=ISBLANK(B1014),0,1),1),IF('Monthly_Data'!C670=C1014,IF(ISBLANK('Monthly_Data'!C670)=ISBLANK(C1014),0,1),1),IF('Monthly_Data'!D670=D1014,IF(ISBLANK('Monthly_Data'!D670)=ISBLANK(D1014),0,1),1),IF('Monthly_Data'!E670=E1014,IF(ISBLANK('Monthly_Data'!E670)=ISBLANK(E1014),0,1),1),IF('Monthly_Data'!F670=F1014,IF(ISBLANK('Monthly_Data'!F670)=ISBLANK(F1014),0,1),1),IF('Monthly_Data'!G670=G1014,IF(ISBLANK('Monthly_Data'!G670)=ISBLANK(G1014),0,1),1),IF('Monthly_Data'!H670=H1014,IF(ISBLANK('Monthly_Data'!H670)=ISBLANK(H1014),0,1),1))</x:f>
        <x:v>0</x:v>
      </x:c>
    </x:row>
    <x:row r="1015" ht="23" customHeight="1">
      <x:c r="A1015" s="2" t="str">
        <x:v>62052000_MM_202507_IMPORT</x:v>
      </x:c>
      <x:c r="B1015" s="2" t="n">
        <x:v>202507</x:v>
      </x:c>
      <x:c r="C1015" s="2" t="str">
        <x:v>62052000</x:v>
      </x:c>
      <x:c r="D1015" s="2" t="str">
        <x:v>Myanmar</x:v>
      </x:c>
      <x:c r="E1015" s="2" t="n">
        <x:v>34295</x:v>
      </x:c>
      <x:c r="F1015" s="2" t="n">
        <x:v>2123</x:v>
      </x:c>
      <x:c r="G1015" s="2" t="str">
        <x:v>WITHIN_BAND</x:v>
      </x:c>
      <x:c r="H1015" s="2" t="n">
        <x:v>1</x:v>
      </x:c>
      <x:c r="I1015" s="2"/>
      <x:c r="J1015" s="2"/>
      <x:c r="K1015" s="2"/>
      <x:c r="L1015" s="2" t="n">
        <x:f>SUM(IF('Monthly_Data'!A671=A1015,IF(ISBLANK('Monthly_Data'!A671)=ISBLANK(A1015),0,1),1),IF('Monthly_Data'!B671=B1015,IF(ISBLANK('Monthly_Data'!B671)=ISBLANK(B1015),0,1),1),IF('Monthly_Data'!C671=C1015,IF(ISBLANK('Monthly_Data'!C671)=ISBLANK(C1015),0,1),1),IF('Monthly_Data'!D671=D1015,IF(ISBLANK('Monthly_Data'!D671)=ISBLANK(D1015),0,1),1),IF('Monthly_Data'!E671=E1015,IF(ISBLANK('Monthly_Data'!E671)=ISBLANK(E1015),0,1),1),IF('Monthly_Data'!F671=F1015,IF(ISBLANK('Monthly_Data'!F671)=ISBLANK(F1015),0,1),1),IF('Monthly_Data'!G671=G1015,IF(ISBLANK('Monthly_Data'!G671)=ISBLANK(G1015),0,1),1),IF('Monthly_Data'!H671=H1015,IF(ISBLANK('Monthly_Data'!H671)=ISBLANK(H1015),0,1),1))</x:f>
        <x:v>0</x:v>
      </x:c>
    </x:row>
    <x:row r="1016" ht="23" customHeight="1">
      <x:c r="A1016" s="2" t="str">
        <x:v>62052000_PK_202507_IMPORT</x:v>
      </x:c>
      <x:c r="B1016" s="2" t="n">
        <x:v>202507</x:v>
      </x:c>
      <x:c r="C1016" s="2" t="str">
        <x:v>62052000</x:v>
      </x:c>
      <x:c r="D1016" s="2" t="str">
        <x:v>Pakistan</x:v>
      </x:c>
      <x:c r="E1016" s="2" t="n">
        <x:v>43220</x:v>
      </x:c>
      <x:c r="F1016" s="2" t="n">
        <x:v>2888</x:v>
      </x:c>
      <x:c r="G1016" s="2" t="str">
        <x:v>WITHIN_BAND</x:v>
      </x:c>
      <x:c r="H1016" s="2" t="n">
        <x:v>1</x:v>
      </x:c>
      <x:c r="I1016" s="2"/>
      <x:c r="J1016" s="2"/>
      <x:c r="K1016" s="2"/>
      <x:c r="L1016" s="2" t="n">
        <x:f>SUM(IF('Monthly_Data'!A672=A1016,IF(ISBLANK('Monthly_Data'!A672)=ISBLANK(A1016),0,1),1),IF('Monthly_Data'!B672=B1016,IF(ISBLANK('Monthly_Data'!B672)=ISBLANK(B1016),0,1),1),IF('Monthly_Data'!C672=C1016,IF(ISBLANK('Monthly_Data'!C672)=ISBLANK(C1016),0,1),1),IF('Monthly_Data'!D672=D1016,IF(ISBLANK('Monthly_Data'!D672)=ISBLANK(D1016),0,1),1),IF('Monthly_Data'!E672=E1016,IF(ISBLANK('Monthly_Data'!E672)=ISBLANK(E1016),0,1),1),IF('Monthly_Data'!F672=F1016,IF(ISBLANK('Monthly_Data'!F672)=ISBLANK(F1016),0,1),1),IF('Monthly_Data'!G672=G1016,IF(ISBLANK('Monthly_Data'!G672)=ISBLANK(G1016),0,1),1),IF('Monthly_Data'!H672=H1016,IF(ISBLANK('Monthly_Data'!H672)=ISBLANK(H1016),0,1),1))</x:f>
        <x:v>0</x:v>
      </x:c>
    </x:row>
    <x:row r="1017" ht="23" customHeight="1">
      <x:c r="A1017" s="2" t="str">
        <x:v>62052000_LK_202507_IMPORT</x:v>
      </x:c>
      <x:c r="B1017" s="2" t="n">
        <x:v>202507</x:v>
      </x:c>
      <x:c r="C1017" s="2" t="str">
        <x:v>62052000</x:v>
      </x:c>
      <x:c r="D1017" s="2" t="str">
        <x:v>Sri Lanka</x:v>
      </x:c>
      <x:c r="E1017" s="2" t="n">
        <x:v>362612</x:v>
      </x:c>
      <x:c r="F1017" s="2" t="n">
        <x:v>12807</x:v>
      </x:c>
      <x:c r="G1017" s="2" t="str">
        <x:v>WITHIN_BAND</x:v>
      </x:c>
      <x:c r="H1017" s="2" t="n">
        <x:v>1</x:v>
      </x:c>
      <x:c r="I1017" s="2"/>
      <x:c r="J1017" s="2"/>
      <x:c r="K1017" s="2"/>
      <x:c r="L1017" s="2" t="n">
        <x:f>SUM(IF('Monthly_Data'!A673=A1017,IF(ISBLANK('Monthly_Data'!A673)=ISBLANK(A1017),0,1),1),IF('Monthly_Data'!B673=B1017,IF(ISBLANK('Monthly_Data'!B673)=ISBLANK(B1017),0,1),1),IF('Monthly_Data'!C673=C1017,IF(ISBLANK('Monthly_Data'!C673)=ISBLANK(C1017),0,1),1),IF('Monthly_Data'!D673=D1017,IF(ISBLANK('Monthly_Data'!D673)=ISBLANK(D1017),0,1),1),IF('Monthly_Data'!E673=E1017,IF(ISBLANK('Monthly_Data'!E673)=ISBLANK(E1017),0,1),1),IF('Monthly_Data'!F673=F1017,IF(ISBLANK('Monthly_Data'!F673)=ISBLANK(F1017),0,1),1),IF('Monthly_Data'!G673=G1017,IF(ISBLANK('Monthly_Data'!G673)=ISBLANK(G1017),0,1),1),IF('Monthly_Data'!H673=H1017,IF(ISBLANK('Monthly_Data'!H673)=ISBLANK(H1017),0,1),1))</x:f>
        <x:v>0</x:v>
      </x:c>
    </x:row>
    <x:row r="1018" ht="23" customHeight="1">
      <x:c r="A1018" s="2" t="str">
        <x:v>62052000_TR_202507_IMPORT</x:v>
      </x:c>
      <x:c r="B1018" s="2" t="n">
        <x:v>202507</x:v>
      </x:c>
      <x:c r="C1018" s="2" t="str">
        <x:v>62052000</x:v>
      </x:c>
      <x:c r="D1018" s="2" t="str">
        <x:v>Turkey</x:v>
      </x:c>
      <x:c r="E1018" s="2" t="n">
        <x:v>1430736</x:v>
      </x:c>
      <x:c r="F1018" s="2" t="n">
        <x:v>38498</x:v>
      </x:c>
      <x:c r="G1018" s="2" t="str">
        <x:v>WITHIN_BAND</x:v>
      </x:c>
      <x:c r="H1018" s="2" t="n">
        <x:v>1</x:v>
      </x:c>
      <x:c r="I1018" s="2"/>
      <x:c r="J1018" s="2"/>
      <x:c r="K1018" s="2"/>
      <x:c r="L1018" s="2" t="n">
        <x:f>SUM(IF('Monthly_Data'!A674=A1018,IF(ISBLANK('Monthly_Data'!A674)=ISBLANK(A1018),0,1),1),IF('Monthly_Data'!B674=B1018,IF(ISBLANK('Monthly_Data'!B674)=ISBLANK(B1018),0,1),1),IF('Monthly_Data'!C674=C1018,IF(ISBLANK('Monthly_Data'!C674)=ISBLANK(C1018),0,1),1),IF('Monthly_Data'!D674=D1018,IF(ISBLANK('Monthly_Data'!D674)=ISBLANK(D1018),0,1),1),IF('Monthly_Data'!E674=E1018,IF(ISBLANK('Monthly_Data'!E674)=ISBLANK(E1018),0,1),1),IF('Monthly_Data'!F674=F1018,IF(ISBLANK('Monthly_Data'!F674)=ISBLANK(F1018),0,1),1),IF('Monthly_Data'!G674=G1018,IF(ISBLANK('Monthly_Data'!G674)=ISBLANK(G1018),0,1),1),IF('Monthly_Data'!H674=H1018,IF(ISBLANK('Monthly_Data'!H674)=ISBLANK(H1018),0,1),1))</x:f>
        <x:v>0</x:v>
      </x:c>
    </x:row>
    <x:row r="1019" ht="23" customHeight="1">
      <x:c r="A1019" s="2" t="str">
        <x:v>62052000_VN_202507_IMPORT</x:v>
      </x:c>
      <x:c r="B1019" s="2" t="n">
        <x:v>202507</x:v>
      </x:c>
      <x:c r="C1019" s="2" t="str">
        <x:v>62052000</x:v>
      </x:c>
      <x:c r="D1019" s="2" t="str">
        <x:v>Vietnam</x:v>
      </x:c>
      <x:c r="E1019" s="2" t="n">
        <x:v>1352190</x:v>
      </x:c>
      <x:c r="F1019" s="2" t="n">
        <x:v>44969</x:v>
      </x:c>
      <x:c r="G1019" s="2" t="str">
        <x:v>WITHIN_BAND</x:v>
      </x:c>
      <x:c r="H1019" s="2" t="n">
        <x:v>1</x:v>
      </x:c>
      <x:c r="I1019" s="2"/>
      <x:c r="J1019" s="2"/>
      <x:c r="K1019" s="2"/>
      <x:c r="L1019" s="2" t="n">
        <x:f>SUM(IF('Monthly_Data'!A675=A1019,IF(ISBLANK('Monthly_Data'!A675)=ISBLANK(A1019),0,1),1),IF('Monthly_Data'!B675=B1019,IF(ISBLANK('Monthly_Data'!B675)=ISBLANK(B1019),0,1),1),IF('Monthly_Data'!C675=C1019,IF(ISBLANK('Monthly_Data'!C675)=ISBLANK(C1019),0,1),1),IF('Monthly_Data'!D675=D1019,IF(ISBLANK('Monthly_Data'!D675)=ISBLANK(D1019),0,1),1),IF('Monthly_Data'!E675=E1019,IF(ISBLANK('Monthly_Data'!E675)=ISBLANK(E1019),0,1),1),IF('Monthly_Data'!F675=F1019,IF(ISBLANK('Monthly_Data'!F675)=ISBLANK(F1019),0,1),1),IF('Monthly_Data'!G675=G1019,IF(ISBLANK('Monthly_Data'!G675)=ISBLANK(G1019),0,1),1),IF('Monthly_Data'!H675=H1019,IF(ISBLANK('Monthly_Data'!H675)=ISBLANK(H1019),0,1),1))</x:f>
        <x:v>0</x:v>
      </x:c>
    </x:row>
    <x:row r="1020" ht="23" customHeight="1">
      <x:c r="A1020" s="2" t="str">
        <x:v>62052000_WORLD_202507_IMPORT</x:v>
      </x:c>
      <x:c r="B1020" s="2" t="n">
        <x:v>202507</x:v>
      </x:c>
      <x:c r="C1020" s="2" t="str">
        <x:v>62052000</x:v>
      </x:c>
      <x:c r="D1020" s="2" t="str">
        <x:v>World</x:v>
      </x:c>
      <x:c r="E1020" s="2" t="n">
        <x:v>24228303</x:v>
      </x:c>
      <x:c r="F1020" s="2" t="n">
        <x:v>907198</x:v>
      </x:c>
      <x:c r="G1020" s="2" t="str">
        <x:v>WITHIN_BAND</x:v>
      </x:c>
      <x:c r="H1020" s="2" t="n">
        <x:v>1</x:v>
      </x:c>
      <x:c r="I1020" s="2"/>
      <x:c r="J1020" s="2"/>
      <x:c r="K1020" s="2"/>
      <x:c r="L1020" s="2" t="n">
        <x:f>SUM(IF('Monthly_Data'!A676=A1020,IF(ISBLANK('Monthly_Data'!A676)=ISBLANK(A1020),0,1),1),IF('Monthly_Data'!B676=B1020,IF(ISBLANK('Monthly_Data'!B676)=ISBLANK(B1020),0,1),1),IF('Monthly_Data'!C676=C1020,IF(ISBLANK('Monthly_Data'!C676)=ISBLANK(C1020),0,1),1),IF('Monthly_Data'!D676=D1020,IF(ISBLANK('Monthly_Data'!D676)=ISBLANK(D1020),0,1),1),IF('Monthly_Data'!E676=E1020,IF(ISBLANK('Monthly_Data'!E676)=ISBLANK(E1020),0,1),1),IF('Monthly_Data'!F676=F1020,IF(ISBLANK('Monthly_Data'!F676)=ISBLANK(F1020),0,1),1),IF('Monthly_Data'!G676=G1020,IF(ISBLANK('Monthly_Data'!G676)=ISBLANK(G1020),0,1),1),IF('Monthly_Data'!H676=H1020,IF(ISBLANK('Monthly_Data'!H676)=ISBLANK(H1020),0,1),1))</x:f>
        <x:v>0</x:v>
      </x:c>
    </x:row>
    <x:row r="1021" ht="23" customHeight="1">
      <x:c r="A1021" s="2" t="str">
        <x:v>62052000_BD_202508_IMPORT</x:v>
      </x:c>
      <x:c r="B1021" s="2" t="n">
        <x:v>202508</x:v>
      </x:c>
      <x:c r="C1021" s="2" t="str">
        <x:v>62052000</x:v>
      </x:c>
      <x:c r="D1021" s="2" t="str">
        <x:v>Bangladesh</x:v>
      </x:c>
      <x:c r="E1021" s="2" t="n">
        <x:v>5352740</x:v>
      </x:c>
      <x:c r="F1021" s="2" t="n">
        <x:v>339370</x:v>
      </x:c>
      <x:c r="G1021" s="2" t="str">
        <x:v>WITHIN_BAND</x:v>
      </x:c>
      <x:c r="H1021" s="2" t="n">
        <x:v>1</x:v>
      </x:c>
      <x:c r="I1021" s="2"/>
      <x:c r="J1021" s="2"/>
      <x:c r="K1021" s="2"/>
      <x:c r="L1021" s="2" t="n">
        <x:f>SUM(IF('Monthly_Data'!A677=A1021,IF(ISBLANK('Monthly_Data'!A677)=ISBLANK(A1021),0,1),1),IF('Monthly_Data'!B677=B1021,IF(ISBLANK('Monthly_Data'!B677)=ISBLANK(B1021),0,1),1),IF('Monthly_Data'!C677=C1021,IF(ISBLANK('Monthly_Data'!C677)=ISBLANK(C1021),0,1),1),IF('Monthly_Data'!D677=D1021,IF(ISBLANK('Monthly_Data'!D677)=ISBLANK(D1021),0,1),1),IF('Monthly_Data'!E677=E1021,IF(ISBLANK('Monthly_Data'!E677)=ISBLANK(E1021),0,1),1),IF('Monthly_Data'!F677=F1021,IF(ISBLANK('Monthly_Data'!F677)=ISBLANK(F1021),0,1),1),IF('Monthly_Data'!G677=G1021,IF(ISBLANK('Monthly_Data'!G677)=ISBLANK(G1021),0,1),1),IF('Monthly_Data'!H677=H1021,IF(ISBLANK('Monthly_Data'!H677)=ISBLANK(H1021),0,1),1))</x:f>
        <x:v>0</x:v>
      </x:c>
    </x:row>
    <x:row r="1022" ht="23" customHeight="1">
      <x:c r="A1022" s="2" t="str">
        <x:v>62052000_KH_202508_IMPORT</x:v>
      </x:c>
      <x:c r="B1022" s="2" t="n">
        <x:v>202508</x:v>
      </x:c>
      <x:c r="C1022" s="2" t="str">
        <x:v>62052000</x:v>
      </x:c>
      <x:c r="D1022" s="2" t="str">
        <x:v>Cambodia</x:v>
      </x:c>
      <x:c r="E1022" s="2" t="n">
        <x:v>2168996</x:v>
      </x:c>
      <x:c r="F1022" s="2" t="n">
        <x:v>91313</x:v>
      </x:c>
      <x:c r="G1022" s="2" t="str">
        <x:v>WITHIN_BAND</x:v>
      </x:c>
      <x:c r="H1022" s="2" t="n">
        <x:v>1</x:v>
      </x:c>
      <x:c r="I1022" s="2"/>
      <x:c r="J1022" s="2"/>
      <x:c r="K1022" s="2"/>
      <x:c r="L1022" s="2" t="n">
        <x:f>SUM(IF('Monthly_Data'!A678=A1022,IF(ISBLANK('Monthly_Data'!A678)=ISBLANK(A1022),0,1),1),IF('Monthly_Data'!B678=B1022,IF(ISBLANK('Monthly_Data'!B678)=ISBLANK(B1022),0,1),1),IF('Monthly_Data'!C678=C1022,IF(ISBLANK('Monthly_Data'!C678)=ISBLANK(C1022),0,1),1),IF('Monthly_Data'!D678=D1022,IF(ISBLANK('Monthly_Data'!D678)=ISBLANK(D1022),0,1),1),IF('Monthly_Data'!E678=E1022,IF(ISBLANK('Monthly_Data'!E678)=ISBLANK(E1022),0,1),1),IF('Monthly_Data'!F678=F1022,IF(ISBLANK('Monthly_Data'!F678)=ISBLANK(F1022),0,1),1),IF('Monthly_Data'!G678=G1022,IF(ISBLANK('Monthly_Data'!G678)=ISBLANK(G1022),0,1),1),IF('Monthly_Data'!H678=H1022,IF(ISBLANK('Monthly_Data'!H678)=ISBLANK(H1022),0,1),1))</x:f>
        <x:v>0</x:v>
      </x:c>
    </x:row>
    <x:row r="1023" ht="23" customHeight="1">
      <x:c r="A1023" s="2" t="str">
        <x:v>62052000_CN_202508_IMPORT</x:v>
      </x:c>
      <x:c r="B1023" s="2" t="n">
        <x:v>202508</x:v>
      </x:c>
      <x:c r="C1023" s="2" t="str">
        <x:v>62052000</x:v>
      </x:c>
      <x:c r="D1023" s="2" t="str">
        <x:v>China</x:v>
      </x:c>
      <x:c r="E1023" s="2" t="n">
        <x:v>753200</x:v>
      </x:c>
      <x:c r="F1023" s="2" t="n">
        <x:v>40747</x:v>
      </x:c>
      <x:c r="G1023" s="2" t="str">
        <x:v>WITHIN_BAND</x:v>
      </x:c>
      <x:c r="H1023" s="2" t="n">
        <x:v>1</x:v>
      </x:c>
      <x:c r="I1023" s="2"/>
      <x:c r="J1023" s="2"/>
      <x:c r="K1023" s="2"/>
      <x:c r="L1023" s="2" t="n">
        <x:f>SUM(IF('Monthly_Data'!A679=A1023,IF(ISBLANK('Monthly_Data'!A679)=ISBLANK(A1023),0,1),1),IF('Monthly_Data'!B679=B1023,IF(ISBLANK('Monthly_Data'!B679)=ISBLANK(B1023),0,1),1),IF('Monthly_Data'!C679=C1023,IF(ISBLANK('Monthly_Data'!C679)=ISBLANK(C1023),0,1),1),IF('Monthly_Data'!D679=D1023,IF(ISBLANK('Monthly_Data'!D679)=ISBLANK(D1023),0,1),1),IF('Monthly_Data'!E679=E1023,IF(ISBLANK('Monthly_Data'!E679)=ISBLANK(E1023),0,1),1),IF('Monthly_Data'!F679=F1023,IF(ISBLANK('Monthly_Data'!F679)=ISBLANK(F1023),0,1),1),IF('Monthly_Data'!G679=G1023,IF(ISBLANK('Monthly_Data'!G679)=ISBLANK(G1023),0,1),1),IF('Monthly_Data'!H679=H1023,IF(ISBLANK('Monthly_Data'!H679)=ISBLANK(H1023),0,1),1))</x:f>
        <x:v>0</x:v>
      </x:c>
    </x:row>
    <x:row r="1024" ht="23" customHeight="1">
      <x:c r="A1024" s="2" t="str">
        <x:v>62052000_IN_202508_IMPORT</x:v>
      </x:c>
      <x:c r="B1024" s="2" t="n">
        <x:v>202508</x:v>
      </x:c>
      <x:c r="C1024" s="2" t="str">
        <x:v>62052000</x:v>
      </x:c>
      <x:c r="D1024" s="2" t="str">
        <x:v>India</x:v>
      </x:c>
      <x:c r="E1024" s="2" t="n">
        <x:v>2271413</x:v>
      </x:c>
      <x:c r="F1024" s="2" t="n">
        <x:v>124088</x:v>
      </x:c>
      <x:c r="G1024" s="2" t="str">
        <x:v>WITHIN_BAND</x:v>
      </x:c>
      <x:c r="H1024" s="2" t="n">
        <x:v>1</x:v>
      </x:c>
      <x:c r="I1024" s="2"/>
      <x:c r="J1024" s="2"/>
      <x:c r="K1024" s="2"/>
      <x:c r="L1024" s="2" t="n">
        <x:f>SUM(IF('Monthly_Data'!A680=A1024,IF(ISBLANK('Monthly_Data'!A680)=ISBLANK(A1024),0,1),1),IF('Monthly_Data'!B680=B1024,IF(ISBLANK('Monthly_Data'!B680)=ISBLANK(B1024),0,1),1),IF('Monthly_Data'!C680=C1024,IF(ISBLANK('Monthly_Data'!C680)=ISBLANK(C1024),0,1),1),IF('Monthly_Data'!D680=D1024,IF(ISBLANK('Monthly_Data'!D680)=ISBLANK(D1024),0,1),1),IF('Monthly_Data'!E680=E1024,IF(ISBLANK('Monthly_Data'!E680)=ISBLANK(E1024),0,1),1),IF('Monthly_Data'!F680=F1024,IF(ISBLANK('Monthly_Data'!F680)=ISBLANK(F1024),0,1),1),IF('Monthly_Data'!G680=G1024,IF(ISBLANK('Monthly_Data'!G680)=ISBLANK(G1024),0,1),1),IF('Monthly_Data'!H680=H1024,IF(ISBLANK('Monthly_Data'!H680)=ISBLANK(H1024),0,1),1))</x:f>
        <x:v>0</x:v>
      </x:c>
    </x:row>
    <x:row r="1025" ht="23" customHeight="1">
      <x:c r="A1025" s="2" t="str">
        <x:v>62052000_MA_202508_IMPORT</x:v>
      </x:c>
      <x:c r="B1025" s="2" t="n">
        <x:v>202508</x:v>
      </x:c>
      <x:c r="C1025" s="2" t="str">
        <x:v>62052000</x:v>
      </x:c>
      <x:c r="D1025" s="2" t="str">
        <x:v>Morocco</x:v>
      </x:c>
      <x:c r="E1025" s="2" t="n">
        <x:v>110851</x:v>
      </x:c>
      <x:c r="F1025" s="2" t="n">
        <x:v>2996</x:v>
      </x:c>
      <x:c r="G1025" s="2" t="str">
        <x:v>WITHIN_BAND</x:v>
      </x:c>
      <x:c r="H1025" s="2" t="n">
        <x:v>1</x:v>
      </x:c>
      <x:c r="I1025" s="2"/>
      <x:c r="J1025" s="2"/>
      <x:c r="K1025" s="2"/>
      <x:c r="L1025" s="2" t="n">
        <x:f>SUM(IF('Monthly_Data'!A681=A1025,IF(ISBLANK('Monthly_Data'!A681)=ISBLANK(A1025),0,1),1),IF('Monthly_Data'!B681=B1025,IF(ISBLANK('Monthly_Data'!B681)=ISBLANK(B1025),0,1),1),IF('Monthly_Data'!C681=C1025,IF(ISBLANK('Monthly_Data'!C681)=ISBLANK(C1025),0,1),1),IF('Monthly_Data'!D681=D1025,IF(ISBLANK('Monthly_Data'!D681)=ISBLANK(D1025),0,1),1),IF('Monthly_Data'!E681=E1025,IF(ISBLANK('Monthly_Data'!E681)=ISBLANK(E1025),0,1),1),IF('Monthly_Data'!F681=F1025,IF(ISBLANK('Monthly_Data'!F681)=ISBLANK(F1025),0,1),1),IF('Monthly_Data'!G681=G1025,IF(ISBLANK('Monthly_Data'!G681)=ISBLANK(G1025),0,1),1),IF('Monthly_Data'!H681=H1025,IF(ISBLANK('Monthly_Data'!H681)=ISBLANK(H1025),0,1),1))</x:f>
        <x:v>0</x:v>
      </x:c>
    </x:row>
    <x:row r="1026" ht="23" customHeight="1">
      <x:c r="A1026" s="2" t="str">
        <x:v>62052000_MM_202508_IMPORT</x:v>
      </x:c>
      <x:c r="B1026" s="2" t="n">
        <x:v>202508</x:v>
      </x:c>
      <x:c r="C1026" s="2" t="str">
        <x:v>62052000</x:v>
      </x:c>
      <x:c r="D1026" s="2" t="str">
        <x:v>Myanmar</x:v>
      </x:c>
      <x:c r="E1026" s="2" t="n">
        <x:v>71047</x:v>
      </x:c>
      <x:c r="F1026" s="2" t="n">
        <x:v>7597</x:v>
      </x:c>
      <x:c r="G1026" s="2" t="str">
        <x:v>WITHIN_BAND</x:v>
      </x:c>
      <x:c r="H1026" s="2" t="n">
        <x:v>1</x:v>
      </x:c>
      <x:c r="I1026" s="2"/>
      <x:c r="J1026" s="2"/>
      <x:c r="K1026" s="2"/>
      <x:c r="L1026" s="2" t="n">
        <x:f>SUM(IF('Monthly_Data'!A682=A1026,IF(ISBLANK('Monthly_Data'!A682)=ISBLANK(A1026),0,1),1),IF('Monthly_Data'!B682=B1026,IF(ISBLANK('Monthly_Data'!B682)=ISBLANK(B1026),0,1),1),IF('Monthly_Data'!C682=C1026,IF(ISBLANK('Monthly_Data'!C682)=ISBLANK(C1026),0,1),1),IF('Monthly_Data'!D682=D1026,IF(ISBLANK('Monthly_Data'!D682)=ISBLANK(D1026),0,1),1),IF('Monthly_Data'!E682=E1026,IF(ISBLANK('Monthly_Data'!E682)=ISBLANK(E1026),0,1),1),IF('Monthly_Data'!F682=F1026,IF(ISBLANK('Monthly_Data'!F682)=ISBLANK(F1026),0,1),1),IF('Monthly_Data'!G682=G1026,IF(ISBLANK('Monthly_Data'!G682)=ISBLANK(G1026),0,1),1),IF('Monthly_Data'!H682=H1026,IF(ISBLANK('Monthly_Data'!H682)=ISBLANK(H1026),0,1),1))</x:f>
        <x:v>0</x:v>
      </x:c>
    </x:row>
    <x:row r="1027" ht="23" customHeight="1">
      <x:c r="A1027" s="2" t="str">
        <x:v>62052000_PK_202508_IMPORT</x:v>
      </x:c>
      <x:c r="B1027" s="2" t="n">
        <x:v>202508</x:v>
      </x:c>
      <x:c r="C1027" s="2" t="str">
        <x:v>62052000</x:v>
      </x:c>
      <x:c r="D1027" s="2" t="str">
        <x:v>Pakistan</x:v>
      </x:c>
      <x:c r="E1027" s="2" t="n">
        <x:v>50782</x:v>
      </x:c>
      <x:c r="F1027" s="2" t="n">
        <x:v>3957</x:v>
      </x:c>
      <x:c r="G1027" s="2" t="str">
        <x:v>WITHIN_BAND</x:v>
      </x:c>
      <x:c r="H1027" s="2" t="n">
        <x:v>1</x:v>
      </x:c>
      <x:c r="I1027" s="2"/>
      <x:c r="J1027" s="2"/>
      <x:c r="K1027" s="2"/>
      <x:c r="L1027" s="2" t="n">
        <x:f>SUM(IF('Monthly_Data'!A683=A1027,IF(ISBLANK('Monthly_Data'!A683)=ISBLANK(A1027),0,1),1),IF('Monthly_Data'!B683=B1027,IF(ISBLANK('Monthly_Data'!B683)=ISBLANK(B1027),0,1),1),IF('Monthly_Data'!C683=C1027,IF(ISBLANK('Monthly_Data'!C683)=ISBLANK(C1027),0,1),1),IF('Monthly_Data'!D683=D1027,IF(ISBLANK('Monthly_Data'!D683)=ISBLANK(D1027),0,1),1),IF('Monthly_Data'!E683=E1027,IF(ISBLANK('Monthly_Data'!E683)=ISBLANK(E1027),0,1),1),IF('Monthly_Data'!F683=F1027,IF(ISBLANK('Monthly_Data'!F683)=ISBLANK(F1027),0,1),1),IF('Monthly_Data'!G683=G1027,IF(ISBLANK('Monthly_Data'!G683)=ISBLANK(G1027),0,1),1),IF('Monthly_Data'!H683=H1027,IF(ISBLANK('Monthly_Data'!H683)=ISBLANK(H1027),0,1),1))</x:f>
        <x:v>0</x:v>
      </x:c>
    </x:row>
    <x:row r="1028" ht="23" customHeight="1">
      <x:c r="A1028" s="2" t="str">
        <x:v>62052000_LK_202508_IMPORT</x:v>
      </x:c>
      <x:c r="B1028" s="2" t="n">
        <x:v>202508</x:v>
      </x:c>
      <x:c r="C1028" s="2" t="str">
        <x:v>62052000</x:v>
      </x:c>
      <x:c r="D1028" s="2" t="str">
        <x:v>Sri Lanka</x:v>
      </x:c>
      <x:c r="E1028" s="2" t="n">
        <x:v>630651</x:v>
      </x:c>
      <x:c r="F1028" s="2" t="n">
        <x:v>38745</x:v>
      </x:c>
      <x:c r="G1028" s="2" t="str">
        <x:v>WITHIN_BAND</x:v>
      </x:c>
      <x:c r="H1028" s="2" t="n">
        <x:v>1</x:v>
      </x:c>
      <x:c r="I1028" s="2"/>
      <x:c r="J1028" s="2"/>
      <x:c r="K1028" s="2"/>
      <x:c r="L1028" s="2" t="n">
        <x:f>SUM(IF('Monthly_Data'!A684=A1028,IF(ISBLANK('Monthly_Data'!A684)=ISBLANK(A1028),0,1),1),IF('Monthly_Data'!B684=B1028,IF(ISBLANK('Monthly_Data'!B684)=ISBLANK(B1028),0,1),1),IF('Monthly_Data'!C684=C1028,IF(ISBLANK('Monthly_Data'!C684)=ISBLANK(C1028),0,1),1),IF('Monthly_Data'!D684=D1028,IF(ISBLANK('Monthly_Data'!D684)=ISBLANK(D1028),0,1),1),IF('Monthly_Data'!E684=E1028,IF(ISBLANK('Monthly_Data'!E684)=ISBLANK(E1028),0,1),1),IF('Monthly_Data'!F684=F1028,IF(ISBLANK('Monthly_Data'!F684)=ISBLANK(F1028),0,1),1),IF('Monthly_Data'!G684=G1028,IF(ISBLANK('Monthly_Data'!G684)=ISBLANK(G1028),0,1),1),IF('Monthly_Data'!H684=H1028,IF(ISBLANK('Monthly_Data'!H684)=ISBLANK(H1028),0,1),1))</x:f>
        <x:v>0</x:v>
      </x:c>
    </x:row>
    <x:row r="1029" ht="23" customHeight="1">
      <x:c r="A1029" s="2" t="str">
        <x:v>62052000_TR_202508_IMPORT</x:v>
      </x:c>
      <x:c r="B1029" s="2" t="n">
        <x:v>202508</x:v>
      </x:c>
      <x:c r="C1029" s="2" t="str">
        <x:v>62052000</x:v>
      </x:c>
      <x:c r="D1029" s="2" t="str">
        <x:v>Turkey</x:v>
      </x:c>
      <x:c r="E1029" s="2" t="n">
        <x:v>1217465</x:v>
      </x:c>
      <x:c r="F1029" s="2" t="n">
        <x:v>31159</x:v>
      </x:c>
      <x:c r="G1029" s="2" t="str">
        <x:v>WITHIN_BAND</x:v>
      </x:c>
      <x:c r="H1029" s="2" t="n">
        <x:v>1</x:v>
      </x:c>
      <x:c r="I1029" s="2"/>
      <x:c r="J1029" s="2"/>
      <x:c r="K1029" s="2"/>
      <x:c r="L1029" s="2" t="n">
        <x:f>SUM(IF('Monthly_Data'!A685=A1029,IF(ISBLANK('Monthly_Data'!A685)=ISBLANK(A1029),0,1),1),IF('Monthly_Data'!B685=B1029,IF(ISBLANK('Monthly_Data'!B685)=ISBLANK(B1029),0,1),1),IF('Monthly_Data'!C685=C1029,IF(ISBLANK('Monthly_Data'!C685)=ISBLANK(C1029),0,1),1),IF('Monthly_Data'!D685=D1029,IF(ISBLANK('Monthly_Data'!D685)=ISBLANK(D1029),0,1),1),IF('Monthly_Data'!E685=E1029,IF(ISBLANK('Monthly_Data'!E685)=ISBLANK(E1029),0,1),1),IF('Monthly_Data'!F685=F1029,IF(ISBLANK('Monthly_Data'!F685)=ISBLANK(F1029),0,1),1),IF('Monthly_Data'!G685=G1029,IF(ISBLANK('Monthly_Data'!G685)=ISBLANK(G1029),0,1),1),IF('Monthly_Data'!H685=H1029,IF(ISBLANK('Monthly_Data'!H685)=ISBLANK(H1029),0,1),1))</x:f>
        <x:v>0</x:v>
      </x:c>
    </x:row>
    <x:row r="1030" ht="23" customHeight="1">
      <x:c r="A1030" s="2" t="str">
        <x:v>62052000_VN_202508_IMPORT</x:v>
      </x:c>
      <x:c r="B1030" s="2" t="n">
        <x:v>202508</x:v>
      </x:c>
      <x:c r="C1030" s="2" t="str">
        <x:v>62052000</x:v>
      </x:c>
      <x:c r="D1030" s="2" t="str">
        <x:v>Vietnam</x:v>
      </x:c>
      <x:c r="E1030" s="2" t="n">
        <x:v>1127901</x:v>
      </x:c>
      <x:c r="F1030" s="2" t="n">
        <x:v>38802</x:v>
      </x:c>
      <x:c r="G1030" s="2" t="str">
        <x:v>WITHIN_BAND</x:v>
      </x:c>
      <x:c r="H1030" s="2" t="n">
        <x:v>1</x:v>
      </x:c>
      <x:c r="I1030" s="2"/>
      <x:c r="J1030" s="2"/>
      <x:c r="K1030" s="2"/>
      <x:c r="L1030" s="2" t="n">
        <x:f>SUM(IF('Monthly_Data'!A686=A1030,IF(ISBLANK('Monthly_Data'!A686)=ISBLANK(A1030),0,1),1),IF('Monthly_Data'!B686=B1030,IF(ISBLANK('Monthly_Data'!B686)=ISBLANK(B1030),0,1),1),IF('Monthly_Data'!C686=C1030,IF(ISBLANK('Monthly_Data'!C686)=ISBLANK(C1030),0,1),1),IF('Monthly_Data'!D686=D1030,IF(ISBLANK('Monthly_Data'!D686)=ISBLANK(D1030),0,1),1),IF('Monthly_Data'!E686=E1030,IF(ISBLANK('Monthly_Data'!E686)=ISBLANK(E1030),0,1),1),IF('Monthly_Data'!F686=F1030,IF(ISBLANK('Monthly_Data'!F686)=ISBLANK(F1030),0,1),1),IF('Monthly_Data'!G686=G1030,IF(ISBLANK('Monthly_Data'!G686)=ISBLANK(G1030),0,1),1),IF('Monthly_Data'!H686=H1030,IF(ISBLANK('Monthly_Data'!H686)=ISBLANK(H1030),0,1),1))</x:f>
        <x:v>0</x:v>
      </x:c>
    </x:row>
    <x:row r="1031" ht="23" customHeight="1">
      <x:c r="A1031" s="2" t="str">
        <x:v>62052000_WORLD_202508_IMPORT</x:v>
      </x:c>
      <x:c r="B1031" s="2" t="n">
        <x:v>202508</x:v>
      </x:c>
      <x:c r="C1031" s="2" t="str">
        <x:v>62052000</x:v>
      </x:c>
      <x:c r="D1031" s="2" t="str">
        <x:v>World</x:v>
      </x:c>
      <x:c r="E1031" s="2" t="n">
        <x:v>21524330</x:v>
      </x:c>
      <x:c r="F1031" s="2" t="n">
        <x:v>870734</x:v>
      </x:c>
      <x:c r="G1031" s="2" t="str">
        <x:v>WITHIN_BAND</x:v>
      </x:c>
      <x:c r="H1031" s="2" t="n">
        <x:v>1</x:v>
      </x:c>
      <x:c r="I1031" s="2"/>
      <x:c r="J1031" s="2"/>
      <x:c r="K1031" s="2"/>
      <x:c r="L1031" s="2" t="n">
        <x:f>SUM(IF('Monthly_Data'!A687=A1031,IF(ISBLANK('Monthly_Data'!A687)=ISBLANK(A1031),0,1),1),IF('Monthly_Data'!B687=B1031,IF(ISBLANK('Monthly_Data'!B687)=ISBLANK(B1031),0,1),1),IF('Monthly_Data'!C687=C1031,IF(ISBLANK('Monthly_Data'!C687)=ISBLANK(C1031),0,1),1),IF('Monthly_Data'!D687=D1031,IF(ISBLANK('Monthly_Data'!D687)=ISBLANK(D1031),0,1),1),IF('Monthly_Data'!E687=E1031,IF(ISBLANK('Monthly_Data'!E687)=ISBLANK(E1031),0,1),1),IF('Monthly_Data'!F687=F1031,IF(ISBLANK('Monthly_Data'!F687)=ISBLANK(F1031),0,1),1),IF('Monthly_Data'!G687=G1031,IF(ISBLANK('Monthly_Data'!G687)=ISBLANK(G1031),0,1),1),IF('Monthly_Data'!H687=H1031,IF(ISBLANK('Monthly_Data'!H687)=ISBLANK(H1031),0,1),1))</x:f>
        <x:v>0</x:v>
      </x:c>
    </x:row>
    <x:row r="1032" ht="23" customHeight="1">
      <x:c r="A1032" s="2" t="str">
        <x:v>62052000_BD_202509_IMPORT</x:v>
      </x:c>
      <x:c r="B1032" s="2" t="n">
        <x:v>202509</x:v>
      </x:c>
      <x:c r="C1032" s="2" t="str">
        <x:v>62052000</x:v>
      </x:c>
      <x:c r="D1032" s="2" t="str">
        <x:v>Bangladesh</x:v>
      </x:c>
      <x:c r="E1032" s="2" t="n">
        <x:v>7983866</x:v>
      </x:c>
      <x:c r="F1032" s="2" t="n">
        <x:v>497313</x:v>
      </x:c>
      <x:c r="G1032" s="2" t="str">
        <x:v>WITHIN_BAND</x:v>
      </x:c>
      <x:c r="H1032" s="2" t="n">
        <x:v>1</x:v>
      </x:c>
      <x:c r="I1032" s="2"/>
      <x:c r="J1032" s="2"/>
      <x:c r="K1032" s="2"/>
      <x:c r="L1032" s="2" t="n">
        <x:f>SUM(IF('Monthly_Data'!A688=A1032,IF(ISBLANK('Monthly_Data'!A688)=ISBLANK(A1032),0,1),1),IF('Monthly_Data'!B688=B1032,IF(ISBLANK('Monthly_Data'!B688)=ISBLANK(B1032),0,1),1),IF('Monthly_Data'!C688=C1032,IF(ISBLANK('Monthly_Data'!C688)=ISBLANK(C1032),0,1),1),IF('Monthly_Data'!D688=D1032,IF(ISBLANK('Monthly_Data'!D688)=ISBLANK(D1032),0,1),1),IF('Monthly_Data'!E688=E1032,IF(ISBLANK('Monthly_Data'!E688)=ISBLANK(E1032),0,1),1),IF('Monthly_Data'!F688=F1032,IF(ISBLANK('Monthly_Data'!F688)=ISBLANK(F1032),0,1),1),IF('Monthly_Data'!G688=G1032,IF(ISBLANK('Monthly_Data'!G688)=ISBLANK(G1032),0,1),1),IF('Monthly_Data'!H688=H1032,IF(ISBLANK('Monthly_Data'!H688)=ISBLANK(H1032),0,1),1))</x:f>
        <x:v>0</x:v>
      </x:c>
    </x:row>
    <x:row r="1033" ht="23" customHeight="1">
      <x:c r="A1033" s="2" t="str">
        <x:v>62052000_KH_202509_IMPORT</x:v>
      </x:c>
      <x:c r="B1033" s="2" t="n">
        <x:v>202509</x:v>
      </x:c>
      <x:c r="C1033" s="2" t="str">
        <x:v>62052000</x:v>
      </x:c>
      <x:c r="D1033" s="2" t="str">
        <x:v>Cambodia</x:v>
      </x:c>
      <x:c r="E1033" s="2" t="n">
        <x:v>1565005</x:v>
      </x:c>
      <x:c r="F1033" s="2" t="n">
        <x:v>81178</x:v>
      </x:c>
      <x:c r="G1033" s="2" t="str">
        <x:v>WITHIN_BAND</x:v>
      </x:c>
      <x:c r="H1033" s="2" t="n">
        <x:v>1</x:v>
      </x:c>
      <x:c r="I1033" s="2"/>
      <x:c r="J1033" s="2"/>
      <x:c r="K1033" s="2"/>
      <x:c r="L1033" s="2" t="n">
        <x:f>SUM(IF('Monthly_Data'!A689=A1033,IF(ISBLANK('Monthly_Data'!A689)=ISBLANK(A1033),0,1),1),IF('Monthly_Data'!B689=B1033,IF(ISBLANK('Monthly_Data'!B689)=ISBLANK(B1033),0,1),1),IF('Monthly_Data'!C689=C1033,IF(ISBLANK('Monthly_Data'!C689)=ISBLANK(C1033),0,1),1),IF('Monthly_Data'!D689=D1033,IF(ISBLANK('Monthly_Data'!D689)=ISBLANK(D1033),0,1),1),IF('Monthly_Data'!E689=E1033,IF(ISBLANK('Monthly_Data'!E689)=ISBLANK(E1033),0,1),1),IF('Monthly_Data'!F689=F1033,IF(ISBLANK('Monthly_Data'!F689)=ISBLANK(F1033),0,1),1),IF('Monthly_Data'!G689=G1033,IF(ISBLANK('Monthly_Data'!G689)=ISBLANK(G1033),0,1),1),IF('Monthly_Data'!H689=H1033,IF(ISBLANK('Monthly_Data'!H689)=ISBLANK(H1033),0,1),1))</x:f>
        <x:v>0</x:v>
      </x:c>
    </x:row>
    <x:row r="1034" ht="23" customHeight="1">
      <x:c r="A1034" s="2" t="str">
        <x:v>62052000_CN_202509_IMPORT</x:v>
      </x:c>
      <x:c r="B1034" s="2" t="n">
        <x:v>202509</x:v>
      </x:c>
      <x:c r="C1034" s="2" t="str">
        <x:v>62052000</x:v>
      </x:c>
      <x:c r="D1034" s="2" t="str">
        <x:v>China</x:v>
      </x:c>
      <x:c r="E1034" s="2" t="n">
        <x:v>1116666</x:v>
      </x:c>
      <x:c r="F1034" s="2" t="n">
        <x:v>58399</x:v>
      </x:c>
      <x:c r="G1034" s="2" t="str">
        <x:v>WITHIN_BAND</x:v>
      </x:c>
      <x:c r="H1034" s="2" t="n">
        <x:v>1</x:v>
      </x:c>
      <x:c r="I1034" s="2"/>
      <x:c r="J1034" s="2"/>
      <x:c r="K1034" s="2"/>
      <x:c r="L1034" s="2" t="n">
        <x:f>SUM(IF('Monthly_Data'!A690=A1034,IF(ISBLANK('Monthly_Data'!A690)=ISBLANK(A1034),0,1),1),IF('Monthly_Data'!B690=B1034,IF(ISBLANK('Monthly_Data'!B690)=ISBLANK(B1034),0,1),1),IF('Monthly_Data'!C690=C1034,IF(ISBLANK('Monthly_Data'!C690)=ISBLANK(C1034),0,1),1),IF('Monthly_Data'!D690=D1034,IF(ISBLANK('Monthly_Data'!D690)=ISBLANK(D1034),0,1),1),IF('Monthly_Data'!E690=E1034,IF(ISBLANK('Monthly_Data'!E690)=ISBLANK(E1034),0,1),1),IF('Monthly_Data'!F690=F1034,IF(ISBLANK('Monthly_Data'!F690)=ISBLANK(F1034),0,1),1),IF('Monthly_Data'!G690=G1034,IF(ISBLANK('Monthly_Data'!G690)=ISBLANK(G1034),0,1),1),IF('Monthly_Data'!H690=H1034,IF(ISBLANK('Monthly_Data'!H690)=ISBLANK(H1034),0,1),1))</x:f>
        <x:v>0</x:v>
      </x:c>
    </x:row>
    <x:row r="1035" ht="23" customHeight="1">
      <x:c r="A1035" s="2" t="str">
        <x:v>62052000_IN_202509_IMPORT</x:v>
      </x:c>
      <x:c r="B1035" s="2" t="n">
        <x:v>202509</x:v>
      </x:c>
      <x:c r="C1035" s="2" t="str">
        <x:v>62052000</x:v>
      </x:c>
      <x:c r="D1035" s="2" t="str">
        <x:v>India</x:v>
      </x:c>
      <x:c r="E1035" s="2" t="n">
        <x:v>2708941</x:v>
      </x:c>
      <x:c r="F1035" s="2" t="n">
        <x:v>150288</x:v>
      </x:c>
      <x:c r="G1035" s="2" t="str">
        <x:v>WITHIN_BAND</x:v>
      </x:c>
      <x:c r="H1035" s="2" t="n">
        <x:v>1</x:v>
      </x:c>
      <x:c r="I1035" s="2"/>
      <x:c r="J1035" s="2"/>
      <x:c r="K1035" s="2"/>
      <x:c r="L1035" s="2" t="n">
        <x:f>SUM(IF('Monthly_Data'!A691=A1035,IF(ISBLANK('Monthly_Data'!A691)=ISBLANK(A1035),0,1),1),IF('Monthly_Data'!B691=B1035,IF(ISBLANK('Monthly_Data'!B691)=ISBLANK(B1035),0,1),1),IF('Monthly_Data'!C691=C1035,IF(ISBLANK('Monthly_Data'!C691)=ISBLANK(C1035),0,1),1),IF('Monthly_Data'!D691=D1035,IF(ISBLANK('Monthly_Data'!D691)=ISBLANK(D1035),0,1),1),IF('Monthly_Data'!E691=E1035,IF(ISBLANK('Monthly_Data'!E691)=ISBLANK(E1035),0,1),1),IF('Monthly_Data'!F691=F1035,IF(ISBLANK('Monthly_Data'!F691)=ISBLANK(F1035),0,1),1),IF('Monthly_Data'!G691=G1035,IF(ISBLANK('Monthly_Data'!G691)=ISBLANK(G1035),0,1),1),IF('Monthly_Data'!H691=H1035,IF(ISBLANK('Monthly_Data'!H691)=ISBLANK(H1035),0,1),1))</x:f>
        <x:v>0</x:v>
      </x:c>
    </x:row>
    <x:row r="1036" ht="23" customHeight="1">
      <x:c r="A1036" s="2" t="str">
        <x:v>62052000_MA_202509_IMPORT</x:v>
      </x:c>
      <x:c r="B1036" s="2" t="n">
        <x:v>202509</x:v>
      </x:c>
      <x:c r="C1036" s="2" t="str">
        <x:v>62052000</x:v>
      </x:c>
      <x:c r="D1036" s="2" t="str">
        <x:v>Morocco</x:v>
      </x:c>
      <x:c r="E1036" s="2" t="n">
        <x:v>69824</x:v>
      </x:c>
      <x:c r="F1036" s="2" t="n">
        <x:v>1931</x:v>
      </x:c>
      <x:c r="G1036" s="2" t="str">
        <x:v>WITHIN_BAND</x:v>
      </x:c>
      <x:c r="H1036" s="2" t="n">
        <x:v>1</x:v>
      </x:c>
      <x:c r="I1036" s="2"/>
      <x:c r="J1036" s="2"/>
      <x:c r="K1036" s="2"/>
      <x:c r="L1036" s="2" t="n">
        <x:f>SUM(IF('Monthly_Data'!A692=A1036,IF(ISBLANK('Monthly_Data'!A692)=ISBLANK(A1036),0,1),1),IF('Monthly_Data'!B692=B1036,IF(ISBLANK('Monthly_Data'!B692)=ISBLANK(B1036),0,1),1),IF('Monthly_Data'!C692=C1036,IF(ISBLANK('Monthly_Data'!C692)=ISBLANK(C1036),0,1),1),IF('Monthly_Data'!D692=D1036,IF(ISBLANK('Monthly_Data'!D692)=ISBLANK(D1036),0,1),1),IF('Monthly_Data'!E692=E1036,IF(ISBLANK('Monthly_Data'!E692)=ISBLANK(E1036),0,1),1),IF('Monthly_Data'!F692=F1036,IF(ISBLANK('Monthly_Data'!F692)=ISBLANK(F1036),0,1),1),IF('Monthly_Data'!G692=G1036,IF(ISBLANK('Monthly_Data'!G692)=ISBLANK(G1036),0,1),1),IF('Monthly_Data'!H692=H1036,IF(ISBLANK('Monthly_Data'!H692)=ISBLANK(H1036),0,1),1))</x:f>
        <x:v>0</x:v>
      </x:c>
    </x:row>
    <x:row r="1037" ht="23" customHeight="1">
      <x:c r="A1037" s="2" t="str">
        <x:v>62052000_MM_202509_IMPORT</x:v>
      </x:c>
      <x:c r="B1037" s="2" t="n">
        <x:v>202509</x:v>
      </x:c>
      <x:c r="C1037" s="2" t="str">
        <x:v>62052000</x:v>
      </x:c>
      <x:c r="D1037" s="2" t="str">
        <x:v>Myanmar</x:v>
      </x:c>
      <x:c r="E1037" s="2" t="n">
        <x:v>57312</x:v>
      </x:c>
      <x:c r="F1037" s="2" t="n">
        <x:v>3899</x:v>
      </x:c>
      <x:c r="G1037" s="2" t="str">
        <x:v>WITHIN_BAND</x:v>
      </x:c>
      <x:c r="H1037" s="2" t="n">
        <x:v>1</x:v>
      </x:c>
      <x:c r="I1037" s="2"/>
      <x:c r="J1037" s="2"/>
      <x:c r="K1037" s="2"/>
      <x:c r="L1037" s="2" t="n">
        <x:f>SUM(IF('Monthly_Data'!A693=A1037,IF(ISBLANK('Monthly_Data'!A693)=ISBLANK(A1037),0,1),1),IF('Monthly_Data'!B693=B1037,IF(ISBLANK('Monthly_Data'!B693)=ISBLANK(B1037),0,1),1),IF('Monthly_Data'!C693=C1037,IF(ISBLANK('Monthly_Data'!C693)=ISBLANK(C1037),0,1),1),IF('Monthly_Data'!D693=D1037,IF(ISBLANK('Monthly_Data'!D693)=ISBLANK(D1037),0,1),1),IF('Monthly_Data'!E693=E1037,IF(ISBLANK('Monthly_Data'!E693)=ISBLANK(E1037),0,1),1),IF('Monthly_Data'!F693=F1037,IF(ISBLANK('Monthly_Data'!F693)=ISBLANK(F1037),0,1),1),IF('Monthly_Data'!G693=G1037,IF(ISBLANK('Monthly_Data'!G693)=ISBLANK(G1037),0,1),1),IF('Monthly_Data'!H693=H1037,IF(ISBLANK('Monthly_Data'!H693)=ISBLANK(H1037),0,1),1))</x:f>
        <x:v>0</x:v>
      </x:c>
    </x:row>
    <x:row r="1038" ht="23" customHeight="1">
      <x:c r="A1038" s="2" t="str">
        <x:v>62052000_PK_202509_IMPORT</x:v>
      </x:c>
      <x:c r="B1038" s="2" t="n">
        <x:v>202509</x:v>
      </x:c>
      <x:c r="C1038" s="2" t="str">
        <x:v>62052000</x:v>
      </x:c>
      <x:c r="D1038" s="2" t="str">
        <x:v>Pakistan</x:v>
      </x:c>
      <x:c r="E1038" s="2" t="n">
        <x:v>62224</x:v>
      </x:c>
      <x:c r="F1038" s="2" t="n">
        <x:v>5212</x:v>
      </x:c>
      <x:c r="G1038" s="2" t="str">
        <x:v>WITHIN_BAND</x:v>
      </x:c>
      <x:c r="H1038" s="2" t="n">
        <x:v>1</x:v>
      </x:c>
      <x:c r="I1038" s="2"/>
      <x:c r="J1038" s="2"/>
      <x:c r="K1038" s="2"/>
      <x:c r="L1038" s="2" t="n">
        <x:f>SUM(IF('Monthly_Data'!A694=A1038,IF(ISBLANK('Monthly_Data'!A694)=ISBLANK(A1038),0,1),1),IF('Monthly_Data'!B694=B1038,IF(ISBLANK('Monthly_Data'!B694)=ISBLANK(B1038),0,1),1),IF('Monthly_Data'!C694=C1038,IF(ISBLANK('Monthly_Data'!C694)=ISBLANK(C1038),0,1),1),IF('Monthly_Data'!D694=D1038,IF(ISBLANK('Monthly_Data'!D694)=ISBLANK(D1038),0,1),1),IF('Monthly_Data'!E694=E1038,IF(ISBLANK('Monthly_Data'!E694)=ISBLANK(E1038),0,1),1),IF('Monthly_Data'!F694=F1038,IF(ISBLANK('Monthly_Data'!F694)=ISBLANK(F1038),0,1),1),IF('Monthly_Data'!G694=G1038,IF(ISBLANK('Monthly_Data'!G694)=ISBLANK(G1038),0,1),1),IF('Monthly_Data'!H694=H1038,IF(ISBLANK('Monthly_Data'!H694)=ISBLANK(H1038),0,1),1))</x:f>
        <x:v>0</x:v>
      </x:c>
    </x:row>
    <x:row r="1039" ht="23" customHeight="1">
      <x:c r="A1039" s="2" t="str">
        <x:v>62052000_LK_202509_IMPORT</x:v>
      </x:c>
      <x:c r="B1039" s="2" t="n">
        <x:v>202509</x:v>
      </x:c>
      <x:c r="C1039" s="2" t="str">
        <x:v>62052000</x:v>
      </x:c>
      <x:c r="D1039" s="2" t="str">
        <x:v>Sri Lanka</x:v>
      </x:c>
      <x:c r="E1039" s="2" t="n">
        <x:v>201372</x:v>
      </x:c>
      <x:c r="F1039" s="2" t="n">
        <x:v>10412</x:v>
      </x:c>
      <x:c r="G1039" s="2" t="str">
        <x:v>WITHIN_BAND</x:v>
      </x:c>
      <x:c r="H1039" s="2" t="n">
        <x:v>1</x:v>
      </x:c>
      <x:c r="I1039" s="2"/>
      <x:c r="J1039" s="2"/>
      <x:c r="K1039" s="2"/>
      <x:c r="L1039" s="2" t="n">
        <x:f>SUM(IF('Monthly_Data'!A695=A1039,IF(ISBLANK('Monthly_Data'!A695)=ISBLANK(A1039),0,1),1),IF('Monthly_Data'!B695=B1039,IF(ISBLANK('Monthly_Data'!B695)=ISBLANK(B1039),0,1),1),IF('Monthly_Data'!C695=C1039,IF(ISBLANK('Monthly_Data'!C695)=ISBLANK(C1039),0,1),1),IF('Monthly_Data'!D695=D1039,IF(ISBLANK('Monthly_Data'!D695)=ISBLANK(D1039),0,1),1),IF('Monthly_Data'!E695=E1039,IF(ISBLANK('Monthly_Data'!E695)=ISBLANK(E1039),0,1),1),IF('Monthly_Data'!F695=F1039,IF(ISBLANK('Monthly_Data'!F695)=ISBLANK(F1039),0,1),1),IF('Monthly_Data'!G695=G1039,IF(ISBLANK('Monthly_Data'!G695)=ISBLANK(G1039),0,1),1),IF('Monthly_Data'!H695=H1039,IF(ISBLANK('Monthly_Data'!H695)=ISBLANK(H1039),0,1),1))</x:f>
        <x:v>0</x:v>
      </x:c>
    </x:row>
    <x:row r="1040" ht="23" customHeight="1">
      <x:c r="A1040" s="2" t="str">
        <x:v>62052000_TR_202509_IMPORT</x:v>
      </x:c>
      <x:c r="B1040" s="2" t="n">
        <x:v>202509</x:v>
      </x:c>
      <x:c r="C1040" s="2" t="str">
        <x:v>62052000</x:v>
      </x:c>
      <x:c r="D1040" s="2" t="str">
        <x:v>Turkey</x:v>
      </x:c>
      <x:c r="E1040" s="2" t="n">
        <x:v>1040945</x:v>
      </x:c>
      <x:c r="F1040" s="2" t="n">
        <x:v>28815</x:v>
      </x:c>
      <x:c r="G1040" s="2" t="str">
        <x:v>WITHIN_BAND</x:v>
      </x:c>
      <x:c r="H1040" s="2" t="n">
        <x:v>1</x:v>
      </x:c>
      <x:c r="I1040" s="2"/>
      <x:c r="J1040" s="2"/>
      <x:c r="K1040" s="2"/>
      <x:c r="L1040" s="2" t="n">
        <x:f>SUM(IF('Monthly_Data'!A696=A1040,IF(ISBLANK('Monthly_Data'!A696)=ISBLANK(A1040),0,1),1),IF('Monthly_Data'!B696=B1040,IF(ISBLANK('Monthly_Data'!B696)=ISBLANK(B1040),0,1),1),IF('Monthly_Data'!C696=C1040,IF(ISBLANK('Monthly_Data'!C696)=ISBLANK(C1040),0,1),1),IF('Monthly_Data'!D696=D1040,IF(ISBLANK('Monthly_Data'!D696)=ISBLANK(D1040),0,1),1),IF('Monthly_Data'!E696=E1040,IF(ISBLANK('Monthly_Data'!E696)=ISBLANK(E1040),0,1),1),IF('Monthly_Data'!F696=F1040,IF(ISBLANK('Monthly_Data'!F696)=ISBLANK(F1040),0,1),1),IF('Monthly_Data'!G696=G1040,IF(ISBLANK('Monthly_Data'!G696)=ISBLANK(G1040),0,1),1),IF('Monthly_Data'!H696=H1040,IF(ISBLANK('Monthly_Data'!H696)=ISBLANK(H1040),0,1),1))</x:f>
        <x:v>0</x:v>
      </x:c>
    </x:row>
    <x:row r="1041" ht="23" customHeight="1">
      <x:c r="A1041" s="2" t="str">
        <x:v>62052000_VN_202509_IMPORT</x:v>
      </x:c>
      <x:c r="B1041" s="2" t="n">
        <x:v>202509</x:v>
      </x:c>
      <x:c r="C1041" s="2" t="str">
        <x:v>62052000</x:v>
      </x:c>
      <x:c r="D1041" s="2" t="str">
        <x:v>Vietnam</x:v>
      </x:c>
      <x:c r="E1041" s="2" t="n">
        <x:v>1609534</x:v>
      </x:c>
      <x:c r="F1041" s="2" t="n">
        <x:v>56922</x:v>
      </x:c>
      <x:c r="G1041" s="2" t="str">
        <x:v>WITHIN_BAND</x:v>
      </x:c>
      <x:c r="H1041" s="2" t="n">
        <x:v>1</x:v>
      </x:c>
      <x:c r="I1041" s="2"/>
      <x:c r="J1041" s="2"/>
      <x:c r="K1041" s="2"/>
      <x:c r="L1041" s="2" t="n">
        <x:f>SUM(IF('Monthly_Data'!A697=A1041,IF(ISBLANK('Monthly_Data'!A697)=ISBLANK(A1041),0,1),1),IF('Monthly_Data'!B697=B1041,IF(ISBLANK('Monthly_Data'!B697)=ISBLANK(B1041),0,1),1),IF('Monthly_Data'!C697=C1041,IF(ISBLANK('Monthly_Data'!C697)=ISBLANK(C1041),0,1),1),IF('Monthly_Data'!D697=D1041,IF(ISBLANK('Monthly_Data'!D697)=ISBLANK(D1041),0,1),1),IF('Monthly_Data'!E697=E1041,IF(ISBLANK('Monthly_Data'!E697)=ISBLANK(E1041),0,1),1),IF('Monthly_Data'!F697=F1041,IF(ISBLANK('Monthly_Data'!F697)=ISBLANK(F1041),0,1),1),IF('Monthly_Data'!G697=G1041,IF(ISBLANK('Monthly_Data'!G697)=ISBLANK(G1041),0,1),1),IF('Monthly_Data'!H697=H1041,IF(ISBLANK('Monthly_Data'!H697)=ISBLANK(H1041),0,1),1))</x:f>
        <x:v>0</x:v>
      </x:c>
    </x:row>
    <x:row r="1042" ht="23" customHeight="1">
      <x:c r="A1042" s="2" t="str">
        <x:v>62052000_WORLD_202509_IMPORT</x:v>
      </x:c>
      <x:c r="B1042" s="2" t="n">
        <x:v>202509</x:v>
      </x:c>
      <x:c r="C1042" s="2" t="str">
        <x:v>62052000</x:v>
      </x:c>
      <x:c r="D1042" s="2" t="str">
        <x:v>World</x:v>
      </x:c>
      <x:c r="E1042" s="2" t="n">
        <x:v>24047530</x:v>
      </x:c>
      <x:c r="F1042" s="2" t="n">
        <x:v>1046448</x:v>
      </x:c>
      <x:c r="G1042" s="2" t="str">
        <x:v>WITHIN_BAND</x:v>
      </x:c>
      <x:c r="H1042" s="2" t="n">
        <x:v>1</x:v>
      </x:c>
      <x:c r="I1042" s="2"/>
      <x:c r="J1042" s="2"/>
      <x:c r="K1042" s="2"/>
      <x:c r="L1042" s="2" t="n">
        <x:f>SUM(IF('Monthly_Data'!A698=A1042,IF(ISBLANK('Monthly_Data'!A698)=ISBLANK(A1042),0,1),1),IF('Monthly_Data'!B698=B1042,IF(ISBLANK('Monthly_Data'!B698)=ISBLANK(B1042),0,1),1),IF('Monthly_Data'!C698=C1042,IF(ISBLANK('Monthly_Data'!C698)=ISBLANK(C1042),0,1),1),IF('Monthly_Data'!D698=D1042,IF(ISBLANK('Monthly_Data'!D698)=ISBLANK(D1042),0,1),1),IF('Monthly_Data'!E698=E1042,IF(ISBLANK('Monthly_Data'!E698)=ISBLANK(E1042),0,1),1),IF('Monthly_Data'!F698=F1042,IF(ISBLANK('Monthly_Data'!F698)=ISBLANK(F1042),0,1),1),IF('Monthly_Data'!G698=G1042,IF(ISBLANK('Monthly_Data'!G698)=ISBLANK(G1042),0,1),1),IF('Monthly_Data'!H698=H1042,IF(ISBLANK('Monthly_Data'!H698)=ISBLANK(H1042),0,1),1))</x:f>
        <x:v>0</x:v>
      </x:c>
    </x:row>
    <x:row r="1043" ht="23" customHeight="1">
      <x:c r="A1043" s="2" t="str">
        <x:v>62052000_BD_202510_IMPORT</x:v>
      </x:c>
      <x:c r="B1043" s="2" t="n">
        <x:v>202510</x:v>
      </x:c>
      <x:c r="C1043" s="2" t="str">
        <x:v>62052000</x:v>
      </x:c>
      <x:c r="D1043" s="2" t="str">
        <x:v>Bangladesh</x:v>
      </x:c>
      <x:c r="E1043" s="2" t="n">
        <x:v>8708228</x:v>
      </x:c>
      <x:c r="F1043" s="2" t="n">
        <x:v>524177</x:v>
      </x:c>
      <x:c r="G1043" s="2" t="str">
        <x:v>WITHIN_BAND</x:v>
      </x:c>
      <x:c r="H1043" s="2" t="n">
        <x:v>1</x:v>
      </x:c>
      <x:c r="I1043" s="2"/>
      <x:c r="J1043" s="2"/>
      <x:c r="K1043" s="2"/>
      <x:c r="L1043" s="2" t="n">
        <x:f>SUM(IF('Monthly_Data'!A699=A1043,IF(ISBLANK('Monthly_Data'!A699)=ISBLANK(A1043),0,1),1),IF('Monthly_Data'!B699=B1043,IF(ISBLANK('Monthly_Data'!B699)=ISBLANK(B1043),0,1),1),IF('Monthly_Data'!C699=C1043,IF(ISBLANK('Monthly_Data'!C699)=ISBLANK(C1043),0,1),1),IF('Monthly_Data'!D699=D1043,IF(ISBLANK('Monthly_Data'!D699)=ISBLANK(D1043),0,1),1),IF('Monthly_Data'!E699=E1043,IF(ISBLANK('Monthly_Data'!E699)=ISBLANK(E1043),0,1),1),IF('Monthly_Data'!F699=F1043,IF(ISBLANK('Monthly_Data'!F699)=ISBLANK(F1043),0,1),1),IF('Monthly_Data'!G699=G1043,IF(ISBLANK('Monthly_Data'!G699)=ISBLANK(G1043),0,1),1),IF('Monthly_Data'!H699=H1043,IF(ISBLANK('Monthly_Data'!H699)=ISBLANK(H1043),0,1),1))</x:f>
        <x:v>0</x:v>
      </x:c>
    </x:row>
    <x:row r="1044" ht="23" customHeight="1">
      <x:c r="A1044" s="2" t="str">
        <x:v>62052000_KH_202510_IMPORT</x:v>
      </x:c>
      <x:c r="B1044" s="2" t="n">
        <x:v>202510</x:v>
      </x:c>
      <x:c r="C1044" s="2" t="str">
        <x:v>62052000</x:v>
      </x:c>
      <x:c r="D1044" s="2" t="str">
        <x:v>Cambodia</x:v>
      </x:c>
      <x:c r="E1044" s="2" t="n">
        <x:v>1817166</x:v>
      </x:c>
      <x:c r="F1044" s="2" t="n">
        <x:v>85507</x:v>
      </x:c>
      <x:c r="G1044" s="2" t="str">
        <x:v>WITHIN_BAND</x:v>
      </x:c>
      <x:c r="H1044" s="2" t="n">
        <x:v>1</x:v>
      </x:c>
      <x:c r="I1044" s="2"/>
      <x:c r="J1044" s="2"/>
      <x:c r="K1044" s="2"/>
      <x:c r="L1044" s="2" t="n">
        <x:f>SUM(IF('Monthly_Data'!A700=A1044,IF(ISBLANK('Monthly_Data'!A700)=ISBLANK(A1044),0,1),1),IF('Monthly_Data'!B700=B1044,IF(ISBLANK('Monthly_Data'!B700)=ISBLANK(B1044),0,1),1),IF('Monthly_Data'!C700=C1044,IF(ISBLANK('Monthly_Data'!C700)=ISBLANK(C1044),0,1),1),IF('Monthly_Data'!D700=D1044,IF(ISBLANK('Monthly_Data'!D700)=ISBLANK(D1044),0,1),1),IF('Monthly_Data'!E700=E1044,IF(ISBLANK('Monthly_Data'!E700)=ISBLANK(E1044),0,1),1),IF('Monthly_Data'!F700=F1044,IF(ISBLANK('Monthly_Data'!F700)=ISBLANK(F1044),0,1),1),IF('Monthly_Data'!G700=G1044,IF(ISBLANK('Monthly_Data'!G700)=ISBLANK(G1044),0,1),1),IF('Monthly_Data'!H700=H1044,IF(ISBLANK('Monthly_Data'!H700)=ISBLANK(H1044),0,1),1))</x:f>
        <x:v>0</x:v>
      </x:c>
    </x:row>
    <x:row r="1045" ht="23" customHeight="1">
      <x:c r="A1045" s="2" t="str">
        <x:v>62052000_CN_202510_IMPORT</x:v>
      </x:c>
      <x:c r="B1045" s="2" t="n">
        <x:v>202510</x:v>
      </x:c>
      <x:c r="C1045" s="2" t="str">
        <x:v>62052000</x:v>
      </x:c>
      <x:c r="D1045" s="2" t="str">
        <x:v>China</x:v>
      </x:c>
      <x:c r="E1045" s="2" t="n">
        <x:v>879271</x:v>
      </x:c>
      <x:c r="F1045" s="2" t="n">
        <x:v>47899</x:v>
      </x:c>
      <x:c r="G1045" s="2" t="str">
        <x:v>WITHIN_BAND</x:v>
      </x:c>
      <x:c r="H1045" s="2" t="n">
        <x:v>1</x:v>
      </x:c>
      <x:c r="I1045" s="2"/>
      <x:c r="J1045" s="2"/>
      <x:c r="K1045" s="2"/>
      <x:c r="L1045" s="2" t="n">
        <x:f>SUM(IF('Monthly_Data'!A701=A1045,IF(ISBLANK('Monthly_Data'!A701)=ISBLANK(A1045),0,1),1),IF('Monthly_Data'!B701=B1045,IF(ISBLANK('Monthly_Data'!B701)=ISBLANK(B1045),0,1),1),IF('Monthly_Data'!C701=C1045,IF(ISBLANK('Monthly_Data'!C701)=ISBLANK(C1045),0,1),1),IF('Monthly_Data'!D701=D1045,IF(ISBLANK('Monthly_Data'!D701)=ISBLANK(D1045),0,1),1),IF('Monthly_Data'!E701=E1045,IF(ISBLANK('Monthly_Data'!E701)=ISBLANK(E1045),0,1),1),IF('Monthly_Data'!F701=F1045,IF(ISBLANK('Monthly_Data'!F701)=ISBLANK(F1045),0,1),1),IF('Monthly_Data'!G701=G1045,IF(ISBLANK('Monthly_Data'!G701)=ISBLANK(G1045),0,1),1),IF('Monthly_Data'!H701=H1045,IF(ISBLANK('Monthly_Data'!H701)=ISBLANK(H1045),0,1),1))</x:f>
        <x:v>0</x:v>
      </x:c>
    </x:row>
    <x:row r="1046" ht="23" customHeight="1">
      <x:c r="A1046" s="2" t="str">
        <x:v>62052000_IN_202510_IMPORT</x:v>
      </x:c>
      <x:c r="B1046" s="2" t="n">
        <x:v>202510</x:v>
      </x:c>
      <x:c r="C1046" s="2" t="str">
        <x:v>62052000</x:v>
      </x:c>
      <x:c r="D1046" s="2" t="str">
        <x:v>India</x:v>
      </x:c>
      <x:c r="E1046" s="2" t="n">
        <x:v>2100150</x:v>
      </x:c>
      <x:c r="F1046" s="2" t="n">
        <x:v>104693</x:v>
      </x:c>
      <x:c r="G1046" s="2" t="str">
        <x:v>WITHIN_BAND</x:v>
      </x:c>
      <x:c r="H1046" s="2" t="n">
        <x:v>1</x:v>
      </x:c>
      <x:c r="I1046" s="2"/>
      <x:c r="J1046" s="2"/>
      <x:c r="K1046" s="2"/>
      <x:c r="L1046" s="2" t="n">
        <x:f>SUM(IF('Monthly_Data'!A702=A1046,IF(ISBLANK('Monthly_Data'!A702)=ISBLANK(A1046),0,1),1),IF('Monthly_Data'!B702=B1046,IF(ISBLANK('Monthly_Data'!B702)=ISBLANK(B1046),0,1),1),IF('Monthly_Data'!C702=C1046,IF(ISBLANK('Monthly_Data'!C702)=ISBLANK(C1046),0,1),1),IF('Monthly_Data'!D702=D1046,IF(ISBLANK('Monthly_Data'!D702)=ISBLANK(D1046),0,1),1),IF('Monthly_Data'!E702=E1046,IF(ISBLANK('Monthly_Data'!E702)=ISBLANK(E1046),0,1),1),IF('Monthly_Data'!F702=F1046,IF(ISBLANK('Monthly_Data'!F702)=ISBLANK(F1046),0,1),1),IF('Monthly_Data'!G702=G1046,IF(ISBLANK('Monthly_Data'!G702)=ISBLANK(G1046),0,1),1),IF('Monthly_Data'!H702=H1046,IF(ISBLANK('Monthly_Data'!H702)=ISBLANK(H1046),0,1),1))</x:f>
        <x:v>0</x:v>
      </x:c>
    </x:row>
    <x:row r="1047" ht="23" customHeight="1">
      <x:c r="A1047" s="2" t="str">
        <x:v>62052000_MA_202510_IMPORT</x:v>
      </x:c>
      <x:c r="B1047" s="2" t="n">
        <x:v>202510</x:v>
      </x:c>
      <x:c r="C1047" s="2" t="str">
        <x:v>62052000</x:v>
      </x:c>
      <x:c r="D1047" s="2" t="str">
        <x:v>Morocco</x:v>
      </x:c>
      <x:c r="E1047" s="2" t="n">
        <x:v>57135</x:v>
      </x:c>
      <x:c r="F1047" s="2" t="n">
        <x:v>1309</x:v>
      </x:c>
      <x:c r="G1047" s="2" t="str">
        <x:v>WITHIN_BAND</x:v>
      </x:c>
      <x:c r="H1047" s="2" t="n">
        <x:v>1</x:v>
      </x:c>
      <x:c r="I1047" s="2"/>
      <x:c r="J1047" s="2"/>
      <x:c r="K1047" s="2"/>
      <x:c r="L1047" s="2" t="n">
        <x:f>SUM(IF('Monthly_Data'!A703=A1047,IF(ISBLANK('Monthly_Data'!A703)=ISBLANK(A1047),0,1),1),IF('Monthly_Data'!B703=B1047,IF(ISBLANK('Monthly_Data'!B703)=ISBLANK(B1047),0,1),1),IF('Monthly_Data'!C703=C1047,IF(ISBLANK('Monthly_Data'!C703)=ISBLANK(C1047),0,1),1),IF('Monthly_Data'!D703=D1047,IF(ISBLANK('Monthly_Data'!D703)=ISBLANK(D1047),0,1),1),IF('Monthly_Data'!E703=E1047,IF(ISBLANK('Monthly_Data'!E703)=ISBLANK(E1047),0,1),1),IF('Monthly_Data'!F703=F1047,IF(ISBLANK('Monthly_Data'!F703)=ISBLANK(F1047),0,1),1),IF('Monthly_Data'!G703=G1047,IF(ISBLANK('Monthly_Data'!G703)=ISBLANK(G1047),0,1),1),IF('Monthly_Data'!H703=H1047,IF(ISBLANK('Monthly_Data'!H703)=ISBLANK(H1047),0,1),1))</x:f>
        <x:v>0</x:v>
      </x:c>
    </x:row>
    <x:row r="1048" ht="23" customHeight="1">
      <x:c r="A1048" s="2" t="str">
        <x:v>62052000_MM_202510_IMPORT</x:v>
      </x:c>
      <x:c r="B1048" s="2" t="n">
        <x:v>202510</x:v>
      </x:c>
      <x:c r="C1048" s="2" t="str">
        <x:v>62052000</x:v>
      </x:c>
      <x:c r="D1048" s="2" t="str">
        <x:v>Myanmar</x:v>
      </x:c>
      <x:c r="E1048" s="2" t="n">
        <x:v>30762</x:v>
      </x:c>
      <x:c r="F1048" s="2" t="n">
        <x:v>3608</x:v>
      </x:c>
      <x:c r="G1048" s="2" t="str">
        <x:v>REVIEW</x:v>
      </x:c>
      <x:c r="H1048" s="2" t="n">
        <x:v>1</x:v>
      </x:c>
      <x:c r="I1048" s="2"/>
      <x:c r="J1048" s="2"/>
      <x:c r="K1048" s="2"/>
      <x:c r="L1048" s="2" t="n">
        <x:f>SUM(IF('Monthly_Data'!A704=A1048,IF(ISBLANK('Monthly_Data'!A704)=ISBLANK(A1048),0,1),1),IF('Monthly_Data'!B704=B1048,IF(ISBLANK('Monthly_Data'!B704)=ISBLANK(B1048),0,1),1),IF('Monthly_Data'!C704=C1048,IF(ISBLANK('Monthly_Data'!C704)=ISBLANK(C1048),0,1),1),IF('Monthly_Data'!D704=D1048,IF(ISBLANK('Monthly_Data'!D704)=ISBLANK(D1048),0,1),1),IF('Monthly_Data'!E704=E1048,IF(ISBLANK('Monthly_Data'!E704)=ISBLANK(E1048),0,1),1),IF('Monthly_Data'!F704=F1048,IF(ISBLANK('Monthly_Data'!F704)=ISBLANK(F1048),0,1),1),IF('Monthly_Data'!G704=G1048,IF(ISBLANK('Monthly_Data'!G704)=ISBLANK(G1048),0,1),1),IF('Monthly_Data'!H704=H1048,IF(ISBLANK('Monthly_Data'!H704)=ISBLANK(H1048),0,1),1))</x:f>
        <x:v>0</x:v>
      </x:c>
    </x:row>
    <x:row r="1049" ht="23" customHeight="1">
      <x:c r="A1049" s="2" t="str">
        <x:v>62052000_PK_202510_IMPORT</x:v>
      </x:c>
      <x:c r="B1049" s="2" t="n">
        <x:v>202510</x:v>
      </x:c>
      <x:c r="C1049" s="2" t="str">
        <x:v>62052000</x:v>
      </x:c>
      <x:c r="D1049" s="2" t="str">
        <x:v>Pakistan</x:v>
      </x:c>
      <x:c r="E1049" s="2" t="n">
        <x:v>86693</x:v>
      </x:c>
      <x:c r="F1049" s="2" t="n">
        <x:v>5748</x:v>
      </x:c>
      <x:c r="G1049" s="2" t="str">
        <x:v>WITHIN_BAND</x:v>
      </x:c>
      <x:c r="H1049" s="2" t="n">
        <x:v>1</x:v>
      </x:c>
      <x:c r="I1049" s="2"/>
      <x:c r="J1049" s="2"/>
      <x:c r="K1049" s="2"/>
      <x:c r="L1049" s="2" t="n">
        <x:f>SUM(IF('Monthly_Data'!A705=A1049,IF(ISBLANK('Monthly_Data'!A705)=ISBLANK(A1049),0,1),1),IF('Monthly_Data'!B705=B1049,IF(ISBLANK('Monthly_Data'!B705)=ISBLANK(B1049),0,1),1),IF('Monthly_Data'!C705=C1049,IF(ISBLANK('Monthly_Data'!C705)=ISBLANK(C1049),0,1),1),IF('Monthly_Data'!D705=D1049,IF(ISBLANK('Monthly_Data'!D705)=ISBLANK(D1049),0,1),1),IF('Monthly_Data'!E705=E1049,IF(ISBLANK('Monthly_Data'!E705)=ISBLANK(E1049),0,1),1),IF('Monthly_Data'!F705=F1049,IF(ISBLANK('Monthly_Data'!F705)=ISBLANK(F1049),0,1),1),IF('Monthly_Data'!G705=G1049,IF(ISBLANK('Monthly_Data'!G705)=ISBLANK(G1049),0,1),1),IF('Monthly_Data'!H705=H1049,IF(ISBLANK('Monthly_Data'!H705)=ISBLANK(H1049),0,1),1))</x:f>
        <x:v>0</x:v>
      </x:c>
    </x:row>
    <x:row r="1050" ht="23" customHeight="1">
      <x:c r="A1050" s="2" t="str">
        <x:v>62052000_LK_202510_IMPORT</x:v>
      </x:c>
      <x:c r="B1050" s="2" t="n">
        <x:v>202510</x:v>
      </x:c>
      <x:c r="C1050" s="2" t="str">
        <x:v>62052000</x:v>
      </x:c>
      <x:c r="D1050" s="2" t="str">
        <x:v>Sri Lanka</x:v>
      </x:c>
      <x:c r="E1050" s="2" t="n">
        <x:v>441736</x:v>
      </x:c>
      <x:c r="F1050" s="2" t="n">
        <x:v>25775</x:v>
      </x:c>
      <x:c r="G1050" s="2" t="str">
        <x:v>WITHIN_BAND</x:v>
      </x:c>
      <x:c r="H1050" s="2" t="n">
        <x:v>1</x:v>
      </x:c>
      <x:c r="I1050" s="2"/>
      <x:c r="J1050" s="2"/>
      <x:c r="K1050" s="2"/>
      <x:c r="L1050" s="2" t="n">
        <x:f>SUM(IF('Monthly_Data'!A706=A1050,IF(ISBLANK('Monthly_Data'!A706)=ISBLANK(A1050),0,1),1),IF('Monthly_Data'!B706=B1050,IF(ISBLANK('Monthly_Data'!B706)=ISBLANK(B1050),0,1),1),IF('Monthly_Data'!C706=C1050,IF(ISBLANK('Monthly_Data'!C706)=ISBLANK(C1050),0,1),1),IF('Monthly_Data'!D706=D1050,IF(ISBLANK('Monthly_Data'!D706)=ISBLANK(D1050),0,1),1),IF('Monthly_Data'!E706=E1050,IF(ISBLANK('Monthly_Data'!E706)=ISBLANK(E1050),0,1),1),IF('Monthly_Data'!F706=F1050,IF(ISBLANK('Monthly_Data'!F706)=ISBLANK(F1050),0,1),1),IF('Monthly_Data'!G706=G1050,IF(ISBLANK('Monthly_Data'!G706)=ISBLANK(G1050),0,1),1),IF('Monthly_Data'!H706=H1050,IF(ISBLANK('Monthly_Data'!H706)=ISBLANK(H1050),0,1),1))</x:f>
        <x:v>0</x:v>
      </x:c>
    </x:row>
    <x:row r="1051" ht="23" customHeight="1">
      <x:c r="A1051" s="2" t="str">
        <x:v>62052000_TR_202510_IMPORT</x:v>
      </x:c>
      <x:c r="B1051" s="2" t="n">
        <x:v>202510</x:v>
      </x:c>
      <x:c r="C1051" s="2" t="str">
        <x:v>62052000</x:v>
      </x:c>
      <x:c r="D1051" s="2" t="str">
        <x:v>Turkey</x:v>
      </x:c>
      <x:c r="E1051" s="2" t="n">
        <x:v>1092544</x:v>
      </x:c>
      <x:c r="F1051" s="2" t="n">
        <x:v>32544</x:v>
      </x:c>
      <x:c r="G1051" s="2" t="str">
        <x:v>WITHIN_BAND</x:v>
      </x:c>
      <x:c r="H1051" s="2" t="n">
        <x:v>1</x:v>
      </x:c>
      <x:c r="I1051" s="2"/>
      <x:c r="J1051" s="2"/>
      <x:c r="K1051" s="2"/>
      <x:c r="L1051" s="2" t="n">
        <x:f>SUM(IF('Monthly_Data'!A707=A1051,IF(ISBLANK('Monthly_Data'!A707)=ISBLANK(A1051),0,1),1),IF('Monthly_Data'!B707=B1051,IF(ISBLANK('Monthly_Data'!B707)=ISBLANK(B1051),0,1),1),IF('Monthly_Data'!C707=C1051,IF(ISBLANK('Monthly_Data'!C707)=ISBLANK(C1051),0,1),1),IF('Monthly_Data'!D707=D1051,IF(ISBLANK('Monthly_Data'!D707)=ISBLANK(D1051),0,1),1),IF('Monthly_Data'!E707=E1051,IF(ISBLANK('Monthly_Data'!E707)=ISBLANK(E1051),0,1),1),IF('Monthly_Data'!F707=F1051,IF(ISBLANK('Monthly_Data'!F707)=ISBLANK(F1051),0,1),1),IF('Monthly_Data'!G707=G1051,IF(ISBLANK('Monthly_Data'!G707)=ISBLANK(G1051),0,1),1),IF('Monthly_Data'!H707=H1051,IF(ISBLANK('Monthly_Data'!H707)=ISBLANK(H1051),0,1),1))</x:f>
        <x:v>0</x:v>
      </x:c>
    </x:row>
    <x:row r="1052" ht="23" customHeight="1">
      <x:c r="A1052" s="2" t="str">
        <x:v>62052000_VN_202510_IMPORT</x:v>
      </x:c>
      <x:c r="B1052" s="2" t="n">
        <x:v>202510</x:v>
      </x:c>
      <x:c r="C1052" s="2" t="str">
        <x:v>62052000</x:v>
      </x:c>
      <x:c r="D1052" s="2" t="str">
        <x:v>Vietnam</x:v>
      </x:c>
      <x:c r="E1052" s="2" t="n">
        <x:v>1341526</x:v>
      </x:c>
      <x:c r="F1052" s="2" t="n">
        <x:v>49143</x:v>
      </x:c>
      <x:c r="G1052" s="2" t="str">
        <x:v>WITHIN_BAND</x:v>
      </x:c>
      <x:c r="H1052" s="2" t="n">
        <x:v>1</x:v>
      </x:c>
      <x:c r="I1052" s="2"/>
      <x:c r="J1052" s="2"/>
      <x:c r="K1052" s="2"/>
      <x:c r="L1052" s="2" t="n">
        <x:f>SUM(IF('Monthly_Data'!A708=A1052,IF(ISBLANK('Monthly_Data'!A708)=ISBLANK(A1052),0,1),1),IF('Monthly_Data'!B708=B1052,IF(ISBLANK('Monthly_Data'!B708)=ISBLANK(B1052),0,1),1),IF('Monthly_Data'!C708=C1052,IF(ISBLANK('Monthly_Data'!C708)=ISBLANK(C1052),0,1),1),IF('Monthly_Data'!D708=D1052,IF(ISBLANK('Monthly_Data'!D708)=ISBLANK(D1052),0,1),1),IF('Monthly_Data'!E708=E1052,IF(ISBLANK('Monthly_Data'!E708)=ISBLANK(E1052),0,1),1),IF('Monthly_Data'!F708=F1052,IF(ISBLANK('Monthly_Data'!F708)=ISBLANK(F1052),0,1),1),IF('Monthly_Data'!G708=G1052,IF(ISBLANK('Monthly_Data'!G708)=ISBLANK(G1052),0,1),1),IF('Monthly_Data'!H708=H1052,IF(ISBLANK('Monthly_Data'!H708)=ISBLANK(H1052),0,1),1))</x:f>
        <x:v>0</x:v>
      </x:c>
    </x:row>
    <x:row r="1053" ht="23" customHeight="1">
      <x:c r="A1053" s="2" t="str">
        <x:v>62052000_WORLD_202510_IMPORT</x:v>
      </x:c>
      <x:c r="B1053" s="2" t="n">
        <x:v>202510</x:v>
      </x:c>
      <x:c r="C1053" s="2" t="str">
        <x:v>62052000</x:v>
      </x:c>
      <x:c r="D1053" s="2" t="str">
        <x:v>World</x:v>
      </x:c>
      <x:c r="E1053" s="2" t="n">
        <x:v>24639571</x:v>
      </x:c>
      <x:c r="F1053" s="2" t="n">
        <x:v>1046047</x:v>
      </x:c>
      <x:c r="G1053" s="2" t="str">
        <x:v>WITHIN_BAND</x:v>
      </x:c>
      <x:c r="H1053" s="2" t="n">
        <x:v>1</x:v>
      </x:c>
      <x:c r="I1053" s="2"/>
      <x:c r="J1053" s="2"/>
      <x:c r="K1053" s="2"/>
      <x:c r="L1053" s="2" t="n">
        <x:f>SUM(IF('Monthly_Data'!A709=A1053,IF(ISBLANK('Monthly_Data'!A709)=ISBLANK(A1053),0,1),1),IF('Monthly_Data'!B709=B1053,IF(ISBLANK('Monthly_Data'!B709)=ISBLANK(B1053),0,1),1),IF('Monthly_Data'!C709=C1053,IF(ISBLANK('Monthly_Data'!C709)=ISBLANK(C1053),0,1),1),IF('Monthly_Data'!D709=D1053,IF(ISBLANK('Monthly_Data'!D709)=ISBLANK(D1053),0,1),1),IF('Monthly_Data'!E709=E1053,IF(ISBLANK('Monthly_Data'!E709)=ISBLANK(E1053),0,1),1),IF('Monthly_Data'!F709=F1053,IF(ISBLANK('Monthly_Data'!F709)=ISBLANK(F1053),0,1),1),IF('Monthly_Data'!G709=G1053,IF(ISBLANK('Monthly_Data'!G709)=ISBLANK(G1053),0,1),1),IF('Monthly_Data'!H709=H1053,IF(ISBLANK('Monthly_Data'!H709)=ISBLANK(H1053),0,1),1))</x:f>
        <x:v>0</x:v>
      </x:c>
    </x:row>
    <x:row r="1054" ht="23" customHeight="1">
      <x:c r="A1054" s="2" t="str">
        <x:v>62052000_BD_202511_IMPORT</x:v>
      </x:c>
      <x:c r="B1054" s="2" t="n">
        <x:v>202511</x:v>
      </x:c>
      <x:c r="C1054" s="2" t="str">
        <x:v>62052000</x:v>
      </x:c>
      <x:c r="D1054" s="2" t="str">
        <x:v>Bangladesh</x:v>
      </x:c>
      <x:c r="E1054" s="2" t="n">
        <x:v>5446978</x:v>
      </x:c>
      <x:c r="F1054" s="2" t="n">
        <x:v>359619</x:v>
      </x:c>
      <x:c r="G1054" s="2" t="str">
        <x:v>WITHIN_BAND</x:v>
      </x:c>
      <x:c r="H1054" s="2" t="n">
        <x:v>1</x:v>
      </x:c>
      <x:c r="I1054" s="2"/>
      <x:c r="J1054" s="2"/>
      <x:c r="K1054" s="2"/>
      <x:c r="L1054" s="2" t="n">
        <x:f>SUM(IF('Monthly_Data'!A710=A1054,IF(ISBLANK('Monthly_Data'!A710)=ISBLANK(A1054),0,1),1),IF('Monthly_Data'!B710=B1054,IF(ISBLANK('Monthly_Data'!B710)=ISBLANK(B1054),0,1),1),IF('Monthly_Data'!C710=C1054,IF(ISBLANK('Monthly_Data'!C710)=ISBLANK(C1054),0,1),1),IF('Monthly_Data'!D710=D1054,IF(ISBLANK('Monthly_Data'!D710)=ISBLANK(D1054),0,1),1),IF('Monthly_Data'!E710=E1054,IF(ISBLANK('Monthly_Data'!E710)=ISBLANK(E1054),0,1),1),IF('Monthly_Data'!F710=F1054,IF(ISBLANK('Monthly_Data'!F710)=ISBLANK(F1054),0,1),1),IF('Monthly_Data'!G710=G1054,IF(ISBLANK('Monthly_Data'!G710)=ISBLANK(G1054),0,1),1),IF('Monthly_Data'!H710=H1054,IF(ISBLANK('Monthly_Data'!H710)=ISBLANK(H1054),0,1),1))</x:f>
        <x:v>0</x:v>
      </x:c>
    </x:row>
    <x:row r="1055" ht="23" customHeight="1">
      <x:c r="A1055" s="2" t="str">
        <x:v>62052000_KH_202511_IMPORT</x:v>
      </x:c>
      <x:c r="B1055" s="2" t="n">
        <x:v>202511</x:v>
      </x:c>
      <x:c r="C1055" s="2" t="str">
        <x:v>62052000</x:v>
      </x:c>
      <x:c r="D1055" s="2" t="str">
        <x:v>Cambodia</x:v>
      </x:c>
      <x:c r="E1055" s="2" t="n">
        <x:v>585756</x:v>
      </x:c>
      <x:c r="F1055" s="2" t="n">
        <x:v>32846</x:v>
      </x:c>
      <x:c r="G1055" s="2" t="str">
        <x:v>WITHIN_BAND</x:v>
      </x:c>
      <x:c r="H1055" s="2" t="n">
        <x:v>1</x:v>
      </x:c>
      <x:c r="I1055" s="2"/>
      <x:c r="J1055" s="2"/>
      <x:c r="K1055" s="2"/>
      <x:c r="L1055" s="2" t="n">
        <x:f>SUM(IF('Monthly_Data'!A711=A1055,IF(ISBLANK('Monthly_Data'!A711)=ISBLANK(A1055),0,1),1),IF('Monthly_Data'!B711=B1055,IF(ISBLANK('Monthly_Data'!B711)=ISBLANK(B1055),0,1),1),IF('Monthly_Data'!C711=C1055,IF(ISBLANK('Monthly_Data'!C711)=ISBLANK(C1055),0,1),1),IF('Monthly_Data'!D711=D1055,IF(ISBLANK('Monthly_Data'!D711)=ISBLANK(D1055),0,1),1),IF('Monthly_Data'!E711=E1055,IF(ISBLANK('Monthly_Data'!E711)=ISBLANK(E1055),0,1),1),IF('Monthly_Data'!F711=F1055,IF(ISBLANK('Monthly_Data'!F711)=ISBLANK(F1055),0,1),1),IF('Monthly_Data'!G711=G1055,IF(ISBLANK('Monthly_Data'!G711)=ISBLANK(G1055),0,1),1),IF('Monthly_Data'!H711=H1055,IF(ISBLANK('Monthly_Data'!H711)=ISBLANK(H1055),0,1),1))</x:f>
        <x:v>0</x:v>
      </x:c>
    </x:row>
    <x:row r="1056" ht="23" customHeight="1">
      <x:c r="A1056" s="2" t="str">
        <x:v>62052000_CN_202511_IMPORT</x:v>
      </x:c>
      <x:c r="B1056" s="2" t="n">
        <x:v>202511</x:v>
      </x:c>
      <x:c r="C1056" s="2" t="str">
        <x:v>62052000</x:v>
      </x:c>
      <x:c r="D1056" s="2" t="str">
        <x:v>China</x:v>
      </x:c>
      <x:c r="E1056" s="2" t="n">
        <x:v>730082</x:v>
      </x:c>
      <x:c r="F1056" s="2" t="n">
        <x:v>42501</x:v>
      </x:c>
      <x:c r="G1056" s="2" t="str">
        <x:v>WITHIN_BAND</x:v>
      </x:c>
      <x:c r="H1056" s="2" t="n">
        <x:v>1</x:v>
      </x:c>
      <x:c r="I1056" s="2"/>
      <x:c r="J1056" s="2"/>
      <x:c r="K1056" s="2"/>
      <x:c r="L1056" s="2" t="n">
        <x:f>SUM(IF('Monthly_Data'!A712=A1056,IF(ISBLANK('Monthly_Data'!A712)=ISBLANK(A1056),0,1),1),IF('Monthly_Data'!B712=B1056,IF(ISBLANK('Monthly_Data'!B712)=ISBLANK(B1056),0,1),1),IF('Monthly_Data'!C712=C1056,IF(ISBLANK('Monthly_Data'!C712)=ISBLANK(C1056),0,1),1),IF('Monthly_Data'!D712=D1056,IF(ISBLANK('Monthly_Data'!D712)=ISBLANK(D1056),0,1),1),IF('Monthly_Data'!E712=E1056,IF(ISBLANK('Monthly_Data'!E712)=ISBLANK(E1056),0,1),1),IF('Monthly_Data'!F712=F1056,IF(ISBLANK('Monthly_Data'!F712)=ISBLANK(F1056),0,1),1),IF('Monthly_Data'!G712=G1056,IF(ISBLANK('Monthly_Data'!G712)=ISBLANK(G1056),0,1),1),IF('Monthly_Data'!H712=H1056,IF(ISBLANK('Monthly_Data'!H712)=ISBLANK(H1056),0,1),1))</x:f>
        <x:v>0</x:v>
      </x:c>
    </x:row>
    <x:row r="1057" ht="23" customHeight="1">
      <x:c r="A1057" s="2" t="str">
        <x:v>62052000_IN_202511_IMPORT</x:v>
      </x:c>
      <x:c r="B1057" s="2" t="n">
        <x:v>202511</x:v>
      </x:c>
      <x:c r="C1057" s="2" t="str">
        <x:v>62052000</x:v>
      </x:c>
      <x:c r="D1057" s="2" t="str">
        <x:v>India</x:v>
      </x:c>
      <x:c r="E1057" s="2" t="n">
        <x:v>1534616</x:v>
      </x:c>
      <x:c r="F1057" s="2" t="n">
        <x:v>85011</x:v>
      </x:c>
      <x:c r="G1057" s="2" t="str">
        <x:v>WITHIN_BAND</x:v>
      </x:c>
      <x:c r="H1057" s="2" t="n">
        <x:v>1</x:v>
      </x:c>
      <x:c r="I1057" s="2"/>
      <x:c r="J1057" s="2"/>
      <x:c r="K1057" s="2"/>
      <x:c r="L1057" s="2" t="n">
        <x:f>SUM(IF('Monthly_Data'!A713=A1057,IF(ISBLANK('Monthly_Data'!A713)=ISBLANK(A1057),0,1),1),IF('Monthly_Data'!B713=B1057,IF(ISBLANK('Monthly_Data'!B713)=ISBLANK(B1057),0,1),1),IF('Monthly_Data'!C713=C1057,IF(ISBLANK('Monthly_Data'!C713)=ISBLANK(C1057),0,1),1),IF('Monthly_Data'!D713=D1057,IF(ISBLANK('Monthly_Data'!D713)=ISBLANK(D1057),0,1),1),IF('Monthly_Data'!E713=E1057,IF(ISBLANK('Monthly_Data'!E713)=ISBLANK(E1057),0,1),1),IF('Monthly_Data'!F713=F1057,IF(ISBLANK('Monthly_Data'!F713)=ISBLANK(F1057),0,1),1),IF('Monthly_Data'!G713=G1057,IF(ISBLANK('Monthly_Data'!G713)=ISBLANK(G1057),0,1),1),IF('Monthly_Data'!H713=H1057,IF(ISBLANK('Monthly_Data'!H713)=ISBLANK(H1057),0,1),1))</x:f>
        <x:v>0</x:v>
      </x:c>
    </x:row>
    <x:row r="1058" ht="23" customHeight="1">
      <x:c r="A1058" s="2" t="str">
        <x:v>62052000_MA_202511_IMPORT</x:v>
      </x:c>
      <x:c r="B1058" s="2" t="n">
        <x:v>202511</x:v>
      </x:c>
      <x:c r="C1058" s="2" t="str">
        <x:v>62052000</x:v>
      </x:c>
      <x:c r="D1058" s="2" t="str">
        <x:v>Morocco</x:v>
      </x:c>
      <x:c r="E1058" s="2" t="n">
        <x:v>137945</x:v>
      </x:c>
      <x:c r="F1058" s="2" t="n">
        <x:v>3666</x:v>
      </x:c>
      <x:c r="G1058" s="2" t="str">
        <x:v>WITHIN_BAND</x:v>
      </x:c>
      <x:c r="H1058" s="2" t="n">
        <x:v>1</x:v>
      </x:c>
      <x:c r="I1058" s="2"/>
      <x:c r="J1058" s="2"/>
      <x:c r="K1058" s="2"/>
      <x:c r="L1058" s="2" t="n">
        <x:f>SUM(IF('Monthly_Data'!A714=A1058,IF(ISBLANK('Monthly_Data'!A714)=ISBLANK(A1058),0,1),1),IF('Monthly_Data'!B714=B1058,IF(ISBLANK('Monthly_Data'!B714)=ISBLANK(B1058),0,1),1),IF('Monthly_Data'!C714=C1058,IF(ISBLANK('Monthly_Data'!C714)=ISBLANK(C1058),0,1),1),IF('Monthly_Data'!D714=D1058,IF(ISBLANK('Monthly_Data'!D714)=ISBLANK(D1058),0,1),1),IF('Monthly_Data'!E714=E1058,IF(ISBLANK('Monthly_Data'!E714)=ISBLANK(E1058),0,1),1),IF('Monthly_Data'!F714=F1058,IF(ISBLANK('Monthly_Data'!F714)=ISBLANK(F1058),0,1),1),IF('Monthly_Data'!G714=G1058,IF(ISBLANK('Monthly_Data'!G714)=ISBLANK(G1058),0,1),1),IF('Monthly_Data'!H714=H1058,IF(ISBLANK('Monthly_Data'!H714)=ISBLANK(H1058),0,1),1))</x:f>
        <x:v>0</x:v>
      </x:c>
    </x:row>
    <x:row r="1059" ht="23" customHeight="1">
      <x:c r="A1059" s="2" t="str">
        <x:v>62052000_MM_202511_IMPORT</x:v>
      </x:c>
      <x:c r="B1059" s="2" t="n">
        <x:v>202511</x:v>
      </x:c>
      <x:c r="C1059" s="2" t="str">
        <x:v>62052000</x:v>
      </x:c>
      <x:c r="D1059" s="2" t="str">
        <x:v>Myanmar</x:v>
      </x:c>
      <x:c r="E1059" s="2" t="n">
        <x:v>30383</x:v>
      </x:c>
      <x:c r="F1059" s="2" t="n">
        <x:v>3301</x:v>
      </x:c>
      <x:c r="G1059" s="2" t="str">
        <x:v>WITHIN_BAND</x:v>
      </x:c>
      <x:c r="H1059" s="2" t="n">
        <x:v>1</x:v>
      </x:c>
      <x:c r="I1059" s="2"/>
      <x:c r="J1059" s="2"/>
      <x:c r="K1059" s="2"/>
      <x:c r="L1059" s="2" t="n">
        <x:f>SUM(IF('Monthly_Data'!A715=A1059,IF(ISBLANK('Monthly_Data'!A715)=ISBLANK(A1059),0,1),1),IF('Monthly_Data'!B715=B1059,IF(ISBLANK('Monthly_Data'!B715)=ISBLANK(B1059),0,1),1),IF('Monthly_Data'!C715=C1059,IF(ISBLANK('Monthly_Data'!C715)=ISBLANK(C1059),0,1),1),IF('Monthly_Data'!D715=D1059,IF(ISBLANK('Monthly_Data'!D715)=ISBLANK(D1059),0,1),1),IF('Monthly_Data'!E715=E1059,IF(ISBLANK('Monthly_Data'!E715)=ISBLANK(E1059),0,1),1),IF('Monthly_Data'!F715=F1059,IF(ISBLANK('Monthly_Data'!F715)=ISBLANK(F1059),0,1),1),IF('Monthly_Data'!G715=G1059,IF(ISBLANK('Monthly_Data'!G715)=ISBLANK(G1059),0,1),1),IF('Monthly_Data'!H715=H1059,IF(ISBLANK('Monthly_Data'!H715)=ISBLANK(H1059),0,1),1))</x:f>
        <x:v>0</x:v>
      </x:c>
    </x:row>
    <x:row r="1060" ht="23" customHeight="1">
      <x:c r="A1060" s="2" t="str">
        <x:v>62052000_PK_202511_IMPORT</x:v>
      </x:c>
      <x:c r="B1060" s="2" t="n">
        <x:v>202511</x:v>
      </x:c>
      <x:c r="C1060" s="2" t="str">
        <x:v>62052000</x:v>
      </x:c>
      <x:c r="D1060" s="2" t="str">
        <x:v>Pakistan</x:v>
      </x:c>
      <x:c r="E1060" s="2" t="n">
        <x:v>38129</x:v>
      </x:c>
      <x:c r="F1060" s="2" t="n">
        <x:v>5085</x:v>
      </x:c>
      <x:c r="G1060" s="2" t="str">
        <x:v>WITHIN_BAND</x:v>
      </x:c>
      <x:c r="H1060" s="2" t="n">
        <x:v>1</x:v>
      </x:c>
      <x:c r="I1060" s="2"/>
      <x:c r="J1060" s="2"/>
      <x:c r="K1060" s="2"/>
      <x:c r="L1060" s="2" t="n">
        <x:f>SUM(IF('Monthly_Data'!A716=A1060,IF(ISBLANK('Monthly_Data'!A716)=ISBLANK(A1060),0,1),1),IF('Monthly_Data'!B716=B1060,IF(ISBLANK('Monthly_Data'!B716)=ISBLANK(B1060),0,1),1),IF('Monthly_Data'!C716=C1060,IF(ISBLANK('Monthly_Data'!C716)=ISBLANK(C1060),0,1),1),IF('Monthly_Data'!D716=D1060,IF(ISBLANK('Monthly_Data'!D716)=ISBLANK(D1060),0,1),1),IF('Monthly_Data'!E716=E1060,IF(ISBLANK('Monthly_Data'!E716)=ISBLANK(E1060),0,1),1),IF('Monthly_Data'!F716=F1060,IF(ISBLANK('Monthly_Data'!F716)=ISBLANK(F1060),0,1),1),IF('Monthly_Data'!G716=G1060,IF(ISBLANK('Monthly_Data'!G716)=ISBLANK(G1060),0,1),1),IF('Monthly_Data'!H716=H1060,IF(ISBLANK('Monthly_Data'!H716)=ISBLANK(H1060),0,1),1))</x:f>
        <x:v>0</x:v>
      </x:c>
    </x:row>
    <x:row r="1061" ht="23" customHeight="1">
      <x:c r="A1061" s="2" t="str">
        <x:v>62052000_LK_202511_IMPORT</x:v>
      </x:c>
      <x:c r="B1061" s="2" t="n">
        <x:v>202511</x:v>
      </x:c>
      <x:c r="C1061" s="2" t="str">
        <x:v>62052000</x:v>
      </x:c>
      <x:c r="D1061" s="2" t="str">
        <x:v>Sri Lanka</x:v>
      </x:c>
      <x:c r="E1061" s="2" t="n">
        <x:v>296317</x:v>
      </x:c>
      <x:c r="F1061" s="2" t="n">
        <x:v>16552</x:v>
      </x:c>
      <x:c r="G1061" s="2" t="str">
        <x:v>WITHIN_BAND</x:v>
      </x:c>
      <x:c r="H1061" s="2" t="n">
        <x:v>1</x:v>
      </x:c>
      <x:c r="I1061" s="2"/>
      <x:c r="J1061" s="2"/>
      <x:c r="K1061" s="2"/>
      <x:c r="L1061" s="2" t="n">
        <x:f>SUM(IF('Monthly_Data'!A717=A1061,IF(ISBLANK('Monthly_Data'!A717)=ISBLANK(A1061),0,1),1),IF('Monthly_Data'!B717=B1061,IF(ISBLANK('Monthly_Data'!B717)=ISBLANK(B1061),0,1),1),IF('Monthly_Data'!C717=C1061,IF(ISBLANK('Monthly_Data'!C717)=ISBLANK(C1061),0,1),1),IF('Monthly_Data'!D717=D1061,IF(ISBLANK('Monthly_Data'!D717)=ISBLANK(D1061),0,1),1),IF('Monthly_Data'!E717=E1061,IF(ISBLANK('Monthly_Data'!E717)=ISBLANK(E1061),0,1),1),IF('Monthly_Data'!F717=F1061,IF(ISBLANK('Monthly_Data'!F717)=ISBLANK(F1061),0,1),1),IF('Monthly_Data'!G717=G1061,IF(ISBLANK('Monthly_Data'!G717)=ISBLANK(G1061),0,1),1),IF('Monthly_Data'!H717=H1061,IF(ISBLANK('Monthly_Data'!H717)=ISBLANK(H1061),0,1),1))</x:f>
        <x:v>0</x:v>
      </x:c>
    </x:row>
    <x:row r="1062" ht="23" customHeight="1">
      <x:c r="A1062" s="2" t="str">
        <x:v>62052000_TR_202511_IMPORT</x:v>
      </x:c>
      <x:c r="B1062" s="2" t="n">
        <x:v>202511</x:v>
      </x:c>
      <x:c r="C1062" s="2" t="str">
        <x:v>62052000</x:v>
      </x:c>
      <x:c r="D1062" s="2" t="str">
        <x:v>Turkey</x:v>
      </x:c>
      <x:c r="E1062" s="2" t="n">
        <x:v>878189</x:v>
      </x:c>
      <x:c r="F1062" s="2" t="n">
        <x:v>20661</x:v>
      </x:c>
      <x:c r="G1062" s="2" t="str">
        <x:v>WITHIN_BAND</x:v>
      </x:c>
      <x:c r="H1062" s="2" t="n">
        <x:v>1</x:v>
      </x:c>
      <x:c r="I1062" s="2"/>
      <x:c r="J1062" s="2"/>
      <x:c r="K1062" s="2"/>
      <x:c r="L1062" s="2" t="n">
        <x:f>SUM(IF('Monthly_Data'!A718=A1062,IF(ISBLANK('Monthly_Data'!A718)=ISBLANK(A1062),0,1),1),IF('Monthly_Data'!B718=B1062,IF(ISBLANK('Monthly_Data'!B718)=ISBLANK(B1062),0,1),1),IF('Monthly_Data'!C718=C1062,IF(ISBLANK('Monthly_Data'!C718)=ISBLANK(C1062),0,1),1),IF('Monthly_Data'!D718=D1062,IF(ISBLANK('Monthly_Data'!D718)=ISBLANK(D1062),0,1),1),IF('Monthly_Data'!E718=E1062,IF(ISBLANK('Monthly_Data'!E718)=ISBLANK(E1062),0,1),1),IF('Monthly_Data'!F718=F1062,IF(ISBLANK('Monthly_Data'!F718)=ISBLANK(F1062),0,1),1),IF('Monthly_Data'!G718=G1062,IF(ISBLANK('Monthly_Data'!G718)=ISBLANK(G1062),0,1),1),IF('Monthly_Data'!H718=H1062,IF(ISBLANK('Monthly_Data'!H718)=ISBLANK(H1062),0,1),1))</x:f>
        <x:v>0</x:v>
      </x:c>
    </x:row>
    <x:row r="1063" ht="23" customHeight="1">
      <x:c r="A1063" s="2" t="str">
        <x:v>62052000_VN_202511_IMPORT</x:v>
      </x:c>
      <x:c r="B1063" s="2" t="n">
        <x:v>202511</x:v>
      </x:c>
      <x:c r="C1063" s="2" t="str">
        <x:v>62052000</x:v>
      </x:c>
      <x:c r="D1063" s="2" t="str">
        <x:v>Vietnam</x:v>
      </x:c>
      <x:c r="E1063" s="2" t="n">
        <x:v>1571395</x:v>
      </x:c>
      <x:c r="F1063" s="2" t="n">
        <x:v>50223</x:v>
      </x:c>
      <x:c r="G1063" s="2" t="str">
        <x:v>WITHIN_BAND</x:v>
      </x:c>
      <x:c r="H1063" s="2" t="n">
        <x:v>1</x:v>
      </x:c>
      <x:c r="I1063" s="2"/>
      <x:c r="J1063" s="2"/>
      <x:c r="K1063" s="2"/>
      <x:c r="L1063" s="2" t="n">
        <x:f>SUM(IF('Monthly_Data'!A719=A1063,IF(ISBLANK('Monthly_Data'!A719)=ISBLANK(A1063),0,1),1),IF('Monthly_Data'!B719=B1063,IF(ISBLANK('Monthly_Data'!B719)=ISBLANK(B1063),0,1),1),IF('Monthly_Data'!C719=C1063,IF(ISBLANK('Monthly_Data'!C719)=ISBLANK(C1063),0,1),1),IF('Monthly_Data'!D719=D1063,IF(ISBLANK('Monthly_Data'!D719)=ISBLANK(D1063),0,1),1),IF('Monthly_Data'!E719=E1063,IF(ISBLANK('Monthly_Data'!E719)=ISBLANK(E1063),0,1),1),IF('Monthly_Data'!F719=F1063,IF(ISBLANK('Monthly_Data'!F719)=ISBLANK(F1063),0,1),1),IF('Monthly_Data'!G719=G1063,IF(ISBLANK('Monthly_Data'!G719)=ISBLANK(G1063),0,1),1),IF('Monthly_Data'!H719=H1063,IF(ISBLANK('Monthly_Data'!H719)=ISBLANK(H1063),0,1),1))</x:f>
        <x:v>0</x:v>
      </x:c>
    </x:row>
    <x:row r="1064" ht="23" customHeight="1">
      <x:c r="A1064" s="2" t="str">
        <x:v>62052000_WORLD_202511_IMPORT</x:v>
      </x:c>
      <x:c r="B1064" s="2" t="n">
        <x:v>202511</x:v>
      </x:c>
      <x:c r="C1064" s="2" t="str">
        <x:v>62052000</x:v>
      </x:c>
      <x:c r="D1064" s="2" t="str">
        <x:v>World</x:v>
      </x:c>
      <x:c r="E1064" s="2" t="n">
        <x:v>17808006</x:v>
      </x:c>
      <x:c r="F1064" s="2" t="n">
        <x:v>741586</x:v>
      </x:c>
      <x:c r="G1064" s="2" t="str">
        <x:v>WITHIN_BAND</x:v>
      </x:c>
      <x:c r="H1064" s="2" t="n">
        <x:v>1</x:v>
      </x:c>
      <x:c r="I1064" s="2"/>
      <x:c r="J1064" s="2"/>
      <x:c r="K1064" s="2"/>
      <x:c r="L1064" s="2" t="n">
        <x:f>SUM(IF('Monthly_Data'!A720=A1064,IF(ISBLANK('Monthly_Data'!A720)=ISBLANK(A1064),0,1),1),IF('Monthly_Data'!B720=B1064,IF(ISBLANK('Monthly_Data'!B720)=ISBLANK(B1064),0,1),1),IF('Monthly_Data'!C720=C1064,IF(ISBLANK('Monthly_Data'!C720)=ISBLANK(C1064),0,1),1),IF('Monthly_Data'!D720=D1064,IF(ISBLANK('Monthly_Data'!D720)=ISBLANK(D1064),0,1),1),IF('Monthly_Data'!E720=E1064,IF(ISBLANK('Monthly_Data'!E720)=ISBLANK(E1064),0,1),1),IF('Monthly_Data'!F720=F1064,IF(ISBLANK('Monthly_Data'!F720)=ISBLANK(F1064),0,1),1),IF('Monthly_Data'!G720=G1064,IF(ISBLANK('Monthly_Data'!G720)=ISBLANK(G1064),0,1),1),IF('Monthly_Data'!H720=H1064,IF(ISBLANK('Monthly_Data'!H720)=ISBLANK(H1064),0,1),1))</x:f>
        <x:v>0</x:v>
      </x:c>
    </x:row>
    <x:row r="1065" ht="23" customHeight="1">
      <x:c r="A1065" s="2" t="str">
        <x:v>62052000_BD_202512_IMPORT</x:v>
      </x:c>
      <x:c r="B1065" s="2" t="n">
        <x:v>202512</x:v>
      </x:c>
      <x:c r="C1065" s="2" t="str">
        <x:v>62052000</x:v>
      </x:c>
      <x:c r="D1065" s="2" t="str">
        <x:v>Bangladesh</x:v>
      </x:c>
      <x:c r="E1065" s="2" t="n">
        <x:v>5766530</x:v>
      </x:c>
      <x:c r="F1065" s="2" t="n">
        <x:v>353265</x:v>
      </x:c>
      <x:c r="G1065" s="2" t="str">
        <x:v>WITHIN_BAND</x:v>
      </x:c>
      <x:c r="H1065" s="2" t="n">
        <x:v>1</x:v>
      </x:c>
      <x:c r="I1065" s="2"/>
      <x:c r="J1065" s="2"/>
      <x:c r="K1065" s="2"/>
      <x:c r="L1065" s="2" t="n">
        <x:f>SUM(IF('Monthly_Data'!A721=A1065,IF(ISBLANK('Monthly_Data'!A721)=ISBLANK(A1065),0,1),1),IF('Monthly_Data'!B721=B1065,IF(ISBLANK('Monthly_Data'!B721)=ISBLANK(B1065),0,1),1),IF('Monthly_Data'!C721=C1065,IF(ISBLANK('Monthly_Data'!C721)=ISBLANK(C1065),0,1),1),IF('Monthly_Data'!D721=D1065,IF(ISBLANK('Monthly_Data'!D721)=ISBLANK(D1065),0,1),1),IF('Monthly_Data'!E721=E1065,IF(ISBLANK('Monthly_Data'!E721)=ISBLANK(E1065),0,1),1),IF('Monthly_Data'!F721=F1065,IF(ISBLANK('Monthly_Data'!F721)=ISBLANK(F1065),0,1),1),IF('Monthly_Data'!G721=G1065,IF(ISBLANK('Monthly_Data'!G721)=ISBLANK(G1065),0,1),1),IF('Monthly_Data'!H721=H1065,IF(ISBLANK('Monthly_Data'!H721)=ISBLANK(H1065),0,1),1))</x:f>
        <x:v>0</x:v>
      </x:c>
    </x:row>
    <x:row r="1066" ht="23" customHeight="1">
      <x:c r="A1066" s="2" t="str">
        <x:v>62052000_KH_202512_IMPORT</x:v>
      </x:c>
      <x:c r="B1066" s="2" t="n">
        <x:v>202512</x:v>
      </x:c>
      <x:c r="C1066" s="2" t="str">
        <x:v>62052000</x:v>
      </x:c>
      <x:c r="D1066" s="2" t="str">
        <x:v>Cambodia</x:v>
      </x:c>
      <x:c r="E1066" s="2" t="n">
        <x:v>1482774</x:v>
      </x:c>
      <x:c r="F1066" s="2" t="n">
        <x:v>60718</x:v>
      </x:c>
      <x:c r="G1066" s="2" t="str">
        <x:v>WITHIN_BAND</x:v>
      </x:c>
      <x:c r="H1066" s="2" t="n">
        <x:v>1</x:v>
      </x:c>
      <x:c r="I1066" s="2"/>
      <x:c r="J1066" s="2"/>
      <x:c r="K1066" s="2"/>
      <x:c r="L1066" s="2" t="n">
        <x:f>SUM(IF('Monthly_Data'!A722=A1066,IF(ISBLANK('Monthly_Data'!A722)=ISBLANK(A1066),0,1),1),IF('Monthly_Data'!B722=B1066,IF(ISBLANK('Monthly_Data'!B722)=ISBLANK(B1066),0,1),1),IF('Monthly_Data'!C722=C1066,IF(ISBLANK('Monthly_Data'!C722)=ISBLANK(C1066),0,1),1),IF('Monthly_Data'!D722=D1066,IF(ISBLANK('Monthly_Data'!D722)=ISBLANK(D1066),0,1),1),IF('Monthly_Data'!E722=E1066,IF(ISBLANK('Monthly_Data'!E722)=ISBLANK(E1066),0,1),1),IF('Monthly_Data'!F722=F1066,IF(ISBLANK('Monthly_Data'!F722)=ISBLANK(F1066),0,1),1),IF('Monthly_Data'!G722=G1066,IF(ISBLANK('Monthly_Data'!G722)=ISBLANK(G1066),0,1),1),IF('Monthly_Data'!H722=H1066,IF(ISBLANK('Monthly_Data'!H722)=ISBLANK(H1066),0,1),1))</x:f>
        <x:v>0</x:v>
      </x:c>
    </x:row>
    <x:row r="1067" ht="23" customHeight="1">
      <x:c r="A1067" s="2" t="str">
        <x:v>62052000_CN_202512_IMPORT</x:v>
      </x:c>
      <x:c r="B1067" s="2" t="n">
        <x:v>202512</x:v>
      </x:c>
      <x:c r="C1067" s="2" t="str">
        <x:v>62052000</x:v>
      </x:c>
      <x:c r="D1067" s="2" t="str">
        <x:v>China</x:v>
      </x:c>
      <x:c r="E1067" s="2" t="n">
        <x:v>484351</x:v>
      </x:c>
      <x:c r="F1067" s="2" t="n">
        <x:v>23409</x:v>
      </x:c>
      <x:c r="G1067" s="2" t="str">
        <x:v>WITHIN_BAND</x:v>
      </x:c>
      <x:c r="H1067" s="2" t="n">
        <x:v>1</x:v>
      </x:c>
      <x:c r="I1067" s="2"/>
      <x:c r="J1067" s="2"/>
      <x:c r="K1067" s="2"/>
      <x:c r="L1067" s="2" t="n">
        <x:f>SUM(IF('Monthly_Data'!A723=A1067,IF(ISBLANK('Monthly_Data'!A723)=ISBLANK(A1067),0,1),1),IF('Monthly_Data'!B723=B1067,IF(ISBLANK('Monthly_Data'!B723)=ISBLANK(B1067),0,1),1),IF('Monthly_Data'!C723=C1067,IF(ISBLANK('Monthly_Data'!C723)=ISBLANK(C1067),0,1),1),IF('Monthly_Data'!D723=D1067,IF(ISBLANK('Monthly_Data'!D723)=ISBLANK(D1067),0,1),1),IF('Monthly_Data'!E723=E1067,IF(ISBLANK('Monthly_Data'!E723)=ISBLANK(E1067),0,1),1),IF('Monthly_Data'!F723=F1067,IF(ISBLANK('Monthly_Data'!F723)=ISBLANK(F1067),0,1),1),IF('Monthly_Data'!G723=G1067,IF(ISBLANK('Monthly_Data'!G723)=ISBLANK(G1067),0,1),1),IF('Monthly_Data'!H723=H1067,IF(ISBLANK('Monthly_Data'!H723)=ISBLANK(H1067),0,1),1))</x:f>
        <x:v>0</x:v>
      </x:c>
    </x:row>
    <x:row r="1068" ht="23" customHeight="1">
      <x:c r="A1068" s="2" t="str">
        <x:v>62052000_IN_202512_IMPORT</x:v>
      </x:c>
      <x:c r="B1068" s="2" t="n">
        <x:v>202512</x:v>
      </x:c>
      <x:c r="C1068" s="2" t="str">
        <x:v>62052000</x:v>
      </x:c>
      <x:c r="D1068" s="2" t="str">
        <x:v>India</x:v>
      </x:c>
      <x:c r="E1068" s="2" t="n">
        <x:v>2017497</x:v>
      </x:c>
      <x:c r="F1068" s="2" t="n">
        <x:v>92876</x:v>
      </x:c>
      <x:c r="G1068" s="2" t="str">
        <x:v>WITHIN_BAND</x:v>
      </x:c>
      <x:c r="H1068" s="2" t="n">
        <x:v>1</x:v>
      </x:c>
      <x:c r="I1068" s="2"/>
      <x:c r="J1068" s="2"/>
      <x:c r="K1068" s="2"/>
      <x:c r="L1068" s="2" t="n">
        <x:f>SUM(IF('Monthly_Data'!A724=A1068,IF(ISBLANK('Monthly_Data'!A724)=ISBLANK(A1068),0,1),1),IF('Monthly_Data'!B724=B1068,IF(ISBLANK('Monthly_Data'!B724)=ISBLANK(B1068),0,1),1),IF('Monthly_Data'!C724=C1068,IF(ISBLANK('Monthly_Data'!C724)=ISBLANK(C1068),0,1),1),IF('Monthly_Data'!D724=D1068,IF(ISBLANK('Monthly_Data'!D724)=ISBLANK(D1068),0,1),1),IF('Monthly_Data'!E724=E1068,IF(ISBLANK('Monthly_Data'!E724)=ISBLANK(E1068),0,1),1),IF('Monthly_Data'!F724=F1068,IF(ISBLANK('Monthly_Data'!F724)=ISBLANK(F1068),0,1),1),IF('Monthly_Data'!G724=G1068,IF(ISBLANK('Monthly_Data'!G724)=ISBLANK(G1068),0,1),1),IF('Monthly_Data'!H724=H1068,IF(ISBLANK('Monthly_Data'!H724)=ISBLANK(H1068),0,1),1))</x:f>
        <x:v>0</x:v>
      </x:c>
    </x:row>
    <x:row r="1069" ht="23" customHeight="1">
      <x:c r="A1069" s="2" t="str">
        <x:v>62052000_MA_202512_IMPORT</x:v>
      </x:c>
      <x:c r="B1069" s="2" t="n">
        <x:v>202512</x:v>
      </x:c>
      <x:c r="C1069" s="2" t="str">
        <x:v>62052000</x:v>
      </x:c>
      <x:c r="D1069" s="2" t="str">
        <x:v>Morocco</x:v>
      </x:c>
      <x:c r="E1069" s="2" t="n">
        <x:v>129579</x:v>
      </x:c>
      <x:c r="F1069" s="2" t="n">
        <x:v>3478</x:v>
      </x:c>
      <x:c r="G1069" s="2" t="str">
        <x:v>WITHIN_BAND</x:v>
      </x:c>
      <x:c r="H1069" s="2" t="n">
        <x:v>1</x:v>
      </x:c>
      <x:c r="I1069" s="2"/>
      <x:c r="J1069" s="2"/>
      <x:c r="K1069" s="2"/>
      <x:c r="L1069" s="2" t="n">
        <x:f>SUM(IF('Monthly_Data'!A725=A1069,IF(ISBLANK('Monthly_Data'!A725)=ISBLANK(A1069),0,1),1),IF('Monthly_Data'!B725=B1069,IF(ISBLANK('Monthly_Data'!B725)=ISBLANK(B1069),0,1),1),IF('Monthly_Data'!C725=C1069,IF(ISBLANK('Monthly_Data'!C725)=ISBLANK(C1069),0,1),1),IF('Monthly_Data'!D725=D1069,IF(ISBLANK('Monthly_Data'!D725)=ISBLANK(D1069),0,1),1),IF('Monthly_Data'!E725=E1069,IF(ISBLANK('Monthly_Data'!E725)=ISBLANK(E1069),0,1),1),IF('Monthly_Data'!F725=F1069,IF(ISBLANK('Monthly_Data'!F725)=ISBLANK(F1069),0,1),1),IF('Monthly_Data'!G725=G1069,IF(ISBLANK('Monthly_Data'!G725)=ISBLANK(G1069),0,1),1),IF('Monthly_Data'!H725=H1069,IF(ISBLANK('Monthly_Data'!H725)=ISBLANK(H1069),0,1),1))</x:f>
        <x:v>0</x:v>
      </x:c>
    </x:row>
    <x:row r="1070" ht="23" customHeight="1">
      <x:c r="A1070" s="2" t="str">
        <x:v>62052000_MM_202512_IMPORT</x:v>
      </x:c>
      <x:c r="B1070" s="2" t="n">
        <x:v>202512</x:v>
      </x:c>
      <x:c r="C1070" s="2" t="str">
        <x:v>62052000</x:v>
      </x:c>
      <x:c r="D1070" s="2" t="str">
        <x:v>Myanmar</x:v>
      </x:c>
      <x:c r="E1070" s="2" t="n">
        <x:v>24466</x:v>
      </x:c>
      <x:c r="F1070" s="2" t="n">
        <x:v>2726</x:v>
      </x:c>
      <x:c r="G1070" s="2" t="str">
        <x:v>REVIEW</x:v>
      </x:c>
      <x:c r="H1070" s="2" t="n">
        <x:v>1</x:v>
      </x:c>
      <x:c r="I1070" s="2"/>
      <x:c r="J1070" s="2"/>
      <x:c r="K1070" s="2"/>
      <x:c r="L1070" s="2" t="n">
        <x:f>SUM(IF('Monthly_Data'!A726=A1070,IF(ISBLANK('Monthly_Data'!A726)=ISBLANK(A1070),0,1),1),IF('Monthly_Data'!B726=B1070,IF(ISBLANK('Monthly_Data'!B726)=ISBLANK(B1070),0,1),1),IF('Monthly_Data'!C726=C1070,IF(ISBLANK('Monthly_Data'!C726)=ISBLANK(C1070),0,1),1),IF('Monthly_Data'!D726=D1070,IF(ISBLANK('Monthly_Data'!D726)=ISBLANK(D1070),0,1),1),IF('Monthly_Data'!E726=E1070,IF(ISBLANK('Monthly_Data'!E726)=ISBLANK(E1070),0,1),1),IF('Monthly_Data'!F726=F1070,IF(ISBLANK('Monthly_Data'!F726)=ISBLANK(F1070),0,1),1),IF('Monthly_Data'!G726=G1070,IF(ISBLANK('Monthly_Data'!G726)=ISBLANK(G1070),0,1),1),IF('Monthly_Data'!H726=H1070,IF(ISBLANK('Monthly_Data'!H726)=ISBLANK(H1070),0,1),1))</x:f>
        <x:v>0</x:v>
      </x:c>
    </x:row>
    <x:row r="1071" ht="23" customHeight="1">
      <x:c r="A1071" s="2" t="str">
        <x:v>62052000_PK_202512_IMPORT</x:v>
      </x:c>
      <x:c r="B1071" s="2" t="n">
        <x:v>202512</x:v>
      </x:c>
      <x:c r="C1071" s="2" t="str">
        <x:v>62052000</x:v>
      </x:c>
      <x:c r="D1071" s="2" t="str">
        <x:v>Pakistan</x:v>
      </x:c>
      <x:c r="E1071" s="2" t="n">
        <x:v>60058</x:v>
      </x:c>
      <x:c r="F1071" s="2" t="n">
        <x:v>9798</x:v>
      </x:c>
      <x:c r="G1071" s="2" t="str">
        <x:v>WITHIN_BAND</x:v>
      </x:c>
      <x:c r="H1071" s="2" t="n">
        <x:v>1</x:v>
      </x:c>
      <x:c r="I1071" s="2"/>
      <x:c r="J1071" s="2"/>
      <x:c r="K1071" s="2"/>
      <x:c r="L1071" s="2" t="n">
        <x:f>SUM(IF('Monthly_Data'!A727=A1071,IF(ISBLANK('Monthly_Data'!A727)=ISBLANK(A1071),0,1),1),IF('Monthly_Data'!B727=B1071,IF(ISBLANK('Monthly_Data'!B727)=ISBLANK(B1071),0,1),1),IF('Monthly_Data'!C727=C1071,IF(ISBLANK('Monthly_Data'!C727)=ISBLANK(C1071),0,1),1),IF('Monthly_Data'!D727=D1071,IF(ISBLANK('Monthly_Data'!D727)=ISBLANK(D1071),0,1),1),IF('Monthly_Data'!E727=E1071,IF(ISBLANK('Monthly_Data'!E727)=ISBLANK(E1071),0,1),1),IF('Monthly_Data'!F727=F1071,IF(ISBLANK('Monthly_Data'!F727)=ISBLANK(F1071),0,1),1),IF('Monthly_Data'!G727=G1071,IF(ISBLANK('Monthly_Data'!G727)=ISBLANK(G1071),0,1),1),IF('Monthly_Data'!H727=H1071,IF(ISBLANK('Monthly_Data'!H727)=ISBLANK(H1071),0,1),1))</x:f>
        <x:v>0</x:v>
      </x:c>
    </x:row>
    <x:row r="1072" ht="23" customHeight="1">
      <x:c r="A1072" s="2" t="str">
        <x:v>62052000_LK_202512_IMPORT</x:v>
      </x:c>
      <x:c r="B1072" s="2" t="n">
        <x:v>202512</x:v>
      </x:c>
      <x:c r="C1072" s="2" t="str">
        <x:v>62052000</x:v>
      </x:c>
      <x:c r="D1072" s="2" t="str">
        <x:v>Sri Lanka</x:v>
      </x:c>
      <x:c r="E1072" s="2" t="n">
        <x:v>362860</x:v>
      </x:c>
      <x:c r="F1072" s="2" t="n">
        <x:v>21386</x:v>
      </x:c>
      <x:c r="G1072" s="2" t="str">
        <x:v>WITHIN_BAND</x:v>
      </x:c>
      <x:c r="H1072" s="2" t="n">
        <x:v>1</x:v>
      </x:c>
      <x:c r="I1072" s="2"/>
      <x:c r="J1072" s="2"/>
      <x:c r="K1072" s="2"/>
      <x:c r="L1072" s="2" t="n">
        <x:f>SUM(IF('Monthly_Data'!A728=A1072,IF(ISBLANK('Monthly_Data'!A728)=ISBLANK(A1072),0,1),1),IF('Monthly_Data'!B728=B1072,IF(ISBLANK('Monthly_Data'!B728)=ISBLANK(B1072),0,1),1),IF('Monthly_Data'!C728=C1072,IF(ISBLANK('Monthly_Data'!C728)=ISBLANK(C1072),0,1),1),IF('Monthly_Data'!D728=D1072,IF(ISBLANK('Monthly_Data'!D728)=ISBLANK(D1072),0,1),1),IF('Monthly_Data'!E728=E1072,IF(ISBLANK('Monthly_Data'!E728)=ISBLANK(E1072),0,1),1),IF('Monthly_Data'!F728=F1072,IF(ISBLANK('Monthly_Data'!F728)=ISBLANK(F1072),0,1),1),IF('Monthly_Data'!G728=G1072,IF(ISBLANK('Monthly_Data'!G728)=ISBLANK(G1072),0,1),1),IF('Monthly_Data'!H728=H1072,IF(ISBLANK('Monthly_Data'!H728)=ISBLANK(H1072),0,1),1))</x:f>
        <x:v>0</x:v>
      </x:c>
    </x:row>
    <x:row r="1073" ht="23" customHeight="1">
      <x:c r="A1073" s="2" t="str">
        <x:v>62052000_TR_202512_IMPORT</x:v>
      </x:c>
      <x:c r="B1073" s="2" t="n">
        <x:v>202512</x:v>
      </x:c>
      <x:c r="C1073" s="2" t="str">
        <x:v>62052000</x:v>
      </x:c>
      <x:c r="D1073" s="2" t="str">
        <x:v>Turkey</x:v>
      </x:c>
      <x:c r="E1073" s="2" t="n">
        <x:v>616316</x:v>
      </x:c>
      <x:c r="F1073" s="2" t="n">
        <x:v>15541</x:v>
      </x:c>
      <x:c r="G1073" s="2" t="str">
        <x:v>WITHIN_BAND</x:v>
      </x:c>
      <x:c r="H1073" s="2" t="n">
        <x:v>1</x:v>
      </x:c>
      <x:c r="I1073" s="2"/>
      <x:c r="J1073" s="2"/>
      <x:c r="K1073" s="2"/>
      <x:c r="L1073" s="2" t="n">
        <x:f>SUM(IF('Monthly_Data'!A729=A1073,IF(ISBLANK('Monthly_Data'!A729)=ISBLANK(A1073),0,1),1),IF('Monthly_Data'!B729=B1073,IF(ISBLANK('Monthly_Data'!B729)=ISBLANK(B1073),0,1),1),IF('Monthly_Data'!C729=C1073,IF(ISBLANK('Monthly_Data'!C729)=ISBLANK(C1073),0,1),1),IF('Monthly_Data'!D729=D1073,IF(ISBLANK('Monthly_Data'!D729)=ISBLANK(D1073),0,1),1),IF('Monthly_Data'!E729=E1073,IF(ISBLANK('Monthly_Data'!E729)=ISBLANK(E1073),0,1),1),IF('Monthly_Data'!F729=F1073,IF(ISBLANK('Monthly_Data'!F729)=ISBLANK(F1073),0,1),1),IF('Monthly_Data'!G729=G1073,IF(ISBLANK('Monthly_Data'!G729)=ISBLANK(G1073),0,1),1),IF('Monthly_Data'!H729=H1073,IF(ISBLANK('Monthly_Data'!H729)=ISBLANK(H1073),0,1),1))</x:f>
        <x:v>0</x:v>
      </x:c>
    </x:row>
    <x:row r="1074" ht="23" customHeight="1">
      <x:c r="A1074" s="2" t="str">
        <x:v>62052000_VN_202512_IMPORT</x:v>
      </x:c>
      <x:c r="B1074" s="2" t="n">
        <x:v>202512</x:v>
      </x:c>
      <x:c r="C1074" s="2" t="str">
        <x:v>62052000</x:v>
      </x:c>
      <x:c r="D1074" s="2" t="str">
        <x:v>Vietnam</x:v>
      </x:c>
      <x:c r="E1074" s="2" t="n">
        <x:v>1206091</x:v>
      </x:c>
      <x:c r="F1074" s="2" t="n">
        <x:v>46158</x:v>
      </x:c>
      <x:c r="G1074" s="2" t="str">
        <x:v>WITHIN_BAND</x:v>
      </x:c>
      <x:c r="H1074" s="2" t="n">
        <x:v>1</x:v>
      </x:c>
      <x:c r="I1074" s="2"/>
      <x:c r="J1074" s="2"/>
      <x:c r="K1074" s="2"/>
      <x:c r="L1074" s="2" t="n">
        <x:f>SUM(IF('Monthly_Data'!A730=A1074,IF(ISBLANK('Monthly_Data'!A730)=ISBLANK(A1074),0,1),1),IF('Monthly_Data'!B730=B1074,IF(ISBLANK('Monthly_Data'!B730)=ISBLANK(B1074),0,1),1),IF('Monthly_Data'!C730=C1074,IF(ISBLANK('Monthly_Data'!C730)=ISBLANK(C1074),0,1),1),IF('Monthly_Data'!D730=D1074,IF(ISBLANK('Monthly_Data'!D730)=ISBLANK(D1074),0,1),1),IF('Monthly_Data'!E730=E1074,IF(ISBLANK('Monthly_Data'!E730)=ISBLANK(E1074),0,1),1),IF('Monthly_Data'!F730=F1074,IF(ISBLANK('Monthly_Data'!F730)=ISBLANK(F1074),0,1),1),IF('Monthly_Data'!G730=G1074,IF(ISBLANK('Monthly_Data'!G730)=ISBLANK(G1074),0,1),1),IF('Monthly_Data'!H730=H1074,IF(ISBLANK('Monthly_Data'!H730)=ISBLANK(H1074),0,1),1))</x:f>
        <x:v>0</x:v>
      </x:c>
    </x:row>
    <x:row r="1075" ht="23" customHeight="1">
      <x:c r="A1075" s="2" t="str">
        <x:v>62052000_WORLD_202512_IMPORT</x:v>
      </x:c>
      <x:c r="B1075" s="2" t="n">
        <x:v>202512</x:v>
      </x:c>
      <x:c r="C1075" s="2" t="str">
        <x:v>62052000</x:v>
      </x:c>
      <x:c r="D1075" s="2" t="str">
        <x:v>World</x:v>
      </x:c>
      <x:c r="E1075" s="2" t="n">
        <x:v>19148318</x:v>
      </x:c>
      <x:c r="F1075" s="2" t="n">
        <x:v>808496</x:v>
      </x:c>
      <x:c r="G1075" s="2" t="str">
        <x:v>WITHIN_BAND</x:v>
      </x:c>
      <x:c r="H1075" s="2" t="n">
        <x:v>1</x:v>
      </x:c>
      <x:c r="I1075" s="2"/>
      <x:c r="J1075" s="2"/>
      <x:c r="K1075" s="2"/>
      <x:c r="L1075" s="2" t="n">
        <x:f>SUM(IF('Monthly_Data'!A731=A1075,IF(ISBLANK('Monthly_Data'!A731)=ISBLANK(A1075),0,1),1),IF('Monthly_Data'!B731=B1075,IF(ISBLANK('Monthly_Data'!B731)=ISBLANK(B1075),0,1),1),IF('Monthly_Data'!C731=C1075,IF(ISBLANK('Monthly_Data'!C731)=ISBLANK(C1075),0,1),1),IF('Monthly_Data'!D731=D1075,IF(ISBLANK('Monthly_Data'!D731)=ISBLANK(D1075),0,1),1),IF('Monthly_Data'!E731=E1075,IF(ISBLANK('Monthly_Data'!E731)=ISBLANK(E1075),0,1),1),IF('Monthly_Data'!F731=F1075,IF(ISBLANK('Monthly_Data'!F731)=ISBLANK(F1075),0,1),1),IF('Monthly_Data'!G731=G1075,IF(ISBLANK('Monthly_Data'!G731)=ISBLANK(G1075),0,1),1),IF('Monthly_Data'!H731=H1075,IF(ISBLANK('Monthly_Data'!H731)=ISBLANK(H1075),0,1),1))</x:f>
        <x:v>0</x:v>
      </x:c>
    </x:row>
    <x:row r="1076" ht="23" customHeight="1">
      <x:c r="A1076" s="2" t="str">
        <x:v>62052000_BD_202601_IMPORT</x:v>
      </x:c>
      <x:c r="B1076" s="2" t="n">
        <x:v>202601</x:v>
      </x:c>
      <x:c r="C1076" s="2" t="str">
        <x:v>62052000</x:v>
      </x:c>
      <x:c r="D1076" s="2" t="str">
        <x:v>Bangladesh</x:v>
      </x:c>
      <x:c r="E1076" s="2" t="n">
        <x:v>4162204</x:v>
      </x:c>
      <x:c r="F1076" s="2" t="n">
        <x:v>250802</x:v>
      </x:c>
      <x:c r="G1076" s="2" t="str">
        <x:v>WITHIN_BAND</x:v>
      </x:c>
      <x:c r="H1076" s="2" t="n">
        <x:v>1</x:v>
      </x:c>
      <x:c r="I1076" s="2"/>
      <x:c r="J1076" s="2"/>
      <x:c r="K1076" s="2"/>
      <x:c r="L1076" s="2" t="n">
        <x:f>SUM(IF('Monthly_Data'!A732=A1076,IF(ISBLANK('Monthly_Data'!A732)=ISBLANK(A1076),0,1),1),IF('Monthly_Data'!B732=B1076,IF(ISBLANK('Monthly_Data'!B732)=ISBLANK(B1076),0,1),1),IF('Monthly_Data'!C732=C1076,IF(ISBLANK('Monthly_Data'!C732)=ISBLANK(C1076),0,1),1),IF('Monthly_Data'!D732=D1076,IF(ISBLANK('Monthly_Data'!D732)=ISBLANK(D1076),0,1),1),IF('Monthly_Data'!E732=E1076,IF(ISBLANK('Monthly_Data'!E732)=ISBLANK(E1076),0,1),1),IF('Monthly_Data'!F732=F1076,IF(ISBLANK('Monthly_Data'!F732)=ISBLANK(F1076),0,1),1),IF('Monthly_Data'!G732=G1076,IF(ISBLANK('Monthly_Data'!G732)=ISBLANK(G1076),0,1),1),IF('Monthly_Data'!H732=H1076,IF(ISBLANK('Monthly_Data'!H732)=ISBLANK(H1076),0,1),1))</x:f>
        <x:v>0</x:v>
      </x:c>
    </x:row>
    <x:row r="1077" ht="23" customHeight="1">
      <x:c r="A1077" s="2" t="str">
        <x:v>62052000_KH_202601_IMPORT</x:v>
      </x:c>
      <x:c r="B1077" s="2" t="n">
        <x:v>202601</x:v>
      </x:c>
      <x:c r="C1077" s="2" t="str">
        <x:v>62052000</x:v>
      </x:c>
      <x:c r="D1077" s="2" t="str">
        <x:v>Cambodia</x:v>
      </x:c>
      <x:c r="E1077" s="2" t="n">
        <x:v>1075528</x:v>
      </x:c>
      <x:c r="F1077" s="2" t="n">
        <x:v>53207</x:v>
      </x:c>
      <x:c r="G1077" s="2" t="str">
        <x:v>WITHIN_BAND</x:v>
      </x:c>
      <x:c r="H1077" s="2" t="n">
        <x:v>1</x:v>
      </x:c>
      <x:c r="I1077" s="2"/>
      <x:c r="J1077" s="2"/>
      <x:c r="K1077" s="2"/>
      <x:c r="L1077" s="2" t="n">
        <x:f>SUM(IF('Monthly_Data'!A733=A1077,IF(ISBLANK('Monthly_Data'!A733)=ISBLANK(A1077),0,1),1),IF('Monthly_Data'!B733=B1077,IF(ISBLANK('Monthly_Data'!B733)=ISBLANK(B1077),0,1),1),IF('Monthly_Data'!C733=C1077,IF(ISBLANK('Monthly_Data'!C733)=ISBLANK(C1077),0,1),1),IF('Monthly_Data'!D733=D1077,IF(ISBLANK('Monthly_Data'!D733)=ISBLANK(D1077),0,1),1),IF('Monthly_Data'!E733=E1077,IF(ISBLANK('Monthly_Data'!E733)=ISBLANK(E1077),0,1),1),IF('Monthly_Data'!F733=F1077,IF(ISBLANK('Monthly_Data'!F733)=ISBLANK(F1077),0,1),1),IF('Monthly_Data'!G733=G1077,IF(ISBLANK('Monthly_Data'!G733)=ISBLANK(G1077),0,1),1),IF('Monthly_Data'!H733=H1077,IF(ISBLANK('Monthly_Data'!H733)=ISBLANK(H1077),0,1),1))</x:f>
        <x:v>0</x:v>
      </x:c>
    </x:row>
    <x:row r="1078" ht="23" customHeight="1">
      <x:c r="A1078" s="2" t="str">
        <x:v>62052000_CN_202601_IMPORT</x:v>
      </x:c>
      <x:c r="B1078" s="2" t="n">
        <x:v>202601</x:v>
      </x:c>
      <x:c r="C1078" s="2" t="str">
        <x:v>62052000</x:v>
      </x:c>
      <x:c r="D1078" s="2" t="str">
        <x:v>China</x:v>
      </x:c>
      <x:c r="E1078" s="2" t="n">
        <x:v>766410</x:v>
      </x:c>
      <x:c r="F1078" s="2" t="n">
        <x:v>33797</x:v>
      </x:c>
      <x:c r="G1078" s="2" t="str">
        <x:v>WITHIN_BAND</x:v>
      </x:c>
      <x:c r="H1078" s="2" t="n">
        <x:v>1</x:v>
      </x:c>
      <x:c r="I1078" s="2"/>
      <x:c r="J1078" s="2"/>
      <x:c r="K1078" s="2"/>
      <x:c r="L1078" s="2" t="n">
        <x:f>SUM(IF('Monthly_Data'!A734=A1078,IF(ISBLANK('Monthly_Data'!A734)=ISBLANK(A1078),0,1),1),IF('Monthly_Data'!B734=B1078,IF(ISBLANK('Monthly_Data'!B734)=ISBLANK(B1078),0,1),1),IF('Monthly_Data'!C734=C1078,IF(ISBLANK('Monthly_Data'!C734)=ISBLANK(C1078),0,1),1),IF('Monthly_Data'!D734=D1078,IF(ISBLANK('Monthly_Data'!D734)=ISBLANK(D1078),0,1),1),IF('Monthly_Data'!E734=E1078,IF(ISBLANK('Monthly_Data'!E734)=ISBLANK(E1078),0,1),1),IF('Monthly_Data'!F734=F1078,IF(ISBLANK('Monthly_Data'!F734)=ISBLANK(F1078),0,1),1),IF('Monthly_Data'!G734=G1078,IF(ISBLANK('Monthly_Data'!G734)=ISBLANK(G1078),0,1),1),IF('Monthly_Data'!H734=H1078,IF(ISBLANK('Monthly_Data'!H734)=ISBLANK(H1078),0,1),1))</x:f>
        <x:v>0</x:v>
      </x:c>
    </x:row>
    <x:row r="1079" ht="23" customHeight="1">
      <x:c r="A1079" s="2" t="str">
        <x:v>62052000_IN_202601_IMPORT</x:v>
      </x:c>
      <x:c r="B1079" s="2" t="n">
        <x:v>202601</x:v>
      </x:c>
      <x:c r="C1079" s="2" t="str">
        <x:v>62052000</x:v>
      </x:c>
      <x:c r="D1079" s="2" t="str">
        <x:v>India</x:v>
      </x:c>
      <x:c r="E1079" s="2" t="n">
        <x:v>3235414</x:v>
      </x:c>
      <x:c r="F1079" s="2" t="n">
        <x:v>130393</x:v>
      </x:c>
      <x:c r="G1079" s="2" t="str">
        <x:v>WITHIN_BAND</x:v>
      </x:c>
      <x:c r="H1079" s="2" t="n">
        <x:v>1</x:v>
      </x:c>
      <x:c r="I1079" s="2"/>
      <x:c r="J1079" s="2"/>
      <x:c r="K1079" s="2"/>
      <x:c r="L1079" s="2" t="n">
        <x:f>SUM(IF('Monthly_Data'!A735=A1079,IF(ISBLANK('Monthly_Data'!A735)=ISBLANK(A1079),0,1),1),IF('Monthly_Data'!B735=B1079,IF(ISBLANK('Monthly_Data'!B735)=ISBLANK(B1079),0,1),1),IF('Monthly_Data'!C735=C1079,IF(ISBLANK('Monthly_Data'!C735)=ISBLANK(C1079),0,1),1),IF('Monthly_Data'!D735=D1079,IF(ISBLANK('Monthly_Data'!D735)=ISBLANK(D1079),0,1),1),IF('Monthly_Data'!E735=E1079,IF(ISBLANK('Monthly_Data'!E735)=ISBLANK(E1079),0,1),1),IF('Monthly_Data'!F735=F1079,IF(ISBLANK('Monthly_Data'!F735)=ISBLANK(F1079),0,1),1),IF('Monthly_Data'!G735=G1079,IF(ISBLANK('Monthly_Data'!G735)=ISBLANK(G1079),0,1),1),IF('Monthly_Data'!H735=H1079,IF(ISBLANK('Monthly_Data'!H735)=ISBLANK(H1079),0,1),1))</x:f>
        <x:v>0</x:v>
      </x:c>
    </x:row>
    <x:row r="1080" ht="23" customHeight="1">
      <x:c r="A1080" s="2" t="str">
        <x:v>62052000_MA_202601_IMPORT</x:v>
      </x:c>
      <x:c r="B1080" s="2" t="n">
        <x:v>202601</x:v>
      </x:c>
      <x:c r="C1080" s="2" t="str">
        <x:v>62052000</x:v>
      </x:c>
      <x:c r="D1080" s="2" t="str">
        <x:v>Morocco</x:v>
      </x:c>
      <x:c r="E1080" s="2" t="n">
        <x:v>90236</x:v>
      </x:c>
      <x:c r="F1080" s="2" t="n">
        <x:v>2455</x:v>
      </x:c>
      <x:c r="G1080" s="2" t="str">
        <x:v>WITHIN_BAND</x:v>
      </x:c>
      <x:c r="H1080" s="2" t="n">
        <x:v>1</x:v>
      </x:c>
      <x:c r="I1080" s="2"/>
      <x:c r="J1080" s="2"/>
      <x:c r="K1080" s="2"/>
      <x:c r="L1080" s="2" t="n">
        <x:f>SUM(IF('Monthly_Data'!A736=A1080,IF(ISBLANK('Monthly_Data'!A736)=ISBLANK(A1080),0,1),1),IF('Monthly_Data'!B736=B1080,IF(ISBLANK('Monthly_Data'!B736)=ISBLANK(B1080),0,1),1),IF('Monthly_Data'!C736=C1080,IF(ISBLANK('Monthly_Data'!C736)=ISBLANK(C1080),0,1),1),IF('Monthly_Data'!D736=D1080,IF(ISBLANK('Monthly_Data'!D736)=ISBLANK(D1080),0,1),1),IF('Monthly_Data'!E736=E1080,IF(ISBLANK('Monthly_Data'!E736)=ISBLANK(E1080),0,1),1),IF('Monthly_Data'!F736=F1080,IF(ISBLANK('Monthly_Data'!F736)=ISBLANK(F1080),0,1),1),IF('Monthly_Data'!G736=G1080,IF(ISBLANK('Monthly_Data'!G736)=ISBLANK(G1080),0,1),1),IF('Monthly_Data'!H736=H1080,IF(ISBLANK('Monthly_Data'!H736)=ISBLANK(H1080),0,1),1))</x:f>
        <x:v>0</x:v>
      </x:c>
    </x:row>
    <x:row r="1081" ht="23" customHeight="1">
      <x:c r="A1081" s="2" t="str">
        <x:v>62052000_MM_202601_IMPORT</x:v>
      </x:c>
      <x:c r="B1081" s="2" t="n">
        <x:v>202601</x:v>
      </x:c>
      <x:c r="C1081" s="2" t="str">
        <x:v>62052000</x:v>
      </x:c>
      <x:c r="D1081" s="2" t="str">
        <x:v>Myanmar</x:v>
      </x:c>
      <x:c r="E1081" s="2" t="n">
        <x:v>8474</x:v>
      </x:c>
      <x:c r="F1081" s="2" t="n">
        <x:v>1016</x:v>
      </x:c>
      <x:c r="G1081" s="2" t="str">
        <x:v>REVIEW</x:v>
      </x:c>
      <x:c r="H1081" s="2" t="n">
        <x:v>1</x:v>
      </x:c>
      <x:c r="I1081" s="2"/>
      <x:c r="J1081" s="2"/>
      <x:c r="K1081" s="2"/>
      <x:c r="L1081" s="2" t="n">
        <x:f>SUM(IF('Monthly_Data'!A737=A1081,IF(ISBLANK('Monthly_Data'!A737)=ISBLANK(A1081),0,1),1),IF('Monthly_Data'!B737=B1081,IF(ISBLANK('Monthly_Data'!B737)=ISBLANK(B1081),0,1),1),IF('Monthly_Data'!C737=C1081,IF(ISBLANK('Monthly_Data'!C737)=ISBLANK(C1081),0,1),1),IF('Monthly_Data'!D737=D1081,IF(ISBLANK('Monthly_Data'!D737)=ISBLANK(D1081),0,1),1),IF('Monthly_Data'!E737=E1081,IF(ISBLANK('Monthly_Data'!E737)=ISBLANK(E1081),0,1),1),IF('Monthly_Data'!F737=F1081,IF(ISBLANK('Monthly_Data'!F737)=ISBLANK(F1081),0,1),1),IF('Monthly_Data'!G737=G1081,IF(ISBLANK('Monthly_Data'!G737)=ISBLANK(G1081),0,1),1),IF('Monthly_Data'!H737=H1081,IF(ISBLANK('Monthly_Data'!H737)=ISBLANK(H1081),0,1),1))</x:f>
        <x:v>0</x:v>
      </x:c>
    </x:row>
    <x:row r="1082" ht="23" customHeight="1">
      <x:c r="A1082" s="2" t="str">
        <x:v>62052000_PK_202601_IMPORT</x:v>
      </x:c>
      <x:c r="B1082" s="2" t="n">
        <x:v>202601</x:v>
      </x:c>
      <x:c r="C1082" s="2" t="str">
        <x:v>62052000</x:v>
      </x:c>
      <x:c r="D1082" s="2" t="str">
        <x:v>Pakistan</x:v>
      </x:c>
      <x:c r="E1082" s="2" t="n">
        <x:v>118887</x:v>
      </x:c>
      <x:c r="F1082" s="2" t="n">
        <x:v>8511</x:v>
      </x:c>
      <x:c r="G1082" s="2" t="str">
        <x:v>WITHIN_BAND</x:v>
      </x:c>
      <x:c r="H1082" s="2" t="n">
        <x:v>1</x:v>
      </x:c>
      <x:c r="I1082" s="2"/>
      <x:c r="J1082" s="2"/>
      <x:c r="K1082" s="2"/>
      <x:c r="L1082" s="2" t="n">
        <x:f>SUM(IF('Monthly_Data'!A738=A1082,IF(ISBLANK('Monthly_Data'!A738)=ISBLANK(A1082),0,1),1),IF('Monthly_Data'!B738=B1082,IF(ISBLANK('Monthly_Data'!B738)=ISBLANK(B1082),0,1),1),IF('Monthly_Data'!C738=C1082,IF(ISBLANK('Monthly_Data'!C738)=ISBLANK(C1082),0,1),1),IF('Monthly_Data'!D738=D1082,IF(ISBLANK('Monthly_Data'!D738)=ISBLANK(D1082),0,1),1),IF('Monthly_Data'!E738=E1082,IF(ISBLANK('Monthly_Data'!E738)=ISBLANK(E1082),0,1),1),IF('Monthly_Data'!F738=F1082,IF(ISBLANK('Monthly_Data'!F738)=ISBLANK(F1082),0,1),1),IF('Monthly_Data'!G738=G1082,IF(ISBLANK('Monthly_Data'!G738)=ISBLANK(G1082),0,1),1),IF('Monthly_Data'!H738=H1082,IF(ISBLANK('Monthly_Data'!H738)=ISBLANK(H1082),0,1),1))</x:f>
        <x:v>0</x:v>
      </x:c>
    </x:row>
    <x:row r="1083" ht="23" customHeight="1">
      <x:c r="A1083" s="2" t="str">
        <x:v>62052000_LK_202601_IMPORT</x:v>
      </x:c>
      <x:c r="B1083" s="2" t="n">
        <x:v>202601</x:v>
      </x:c>
      <x:c r="C1083" s="2" t="str">
        <x:v>62052000</x:v>
      </x:c>
      <x:c r="D1083" s="2" t="str">
        <x:v>Sri Lanka</x:v>
      </x:c>
      <x:c r="E1083" s="2" t="n">
        <x:v>263759</x:v>
      </x:c>
      <x:c r="F1083" s="2" t="n">
        <x:v>13563</x:v>
      </x:c>
      <x:c r="G1083" s="2" t="str">
        <x:v>WITHIN_BAND</x:v>
      </x:c>
      <x:c r="H1083" s="2" t="n">
        <x:v>1</x:v>
      </x:c>
      <x:c r="I1083" s="2"/>
      <x:c r="J1083" s="2"/>
      <x:c r="K1083" s="2"/>
      <x:c r="L1083" s="2" t="n">
        <x:f>SUM(IF('Monthly_Data'!A739=A1083,IF(ISBLANK('Monthly_Data'!A739)=ISBLANK(A1083),0,1),1),IF('Monthly_Data'!B739=B1083,IF(ISBLANK('Monthly_Data'!B739)=ISBLANK(B1083),0,1),1),IF('Monthly_Data'!C739=C1083,IF(ISBLANK('Monthly_Data'!C739)=ISBLANK(C1083),0,1),1),IF('Monthly_Data'!D739=D1083,IF(ISBLANK('Monthly_Data'!D739)=ISBLANK(D1083),0,1),1),IF('Monthly_Data'!E739=E1083,IF(ISBLANK('Monthly_Data'!E739)=ISBLANK(E1083),0,1),1),IF('Monthly_Data'!F739=F1083,IF(ISBLANK('Monthly_Data'!F739)=ISBLANK(F1083),0,1),1),IF('Monthly_Data'!G739=G1083,IF(ISBLANK('Monthly_Data'!G739)=ISBLANK(G1083),0,1),1),IF('Monthly_Data'!H739=H1083,IF(ISBLANK('Monthly_Data'!H739)=ISBLANK(H1083),0,1),1))</x:f>
        <x:v>0</x:v>
      </x:c>
    </x:row>
    <x:row r="1084" ht="23" customHeight="1">
      <x:c r="A1084" s="2" t="str">
        <x:v>62052000_TR_202601_IMPORT</x:v>
      </x:c>
      <x:c r="B1084" s="2" t="n">
        <x:v>202601</x:v>
      </x:c>
      <x:c r="C1084" s="2" t="str">
        <x:v>62052000</x:v>
      </x:c>
      <x:c r="D1084" s="2" t="str">
        <x:v>Turkey</x:v>
      </x:c>
      <x:c r="E1084" s="2" t="n">
        <x:v>1117606</x:v>
      </x:c>
      <x:c r="F1084" s="2" t="n">
        <x:v>28291</x:v>
      </x:c>
      <x:c r="G1084" s="2" t="str">
        <x:v>WITHIN_BAND</x:v>
      </x:c>
      <x:c r="H1084" s="2" t="n">
        <x:v>1</x:v>
      </x:c>
      <x:c r="I1084" s="2"/>
      <x:c r="J1084" s="2"/>
      <x:c r="K1084" s="2"/>
      <x:c r="L1084" s="2" t="n">
        <x:f>SUM(IF('Monthly_Data'!A740=A1084,IF(ISBLANK('Monthly_Data'!A740)=ISBLANK(A1084),0,1),1),IF('Monthly_Data'!B740=B1084,IF(ISBLANK('Monthly_Data'!B740)=ISBLANK(B1084),0,1),1),IF('Monthly_Data'!C740=C1084,IF(ISBLANK('Monthly_Data'!C740)=ISBLANK(C1084),0,1),1),IF('Monthly_Data'!D740=D1084,IF(ISBLANK('Monthly_Data'!D740)=ISBLANK(D1084),0,1),1),IF('Monthly_Data'!E740=E1084,IF(ISBLANK('Monthly_Data'!E740)=ISBLANK(E1084),0,1),1),IF('Monthly_Data'!F740=F1084,IF(ISBLANK('Monthly_Data'!F740)=ISBLANK(F1084),0,1),1),IF('Monthly_Data'!G740=G1084,IF(ISBLANK('Monthly_Data'!G740)=ISBLANK(G1084),0,1),1),IF('Monthly_Data'!H740=H1084,IF(ISBLANK('Monthly_Data'!H740)=ISBLANK(H1084),0,1),1))</x:f>
        <x:v>0</x:v>
      </x:c>
    </x:row>
    <x:row r="1085" ht="23" customHeight="1">
      <x:c r="A1085" s="2" t="str">
        <x:v>62052000_VN_202601_IMPORT</x:v>
      </x:c>
      <x:c r="B1085" s="2" t="n">
        <x:v>202601</x:v>
      </x:c>
      <x:c r="C1085" s="2" t="str">
        <x:v>62052000</x:v>
      </x:c>
      <x:c r="D1085" s="2" t="str">
        <x:v>Vietnam</x:v>
      </x:c>
      <x:c r="E1085" s="2" t="n">
        <x:v>1188753</x:v>
      </x:c>
      <x:c r="F1085" s="2" t="n">
        <x:v>40326</x:v>
      </x:c>
      <x:c r="G1085" s="2" t="str">
        <x:v>WITHIN_BAND</x:v>
      </x:c>
      <x:c r="H1085" s="2" t="n">
        <x:v>1</x:v>
      </x:c>
      <x:c r="I1085" s="2"/>
      <x:c r="J1085" s="2"/>
      <x:c r="K1085" s="2"/>
      <x:c r="L1085" s="2" t="n">
        <x:f>SUM(IF('Monthly_Data'!A741=A1085,IF(ISBLANK('Monthly_Data'!A741)=ISBLANK(A1085),0,1),1),IF('Monthly_Data'!B741=B1085,IF(ISBLANK('Monthly_Data'!B741)=ISBLANK(B1085),0,1),1),IF('Monthly_Data'!C741=C1085,IF(ISBLANK('Monthly_Data'!C741)=ISBLANK(C1085),0,1),1),IF('Monthly_Data'!D741=D1085,IF(ISBLANK('Monthly_Data'!D741)=ISBLANK(D1085),0,1),1),IF('Monthly_Data'!E741=E1085,IF(ISBLANK('Monthly_Data'!E741)=ISBLANK(E1085),0,1),1),IF('Monthly_Data'!F741=F1085,IF(ISBLANK('Monthly_Data'!F741)=ISBLANK(F1085),0,1),1),IF('Monthly_Data'!G741=G1085,IF(ISBLANK('Monthly_Data'!G741)=ISBLANK(G1085),0,1),1),IF('Monthly_Data'!H741=H1085,IF(ISBLANK('Monthly_Data'!H741)=ISBLANK(H1085),0,1),1))</x:f>
        <x:v>0</x:v>
      </x:c>
    </x:row>
    <x:row r="1086" ht="23" customHeight="1">
      <x:c r="A1086" s="2" t="str">
        <x:v>62052000_WORLD_202601_IMPORT</x:v>
      </x:c>
      <x:c r="B1086" s="2" t="n">
        <x:v>202601</x:v>
      </x:c>
      <x:c r="C1086" s="2" t="str">
        <x:v>62052000</x:v>
      </x:c>
      <x:c r="D1086" s="2" t="str">
        <x:v>World</x:v>
      </x:c>
      <x:c r="E1086" s="2" t="n">
        <x:v>18955486</x:v>
      </x:c>
      <x:c r="F1086" s="2" t="n">
        <x:v>678833</x:v>
      </x:c>
      <x:c r="G1086" s="2" t="str">
        <x:v>WITHIN_BAND</x:v>
      </x:c>
      <x:c r="H1086" s="2" t="n">
        <x:v>1</x:v>
      </x:c>
      <x:c r="I1086" s="2"/>
      <x:c r="J1086" s="2"/>
      <x:c r="K1086" s="2"/>
      <x:c r="L1086" s="2" t="n">
        <x:f>SUM(IF('Monthly_Data'!A742=A1086,IF(ISBLANK('Monthly_Data'!A742)=ISBLANK(A1086),0,1),1),IF('Monthly_Data'!B742=B1086,IF(ISBLANK('Monthly_Data'!B742)=ISBLANK(B1086),0,1),1),IF('Monthly_Data'!C742=C1086,IF(ISBLANK('Monthly_Data'!C742)=ISBLANK(C1086),0,1),1),IF('Monthly_Data'!D742=D1086,IF(ISBLANK('Monthly_Data'!D742)=ISBLANK(D1086),0,1),1),IF('Monthly_Data'!E742=E1086,IF(ISBLANK('Monthly_Data'!E742)=ISBLANK(E1086),0,1),1),IF('Monthly_Data'!F742=F1086,IF(ISBLANK('Monthly_Data'!F742)=ISBLANK(F1086),0,1),1),IF('Monthly_Data'!G742=G1086,IF(ISBLANK('Monthly_Data'!G742)=ISBLANK(G1086),0,1),1),IF('Monthly_Data'!H742=H1086,IF(ISBLANK('Monthly_Data'!H742)=ISBLANK(H1086),0,1),1))</x:f>
        <x:v>0</x:v>
      </x:c>
    </x:row>
    <x:row r="1087" ht="23" customHeight="1">
      <x:c r="A1087" s="2" t="str">
        <x:v>62052000_BD_202602_IMPORT</x:v>
      </x:c>
      <x:c r="B1087" s="2" t="n">
        <x:v>202602</x:v>
      </x:c>
      <x:c r="C1087" s="2" t="str">
        <x:v>62052000</x:v>
      </x:c>
      <x:c r="D1087" s="2" t="str">
        <x:v>Bangladesh</x:v>
      </x:c>
      <x:c r="E1087" s="2" t="n">
        <x:v>6426648</x:v>
      </x:c>
      <x:c r="F1087" s="2" t="n">
        <x:v>373145</x:v>
      </x:c>
      <x:c r="G1087" s="2" t="str">
        <x:v>WITHIN_BAND</x:v>
      </x:c>
      <x:c r="H1087" s="2" t="n">
        <x:v>1</x:v>
      </x:c>
      <x:c r="I1087" s="2"/>
      <x:c r="J1087" s="2"/>
      <x:c r="K1087" s="2"/>
      <x:c r="L1087" s="2" t="n">
        <x:f>SUM(IF('Monthly_Data'!A743=A1087,IF(ISBLANK('Monthly_Data'!A743)=ISBLANK(A1087),0,1),1),IF('Monthly_Data'!B743=B1087,IF(ISBLANK('Monthly_Data'!B743)=ISBLANK(B1087),0,1),1),IF('Monthly_Data'!C743=C1087,IF(ISBLANK('Monthly_Data'!C743)=ISBLANK(C1087),0,1),1),IF('Monthly_Data'!D743=D1087,IF(ISBLANK('Monthly_Data'!D743)=ISBLANK(D1087),0,1),1),IF('Monthly_Data'!E743=E1087,IF(ISBLANK('Monthly_Data'!E743)=ISBLANK(E1087),0,1),1),IF('Monthly_Data'!F743=F1087,IF(ISBLANK('Monthly_Data'!F743)=ISBLANK(F1087),0,1),1),IF('Monthly_Data'!G743=G1087,IF(ISBLANK('Monthly_Data'!G743)=ISBLANK(G1087),0,1),1),IF('Monthly_Data'!H743=H1087,IF(ISBLANK('Monthly_Data'!H743)=ISBLANK(H1087),0,1),1))</x:f>
        <x:v>0</x:v>
      </x:c>
    </x:row>
    <x:row r="1088" ht="23" customHeight="1">
      <x:c r="A1088" s="2" t="str">
        <x:v>62052000_KH_202602_IMPORT</x:v>
      </x:c>
      <x:c r="B1088" s="2" t="n">
        <x:v>202602</x:v>
      </x:c>
      <x:c r="C1088" s="2" t="str">
        <x:v>62052000</x:v>
      </x:c>
      <x:c r="D1088" s="2" t="str">
        <x:v>Cambodia</x:v>
      </x:c>
      <x:c r="E1088" s="2" t="n">
        <x:v>1114957</x:v>
      </x:c>
      <x:c r="F1088" s="2" t="n">
        <x:v>54447</x:v>
      </x:c>
      <x:c r="G1088" s="2" t="str">
        <x:v>WITHIN_BAND</x:v>
      </x:c>
      <x:c r="H1088" s="2" t="n">
        <x:v>1</x:v>
      </x:c>
      <x:c r="I1088" s="2"/>
      <x:c r="J1088" s="2"/>
      <x:c r="K1088" s="2"/>
      <x:c r="L1088" s="2" t="n">
        <x:f>SUM(IF('Monthly_Data'!A744=A1088,IF(ISBLANK('Monthly_Data'!A744)=ISBLANK(A1088),0,1),1),IF('Monthly_Data'!B744=B1088,IF(ISBLANK('Monthly_Data'!B744)=ISBLANK(B1088),0,1),1),IF('Monthly_Data'!C744=C1088,IF(ISBLANK('Monthly_Data'!C744)=ISBLANK(C1088),0,1),1),IF('Monthly_Data'!D744=D1088,IF(ISBLANK('Monthly_Data'!D744)=ISBLANK(D1088),0,1),1),IF('Monthly_Data'!E744=E1088,IF(ISBLANK('Monthly_Data'!E744)=ISBLANK(E1088),0,1),1),IF('Monthly_Data'!F744=F1088,IF(ISBLANK('Monthly_Data'!F744)=ISBLANK(F1088),0,1),1),IF('Monthly_Data'!G744=G1088,IF(ISBLANK('Monthly_Data'!G744)=ISBLANK(G1088),0,1),1),IF('Monthly_Data'!H744=H1088,IF(ISBLANK('Monthly_Data'!H744)=ISBLANK(H1088),0,1),1))</x:f>
        <x:v>0</x:v>
      </x:c>
    </x:row>
    <x:row r="1089" ht="23" customHeight="1">
      <x:c r="A1089" s="2" t="str">
        <x:v>62052000_CN_202602_IMPORT</x:v>
      </x:c>
      <x:c r="B1089" s="2" t="n">
        <x:v>202602</x:v>
      </x:c>
      <x:c r="C1089" s="2" t="str">
        <x:v>62052000</x:v>
      </x:c>
      <x:c r="D1089" s="2" t="str">
        <x:v>China</x:v>
      </x:c>
      <x:c r="E1089" s="2" t="n">
        <x:v>1102656</x:v>
      </x:c>
      <x:c r="F1089" s="2" t="n">
        <x:v>46879</x:v>
      </x:c>
      <x:c r="G1089" s="2" t="str">
        <x:v>WITHIN_BAND</x:v>
      </x:c>
      <x:c r="H1089" s="2" t="n">
        <x:v>1</x:v>
      </x:c>
      <x:c r="I1089" s="2"/>
      <x:c r="J1089" s="2"/>
      <x:c r="K1089" s="2"/>
      <x:c r="L1089" s="2" t="n">
        <x:f>SUM(IF('Monthly_Data'!A745=A1089,IF(ISBLANK('Monthly_Data'!A745)=ISBLANK(A1089),0,1),1),IF('Monthly_Data'!B745=B1089,IF(ISBLANK('Monthly_Data'!B745)=ISBLANK(B1089),0,1),1),IF('Monthly_Data'!C745=C1089,IF(ISBLANK('Monthly_Data'!C745)=ISBLANK(C1089),0,1),1),IF('Monthly_Data'!D745=D1089,IF(ISBLANK('Monthly_Data'!D745)=ISBLANK(D1089),0,1),1),IF('Monthly_Data'!E745=E1089,IF(ISBLANK('Monthly_Data'!E745)=ISBLANK(E1089),0,1),1),IF('Monthly_Data'!F745=F1089,IF(ISBLANK('Monthly_Data'!F745)=ISBLANK(F1089),0,1),1),IF('Monthly_Data'!G745=G1089,IF(ISBLANK('Monthly_Data'!G745)=ISBLANK(G1089),0,1),1),IF('Monthly_Data'!H745=H1089,IF(ISBLANK('Monthly_Data'!H745)=ISBLANK(H1089),0,1),1))</x:f>
        <x:v>0</x:v>
      </x:c>
    </x:row>
    <x:row r="1090" ht="23" customHeight="1">
      <x:c r="A1090" s="2" t="str">
        <x:v>62052000_IN_202602_IMPORT</x:v>
      </x:c>
      <x:c r="B1090" s="2" t="n">
        <x:v>202602</x:v>
      </x:c>
      <x:c r="C1090" s="2" t="str">
        <x:v>62052000</x:v>
      </x:c>
      <x:c r="D1090" s="2" t="str">
        <x:v>India</x:v>
      </x:c>
      <x:c r="E1090" s="2" t="n">
        <x:v>3055628</x:v>
      </x:c>
      <x:c r="F1090" s="2" t="n">
        <x:v>138365</x:v>
      </x:c>
      <x:c r="G1090" s="2" t="str">
        <x:v>WITHIN_BAND</x:v>
      </x:c>
      <x:c r="H1090" s="2" t="n">
        <x:v>1</x:v>
      </x:c>
      <x:c r="I1090" s="2"/>
      <x:c r="J1090" s="2"/>
      <x:c r="K1090" s="2"/>
      <x:c r="L1090" s="2" t="n">
        <x:f>SUM(IF('Monthly_Data'!A746=A1090,IF(ISBLANK('Monthly_Data'!A746)=ISBLANK(A1090),0,1),1),IF('Monthly_Data'!B746=B1090,IF(ISBLANK('Monthly_Data'!B746)=ISBLANK(B1090),0,1),1),IF('Monthly_Data'!C746=C1090,IF(ISBLANK('Monthly_Data'!C746)=ISBLANK(C1090),0,1),1),IF('Monthly_Data'!D746=D1090,IF(ISBLANK('Monthly_Data'!D746)=ISBLANK(D1090),0,1),1),IF('Monthly_Data'!E746=E1090,IF(ISBLANK('Monthly_Data'!E746)=ISBLANK(E1090),0,1),1),IF('Monthly_Data'!F746=F1090,IF(ISBLANK('Monthly_Data'!F746)=ISBLANK(F1090),0,1),1),IF('Monthly_Data'!G746=G1090,IF(ISBLANK('Monthly_Data'!G746)=ISBLANK(G1090),0,1),1),IF('Monthly_Data'!H746=H1090,IF(ISBLANK('Monthly_Data'!H746)=ISBLANK(H1090),0,1),1))</x:f>
        <x:v>0</x:v>
      </x:c>
    </x:row>
    <x:row r="1091" ht="23" customHeight="1">
      <x:c r="A1091" s="2" t="str">
        <x:v>62052000_MA_202602_IMPORT</x:v>
      </x:c>
      <x:c r="B1091" s="2" t="n">
        <x:v>202602</x:v>
      </x:c>
      <x:c r="C1091" s="2" t="str">
        <x:v>62052000</x:v>
      </x:c>
      <x:c r="D1091" s="2" t="str">
        <x:v>Morocco</x:v>
      </x:c>
      <x:c r="E1091" s="2" t="n">
        <x:v>63732</x:v>
      </x:c>
      <x:c r="F1091" s="2" t="n">
        <x:v>1819</x:v>
      </x:c>
      <x:c r="G1091" s="2" t="str">
        <x:v>WITHIN_BAND</x:v>
      </x:c>
      <x:c r="H1091" s="2" t="n">
        <x:v>1</x:v>
      </x:c>
      <x:c r="I1091" s="2"/>
      <x:c r="J1091" s="2"/>
      <x:c r="K1091" s="2"/>
      <x:c r="L1091" s="2" t="n">
        <x:f>SUM(IF('Monthly_Data'!A747=A1091,IF(ISBLANK('Monthly_Data'!A747)=ISBLANK(A1091),0,1),1),IF('Monthly_Data'!B747=B1091,IF(ISBLANK('Monthly_Data'!B747)=ISBLANK(B1091),0,1),1),IF('Monthly_Data'!C747=C1091,IF(ISBLANK('Monthly_Data'!C747)=ISBLANK(C1091),0,1),1),IF('Monthly_Data'!D747=D1091,IF(ISBLANK('Monthly_Data'!D747)=ISBLANK(D1091),0,1),1),IF('Monthly_Data'!E747=E1091,IF(ISBLANK('Monthly_Data'!E747)=ISBLANK(E1091),0,1),1),IF('Monthly_Data'!F747=F1091,IF(ISBLANK('Monthly_Data'!F747)=ISBLANK(F1091),0,1),1),IF('Monthly_Data'!G747=G1091,IF(ISBLANK('Monthly_Data'!G747)=ISBLANK(G1091),0,1),1),IF('Monthly_Data'!H747=H1091,IF(ISBLANK('Monthly_Data'!H747)=ISBLANK(H1091),0,1),1))</x:f>
        <x:v>0</x:v>
      </x:c>
    </x:row>
    <x:row r="1092" ht="23" customHeight="1">
      <x:c r="A1092" s="2" t="str">
        <x:v>62052000_MM_202602_IMPORT</x:v>
      </x:c>
      <x:c r="B1092" s="2" t="n">
        <x:v>202602</x:v>
      </x:c>
      <x:c r="C1092" s="2" t="str">
        <x:v>62052000</x:v>
      </x:c>
      <x:c r="D1092" s="2" t="str">
        <x:v>Myanmar</x:v>
      </x:c>
      <x:c r="E1092" s="2" t="n">
        <x:v>72733</x:v>
      </x:c>
      <x:c r="F1092" s="2" t="n">
        <x:v>3710</x:v>
      </x:c>
      <x:c r="G1092" s="2" t="str">
        <x:v>WITHIN_BAND</x:v>
      </x:c>
      <x:c r="H1092" s="2" t="n">
        <x:v>1</x:v>
      </x:c>
      <x:c r="I1092" s="2"/>
      <x:c r="J1092" s="2"/>
      <x:c r="K1092" s="2"/>
      <x:c r="L1092" s="2" t="n">
        <x:f>SUM(IF('Monthly_Data'!A748=A1092,IF(ISBLANK('Monthly_Data'!A748)=ISBLANK(A1092),0,1),1),IF('Monthly_Data'!B748=B1092,IF(ISBLANK('Monthly_Data'!B748)=ISBLANK(B1092),0,1),1),IF('Monthly_Data'!C748=C1092,IF(ISBLANK('Monthly_Data'!C748)=ISBLANK(C1092),0,1),1),IF('Monthly_Data'!D748=D1092,IF(ISBLANK('Monthly_Data'!D748)=ISBLANK(D1092),0,1),1),IF('Monthly_Data'!E748=E1092,IF(ISBLANK('Monthly_Data'!E748)=ISBLANK(E1092),0,1),1),IF('Monthly_Data'!F748=F1092,IF(ISBLANK('Monthly_Data'!F748)=ISBLANK(F1092),0,1),1),IF('Monthly_Data'!G748=G1092,IF(ISBLANK('Monthly_Data'!G748)=ISBLANK(G1092),0,1),1),IF('Monthly_Data'!H748=H1092,IF(ISBLANK('Monthly_Data'!H748)=ISBLANK(H1092),0,1),1))</x:f>
        <x:v>0</x:v>
      </x:c>
    </x:row>
    <x:row r="1093" ht="23" customHeight="1">
      <x:c r="A1093" s="2" t="str">
        <x:v>62052000_PK_202602_IMPORT</x:v>
      </x:c>
      <x:c r="B1093" s="2" t="n">
        <x:v>202602</x:v>
      </x:c>
      <x:c r="C1093" s="2" t="str">
        <x:v>62052000</x:v>
      </x:c>
      <x:c r="D1093" s="2" t="str">
        <x:v>Pakistan</x:v>
      </x:c>
      <x:c r="E1093" s="2" t="n">
        <x:v>55286</x:v>
      </x:c>
      <x:c r="F1093" s="2" t="n">
        <x:v>4655</x:v>
      </x:c>
      <x:c r="G1093" s="2" t="str">
        <x:v>WITHIN_BAND</x:v>
      </x:c>
      <x:c r="H1093" s="2" t="n">
        <x:v>1</x:v>
      </x:c>
      <x:c r="I1093" s="2"/>
      <x:c r="J1093" s="2"/>
      <x:c r="K1093" s="2"/>
      <x:c r="L1093" s="2" t="n">
        <x:f>SUM(IF('Monthly_Data'!A749=A1093,IF(ISBLANK('Monthly_Data'!A749)=ISBLANK(A1093),0,1),1),IF('Monthly_Data'!B749=B1093,IF(ISBLANK('Monthly_Data'!B749)=ISBLANK(B1093),0,1),1),IF('Monthly_Data'!C749=C1093,IF(ISBLANK('Monthly_Data'!C749)=ISBLANK(C1093),0,1),1),IF('Monthly_Data'!D749=D1093,IF(ISBLANK('Monthly_Data'!D749)=ISBLANK(D1093),0,1),1),IF('Monthly_Data'!E749=E1093,IF(ISBLANK('Monthly_Data'!E749)=ISBLANK(E1093),0,1),1),IF('Monthly_Data'!F749=F1093,IF(ISBLANK('Monthly_Data'!F749)=ISBLANK(F1093),0,1),1),IF('Monthly_Data'!G749=G1093,IF(ISBLANK('Monthly_Data'!G749)=ISBLANK(G1093),0,1),1),IF('Monthly_Data'!H749=H1093,IF(ISBLANK('Monthly_Data'!H749)=ISBLANK(H1093),0,1),1))</x:f>
        <x:v>0</x:v>
      </x:c>
    </x:row>
    <x:row r="1094" ht="23" customHeight="1">
      <x:c r="A1094" s="2" t="str">
        <x:v>62052000_LK_202602_IMPORT</x:v>
      </x:c>
      <x:c r="B1094" s="2" t="n">
        <x:v>202602</x:v>
      </x:c>
      <x:c r="C1094" s="2" t="str">
        <x:v>62052000</x:v>
      </x:c>
      <x:c r="D1094" s="2" t="str">
        <x:v>Sri Lanka</x:v>
      </x:c>
      <x:c r="E1094" s="2" t="n">
        <x:v>372800</x:v>
      </x:c>
      <x:c r="F1094" s="2" t="n">
        <x:v>15552</x:v>
      </x:c>
      <x:c r="G1094" s="2" t="str">
        <x:v>WITHIN_BAND</x:v>
      </x:c>
      <x:c r="H1094" s="2" t="n">
        <x:v>1</x:v>
      </x:c>
      <x:c r="I1094" s="2"/>
      <x:c r="J1094" s="2"/>
      <x:c r="K1094" s="2"/>
      <x:c r="L1094" s="2" t="n">
        <x:f>SUM(IF('Monthly_Data'!A750=A1094,IF(ISBLANK('Monthly_Data'!A750)=ISBLANK(A1094),0,1),1),IF('Monthly_Data'!B750=B1094,IF(ISBLANK('Monthly_Data'!B750)=ISBLANK(B1094),0,1),1),IF('Monthly_Data'!C750=C1094,IF(ISBLANK('Monthly_Data'!C750)=ISBLANK(C1094),0,1),1),IF('Monthly_Data'!D750=D1094,IF(ISBLANK('Monthly_Data'!D750)=ISBLANK(D1094),0,1),1),IF('Monthly_Data'!E750=E1094,IF(ISBLANK('Monthly_Data'!E750)=ISBLANK(E1094),0,1),1),IF('Monthly_Data'!F750=F1094,IF(ISBLANK('Monthly_Data'!F750)=ISBLANK(F1094),0,1),1),IF('Monthly_Data'!G750=G1094,IF(ISBLANK('Monthly_Data'!G750)=ISBLANK(G1094),0,1),1),IF('Monthly_Data'!H750=H1094,IF(ISBLANK('Monthly_Data'!H750)=ISBLANK(H1094),0,1),1))</x:f>
        <x:v>0</x:v>
      </x:c>
    </x:row>
    <x:row r="1095" ht="23" customHeight="1">
      <x:c r="A1095" s="2" t="str">
        <x:v>62052000_TR_202602_IMPORT</x:v>
      </x:c>
      <x:c r="B1095" s="2" t="n">
        <x:v>202602</x:v>
      </x:c>
      <x:c r="C1095" s="2" t="str">
        <x:v>62052000</x:v>
      </x:c>
      <x:c r="D1095" s="2" t="str">
        <x:v>Turkey</x:v>
      </x:c>
      <x:c r="E1095" s="2" t="n">
        <x:v>907564</x:v>
      </x:c>
      <x:c r="F1095" s="2" t="n">
        <x:v>23374</x:v>
      </x:c>
      <x:c r="G1095" s="2" t="str">
        <x:v>WITHIN_BAND</x:v>
      </x:c>
      <x:c r="H1095" s="2" t="n">
        <x:v>1</x:v>
      </x:c>
      <x:c r="I1095" s="2"/>
      <x:c r="J1095" s="2"/>
      <x:c r="K1095" s="2"/>
      <x:c r="L1095" s="2" t="n">
        <x:f>SUM(IF('Monthly_Data'!A751=A1095,IF(ISBLANK('Monthly_Data'!A751)=ISBLANK(A1095),0,1),1),IF('Monthly_Data'!B751=B1095,IF(ISBLANK('Monthly_Data'!B751)=ISBLANK(B1095),0,1),1),IF('Monthly_Data'!C751=C1095,IF(ISBLANK('Monthly_Data'!C751)=ISBLANK(C1095),0,1),1),IF('Monthly_Data'!D751=D1095,IF(ISBLANK('Monthly_Data'!D751)=ISBLANK(D1095),0,1),1),IF('Monthly_Data'!E751=E1095,IF(ISBLANK('Monthly_Data'!E751)=ISBLANK(E1095),0,1),1),IF('Monthly_Data'!F751=F1095,IF(ISBLANK('Monthly_Data'!F751)=ISBLANK(F1095),0,1),1),IF('Monthly_Data'!G751=G1095,IF(ISBLANK('Monthly_Data'!G751)=ISBLANK(G1095),0,1),1),IF('Monthly_Data'!H751=H1095,IF(ISBLANK('Monthly_Data'!H751)=ISBLANK(H1095),0,1),1))</x:f>
        <x:v>0</x:v>
      </x:c>
    </x:row>
    <x:row r="1096" ht="23" customHeight="1">
      <x:c r="A1096" s="2" t="str">
        <x:v>62052000_VN_202602_IMPORT</x:v>
      </x:c>
      <x:c r="B1096" s="2" t="n">
        <x:v>202602</x:v>
      </x:c>
      <x:c r="C1096" s="2" t="str">
        <x:v>62052000</x:v>
      </x:c>
      <x:c r="D1096" s="2" t="str">
        <x:v>Vietnam</x:v>
      </x:c>
      <x:c r="E1096" s="2" t="n">
        <x:v>1342210</x:v>
      </x:c>
      <x:c r="F1096" s="2" t="n">
        <x:v>46772</x:v>
      </x:c>
      <x:c r="G1096" s="2" t="str">
        <x:v>WITHIN_BAND</x:v>
      </x:c>
      <x:c r="H1096" s="2" t="n">
        <x:v>1</x:v>
      </x:c>
      <x:c r="I1096" s="2"/>
      <x:c r="J1096" s="2"/>
      <x:c r="K1096" s="2"/>
      <x:c r="L1096" s="2" t="n">
        <x:f>SUM(IF('Monthly_Data'!A752=A1096,IF(ISBLANK('Monthly_Data'!A752)=ISBLANK(A1096),0,1),1),IF('Monthly_Data'!B752=B1096,IF(ISBLANK('Monthly_Data'!B752)=ISBLANK(B1096),0,1),1),IF('Monthly_Data'!C752=C1096,IF(ISBLANK('Monthly_Data'!C752)=ISBLANK(C1096),0,1),1),IF('Monthly_Data'!D752=D1096,IF(ISBLANK('Monthly_Data'!D752)=ISBLANK(D1096),0,1),1),IF('Monthly_Data'!E752=E1096,IF(ISBLANK('Monthly_Data'!E752)=ISBLANK(E1096),0,1),1),IF('Monthly_Data'!F752=F1096,IF(ISBLANK('Monthly_Data'!F752)=ISBLANK(F1096),0,1),1),IF('Monthly_Data'!G752=G1096,IF(ISBLANK('Monthly_Data'!G752)=ISBLANK(G1096),0,1),1),IF('Monthly_Data'!H752=H1096,IF(ISBLANK('Monthly_Data'!H752)=ISBLANK(H1096),0,1),1))</x:f>
        <x:v>0</x:v>
      </x:c>
    </x:row>
    <x:row r="1097" ht="23" customHeight="1">
      <x:c r="A1097" s="2" t="str">
        <x:v>62052000_WORLD_202602_IMPORT</x:v>
      </x:c>
      <x:c r="B1097" s="2" t="n">
        <x:v>202602</x:v>
      </x:c>
      <x:c r="C1097" s="2" t="str">
        <x:v>62052000</x:v>
      </x:c>
      <x:c r="D1097" s="2" t="str">
        <x:v>World</x:v>
      </x:c>
      <x:c r="E1097" s="2" t="n">
        <x:v>21330779</x:v>
      </x:c>
      <x:c r="F1097" s="2" t="n">
        <x:v>808655</x:v>
      </x:c>
      <x:c r="G1097" s="2" t="str">
        <x:v>WITHIN_BAND</x:v>
      </x:c>
      <x:c r="H1097" s="2" t="n">
        <x:v>1</x:v>
      </x:c>
      <x:c r="I1097" s="2"/>
      <x:c r="J1097" s="2"/>
      <x:c r="K1097" s="2"/>
      <x:c r="L1097" s="2" t="n">
        <x:f>SUM(IF('Monthly_Data'!A753=A1097,IF(ISBLANK('Monthly_Data'!A753)=ISBLANK(A1097),0,1),1),IF('Monthly_Data'!B753=B1097,IF(ISBLANK('Monthly_Data'!B753)=ISBLANK(B1097),0,1),1),IF('Monthly_Data'!C753=C1097,IF(ISBLANK('Monthly_Data'!C753)=ISBLANK(C1097),0,1),1),IF('Monthly_Data'!D753=D1097,IF(ISBLANK('Monthly_Data'!D753)=ISBLANK(D1097),0,1),1),IF('Monthly_Data'!E753=E1097,IF(ISBLANK('Monthly_Data'!E753)=ISBLANK(E1097),0,1),1),IF('Monthly_Data'!F753=F1097,IF(ISBLANK('Monthly_Data'!F753)=ISBLANK(F1097),0,1),1),IF('Monthly_Data'!G753=G1097,IF(ISBLANK('Monthly_Data'!G753)=ISBLANK(G1097),0,1),1),IF('Monthly_Data'!H753=H1097,IF(ISBLANK('Monthly_Data'!H753)=ISBLANK(H1097),0,1),1))</x:f>
        <x:v>0</x:v>
      </x:c>
    </x:row>
    <x:row r="1098" ht="23" customHeight="1">
      <x:c r="A1098" s="2" t="str">
        <x:v>62052000_BD_202603_IMPORT</x:v>
      </x:c>
      <x:c r="B1098" s="2" t="n">
        <x:v>202603</x:v>
      </x:c>
      <x:c r="C1098" s="2" t="str">
        <x:v>62052000</x:v>
      </x:c>
      <x:c r="D1098" s="2" t="str">
        <x:v>Bangladesh</x:v>
      </x:c>
      <x:c r="E1098" s="2" t="n">
        <x:v>7183022</x:v>
      </x:c>
      <x:c r="F1098" s="2" t="n">
        <x:v>432618</x:v>
      </x:c>
      <x:c r="G1098" s="2" t="str">
        <x:v>WITHIN_BAND</x:v>
      </x:c>
      <x:c r="H1098" s="2" t="n">
        <x:v>1</x:v>
      </x:c>
      <x:c r="I1098" s="2"/>
      <x:c r="J1098" s="2"/>
      <x:c r="K1098" s="2"/>
      <x:c r="L1098" s="2" t="n">
        <x:f>SUM(IF('Monthly_Data'!A754=A1098,IF(ISBLANK('Monthly_Data'!A754)=ISBLANK(A1098),0,1),1),IF('Monthly_Data'!B754=B1098,IF(ISBLANK('Monthly_Data'!B754)=ISBLANK(B1098),0,1),1),IF('Monthly_Data'!C754=C1098,IF(ISBLANK('Monthly_Data'!C754)=ISBLANK(C1098),0,1),1),IF('Monthly_Data'!D754=D1098,IF(ISBLANK('Monthly_Data'!D754)=ISBLANK(D1098),0,1),1),IF('Monthly_Data'!E754=E1098,IF(ISBLANK('Monthly_Data'!E754)=ISBLANK(E1098),0,1),1),IF('Monthly_Data'!F754=F1098,IF(ISBLANK('Monthly_Data'!F754)=ISBLANK(F1098),0,1),1),IF('Monthly_Data'!G754=G1098,IF(ISBLANK('Monthly_Data'!G754)=ISBLANK(G1098),0,1),1),IF('Monthly_Data'!H754=H1098,IF(ISBLANK('Monthly_Data'!H754)=ISBLANK(H1098),0,1),1))</x:f>
        <x:v>0</x:v>
      </x:c>
    </x:row>
    <x:row r="1099" ht="23" customHeight="1">
      <x:c r="A1099" s="2" t="str">
        <x:v>62052000_KH_202603_IMPORT</x:v>
      </x:c>
      <x:c r="B1099" s="2" t="n">
        <x:v>202603</x:v>
      </x:c>
      <x:c r="C1099" s="2" t="str">
        <x:v>62052000</x:v>
      </x:c>
      <x:c r="D1099" s="2" t="str">
        <x:v>Cambodia</x:v>
      </x:c>
      <x:c r="E1099" s="2" t="n">
        <x:v>491911</x:v>
      </x:c>
      <x:c r="F1099" s="2" t="n">
        <x:v>27026</x:v>
      </x:c>
      <x:c r="G1099" s="2" t="str">
        <x:v>WITHIN_BAND</x:v>
      </x:c>
      <x:c r="H1099" s="2" t="n">
        <x:v>1</x:v>
      </x:c>
      <x:c r="I1099" s="2"/>
      <x:c r="J1099" s="2"/>
      <x:c r="K1099" s="2"/>
      <x:c r="L1099" s="2" t="n">
        <x:f>SUM(IF('Monthly_Data'!A755=A1099,IF(ISBLANK('Monthly_Data'!A755)=ISBLANK(A1099),0,1),1),IF('Monthly_Data'!B755=B1099,IF(ISBLANK('Monthly_Data'!B755)=ISBLANK(B1099),0,1),1),IF('Monthly_Data'!C755=C1099,IF(ISBLANK('Monthly_Data'!C755)=ISBLANK(C1099),0,1),1),IF('Monthly_Data'!D755=D1099,IF(ISBLANK('Monthly_Data'!D755)=ISBLANK(D1099),0,1),1),IF('Monthly_Data'!E755=E1099,IF(ISBLANK('Monthly_Data'!E755)=ISBLANK(E1099),0,1),1),IF('Monthly_Data'!F755=F1099,IF(ISBLANK('Monthly_Data'!F755)=ISBLANK(F1099),0,1),1),IF('Monthly_Data'!G755=G1099,IF(ISBLANK('Monthly_Data'!G755)=ISBLANK(G1099),0,1),1),IF('Monthly_Data'!H755=H1099,IF(ISBLANK('Monthly_Data'!H755)=ISBLANK(H1099),0,1),1))</x:f>
        <x:v>0</x:v>
      </x:c>
    </x:row>
    <x:row r="1100" ht="23" customHeight="1">
      <x:c r="A1100" s="2" t="str">
        <x:v>62052000_CN_202603_IMPORT</x:v>
      </x:c>
      <x:c r="B1100" s="2" t="n">
        <x:v>202603</x:v>
      </x:c>
      <x:c r="C1100" s="2" t="str">
        <x:v>62052000</x:v>
      </x:c>
      <x:c r="D1100" s="2" t="str">
        <x:v>China</x:v>
      </x:c>
      <x:c r="E1100" s="2" t="n">
        <x:v>804232</x:v>
      </x:c>
      <x:c r="F1100" s="2" t="n">
        <x:v>41873</x:v>
      </x:c>
      <x:c r="G1100" s="2" t="str">
        <x:v>WITHIN_BAND</x:v>
      </x:c>
      <x:c r="H1100" s="2" t="n">
        <x:v>1</x:v>
      </x:c>
      <x:c r="I1100" s="2"/>
      <x:c r="J1100" s="2"/>
      <x:c r="K1100" s="2"/>
      <x:c r="L1100" s="2" t="n">
        <x:f>SUM(IF('Monthly_Data'!A756=A1100,IF(ISBLANK('Monthly_Data'!A756)=ISBLANK(A1100),0,1),1),IF('Monthly_Data'!B756=B1100,IF(ISBLANK('Monthly_Data'!B756)=ISBLANK(B1100),0,1),1),IF('Monthly_Data'!C756=C1100,IF(ISBLANK('Monthly_Data'!C756)=ISBLANK(C1100),0,1),1),IF('Monthly_Data'!D756=D1100,IF(ISBLANK('Monthly_Data'!D756)=ISBLANK(D1100),0,1),1),IF('Monthly_Data'!E756=E1100,IF(ISBLANK('Monthly_Data'!E756)=ISBLANK(E1100),0,1),1),IF('Monthly_Data'!F756=F1100,IF(ISBLANK('Monthly_Data'!F756)=ISBLANK(F1100),0,1),1),IF('Monthly_Data'!G756=G1100,IF(ISBLANK('Monthly_Data'!G756)=ISBLANK(G1100),0,1),1),IF('Monthly_Data'!H756=H1100,IF(ISBLANK('Monthly_Data'!H756)=ISBLANK(H1100),0,1),1))</x:f>
        <x:v>0</x:v>
      </x:c>
    </x:row>
    <x:row r="1101" ht="23" customHeight="1">
      <x:c r="A1101" s="2" t="str">
        <x:v>62052000_IN_202603_IMPORT</x:v>
      </x:c>
      <x:c r="B1101" s="2" t="n">
        <x:v>202603</x:v>
      </x:c>
      <x:c r="C1101" s="2" t="str">
        <x:v>62052000</x:v>
      </x:c>
      <x:c r="D1101" s="2" t="str">
        <x:v>India</x:v>
      </x:c>
      <x:c r="E1101" s="2" t="n">
        <x:v>2142796</x:v>
      </x:c>
      <x:c r="F1101" s="2" t="n">
        <x:v>103542</x:v>
      </x:c>
      <x:c r="G1101" s="2" t="str">
        <x:v>WITHIN_BAND</x:v>
      </x:c>
      <x:c r="H1101" s="2" t="n">
        <x:v>1</x:v>
      </x:c>
      <x:c r="I1101" s="2"/>
      <x:c r="J1101" s="2"/>
      <x:c r="K1101" s="2"/>
      <x:c r="L1101" s="2" t="n">
        <x:f>SUM(IF('Monthly_Data'!A757=A1101,IF(ISBLANK('Monthly_Data'!A757)=ISBLANK(A1101),0,1),1),IF('Monthly_Data'!B757=B1101,IF(ISBLANK('Monthly_Data'!B757)=ISBLANK(B1101),0,1),1),IF('Monthly_Data'!C757=C1101,IF(ISBLANK('Monthly_Data'!C757)=ISBLANK(C1101),0,1),1),IF('Monthly_Data'!D757=D1101,IF(ISBLANK('Monthly_Data'!D757)=ISBLANK(D1101),0,1),1),IF('Monthly_Data'!E757=E1101,IF(ISBLANK('Monthly_Data'!E757)=ISBLANK(E1101),0,1),1),IF('Monthly_Data'!F757=F1101,IF(ISBLANK('Monthly_Data'!F757)=ISBLANK(F1101),0,1),1),IF('Monthly_Data'!G757=G1101,IF(ISBLANK('Monthly_Data'!G757)=ISBLANK(G1101),0,1),1),IF('Monthly_Data'!H757=H1101,IF(ISBLANK('Monthly_Data'!H757)=ISBLANK(H1101),0,1),1))</x:f>
        <x:v>0</x:v>
      </x:c>
    </x:row>
    <x:row r="1102" ht="23" customHeight="1">
      <x:c r="A1102" s="2" t="str">
        <x:v>62052000_MA_202603_IMPORT</x:v>
      </x:c>
      <x:c r="B1102" s="2" t="n">
        <x:v>202603</x:v>
      </x:c>
      <x:c r="C1102" s="2" t="str">
        <x:v>62052000</x:v>
      </x:c>
      <x:c r="D1102" s="2" t="str">
        <x:v>Morocco</x:v>
      </x:c>
      <x:c r="E1102" s="2" t="n">
        <x:v>53697</x:v>
      </x:c>
      <x:c r="F1102" s="2" t="n">
        <x:v>993</x:v>
      </x:c>
      <x:c r="G1102" s="2" t="str">
        <x:v>WITHIN_BAND</x:v>
      </x:c>
      <x:c r="H1102" s="2" t="n">
        <x:v>1</x:v>
      </x:c>
      <x:c r="I1102" s="2"/>
      <x:c r="J1102" s="2"/>
      <x:c r="K1102" s="2"/>
      <x:c r="L1102" s="2" t="n">
        <x:f>SUM(IF('Monthly_Data'!A758=A1102,IF(ISBLANK('Monthly_Data'!A758)=ISBLANK(A1102),0,1),1),IF('Monthly_Data'!B758=B1102,IF(ISBLANK('Monthly_Data'!B758)=ISBLANK(B1102),0,1),1),IF('Monthly_Data'!C758=C1102,IF(ISBLANK('Monthly_Data'!C758)=ISBLANK(C1102),0,1),1),IF('Monthly_Data'!D758=D1102,IF(ISBLANK('Monthly_Data'!D758)=ISBLANK(D1102),0,1),1),IF('Monthly_Data'!E758=E1102,IF(ISBLANK('Monthly_Data'!E758)=ISBLANK(E1102),0,1),1),IF('Monthly_Data'!F758=F1102,IF(ISBLANK('Monthly_Data'!F758)=ISBLANK(F1102),0,1),1),IF('Monthly_Data'!G758=G1102,IF(ISBLANK('Monthly_Data'!G758)=ISBLANK(G1102),0,1),1),IF('Monthly_Data'!H758=H1102,IF(ISBLANK('Monthly_Data'!H758)=ISBLANK(H1102),0,1),1))</x:f>
        <x:v>0</x:v>
      </x:c>
    </x:row>
    <x:row r="1103" ht="23" customHeight="1">
      <x:c r="A1103" s="2" t="str">
        <x:v>62052000_MM_202603_IMPORT</x:v>
      </x:c>
      <x:c r="B1103" s="2" t="n">
        <x:v>202603</x:v>
      </x:c>
      <x:c r="C1103" s="2" t="str">
        <x:v>62052000</x:v>
      </x:c>
      <x:c r="D1103" s="2" t="str">
        <x:v>Myanmar</x:v>
      </x:c>
      <x:c r="E1103" s="2" t="n">
        <x:v>69675</x:v>
      </x:c>
      <x:c r="F1103" s="2" t="n">
        <x:v>5010</x:v>
      </x:c>
      <x:c r="G1103" s="2" t="str">
        <x:v>WITHIN_BAND</x:v>
      </x:c>
      <x:c r="H1103" s="2" t="n">
        <x:v>1</x:v>
      </x:c>
      <x:c r="I1103" s="2"/>
      <x:c r="J1103" s="2"/>
      <x:c r="K1103" s="2"/>
      <x:c r="L1103" s="2" t="n">
        <x:f>SUM(IF('Monthly_Data'!A759=A1103,IF(ISBLANK('Monthly_Data'!A759)=ISBLANK(A1103),0,1),1),IF('Monthly_Data'!B759=B1103,IF(ISBLANK('Monthly_Data'!B759)=ISBLANK(B1103),0,1),1),IF('Monthly_Data'!C759=C1103,IF(ISBLANK('Monthly_Data'!C759)=ISBLANK(C1103),0,1),1),IF('Monthly_Data'!D759=D1103,IF(ISBLANK('Monthly_Data'!D759)=ISBLANK(D1103),0,1),1),IF('Monthly_Data'!E759=E1103,IF(ISBLANK('Monthly_Data'!E759)=ISBLANK(E1103),0,1),1),IF('Monthly_Data'!F759=F1103,IF(ISBLANK('Monthly_Data'!F759)=ISBLANK(F1103),0,1),1),IF('Monthly_Data'!G759=G1103,IF(ISBLANK('Monthly_Data'!G759)=ISBLANK(G1103),0,1),1),IF('Monthly_Data'!H759=H1103,IF(ISBLANK('Monthly_Data'!H759)=ISBLANK(H1103),0,1),1))</x:f>
        <x:v>0</x:v>
      </x:c>
    </x:row>
    <x:row r="1104" ht="23" customHeight="1">
      <x:c r="A1104" s="2" t="str">
        <x:v>62052000_PK_202603_IMPORT</x:v>
      </x:c>
      <x:c r="B1104" s="2" t="n">
        <x:v>202603</x:v>
      </x:c>
      <x:c r="C1104" s="2" t="str">
        <x:v>62052000</x:v>
      </x:c>
      <x:c r="D1104" s="2" t="str">
        <x:v>Pakistan</x:v>
      </x:c>
      <x:c r="E1104" s="2" t="n">
        <x:v>34937</x:v>
      </x:c>
      <x:c r="F1104" s="2" t="n">
        <x:v>4289</x:v>
      </x:c>
      <x:c r="G1104" s="2" t="str">
        <x:v>WITHIN_BAND</x:v>
      </x:c>
      <x:c r="H1104" s="2" t="n">
        <x:v>1</x:v>
      </x:c>
      <x:c r="I1104" s="2"/>
      <x:c r="J1104" s="2"/>
      <x:c r="K1104" s="2"/>
      <x:c r="L1104" s="2" t="n">
        <x:f>SUM(IF('Monthly_Data'!A760=A1104,IF(ISBLANK('Monthly_Data'!A760)=ISBLANK(A1104),0,1),1),IF('Monthly_Data'!B760=B1104,IF(ISBLANK('Monthly_Data'!B760)=ISBLANK(B1104),0,1),1),IF('Monthly_Data'!C760=C1104,IF(ISBLANK('Monthly_Data'!C760)=ISBLANK(C1104),0,1),1),IF('Monthly_Data'!D760=D1104,IF(ISBLANK('Monthly_Data'!D760)=ISBLANK(D1104),0,1),1),IF('Monthly_Data'!E760=E1104,IF(ISBLANK('Monthly_Data'!E760)=ISBLANK(E1104),0,1),1),IF('Monthly_Data'!F760=F1104,IF(ISBLANK('Monthly_Data'!F760)=ISBLANK(F1104),0,1),1),IF('Monthly_Data'!G760=G1104,IF(ISBLANK('Monthly_Data'!G760)=ISBLANK(G1104),0,1),1),IF('Monthly_Data'!H760=H1104,IF(ISBLANK('Monthly_Data'!H760)=ISBLANK(H1104),0,1),1))</x:f>
        <x:v>0</x:v>
      </x:c>
    </x:row>
    <x:row r="1105" ht="23" customHeight="1">
      <x:c r="A1105" s="2" t="str">
        <x:v>62052000_LK_202603_IMPORT</x:v>
      </x:c>
      <x:c r="B1105" s="2" t="n">
        <x:v>202603</x:v>
      </x:c>
      <x:c r="C1105" s="2" t="str">
        <x:v>62052000</x:v>
      </x:c>
      <x:c r="D1105" s="2" t="str">
        <x:v>Sri Lanka</x:v>
      </x:c>
      <x:c r="E1105" s="2" t="n">
        <x:v>230731</x:v>
      </x:c>
      <x:c r="F1105" s="2" t="n">
        <x:v>15189</x:v>
      </x:c>
      <x:c r="G1105" s="2" t="str">
        <x:v>WITHIN_BAND</x:v>
      </x:c>
      <x:c r="H1105" s="2" t="n">
        <x:v>1</x:v>
      </x:c>
      <x:c r="I1105" s="2"/>
      <x:c r="J1105" s="2"/>
      <x:c r="K1105" s="2"/>
      <x:c r="L1105" s="2" t="n">
        <x:f>SUM(IF('Monthly_Data'!A761=A1105,IF(ISBLANK('Monthly_Data'!A761)=ISBLANK(A1105),0,1),1),IF('Monthly_Data'!B761=B1105,IF(ISBLANK('Monthly_Data'!B761)=ISBLANK(B1105),0,1),1),IF('Monthly_Data'!C761=C1105,IF(ISBLANK('Monthly_Data'!C761)=ISBLANK(C1105),0,1),1),IF('Monthly_Data'!D761=D1105,IF(ISBLANK('Monthly_Data'!D761)=ISBLANK(D1105),0,1),1),IF('Monthly_Data'!E761=E1105,IF(ISBLANK('Monthly_Data'!E761)=ISBLANK(E1105),0,1),1),IF('Monthly_Data'!F761=F1105,IF(ISBLANK('Monthly_Data'!F761)=ISBLANK(F1105),0,1),1),IF('Monthly_Data'!G761=G1105,IF(ISBLANK('Monthly_Data'!G761)=ISBLANK(G1105),0,1),1),IF('Monthly_Data'!H761=H1105,IF(ISBLANK('Monthly_Data'!H761)=ISBLANK(H1105),0,1),1))</x:f>
        <x:v>0</x:v>
      </x:c>
    </x:row>
    <x:row r="1106" ht="23" customHeight="1">
      <x:c r="A1106" s="2" t="str">
        <x:v>62052000_TR_202603_IMPORT</x:v>
      </x:c>
      <x:c r="B1106" s="2" t="n">
        <x:v>202603</x:v>
      </x:c>
      <x:c r="C1106" s="2" t="str">
        <x:v>62052000</x:v>
      </x:c>
      <x:c r="D1106" s="2" t="str">
        <x:v>Turkey</x:v>
      </x:c>
      <x:c r="E1106" s="2" t="n">
        <x:v>1104837</x:v>
      </x:c>
      <x:c r="F1106" s="2" t="n">
        <x:v>26043</x:v>
      </x:c>
      <x:c r="G1106" s="2" t="str">
        <x:v>WITHIN_BAND</x:v>
      </x:c>
      <x:c r="H1106" s="2" t="n">
        <x:v>1</x:v>
      </x:c>
      <x:c r="I1106" s="2"/>
      <x:c r="J1106" s="2"/>
      <x:c r="K1106" s="2"/>
      <x:c r="L1106" s="2" t="n">
        <x:f>SUM(IF('Monthly_Data'!A762=A1106,IF(ISBLANK('Monthly_Data'!A762)=ISBLANK(A1106),0,1),1),IF('Monthly_Data'!B762=B1106,IF(ISBLANK('Monthly_Data'!B762)=ISBLANK(B1106),0,1),1),IF('Monthly_Data'!C762=C1106,IF(ISBLANK('Monthly_Data'!C762)=ISBLANK(C1106),0,1),1),IF('Monthly_Data'!D762=D1106,IF(ISBLANK('Monthly_Data'!D762)=ISBLANK(D1106),0,1),1),IF('Monthly_Data'!E762=E1106,IF(ISBLANK('Monthly_Data'!E762)=ISBLANK(E1106),0,1),1),IF('Monthly_Data'!F762=F1106,IF(ISBLANK('Monthly_Data'!F762)=ISBLANK(F1106),0,1),1),IF('Monthly_Data'!G762=G1106,IF(ISBLANK('Monthly_Data'!G762)=ISBLANK(G1106),0,1),1),IF('Monthly_Data'!H762=H1106,IF(ISBLANK('Monthly_Data'!H762)=ISBLANK(H1106),0,1),1))</x:f>
        <x:v>0</x:v>
      </x:c>
    </x:row>
    <x:row r="1107" ht="23" customHeight="1">
      <x:c r="A1107" s="2" t="str">
        <x:v>62052000_VN_202603_IMPORT</x:v>
      </x:c>
      <x:c r="B1107" s="2" t="n">
        <x:v>202603</x:v>
      </x:c>
      <x:c r="C1107" s="2" t="str">
        <x:v>62052000</x:v>
      </x:c>
      <x:c r="D1107" s="2" t="str">
        <x:v>Vietnam</x:v>
      </x:c>
      <x:c r="E1107" s="2" t="n">
        <x:v>936993</x:v>
      </x:c>
      <x:c r="F1107" s="2" t="n">
        <x:v>33912</x:v>
      </x:c>
      <x:c r="G1107" s="2" t="str">
        <x:v>WITHIN_BAND</x:v>
      </x:c>
      <x:c r="H1107" s="2" t="n">
        <x:v>1</x:v>
      </x:c>
      <x:c r="I1107" s="2"/>
      <x:c r="J1107" s="2"/>
      <x:c r="K1107" s="2"/>
      <x:c r="L1107" s="2" t="n">
        <x:f>SUM(IF('Monthly_Data'!A763=A1107,IF(ISBLANK('Monthly_Data'!A763)=ISBLANK(A1107),0,1),1),IF('Monthly_Data'!B763=B1107,IF(ISBLANK('Monthly_Data'!B763)=ISBLANK(B1107),0,1),1),IF('Monthly_Data'!C763=C1107,IF(ISBLANK('Monthly_Data'!C763)=ISBLANK(C1107),0,1),1),IF('Monthly_Data'!D763=D1107,IF(ISBLANK('Monthly_Data'!D763)=ISBLANK(D1107),0,1),1),IF('Monthly_Data'!E763=E1107,IF(ISBLANK('Monthly_Data'!E763)=ISBLANK(E1107),0,1),1),IF('Monthly_Data'!F763=F1107,IF(ISBLANK('Monthly_Data'!F763)=ISBLANK(F1107),0,1),1),IF('Monthly_Data'!G763=G1107,IF(ISBLANK('Monthly_Data'!G763)=ISBLANK(G1107),0,1),1),IF('Monthly_Data'!H763=H1107,IF(ISBLANK('Monthly_Data'!H763)=ISBLANK(H1107),0,1),1))</x:f>
        <x:v>0</x:v>
      </x:c>
    </x:row>
    <x:row r="1108" ht="23" customHeight="1">
      <x:c r="A1108" s="2" t="str">
        <x:v>62052000_WORLD_202603_IMPORT</x:v>
      </x:c>
      <x:c r="B1108" s="2" t="n">
        <x:v>202603</x:v>
      </x:c>
      <x:c r="C1108" s="2" t="str">
        <x:v>62052000</x:v>
      </x:c>
      <x:c r="D1108" s="2" t="str">
        <x:v>World</x:v>
      </x:c>
      <x:c r="E1108" s="2" t="n">
        <x:v>20603018</x:v>
      </x:c>
      <x:c r="F1108" s="2" t="n">
        <x:v>832618</x:v>
      </x:c>
      <x:c r="G1108" s="2" t="str">
        <x:v>WITHIN_BAND</x:v>
      </x:c>
      <x:c r="H1108" s="2" t="n">
        <x:v>1</x:v>
      </x:c>
      <x:c r="I1108" s="2"/>
      <x:c r="J1108" s="2"/>
      <x:c r="K1108" s="2"/>
      <x:c r="L1108" s="2" t="n">
        <x:f>SUM(IF('Monthly_Data'!A764=A1108,IF(ISBLANK('Monthly_Data'!A764)=ISBLANK(A1108),0,1),1),IF('Monthly_Data'!B764=B1108,IF(ISBLANK('Monthly_Data'!B764)=ISBLANK(B1108),0,1),1),IF('Monthly_Data'!C764=C1108,IF(ISBLANK('Monthly_Data'!C764)=ISBLANK(C1108),0,1),1),IF('Monthly_Data'!D764=D1108,IF(ISBLANK('Monthly_Data'!D764)=ISBLANK(D1108),0,1),1),IF('Monthly_Data'!E764=E1108,IF(ISBLANK('Monthly_Data'!E764)=ISBLANK(E1108),0,1),1),IF('Monthly_Data'!F764=F1108,IF(ISBLANK('Monthly_Data'!F764)=ISBLANK(F1108),0,1),1),IF('Monthly_Data'!G764=G1108,IF(ISBLANK('Monthly_Data'!G764)=ISBLANK(G1108),0,1),1),IF('Monthly_Data'!H764=H1108,IF(ISBLANK('Monthly_Data'!H764)=ISBLANK(H1108),0,1),1))</x:f>
        <x:v>0</x:v>
      </x:c>
    </x:row>
    <x:row r="1109" ht="23" customHeight="1">
      <x:c r="A1109" s="2" t="str">
        <x:v>62052000_BD_202604_IMPORT</x:v>
      </x:c>
      <x:c r="B1109" s="2" t="n">
        <x:v>202604</x:v>
      </x:c>
      <x:c r="C1109" s="2" t="str">
        <x:v>62052000</x:v>
      </x:c>
      <x:c r="D1109" s="2" t="str">
        <x:v>Bangladesh</x:v>
      </x:c>
      <x:c r="E1109" s="2" t="n">
        <x:v>7863304</x:v>
      </x:c>
      <x:c r="F1109" s="2" t="n">
        <x:v>428101</x:v>
      </x:c>
      <x:c r="G1109" s="2" t="str">
        <x:v>WITHIN_BAND</x:v>
      </x:c>
      <x:c r="H1109" s="2" t="n">
        <x:v>1</x:v>
      </x:c>
      <x:c r="I1109" s="2"/>
      <x:c r="J1109" s="2"/>
      <x:c r="K1109" s="2"/>
      <x:c r="L1109" s="2" t="n">
        <x:f>SUM(IF('Monthly_Data'!A765=A1109,IF(ISBLANK('Monthly_Data'!A765)=ISBLANK(A1109),0,1),1),IF('Monthly_Data'!B765=B1109,IF(ISBLANK('Monthly_Data'!B765)=ISBLANK(B1109),0,1),1),IF('Monthly_Data'!C765=C1109,IF(ISBLANK('Monthly_Data'!C765)=ISBLANK(C1109),0,1),1),IF('Monthly_Data'!D765=D1109,IF(ISBLANK('Monthly_Data'!D765)=ISBLANK(D1109),0,1),1),IF('Monthly_Data'!E765=E1109,IF(ISBLANK('Monthly_Data'!E765)=ISBLANK(E1109),0,1),1),IF('Monthly_Data'!F765=F1109,IF(ISBLANK('Monthly_Data'!F765)=ISBLANK(F1109),0,1),1),IF('Monthly_Data'!G765=G1109,IF(ISBLANK('Monthly_Data'!G765)=ISBLANK(G1109),0,1),1),IF('Monthly_Data'!H765=H1109,IF(ISBLANK('Monthly_Data'!H765)=ISBLANK(H1109),0,1),1))</x:f>
        <x:v>0</x:v>
      </x:c>
    </x:row>
    <x:row r="1110" ht="23" customHeight="1">
      <x:c r="A1110" s="2" t="str">
        <x:v>62052000_KH_202604_IMPORT</x:v>
      </x:c>
      <x:c r="B1110" s="2" t="n">
        <x:v>202604</x:v>
      </x:c>
      <x:c r="C1110" s="2" t="str">
        <x:v>62052000</x:v>
      </x:c>
      <x:c r="D1110" s="2" t="str">
        <x:v>Cambodia</x:v>
      </x:c>
      <x:c r="E1110" s="2" t="n">
        <x:v>1213364</x:v>
      </x:c>
      <x:c r="F1110" s="2" t="n">
        <x:v>48491</x:v>
      </x:c>
      <x:c r="G1110" s="2" t="str">
        <x:v>WITHIN_BAND</x:v>
      </x:c>
      <x:c r="H1110" s="2" t="n">
        <x:v>1</x:v>
      </x:c>
      <x:c r="I1110" s="2"/>
      <x:c r="J1110" s="2"/>
      <x:c r="K1110" s="2"/>
      <x:c r="L1110" s="2" t="n">
        <x:f>SUM(IF('Monthly_Data'!A766=A1110,IF(ISBLANK('Monthly_Data'!A766)=ISBLANK(A1110),0,1),1),IF('Monthly_Data'!B766=B1110,IF(ISBLANK('Monthly_Data'!B766)=ISBLANK(B1110),0,1),1),IF('Monthly_Data'!C766=C1110,IF(ISBLANK('Monthly_Data'!C766)=ISBLANK(C1110),0,1),1),IF('Monthly_Data'!D766=D1110,IF(ISBLANK('Monthly_Data'!D766)=ISBLANK(D1110),0,1),1),IF('Monthly_Data'!E766=E1110,IF(ISBLANK('Monthly_Data'!E766)=ISBLANK(E1110),0,1),1),IF('Monthly_Data'!F766=F1110,IF(ISBLANK('Monthly_Data'!F766)=ISBLANK(F1110),0,1),1),IF('Monthly_Data'!G766=G1110,IF(ISBLANK('Monthly_Data'!G766)=ISBLANK(G1110),0,1),1),IF('Monthly_Data'!H766=H1110,IF(ISBLANK('Monthly_Data'!H766)=ISBLANK(H1110),0,1),1))</x:f>
        <x:v>0</x:v>
      </x:c>
    </x:row>
    <x:row r="1111" ht="23" customHeight="1">
      <x:c r="A1111" s="2" t="str">
        <x:v>62052000_CN_202604_IMPORT</x:v>
      </x:c>
      <x:c r="B1111" s="2" t="n">
        <x:v>202604</x:v>
      </x:c>
      <x:c r="C1111" s="2" t="str">
        <x:v>62052000</x:v>
      </x:c>
      <x:c r="D1111" s="2" t="str">
        <x:v>China</x:v>
      </x:c>
      <x:c r="E1111" s="2" t="n">
        <x:v>1095198</x:v>
      </x:c>
      <x:c r="F1111" s="2" t="n">
        <x:v>44299</x:v>
      </x:c>
      <x:c r="G1111" s="2" t="str">
        <x:v>WITHIN_BAND</x:v>
      </x:c>
      <x:c r="H1111" s="2" t="n">
        <x:v>1</x:v>
      </x:c>
      <x:c r="I1111" s="2"/>
      <x:c r="J1111" s="2"/>
      <x:c r="K1111" s="2"/>
      <x:c r="L1111" s="2" t="n">
        <x:f>SUM(IF('Monthly_Data'!A767=A1111,IF(ISBLANK('Monthly_Data'!A767)=ISBLANK(A1111),0,1),1),IF('Monthly_Data'!B767=B1111,IF(ISBLANK('Monthly_Data'!B767)=ISBLANK(B1111),0,1),1),IF('Monthly_Data'!C767=C1111,IF(ISBLANK('Monthly_Data'!C767)=ISBLANK(C1111),0,1),1),IF('Monthly_Data'!D767=D1111,IF(ISBLANK('Monthly_Data'!D767)=ISBLANK(D1111),0,1),1),IF('Monthly_Data'!E767=E1111,IF(ISBLANK('Monthly_Data'!E767)=ISBLANK(E1111),0,1),1),IF('Monthly_Data'!F767=F1111,IF(ISBLANK('Monthly_Data'!F767)=ISBLANK(F1111),0,1),1),IF('Monthly_Data'!G767=G1111,IF(ISBLANK('Monthly_Data'!G767)=ISBLANK(G1111),0,1),1),IF('Monthly_Data'!H767=H1111,IF(ISBLANK('Monthly_Data'!H767)=ISBLANK(H1111),0,1),1))</x:f>
        <x:v>0</x:v>
      </x:c>
    </x:row>
    <x:row r="1112" ht="23" customHeight="1">
      <x:c r="A1112" s="2" t="str">
        <x:v>62052000_IN_202604_IMPORT</x:v>
      </x:c>
      <x:c r="B1112" s="2" t="n">
        <x:v>202604</x:v>
      </x:c>
      <x:c r="C1112" s="2" t="str">
        <x:v>62052000</x:v>
      </x:c>
      <x:c r="D1112" s="2" t="str">
        <x:v>India</x:v>
      </x:c>
      <x:c r="E1112" s="2" t="n">
        <x:v>3330258</x:v>
      </x:c>
      <x:c r="F1112" s="2" t="n">
        <x:v>150028</x:v>
      </x:c>
      <x:c r="G1112" s="2" t="str">
        <x:v>WITHIN_BAND</x:v>
      </x:c>
      <x:c r="H1112" s="2" t="n">
        <x:v>1</x:v>
      </x:c>
      <x:c r="I1112" s="2"/>
      <x:c r="J1112" s="2"/>
      <x:c r="K1112" s="2"/>
      <x:c r="L1112" s="2" t="n">
        <x:f>SUM(IF('Monthly_Data'!A768=A1112,IF(ISBLANK('Monthly_Data'!A768)=ISBLANK(A1112),0,1),1),IF('Monthly_Data'!B768=B1112,IF(ISBLANK('Monthly_Data'!B768)=ISBLANK(B1112),0,1),1),IF('Monthly_Data'!C768=C1112,IF(ISBLANK('Monthly_Data'!C768)=ISBLANK(C1112),0,1),1),IF('Monthly_Data'!D768=D1112,IF(ISBLANK('Monthly_Data'!D768)=ISBLANK(D1112),0,1),1),IF('Monthly_Data'!E768=E1112,IF(ISBLANK('Monthly_Data'!E768)=ISBLANK(E1112),0,1),1),IF('Monthly_Data'!F768=F1112,IF(ISBLANK('Monthly_Data'!F768)=ISBLANK(F1112),0,1),1),IF('Monthly_Data'!G768=G1112,IF(ISBLANK('Monthly_Data'!G768)=ISBLANK(G1112),0,1),1),IF('Monthly_Data'!H768=H1112,IF(ISBLANK('Monthly_Data'!H768)=ISBLANK(H1112),0,1),1))</x:f>
        <x:v>0</x:v>
      </x:c>
    </x:row>
    <x:row r="1113" ht="23" customHeight="1">
      <x:c r="A1113" s="2" t="str">
        <x:v>62052000_MA_202604_IMPORT</x:v>
      </x:c>
      <x:c r="B1113" s="2" t="n">
        <x:v>202604</x:v>
      </x:c>
      <x:c r="C1113" s="2" t="str">
        <x:v>62052000</x:v>
      </x:c>
      <x:c r="D1113" s="2" t="str">
        <x:v>Morocco</x:v>
      </x:c>
      <x:c r="E1113" s="2" t="n">
        <x:v>66857</x:v>
      </x:c>
      <x:c r="F1113" s="2" t="n">
        <x:v>2086</x:v>
      </x:c>
      <x:c r="G1113" s="2" t="str">
        <x:v>WITHIN_BAND</x:v>
      </x:c>
      <x:c r="H1113" s="2" t="n">
        <x:v>1</x:v>
      </x:c>
      <x:c r="I1113" s="2"/>
      <x:c r="J1113" s="2"/>
      <x:c r="K1113" s="2"/>
      <x:c r="L1113" s="2" t="n">
        <x:f>SUM(IF('Monthly_Data'!A769=A1113,IF(ISBLANK('Monthly_Data'!A769)=ISBLANK(A1113),0,1),1),IF('Monthly_Data'!B769=B1113,IF(ISBLANK('Monthly_Data'!B769)=ISBLANK(B1113),0,1),1),IF('Monthly_Data'!C769=C1113,IF(ISBLANK('Monthly_Data'!C769)=ISBLANK(C1113),0,1),1),IF('Monthly_Data'!D769=D1113,IF(ISBLANK('Monthly_Data'!D769)=ISBLANK(D1113),0,1),1),IF('Monthly_Data'!E769=E1113,IF(ISBLANK('Monthly_Data'!E769)=ISBLANK(E1113),0,1),1),IF('Monthly_Data'!F769=F1113,IF(ISBLANK('Monthly_Data'!F769)=ISBLANK(F1113),0,1),1),IF('Monthly_Data'!G769=G1113,IF(ISBLANK('Monthly_Data'!G769)=ISBLANK(G1113),0,1),1),IF('Monthly_Data'!H769=H1113,IF(ISBLANK('Monthly_Data'!H769)=ISBLANK(H1113),0,1),1))</x:f>
        <x:v>0</x:v>
      </x:c>
    </x:row>
    <x:row r="1114" ht="23" customHeight="1">
      <x:c r="A1114" s="2" t="str">
        <x:v>62052000_MM_202604_IMPORT</x:v>
      </x:c>
      <x:c r="B1114" s="2" t="n">
        <x:v>202604</x:v>
      </x:c>
      <x:c r="C1114" s="2" t="str">
        <x:v>62052000</x:v>
      </x:c>
      <x:c r="D1114" s="2" t="str">
        <x:v>Myanmar</x:v>
      </x:c>
      <x:c r="E1114" s="2" t="n">
        <x:v>121726</x:v>
      </x:c>
      <x:c r="F1114" s="2" t="n">
        <x:v>6424</x:v>
      </x:c>
      <x:c r="G1114" s="2" t="str">
        <x:v>WITHIN_BAND</x:v>
      </x:c>
      <x:c r="H1114" s="2" t="n">
        <x:v>1</x:v>
      </x:c>
      <x:c r="I1114" s="2"/>
      <x:c r="J1114" s="2"/>
      <x:c r="K1114" s="2"/>
      <x:c r="L1114" s="2" t="n">
        <x:f>SUM(IF('Monthly_Data'!A770=A1114,IF(ISBLANK('Monthly_Data'!A770)=ISBLANK(A1114),0,1),1),IF('Monthly_Data'!B770=B1114,IF(ISBLANK('Monthly_Data'!B770)=ISBLANK(B1114),0,1),1),IF('Monthly_Data'!C770=C1114,IF(ISBLANK('Monthly_Data'!C770)=ISBLANK(C1114),0,1),1),IF('Monthly_Data'!D770=D1114,IF(ISBLANK('Monthly_Data'!D770)=ISBLANK(D1114),0,1),1),IF('Monthly_Data'!E770=E1114,IF(ISBLANK('Monthly_Data'!E770)=ISBLANK(E1114),0,1),1),IF('Monthly_Data'!F770=F1114,IF(ISBLANK('Monthly_Data'!F770)=ISBLANK(F1114),0,1),1),IF('Monthly_Data'!G770=G1114,IF(ISBLANK('Monthly_Data'!G770)=ISBLANK(G1114),0,1),1),IF('Monthly_Data'!H770=H1114,IF(ISBLANK('Monthly_Data'!H770)=ISBLANK(H1114),0,1),1))</x:f>
        <x:v>0</x:v>
      </x:c>
    </x:row>
    <x:row r="1115" ht="23" customHeight="1">
      <x:c r="A1115" s="2" t="str">
        <x:v>62052000_PK_202604_IMPORT</x:v>
      </x:c>
      <x:c r="B1115" s="2" t="n">
        <x:v>202604</x:v>
      </x:c>
      <x:c r="C1115" s="2" t="str">
        <x:v>62052000</x:v>
      </x:c>
      <x:c r="D1115" s="2" t="str">
        <x:v>Pakistan</x:v>
      </x:c>
      <x:c r="E1115" s="2" t="n">
        <x:v>42626</x:v>
      </x:c>
      <x:c r="F1115" s="2" t="n">
        <x:v>2149</x:v>
      </x:c>
      <x:c r="G1115" s="2" t="str">
        <x:v>WITHIN_BAND</x:v>
      </x:c>
      <x:c r="H1115" s="2" t="n">
        <x:v>1</x:v>
      </x:c>
      <x:c r="I1115" s="2"/>
      <x:c r="J1115" s="2"/>
      <x:c r="K1115" s="2"/>
      <x:c r="L1115" s="2" t="n">
        <x:f>SUM(IF('Monthly_Data'!A771=A1115,IF(ISBLANK('Monthly_Data'!A771)=ISBLANK(A1115),0,1),1),IF('Monthly_Data'!B771=B1115,IF(ISBLANK('Monthly_Data'!B771)=ISBLANK(B1115),0,1),1),IF('Monthly_Data'!C771=C1115,IF(ISBLANK('Monthly_Data'!C771)=ISBLANK(C1115),0,1),1),IF('Monthly_Data'!D771=D1115,IF(ISBLANK('Monthly_Data'!D771)=ISBLANK(D1115),0,1),1),IF('Monthly_Data'!E771=E1115,IF(ISBLANK('Monthly_Data'!E771)=ISBLANK(E1115),0,1),1),IF('Monthly_Data'!F771=F1115,IF(ISBLANK('Monthly_Data'!F771)=ISBLANK(F1115),0,1),1),IF('Monthly_Data'!G771=G1115,IF(ISBLANK('Monthly_Data'!G771)=ISBLANK(G1115),0,1),1),IF('Monthly_Data'!H771=H1115,IF(ISBLANK('Monthly_Data'!H771)=ISBLANK(H1115),0,1),1))</x:f>
        <x:v>0</x:v>
      </x:c>
    </x:row>
    <x:row r="1116" ht="23" customHeight="1">
      <x:c r="A1116" s="2" t="str">
        <x:v>62052000_LK_202604_IMPORT</x:v>
      </x:c>
      <x:c r="B1116" s="2" t="n">
        <x:v>202604</x:v>
      </x:c>
      <x:c r="C1116" s="2" t="str">
        <x:v>62052000</x:v>
      </x:c>
      <x:c r="D1116" s="2" t="str">
        <x:v>Sri Lanka</x:v>
      </x:c>
      <x:c r="E1116" s="2" t="n">
        <x:v>238544</x:v>
      </x:c>
      <x:c r="F1116" s="2" t="n">
        <x:v>15257</x:v>
      </x:c>
      <x:c r="G1116" s="2" t="str">
        <x:v>WITHIN_BAND</x:v>
      </x:c>
      <x:c r="H1116" s="2" t="n">
        <x:v>1</x:v>
      </x:c>
      <x:c r="I1116" s="2"/>
      <x:c r="J1116" s="2"/>
      <x:c r="K1116" s="2"/>
      <x:c r="L1116" s="2" t="n">
        <x:f>SUM(IF('Monthly_Data'!A772=A1116,IF(ISBLANK('Monthly_Data'!A772)=ISBLANK(A1116),0,1),1),IF('Monthly_Data'!B772=B1116,IF(ISBLANK('Monthly_Data'!B772)=ISBLANK(B1116),0,1),1),IF('Monthly_Data'!C772=C1116,IF(ISBLANK('Monthly_Data'!C772)=ISBLANK(C1116),0,1),1),IF('Monthly_Data'!D772=D1116,IF(ISBLANK('Monthly_Data'!D772)=ISBLANK(D1116),0,1),1),IF('Monthly_Data'!E772=E1116,IF(ISBLANK('Monthly_Data'!E772)=ISBLANK(E1116),0,1),1),IF('Monthly_Data'!F772=F1116,IF(ISBLANK('Monthly_Data'!F772)=ISBLANK(F1116),0,1),1),IF('Monthly_Data'!G772=G1116,IF(ISBLANK('Monthly_Data'!G772)=ISBLANK(G1116),0,1),1),IF('Monthly_Data'!H772=H1116,IF(ISBLANK('Monthly_Data'!H772)=ISBLANK(H1116),0,1),1))</x:f>
        <x:v>0</x:v>
      </x:c>
    </x:row>
    <x:row r="1117" ht="23" customHeight="1">
      <x:c r="A1117" s="2" t="str">
        <x:v>62052000_TR_202604_IMPORT</x:v>
      </x:c>
      <x:c r="B1117" s="2" t="n">
        <x:v>202604</x:v>
      </x:c>
      <x:c r="C1117" s="2" t="str">
        <x:v>62052000</x:v>
      </x:c>
      <x:c r="D1117" s="2" t="str">
        <x:v>Turkey</x:v>
      </x:c>
      <x:c r="E1117" s="2" t="n">
        <x:v>720011</x:v>
      </x:c>
      <x:c r="F1117" s="2" t="n">
        <x:v>20462</x:v>
      </x:c>
      <x:c r="G1117" s="2" t="str">
        <x:v>WITHIN_BAND</x:v>
      </x:c>
      <x:c r="H1117" s="2" t="n">
        <x:v>1</x:v>
      </x:c>
      <x:c r="I1117" s="2"/>
      <x:c r="J1117" s="2"/>
      <x:c r="K1117" s="2"/>
      <x:c r="L1117" s="2" t="n">
        <x:f>SUM(IF('Monthly_Data'!A773=A1117,IF(ISBLANK('Monthly_Data'!A773)=ISBLANK(A1117),0,1),1),IF('Monthly_Data'!B773=B1117,IF(ISBLANK('Monthly_Data'!B773)=ISBLANK(B1117),0,1),1),IF('Monthly_Data'!C773=C1117,IF(ISBLANK('Monthly_Data'!C773)=ISBLANK(C1117),0,1),1),IF('Monthly_Data'!D773=D1117,IF(ISBLANK('Monthly_Data'!D773)=ISBLANK(D1117),0,1),1),IF('Monthly_Data'!E773=E1117,IF(ISBLANK('Monthly_Data'!E773)=ISBLANK(E1117),0,1),1),IF('Monthly_Data'!F773=F1117,IF(ISBLANK('Monthly_Data'!F773)=ISBLANK(F1117),0,1),1),IF('Monthly_Data'!G773=G1117,IF(ISBLANK('Monthly_Data'!G773)=ISBLANK(G1117),0,1),1),IF('Monthly_Data'!H773=H1117,IF(ISBLANK('Monthly_Data'!H773)=ISBLANK(H1117),0,1),1))</x:f>
        <x:v>0</x:v>
      </x:c>
    </x:row>
    <x:row r="1118" ht="23" customHeight="1">
      <x:c r="A1118" s="2" t="str">
        <x:v>62052000_VN_202604_IMPORT</x:v>
      </x:c>
      <x:c r="B1118" s="2" t="n">
        <x:v>202604</x:v>
      </x:c>
      <x:c r="C1118" s="2" t="str">
        <x:v>62052000</x:v>
      </x:c>
      <x:c r="D1118" s="2" t="str">
        <x:v>Vietnam</x:v>
      </x:c>
      <x:c r="E1118" s="2" t="n">
        <x:v>1133444</x:v>
      </x:c>
      <x:c r="F1118" s="2" t="n">
        <x:v>35210</x:v>
      </x:c>
      <x:c r="G1118" s="2" t="str">
        <x:v>WITHIN_BAND</x:v>
      </x:c>
      <x:c r="H1118" s="2" t="n">
        <x:v>1</x:v>
      </x:c>
      <x:c r="I1118" s="2"/>
      <x:c r="J1118" s="2"/>
      <x:c r="K1118" s="2"/>
      <x:c r="L1118" s="2" t="n">
        <x:f>SUM(IF('Monthly_Data'!A774=A1118,IF(ISBLANK('Monthly_Data'!A774)=ISBLANK(A1118),0,1),1),IF('Monthly_Data'!B774=B1118,IF(ISBLANK('Monthly_Data'!B774)=ISBLANK(B1118),0,1),1),IF('Monthly_Data'!C774=C1118,IF(ISBLANK('Monthly_Data'!C774)=ISBLANK(C1118),0,1),1),IF('Monthly_Data'!D774=D1118,IF(ISBLANK('Monthly_Data'!D774)=ISBLANK(D1118),0,1),1),IF('Monthly_Data'!E774=E1118,IF(ISBLANK('Monthly_Data'!E774)=ISBLANK(E1118),0,1),1),IF('Monthly_Data'!F774=F1118,IF(ISBLANK('Monthly_Data'!F774)=ISBLANK(F1118),0,1),1),IF('Monthly_Data'!G774=G1118,IF(ISBLANK('Monthly_Data'!G774)=ISBLANK(G1118),0,1),1),IF('Monthly_Data'!H774=H1118,IF(ISBLANK('Monthly_Data'!H774)=ISBLANK(H1118),0,1),1))</x:f>
        <x:v>0</x:v>
      </x:c>
    </x:row>
    <x:row r="1119" ht="23" customHeight="1">
      <x:c r="A1119" s="2" t="str">
        <x:v>62052000_WORLD_202604_IMPORT</x:v>
      </x:c>
      <x:c r="B1119" s="2" t="n">
        <x:v>202604</x:v>
      </x:c>
      <x:c r="C1119" s="2" t="str">
        <x:v>62052000</x:v>
      </x:c>
      <x:c r="D1119" s="2" t="str">
        <x:v>World</x:v>
      </x:c>
      <x:c r="E1119" s="2" t="n">
        <x:v>22467448</x:v>
      </x:c>
      <x:c r="F1119" s="2" t="n">
        <x:v>869486</x:v>
      </x:c>
      <x:c r="G1119" s="2" t="str">
        <x:v>WITHIN_BAND</x:v>
      </x:c>
      <x:c r="H1119" s="2" t="n">
        <x:v>1</x:v>
      </x:c>
      <x:c r="I1119" s="2"/>
      <x:c r="J1119" s="2"/>
      <x:c r="K1119" s="2"/>
      <x:c r="L1119" s="2" t="n">
        <x:f>SUM(IF('Monthly_Data'!A775=A1119,IF(ISBLANK('Monthly_Data'!A775)=ISBLANK(A1119),0,1),1),IF('Monthly_Data'!B775=B1119,IF(ISBLANK('Monthly_Data'!B775)=ISBLANK(B1119),0,1),1),IF('Monthly_Data'!C775=C1119,IF(ISBLANK('Monthly_Data'!C775)=ISBLANK(C1119),0,1),1),IF('Monthly_Data'!D775=D1119,IF(ISBLANK('Monthly_Data'!D775)=ISBLANK(D1119),0,1),1),IF('Monthly_Data'!E775=E1119,IF(ISBLANK('Monthly_Data'!E775)=ISBLANK(E1119),0,1),1),IF('Monthly_Data'!F775=F1119,IF(ISBLANK('Monthly_Data'!F775)=ISBLANK(F1119),0,1),1),IF('Monthly_Data'!G775=G1119,IF(ISBLANK('Monthly_Data'!G775)=ISBLANK(G1119),0,1),1),IF('Monthly_Data'!H775=H1119,IF(ISBLANK('Monthly_Data'!H775)=ISBLANK(H1119),0,1),1))</x:f>
        <x:v>0</x:v>
      </x:c>
    </x:row>
    <x:row r="1120" ht="23" customHeight="1">
      <x:c r="A1120" s="2" t="str">
        <x:v>62052000_BD_202605_IMPORT</x:v>
      </x:c>
      <x:c r="B1120" s="2" t="n">
        <x:v>202605</x:v>
      </x:c>
      <x:c r="C1120" s="2" t="str">
        <x:v>62052000</x:v>
      </x:c>
      <x:c r="D1120" s="2" t="str">
        <x:v>Bangladesh</x:v>
      </x:c>
      <x:c r="E1120" s="2" t="n">
        <x:v>5310848</x:v>
      </x:c>
      <x:c r="F1120" s="2" t="n">
        <x:v>301517</x:v>
      </x:c>
      <x:c r="G1120" s="2" t="str">
        <x:v>WITHIN_BAND</x:v>
      </x:c>
      <x:c r="H1120" s="2" t="n">
        <x:v>1</x:v>
      </x:c>
      <x:c r="I1120" s="2"/>
      <x:c r="J1120" s="2"/>
      <x:c r="K1120" s="2"/>
      <x:c r="L1120" s="2" t="n">
        <x:f>SUM(IF('Monthly_Data'!A776=A1120,IF(ISBLANK('Monthly_Data'!A776)=ISBLANK(A1120),0,1),1),IF('Monthly_Data'!B776=B1120,IF(ISBLANK('Monthly_Data'!B776)=ISBLANK(B1120),0,1),1),IF('Monthly_Data'!C776=C1120,IF(ISBLANK('Monthly_Data'!C776)=ISBLANK(C1120),0,1),1),IF('Monthly_Data'!D776=D1120,IF(ISBLANK('Monthly_Data'!D776)=ISBLANK(D1120),0,1),1),IF('Monthly_Data'!E776=E1120,IF(ISBLANK('Monthly_Data'!E776)=ISBLANK(E1120),0,1),1),IF('Monthly_Data'!F776=F1120,IF(ISBLANK('Monthly_Data'!F776)=ISBLANK(F1120),0,1),1),IF('Monthly_Data'!G776=G1120,IF(ISBLANK('Monthly_Data'!G776)=ISBLANK(G1120),0,1),1),IF('Monthly_Data'!H776=H1120,IF(ISBLANK('Monthly_Data'!H776)=ISBLANK(H1120),0,1),1))</x:f>
        <x:v>0</x:v>
      </x:c>
    </x:row>
    <x:row r="1121" ht="23" customHeight="1">
      <x:c r="A1121" s="2" t="str">
        <x:v>62052000_KH_202605_IMPORT</x:v>
      </x:c>
      <x:c r="B1121" s="2" t="n">
        <x:v>202605</x:v>
      </x:c>
      <x:c r="C1121" s="2" t="str">
        <x:v>62052000</x:v>
      </x:c>
      <x:c r="D1121" s="2" t="str">
        <x:v>Cambodia</x:v>
      </x:c>
      <x:c r="E1121" s="2" t="n">
        <x:v>1315054</x:v>
      </x:c>
      <x:c r="F1121" s="2" t="n">
        <x:v>62661</x:v>
      </x:c>
      <x:c r="G1121" s="2" t="str">
        <x:v>WITHIN_BAND</x:v>
      </x:c>
      <x:c r="H1121" s="2" t="n">
        <x:v>1</x:v>
      </x:c>
      <x:c r="I1121" s="2"/>
      <x:c r="J1121" s="2"/>
      <x:c r="K1121" s="2"/>
      <x:c r="L1121" s="2" t="n">
        <x:f>SUM(IF('Monthly_Data'!A777=A1121,IF(ISBLANK('Monthly_Data'!A777)=ISBLANK(A1121),0,1),1),IF('Monthly_Data'!B777=B1121,IF(ISBLANK('Monthly_Data'!B777)=ISBLANK(B1121),0,1),1),IF('Monthly_Data'!C777=C1121,IF(ISBLANK('Monthly_Data'!C777)=ISBLANK(C1121),0,1),1),IF('Monthly_Data'!D777=D1121,IF(ISBLANK('Monthly_Data'!D777)=ISBLANK(D1121),0,1),1),IF('Monthly_Data'!E777=E1121,IF(ISBLANK('Monthly_Data'!E777)=ISBLANK(E1121),0,1),1),IF('Monthly_Data'!F777=F1121,IF(ISBLANK('Monthly_Data'!F777)=ISBLANK(F1121),0,1),1),IF('Monthly_Data'!G777=G1121,IF(ISBLANK('Monthly_Data'!G777)=ISBLANK(G1121),0,1),1),IF('Monthly_Data'!H777=H1121,IF(ISBLANK('Monthly_Data'!H777)=ISBLANK(H1121),0,1),1))</x:f>
        <x:v>0</x:v>
      </x:c>
    </x:row>
    <x:row r="1122" ht="23" customHeight="1">
      <x:c r="A1122" s="2" t="str">
        <x:v>62052000_CN_202605_IMPORT</x:v>
      </x:c>
      <x:c r="B1122" s="2" t="n">
        <x:v>202605</x:v>
      </x:c>
      <x:c r="C1122" s="2" t="str">
        <x:v>62052000</x:v>
      </x:c>
      <x:c r="D1122" s="2" t="str">
        <x:v>China</x:v>
      </x:c>
      <x:c r="E1122" s="2" t="n">
        <x:v>725226</x:v>
      </x:c>
      <x:c r="F1122" s="2" t="n">
        <x:v>34193</x:v>
      </x:c>
      <x:c r="G1122" s="2" t="str">
        <x:v>WITHIN_BAND</x:v>
      </x:c>
      <x:c r="H1122" s="2" t="n">
        <x:v>1</x:v>
      </x:c>
      <x:c r="I1122" s="2"/>
      <x:c r="J1122" s="2"/>
      <x:c r="K1122" s="2"/>
      <x:c r="L1122" s="2" t="n">
        <x:f>SUM(IF('Monthly_Data'!A778=A1122,IF(ISBLANK('Monthly_Data'!A778)=ISBLANK(A1122),0,1),1),IF('Monthly_Data'!B778=B1122,IF(ISBLANK('Monthly_Data'!B778)=ISBLANK(B1122),0,1),1),IF('Monthly_Data'!C778=C1122,IF(ISBLANK('Monthly_Data'!C778)=ISBLANK(C1122),0,1),1),IF('Monthly_Data'!D778=D1122,IF(ISBLANK('Monthly_Data'!D778)=ISBLANK(D1122),0,1),1),IF('Monthly_Data'!E778=E1122,IF(ISBLANK('Monthly_Data'!E778)=ISBLANK(E1122),0,1),1),IF('Monthly_Data'!F778=F1122,IF(ISBLANK('Monthly_Data'!F778)=ISBLANK(F1122),0,1),1),IF('Monthly_Data'!G778=G1122,IF(ISBLANK('Monthly_Data'!G778)=ISBLANK(G1122),0,1),1),IF('Monthly_Data'!H778=H1122,IF(ISBLANK('Monthly_Data'!H778)=ISBLANK(H1122),0,1),1))</x:f>
        <x:v>0</x:v>
      </x:c>
    </x:row>
    <x:row r="1123" ht="23" customHeight="1">
      <x:c r="A1123" s="2" t="str">
        <x:v>62052000_IN_202605_IMPORT</x:v>
      </x:c>
      <x:c r="B1123" s="2" t="n">
        <x:v>202605</x:v>
      </x:c>
      <x:c r="C1123" s="2" t="str">
        <x:v>62052000</x:v>
      </x:c>
      <x:c r="D1123" s="2" t="str">
        <x:v>India</x:v>
      </x:c>
      <x:c r="E1123" s="2" t="n">
        <x:v>2790481</x:v>
      </x:c>
      <x:c r="F1123" s="2" t="n">
        <x:v>139763</x:v>
      </x:c>
      <x:c r="G1123" s="2" t="str">
        <x:v>WITHIN_BAND</x:v>
      </x:c>
      <x:c r="H1123" s="2" t="n">
        <x:v>1</x:v>
      </x:c>
      <x:c r="I1123" s="2"/>
      <x:c r="J1123" s="2"/>
      <x:c r="K1123" s="2"/>
      <x:c r="L1123" s="2" t="n">
        <x:f>SUM(IF('Monthly_Data'!A779=A1123,IF(ISBLANK('Monthly_Data'!A779)=ISBLANK(A1123),0,1),1),IF('Monthly_Data'!B779=B1123,IF(ISBLANK('Monthly_Data'!B779)=ISBLANK(B1123),0,1),1),IF('Monthly_Data'!C779=C1123,IF(ISBLANK('Monthly_Data'!C779)=ISBLANK(C1123),0,1),1),IF('Monthly_Data'!D779=D1123,IF(ISBLANK('Monthly_Data'!D779)=ISBLANK(D1123),0,1),1),IF('Monthly_Data'!E779=E1123,IF(ISBLANK('Monthly_Data'!E779)=ISBLANK(E1123),0,1),1),IF('Monthly_Data'!F779=F1123,IF(ISBLANK('Monthly_Data'!F779)=ISBLANK(F1123),0,1),1),IF('Monthly_Data'!G779=G1123,IF(ISBLANK('Monthly_Data'!G779)=ISBLANK(G1123),0,1),1),IF('Monthly_Data'!H779=H1123,IF(ISBLANK('Monthly_Data'!H779)=ISBLANK(H1123),0,1),1))</x:f>
        <x:v>0</x:v>
      </x:c>
    </x:row>
    <x:row r="1124" ht="23" customHeight="1">
      <x:c r="A1124" s="2" t="str">
        <x:v>62052000_MA_202605_IMPORT</x:v>
      </x:c>
      <x:c r="B1124" s="2" t="n">
        <x:v>202605</x:v>
      </x:c>
      <x:c r="C1124" s="2" t="str">
        <x:v>62052000</x:v>
      </x:c>
      <x:c r="D1124" s="2" t="str">
        <x:v>Morocco</x:v>
      </x:c>
      <x:c r="E1124" s="2" t="n">
        <x:v>70203</x:v>
      </x:c>
      <x:c r="F1124" s="2" t="n">
        <x:v>1304</x:v>
      </x:c>
      <x:c r="G1124" s="2" t="str">
        <x:v>WITHIN_BAND</x:v>
      </x:c>
      <x:c r="H1124" s="2" t="n">
        <x:v>1</x:v>
      </x:c>
      <x:c r="I1124" s="2"/>
      <x:c r="J1124" s="2"/>
      <x:c r="K1124" s="2"/>
      <x:c r="L1124" s="2" t="n">
        <x:f>SUM(IF('Monthly_Data'!A780=A1124,IF(ISBLANK('Monthly_Data'!A780)=ISBLANK(A1124),0,1),1),IF('Monthly_Data'!B780=B1124,IF(ISBLANK('Monthly_Data'!B780)=ISBLANK(B1124),0,1),1),IF('Monthly_Data'!C780=C1124,IF(ISBLANK('Monthly_Data'!C780)=ISBLANK(C1124),0,1),1),IF('Monthly_Data'!D780=D1124,IF(ISBLANK('Monthly_Data'!D780)=ISBLANK(D1124),0,1),1),IF('Monthly_Data'!E780=E1124,IF(ISBLANK('Monthly_Data'!E780)=ISBLANK(E1124),0,1),1),IF('Monthly_Data'!F780=F1124,IF(ISBLANK('Monthly_Data'!F780)=ISBLANK(F1124),0,1),1),IF('Monthly_Data'!G780=G1124,IF(ISBLANK('Monthly_Data'!G780)=ISBLANK(G1124),0,1),1),IF('Monthly_Data'!H780=H1124,IF(ISBLANK('Monthly_Data'!H780)=ISBLANK(H1124),0,1),1))</x:f>
        <x:v>0</x:v>
      </x:c>
    </x:row>
    <x:row r="1125" ht="23" customHeight="1">
      <x:c r="A1125" s="2" t="str">
        <x:v>62052000_MM_202605_IMPORT</x:v>
      </x:c>
      <x:c r="B1125" s="2" t="n">
        <x:v>202605</x:v>
      </x:c>
      <x:c r="C1125" s="2" t="str">
        <x:v>62052000</x:v>
      </x:c>
      <x:c r="D1125" s="2" t="str">
        <x:v>Myanmar</x:v>
      </x:c>
      <x:c r="E1125" s="2" t="n">
        <x:v>59472</x:v>
      </x:c>
      <x:c r="F1125" s="2" t="n">
        <x:v>4997</x:v>
      </x:c>
      <x:c r="G1125" s="2" t="str">
        <x:v>WITHIN_BAND</x:v>
      </x:c>
      <x:c r="H1125" s="2" t="n">
        <x:v>1</x:v>
      </x:c>
      <x:c r="I1125" s="2"/>
      <x:c r="J1125" s="2"/>
      <x:c r="K1125" s="2"/>
      <x:c r="L1125" s="2" t="n">
        <x:f>SUM(IF('Monthly_Data'!A781=A1125,IF(ISBLANK('Monthly_Data'!A781)=ISBLANK(A1125),0,1),1),IF('Monthly_Data'!B781=B1125,IF(ISBLANK('Monthly_Data'!B781)=ISBLANK(B1125),0,1),1),IF('Monthly_Data'!C781=C1125,IF(ISBLANK('Monthly_Data'!C781)=ISBLANK(C1125),0,1),1),IF('Monthly_Data'!D781=D1125,IF(ISBLANK('Monthly_Data'!D781)=ISBLANK(D1125),0,1),1),IF('Monthly_Data'!E781=E1125,IF(ISBLANK('Monthly_Data'!E781)=ISBLANK(E1125),0,1),1),IF('Monthly_Data'!F781=F1125,IF(ISBLANK('Monthly_Data'!F781)=ISBLANK(F1125),0,1),1),IF('Monthly_Data'!G781=G1125,IF(ISBLANK('Monthly_Data'!G781)=ISBLANK(G1125),0,1),1),IF('Monthly_Data'!H781=H1125,IF(ISBLANK('Monthly_Data'!H781)=ISBLANK(H1125),0,1),1))</x:f>
        <x:v>0</x:v>
      </x:c>
    </x:row>
    <x:row r="1126" ht="23" customHeight="1">
      <x:c r="A1126" s="2" t="str">
        <x:v>62052000_PK_202605_IMPORT</x:v>
      </x:c>
      <x:c r="B1126" s="2" t="n">
        <x:v>202605</x:v>
      </x:c>
      <x:c r="C1126" s="2" t="str">
        <x:v>62052000</x:v>
      </x:c>
      <x:c r="D1126" s="2" t="str">
        <x:v>Pakistan</x:v>
      </x:c>
      <x:c r="E1126" s="2" t="n">
        <x:v>32727</x:v>
      </x:c>
      <x:c r="F1126" s="2" t="n">
        <x:v>1760</x:v>
      </x:c>
      <x:c r="G1126" s="2" t="str">
        <x:v>WITHIN_BAND</x:v>
      </x:c>
      <x:c r="H1126" s="2" t="n">
        <x:v>1</x:v>
      </x:c>
      <x:c r="I1126" s="2"/>
      <x:c r="J1126" s="2"/>
      <x:c r="K1126" s="2"/>
      <x:c r="L1126" s="2" t="n">
        <x:f>SUM(IF('Monthly_Data'!A782=A1126,IF(ISBLANK('Monthly_Data'!A782)=ISBLANK(A1126),0,1),1),IF('Monthly_Data'!B782=B1126,IF(ISBLANK('Monthly_Data'!B782)=ISBLANK(B1126),0,1),1),IF('Monthly_Data'!C782=C1126,IF(ISBLANK('Monthly_Data'!C782)=ISBLANK(C1126),0,1),1),IF('Monthly_Data'!D782=D1126,IF(ISBLANK('Monthly_Data'!D782)=ISBLANK(D1126),0,1),1),IF('Monthly_Data'!E782=E1126,IF(ISBLANK('Monthly_Data'!E782)=ISBLANK(E1126),0,1),1),IF('Monthly_Data'!F782=F1126,IF(ISBLANK('Monthly_Data'!F782)=ISBLANK(F1126),0,1),1),IF('Monthly_Data'!G782=G1126,IF(ISBLANK('Monthly_Data'!G782)=ISBLANK(G1126),0,1),1),IF('Monthly_Data'!H782=H1126,IF(ISBLANK('Monthly_Data'!H782)=ISBLANK(H1126),0,1),1))</x:f>
        <x:v>0</x:v>
      </x:c>
    </x:row>
    <x:row r="1127" ht="23" customHeight="1">
      <x:c r="A1127" s="2" t="str">
        <x:v>62052000_LK_202605_IMPORT</x:v>
      </x:c>
      <x:c r="B1127" s="2" t="n">
        <x:v>202605</x:v>
      </x:c>
      <x:c r="C1127" s="2" t="str">
        <x:v>62052000</x:v>
      </x:c>
      <x:c r="D1127" s="2" t="str">
        <x:v>Sri Lanka</x:v>
      </x:c>
      <x:c r="E1127" s="2" t="n">
        <x:v>193786</x:v>
      </x:c>
      <x:c r="F1127" s="2" t="n">
        <x:v>11334</x:v>
      </x:c>
      <x:c r="G1127" s="2" t="str">
        <x:v>WITHIN_BAND</x:v>
      </x:c>
      <x:c r="H1127" s="2" t="n">
        <x:v>1</x:v>
      </x:c>
      <x:c r="I1127" s="2"/>
      <x:c r="J1127" s="2"/>
      <x:c r="K1127" s="2"/>
      <x:c r="L1127" s="2" t="n">
        <x:f>SUM(IF('Monthly_Data'!A783=A1127,IF(ISBLANK('Monthly_Data'!A783)=ISBLANK(A1127),0,1),1),IF('Monthly_Data'!B783=B1127,IF(ISBLANK('Monthly_Data'!B783)=ISBLANK(B1127),0,1),1),IF('Monthly_Data'!C783=C1127,IF(ISBLANK('Monthly_Data'!C783)=ISBLANK(C1127),0,1),1),IF('Monthly_Data'!D783=D1127,IF(ISBLANK('Monthly_Data'!D783)=ISBLANK(D1127),0,1),1),IF('Monthly_Data'!E783=E1127,IF(ISBLANK('Monthly_Data'!E783)=ISBLANK(E1127),0,1),1),IF('Monthly_Data'!F783=F1127,IF(ISBLANK('Monthly_Data'!F783)=ISBLANK(F1127),0,1),1),IF('Monthly_Data'!G783=G1127,IF(ISBLANK('Monthly_Data'!G783)=ISBLANK(G1127),0,1),1),IF('Monthly_Data'!H783=H1127,IF(ISBLANK('Monthly_Data'!H783)=ISBLANK(H1127),0,1),1))</x:f>
        <x:v>0</x:v>
      </x:c>
    </x:row>
    <x:row r="1128" ht="23" customHeight="1">
      <x:c r="A1128" s="2" t="str">
        <x:v>62052000_TR_202605_IMPORT</x:v>
      </x:c>
      <x:c r="B1128" s="2" t="n">
        <x:v>202605</x:v>
      </x:c>
      <x:c r="C1128" s="2" t="str">
        <x:v>62052000</x:v>
      </x:c>
      <x:c r="D1128" s="2" t="str">
        <x:v>Turkey</x:v>
      </x:c>
      <x:c r="E1128" s="2" t="n">
        <x:v>835184</x:v>
      </x:c>
      <x:c r="F1128" s="2" t="n">
        <x:v>20585</x:v>
      </x:c>
      <x:c r="G1128" s="2" t="str">
        <x:v>WITHIN_BAND</x:v>
      </x:c>
      <x:c r="H1128" s="2" t="n">
        <x:v>1</x:v>
      </x:c>
      <x:c r="I1128" s="2"/>
      <x:c r="J1128" s="2"/>
      <x:c r="K1128" s="2"/>
      <x:c r="L1128" s="2" t="n">
        <x:f>SUM(IF('Monthly_Data'!A784=A1128,IF(ISBLANK('Monthly_Data'!A784)=ISBLANK(A1128),0,1),1),IF('Monthly_Data'!B784=B1128,IF(ISBLANK('Monthly_Data'!B784)=ISBLANK(B1128),0,1),1),IF('Monthly_Data'!C784=C1128,IF(ISBLANK('Monthly_Data'!C784)=ISBLANK(C1128),0,1),1),IF('Monthly_Data'!D784=D1128,IF(ISBLANK('Monthly_Data'!D784)=ISBLANK(D1128),0,1),1),IF('Monthly_Data'!E784=E1128,IF(ISBLANK('Monthly_Data'!E784)=ISBLANK(E1128),0,1),1),IF('Monthly_Data'!F784=F1128,IF(ISBLANK('Monthly_Data'!F784)=ISBLANK(F1128),0,1),1),IF('Monthly_Data'!G784=G1128,IF(ISBLANK('Monthly_Data'!G784)=ISBLANK(G1128),0,1),1),IF('Monthly_Data'!H784=H1128,IF(ISBLANK('Monthly_Data'!H784)=ISBLANK(H1128),0,1),1))</x:f>
        <x:v>0</x:v>
      </x:c>
    </x:row>
    <x:row r="1129" ht="23" customHeight="1">
      <x:c r="A1129" s="2" t="str">
        <x:v>62052000_VN_202605_IMPORT</x:v>
      </x:c>
      <x:c r="B1129" s="2" t="n">
        <x:v>202605</x:v>
      </x:c>
      <x:c r="C1129" s="2" t="str">
        <x:v>62052000</x:v>
      </x:c>
      <x:c r="D1129" s="2" t="str">
        <x:v>Vietnam</x:v>
      </x:c>
      <x:c r="E1129" s="2" t="n">
        <x:v>832588</x:v>
      </x:c>
      <x:c r="F1129" s="2" t="n">
        <x:v>26374</x:v>
      </x:c>
      <x:c r="G1129" s="2" t="str">
        <x:v>WITHIN_BAND</x:v>
      </x:c>
      <x:c r="H1129" s="2" t="n">
        <x:v>1</x:v>
      </x:c>
      <x:c r="I1129" s="2"/>
      <x:c r="J1129" s="2"/>
      <x:c r="K1129" s="2"/>
      <x:c r="L1129" s="2" t="n">
        <x:f>SUM(IF('Monthly_Data'!A785=A1129,IF(ISBLANK('Monthly_Data'!A785)=ISBLANK(A1129),0,1),1),IF('Monthly_Data'!B785=B1129,IF(ISBLANK('Monthly_Data'!B785)=ISBLANK(B1129),0,1),1),IF('Monthly_Data'!C785=C1129,IF(ISBLANK('Monthly_Data'!C785)=ISBLANK(C1129),0,1),1),IF('Monthly_Data'!D785=D1129,IF(ISBLANK('Monthly_Data'!D785)=ISBLANK(D1129),0,1),1),IF('Monthly_Data'!E785=E1129,IF(ISBLANK('Monthly_Data'!E785)=ISBLANK(E1129),0,1),1),IF('Monthly_Data'!F785=F1129,IF(ISBLANK('Monthly_Data'!F785)=ISBLANK(F1129),0,1),1),IF('Monthly_Data'!G785=G1129,IF(ISBLANK('Monthly_Data'!G785)=ISBLANK(G1129),0,1),1),IF('Monthly_Data'!H785=H1129,IF(ISBLANK('Monthly_Data'!H785)=ISBLANK(H1129),0,1),1))</x:f>
        <x:v>0</x:v>
      </x:c>
    </x:row>
    <x:row r="1130" ht="23" customHeight="1">
      <x:c r="A1130" s="2" t="str">
        <x:v>62052000_WORLD_202605_IMPORT</x:v>
      </x:c>
      <x:c r="B1130" s="2" t="n">
        <x:v>202605</x:v>
      </x:c>
      <x:c r="C1130" s="2" t="str">
        <x:v>62052000</x:v>
      </x:c>
      <x:c r="D1130" s="2" t="str">
        <x:v>World</x:v>
      </x:c>
      <x:c r="E1130" s="2" t="n">
        <x:v>19070349</x:v>
      </x:c>
      <x:c r="F1130" s="2" t="n">
        <x:v>745612</x:v>
      </x:c>
      <x:c r="G1130" s="2" t="str">
        <x:v>WITHIN_BAND</x:v>
      </x:c>
      <x:c r="H1130" s="2" t="n">
        <x:v>1</x:v>
      </x:c>
      <x:c r="I1130" s="2"/>
      <x:c r="J1130" s="2"/>
      <x:c r="K1130" s="2"/>
      <x:c r="L1130" s="2" t="n">
        <x:f>SUM(IF('Monthly_Data'!A786=A1130,IF(ISBLANK('Monthly_Data'!A786)=ISBLANK(A1130),0,1),1),IF('Monthly_Data'!B786=B1130,IF(ISBLANK('Monthly_Data'!B786)=ISBLANK(B1130),0,1),1),IF('Monthly_Data'!C786=C1130,IF(ISBLANK('Monthly_Data'!C786)=ISBLANK(C1130),0,1),1),IF('Monthly_Data'!D786=D1130,IF(ISBLANK('Monthly_Data'!D786)=ISBLANK(D1130),0,1),1),IF('Monthly_Data'!E786=E1130,IF(ISBLANK('Monthly_Data'!E786)=ISBLANK(E1130),0,1),1),IF('Monthly_Data'!F786=F1130,IF(ISBLANK('Monthly_Data'!F786)=ISBLANK(F1130),0,1),1),IF('Monthly_Data'!G786=G1130,IF(ISBLANK('Monthly_Data'!G786)=ISBLANK(G1130),0,1),1),IF('Monthly_Data'!H786=H1130,IF(ISBLANK('Monthly_Data'!H786)=ISBLANK(H1130),0,1),1))</x:f>
        <x:v>0</x:v>
      </x:c>
    </x:row>
    <x:row r="1131" ht="23" customHeight="1">
      <x:c r="A1131" s="2" t="str">
        <x:v>62052000_BD_202606_IMPORT</x:v>
      </x:c>
      <x:c r="B1131" s="2" t="n">
        <x:v>202606</x:v>
      </x:c>
      <x:c r="C1131" s="2" t="str">
        <x:v>62052000</x:v>
      </x:c>
      <x:c r="D1131" s="2" t="str">
        <x:v>Bangladesh</x:v>
      </x:c>
      <x:c r="E1131" s="2" t="n">
        <x:v>5310423</x:v>
      </x:c>
      <x:c r="F1131" s="2" t="n">
        <x:v>330689</x:v>
      </x:c>
      <x:c r="G1131" s="2" t="str">
        <x:v>WITHIN_BAND</x:v>
      </x:c>
      <x:c r="H1131" s="2" t="n">
        <x:v>1</x:v>
      </x:c>
      <x:c r="I1131" s="2"/>
      <x:c r="J1131" s="2"/>
      <x:c r="K1131" s="2"/>
      <x:c r="L1131" s="2" t="n">
        <x:f>SUM(IF('Monthly_Data'!A787=A1131,IF(ISBLANK('Monthly_Data'!A787)=ISBLANK(A1131),0,1),1),IF('Monthly_Data'!B787=B1131,IF(ISBLANK('Monthly_Data'!B787)=ISBLANK(B1131),0,1),1),IF('Monthly_Data'!C787=C1131,IF(ISBLANK('Monthly_Data'!C787)=ISBLANK(C1131),0,1),1),IF('Monthly_Data'!D787=D1131,IF(ISBLANK('Monthly_Data'!D787)=ISBLANK(D1131),0,1),1),IF('Monthly_Data'!E787=E1131,IF(ISBLANK('Monthly_Data'!E787)=ISBLANK(E1131),0,1),1),IF('Monthly_Data'!F787=F1131,IF(ISBLANK('Monthly_Data'!F787)=ISBLANK(F1131),0,1),1),IF('Monthly_Data'!G787=G1131,IF(ISBLANK('Monthly_Data'!G787)=ISBLANK(G1131),0,1),1),IF('Monthly_Data'!H787=H1131,IF(ISBLANK('Monthly_Data'!H787)=ISBLANK(H1131),0,1),1))</x:f>
        <x:v>0</x:v>
      </x:c>
    </x:row>
    <x:row r="1132" ht="23" customHeight="1">
      <x:c r="A1132" s="2" t="str">
        <x:v>62052000_KH_202606_IMPORT</x:v>
      </x:c>
      <x:c r="B1132" s="2" t="n">
        <x:v>202606</x:v>
      </x:c>
      <x:c r="C1132" s="2" t="str">
        <x:v>62052000</x:v>
      </x:c>
      <x:c r="D1132" s="2" t="str">
        <x:v>Cambodia</x:v>
      </x:c>
      <x:c r="E1132" s="2" t="n">
        <x:v>1005912</x:v>
      </x:c>
      <x:c r="F1132" s="2" t="n">
        <x:v>39334</x:v>
      </x:c>
      <x:c r="G1132" s="2" t="str">
        <x:v>WITHIN_BAND</x:v>
      </x:c>
      <x:c r="H1132" s="2" t="n">
        <x:v>1</x:v>
      </x:c>
      <x:c r="I1132" s="2"/>
      <x:c r="J1132" s="2"/>
      <x:c r="K1132" s="2"/>
      <x:c r="L1132" s="2" t="n">
        <x:f>SUM(IF('Monthly_Data'!A788=A1132,IF(ISBLANK('Monthly_Data'!A788)=ISBLANK(A1132),0,1),1),IF('Monthly_Data'!B788=B1132,IF(ISBLANK('Monthly_Data'!B788)=ISBLANK(B1132),0,1),1),IF('Monthly_Data'!C788=C1132,IF(ISBLANK('Monthly_Data'!C788)=ISBLANK(C1132),0,1),1),IF('Monthly_Data'!D788=D1132,IF(ISBLANK('Monthly_Data'!D788)=ISBLANK(D1132),0,1),1),IF('Monthly_Data'!E788=E1132,IF(ISBLANK('Monthly_Data'!E788)=ISBLANK(E1132),0,1),1),IF('Monthly_Data'!F788=F1132,IF(ISBLANK('Monthly_Data'!F788)=ISBLANK(F1132),0,1),1),IF('Monthly_Data'!G788=G1132,IF(ISBLANK('Monthly_Data'!G788)=ISBLANK(G1132),0,1),1),IF('Monthly_Data'!H788=H1132,IF(ISBLANK('Monthly_Data'!H788)=ISBLANK(H1132),0,1),1))</x:f>
        <x:v>0</x:v>
      </x:c>
    </x:row>
    <x:row r="1133" ht="23" customHeight="1">
      <x:c r="A1133" s="2" t="str">
        <x:v>62052000_CN_202606_IMPORT</x:v>
      </x:c>
      <x:c r="B1133" s="2" t="n">
        <x:v>202606</x:v>
      </x:c>
      <x:c r="C1133" s="2" t="str">
        <x:v>62052000</x:v>
      </x:c>
      <x:c r="D1133" s="2" t="str">
        <x:v>China</x:v>
      </x:c>
      <x:c r="E1133" s="2" t="n">
        <x:v>824050</x:v>
      </x:c>
      <x:c r="F1133" s="2" t="n">
        <x:v>44185</x:v>
      </x:c>
      <x:c r="G1133" s="2" t="str">
        <x:v>WITHIN_BAND</x:v>
      </x:c>
      <x:c r="H1133" s="2" t="n">
        <x:v>1</x:v>
      </x:c>
      <x:c r="I1133" s="2"/>
      <x:c r="J1133" s="2"/>
      <x:c r="K1133" s="2"/>
      <x:c r="L1133" s="2" t="n">
        <x:f>SUM(IF('Monthly_Data'!A789=A1133,IF(ISBLANK('Monthly_Data'!A789)=ISBLANK(A1133),0,1),1),IF('Monthly_Data'!B789=B1133,IF(ISBLANK('Monthly_Data'!B789)=ISBLANK(B1133),0,1),1),IF('Monthly_Data'!C789=C1133,IF(ISBLANK('Monthly_Data'!C789)=ISBLANK(C1133),0,1),1),IF('Monthly_Data'!D789=D1133,IF(ISBLANK('Monthly_Data'!D789)=ISBLANK(D1133),0,1),1),IF('Monthly_Data'!E789=E1133,IF(ISBLANK('Monthly_Data'!E789)=ISBLANK(E1133),0,1),1),IF('Monthly_Data'!F789=F1133,IF(ISBLANK('Monthly_Data'!F789)=ISBLANK(F1133),0,1),1),IF('Monthly_Data'!G789=G1133,IF(ISBLANK('Monthly_Data'!G789)=ISBLANK(G1133),0,1),1),IF('Monthly_Data'!H789=H1133,IF(ISBLANK('Monthly_Data'!H789)=ISBLANK(H1133),0,1),1))</x:f>
        <x:v>0</x:v>
      </x:c>
    </x:row>
    <x:row r="1134" ht="23" customHeight="1">
      <x:c r="A1134" s="2" t="str">
        <x:v>62052000_IN_202606_IMPORT</x:v>
      </x:c>
      <x:c r="B1134" s="2" t="n">
        <x:v>202606</x:v>
      </x:c>
      <x:c r="C1134" s="2" t="str">
        <x:v>62052000</x:v>
      </x:c>
      <x:c r="D1134" s="2" t="str">
        <x:v>India</x:v>
      </x:c>
      <x:c r="E1134" s="2" t="n">
        <x:v>1593150</x:v>
      </x:c>
      <x:c r="F1134" s="2" t="n">
        <x:v>75336</x:v>
      </x:c>
      <x:c r="G1134" s="2" t="str">
        <x:v>WITHIN_BAND</x:v>
      </x:c>
      <x:c r="H1134" s="2" t="n">
        <x:v>1</x:v>
      </x:c>
      <x:c r="I1134" s="2"/>
      <x:c r="J1134" s="2"/>
      <x:c r="K1134" s="2"/>
      <x:c r="L1134" s="2" t="n">
        <x:f>SUM(IF('Monthly_Data'!A790=A1134,IF(ISBLANK('Monthly_Data'!A790)=ISBLANK(A1134),0,1),1),IF('Monthly_Data'!B790=B1134,IF(ISBLANK('Monthly_Data'!B790)=ISBLANK(B1134),0,1),1),IF('Monthly_Data'!C790=C1134,IF(ISBLANK('Monthly_Data'!C790)=ISBLANK(C1134),0,1),1),IF('Monthly_Data'!D790=D1134,IF(ISBLANK('Monthly_Data'!D790)=ISBLANK(D1134),0,1),1),IF('Monthly_Data'!E790=E1134,IF(ISBLANK('Monthly_Data'!E790)=ISBLANK(E1134),0,1),1),IF('Monthly_Data'!F790=F1134,IF(ISBLANK('Monthly_Data'!F790)=ISBLANK(F1134),0,1),1),IF('Monthly_Data'!G790=G1134,IF(ISBLANK('Monthly_Data'!G790)=ISBLANK(G1134),0,1),1),IF('Monthly_Data'!H790=H1134,IF(ISBLANK('Monthly_Data'!H790)=ISBLANK(H1134),0,1),1))</x:f>
        <x:v>0</x:v>
      </x:c>
    </x:row>
    <x:row r="1135" ht="23" customHeight="1">
      <x:c r="A1135" s="2" t="str">
        <x:v>62052000_MA_202606_IMPORT</x:v>
      </x:c>
      <x:c r="B1135" s="2" t="n">
        <x:v>202606</x:v>
      </x:c>
      <x:c r="C1135" s="2" t="str">
        <x:v>62052000</x:v>
      </x:c>
      <x:c r="D1135" s="2" t="str">
        <x:v>Morocco</x:v>
      </x:c>
      <x:c r="E1135" s="2" t="n">
        <x:v>216390</x:v>
      </x:c>
      <x:c r="F1135" s="2" t="n">
        <x:v>7093</x:v>
      </x:c>
      <x:c r="G1135" s="2" t="str">
        <x:v>WITHIN_BAND</x:v>
      </x:c>
      <x:c r="H1135" s="2" t="n">
        <x:v>1</x:v>
      </x:c>
      <x:c r="I1135" s="2"/>
      <x:c r="J1135" s="2"/>
      <x:c r="K1135" s="2"/>
      <x:c r="L1135" s="2" t="n">
        <x:f>SUM(IF('Monthly_Data'!A791=A1135,IF(ISBLANK('Monthly_Data'!A791)=ISBLANK(A1135),0,1),1),IF('Monthly_Data'!B791=B1135,IF(ISBLANK('Monthly_Data'!B791)=ISBLANK(B1135),0,1),1),IF('Monthly_Data'!C791=C1135,IF(ISBLANK('Monthly_Data'!C791)=ISBLANK(C1135),0,1),1),IF('Monthly_Data'!D791=D1135,IF(ISBLANK('Monthly_Data'!D791)=ISBLANK(D1135),0,1),1),IF('Monthly_Data'!E791=E1135,IF(ISBLANK('Monthly_Data'!E791)=ISBLANK(E1135),0,1),1),IF('Monthly_Data'!F791=F1135,IF(ISBLANK('Monthly_Data'!F791)=ISBLANK(F1135),0,1),1),IF('Monthly_Data'!G791=G1135,IF(ISBLANK('Monthly_Data'!G791)=ISBLANK(G1135),0,1),1),IF('Monthly_Data'!H791=H1135,IF(ISBLANK('Monthly_Data'!H791)=ISBLANK(H1135),0,1),1))</x:f>
        <x:v>0</x:v>
      </x:c>
    </x:row>
    <x:row r="1136" ht="23" customHeight="1">
      <x:c r="A1136" s="2" t="str">
        <x:v>62052000_MM_202606_IMPORT</x:v>
      </x:c>
      <x:c r="B1136" s="2" t="n">
        <x:v>202606</x:v>
      </x:c>
      <x:c r="C1136" s="2" t="str">
        <x:v>62052000</x:v>
      </x:c>
      <x:c r="D1136" s="2" t="str">
        <x:v>Myanmar</x:v>
      </x:c>
      <x:c r="E1136" s="2" t="n">
        <x:v>105980</x:v>
      </x:c>
      <x:c r="F1136" s="2" t="n">
        <x:v>9031</x:v>
      </x:c>
      <x:c r="G1136" s="2" t="str">
        <x:v>WITHIN_BAND</x:v>
      </x:c>
      <x:c r="H1136" s="2" t="n">
        <x:v>1</x:v>
      </x:c>
      <x:c r="I1136" s="2"/>
      <x:c r="J1136" s="2"/>
      <x:c r="K1136" s="2"/>
      <x:c r="L1136" s="2" t="n">
        <x:f>SUM(IF('Monthly_Data'!A792=A1136,IF(ISBLANK('Monthly_Data'!A792)=ISBLANK(A1136),0,1),1),IF('Monthly_Data'!B792=B1136,IF(ISBLANK('Monthly_Data'!B792)=ISBLANK(B1136),0,1),1),IF('Monthly_Data'!C792=C1136,IF(ISBLANK('Monthly_Data'!C792)=ISBLANK(C1136),0,1),1),IF('Monthly_Data'!D792=D1136,IF(ISBLANK('Monthly_Data'!D792)=ISBLANK(D1136),0,1),1),IF('Monthly_Data'!E792=E1136,IF(ISBLANK('Monthly_Data'!E792)=ISBLANK(E1136),0,1),1),IF('Monthly_Data'!F792=F1136,IF(ISBLANK('Monthly_Data'!F792)=ISBLANK(F1136),0,1),1),IF('Monthly_Data'!G792=G1136,IF(ISBLANK('Monthly_Data'!G792)=ISBLANK(G1136),0,1),1),IF('Monthly_Data'!H792=H1136,IF(ISBLANK('Monthly_Data'!H792)=ISBLANK(H1136),0,1),1))</x:f>
        <x:v>0</x:v>
      </x:c>
    </x:row>
    <x:row r="1137" ht="23" customHeight="1">
      <x:c r="A1137" s="2" t="str">
        <x:v>62052000_PK_202606_IMPORT</x:v>
      </x:c>
      <x:c r="B1137" s="2" t="n">
        <x:v>202606</x:v>
      </x:c>
      <x:c r="C1137" s="2" t="str">
        <x:v>62052000</x:v>
      </x:c>
      <x:c r="D1137" s="2" t="str">
        <x:v>Pakistan</x:v>
      </x:c>
      <x:c r="E1137" s="2" t="n">
        <x:v>74075</x:v>
      </x:c>
      <x:c r="F1137" s="2" t="n">
        <x:v>4559</x:v>
      </x:c>
      <x:c r="G1137" s="2" t="str">
        <x:v>WITHIN_BAND</x:v>
      </x:c>
      <x:c r="H1137" s="2" t="n">
        <x:v>1</x:v>
      </x:c>
      <x:c r="I1137" s="2"/>
      <x:c r="J1137" s="2"/>
      <x:c r="K1137" s="2"/>
      <x:c r="L1137" s="2" t="n">
        <x:f>SUM(IF('Monthly_Data'!A793=A1137,IF(ISBLANK('Monthly_Data'!A793)=ISBLANK(A1137),0,1),1),IF('Monthly_Data'!B793=B1137,IF(ISBLANK('Monthly_Data'!B793)=ISBLANK(B1137),0,1),1),IF('Monthly_Data'!C793=C1137,IF(ISBLANK('Monthly_Data'!C793)=ISBLANK(C1137),0,1),1),IF('Monthly_Data'!D793=D1137,IF(ISBLANK('Monthly_Data'!D793)=ISBLANK(D1137),0,1),1),IF('Monthly_Data'!E793=E1137,IF(ISBLANK('Monthly_Data'!E793)=ISBLANK(E1137),0,1),1),IF('Monthly_Data'!F793=F1137,IF(ISBLANK('Monthly_Data'!F793)=ISBLANK(F1137),0,1),1),IF('Monthly_Data'!G793=G1137,IF(ISBLANK('Monthly_Data'!G793)=ISBLANK(G1137),0,1),1),IF('Monthly_Data'!H793=H1137,IF(ISBLANK('Monthly_Data'!H793)=ISBLANK(H1137),0,1),1))</x:f>
        <x:v>0</x:v>
      </x:c>
    </x:row>
    <x:row r="1138" ht="23" customHeight="1">
      <x:c r="A1138" s="2" t="str">
        <x:v>62052000_LK_202606_IMPORT</x:v>
      </x:c>
      <x:c r="B1138" s="2" t="n">
        <x:v>202606</x:v>
      </x:c>
      <x:c r="C1138" s="2" t="str">
        <x:v>62052000</x:v>
      </x:c>
      <x:c r="D1138" s="2" t="str">
        <x:v>Sri Lanka</x:v>
      </x:c>
      <x:c r="E1138" s="2" t="n">
        <x:v>257200</x:v>
      </x:c>
      <x:c r="F1138" s="2" t="n">
        <x:v>8243</x:v>
      </x:c>
      <x:c r="G1138" s="2" t="str">
        <x:v>WITHIN_BAND</x:v>
      </x:c>
      <x:c r="H1138" s="2" t="n">
        <x:v>1</x:v>
      </x:c>
      <x:c r="I1138" s="2"/>
      <x:c r="J1138" s="2"/>
      <x:c r="K1138" s="2"/>
      <x:c r="L1138" s="2" t="n">
        <x:f>SUM(IF('Monthly_Data'!A794=A1138,IF(ISBLANK('Monthly_Data'!A794)=ISBLANK(A1138),0,1),1),IF('Monthly_Data'!B794=B1138,IF(ISBLANK('Monthly_Data'!B794)=ISBLANK(B1138),0,1),1),IF('Monthly_Data'!C794=C1138,IF(ISBLANK('Monthly_Data'!C794)=ISBLANK(C1138),0,1),1),IF('Monthly_Data'!D794=D1138,IF(ISBLANK('Monthly_Data'!D794)=ISBLANK(D1138),0,1),1),IF('Monthly_Data'!E794=E1138,IF(ISBLANK('Monthly_Data'!E794)=ISBLANK(E1138),0,1),1),IF('Monthly_Data'!F794=F1138,IF(ISBLANK('Monthly_Data'!F794)=ISBLANK(F1138),0,1),1),IF('Monthly_Data'!G794=G1138,IF(ISBLANK('Monthly_Data'!G794)=ISBLANK(G1138),0,1),1),IF('Monthly_Data'!H794=H1138,IF(ISBLANK('Monthly_Data'!H794)=ISBLANK(H1138),0,1),1))</x:f>
        <x:v>0</x:v>
      </x:c>
    </x:row>
    <x:row r="1139" ht="23" customHeight="1">
      <x:c r="A1139" s="2" t="str">
        <x:v>62052000_TR_202606_IMPORT</x:v>
      </x:c>
      <x:c r="B1139" s="2" t="n">
        <x:v>202606</x:v>
      </x:c>
      <x:c r="C1139" s="2" t="str">
        <x:v>62052000</x:v>
      </x:c>
      <x:c r="D1139" s="2" t="str">
        <x:v>Turkey</x:v>
      </x:c>
      <x:c r="E1139" s="2" t="n">
        <x:v>1140177</x:v>
      </x:c>
      <x:c r="F1139" s="2" t="n">
        <x:v>29237</x:v>
      </x:c>
      <x:c r="G1139" s="2" t="str">
        <x:v>WITHIN_BAND</x:v>
      </x:c>
      <x:c r="H1139" s="2" t="n">
        <x:v>1</x:v>
      </x:c>
      <x:c r="I1139" s="2"/>
      <x:c r="J1139" s="2"/>
      <x:c r="K1139" s="2"/>
      <x:c r="L1139" s="2" t="n">
        <x:f>SUM(IF('Monthly_Data'!A795=A1139,IF(ISBLANK('Monthly_Data'!A795)=ISBLANK(A1139),0,1),1),IF('Monthly_Data'!B795=B1139,IF(ISBLANK('Monthly_Data'!B795)=ISBLANK(B1139),0,1),1),IF('Monthly_Data'!C795=C1139,IF(ISBLANK('Monthly_Data'!C795)=ISBLANK(C1139),0,1),1),IF('Monthly_Data'!D795=D1139,IF(ISBLANK('Monthly_Data'!D795)=ISBLANK(D1139),0,1),1),IF('Monthly_Data'!E795=E1139,IF(ISBLANK('Monthly_Data'!E795)=ISBLANK(E1139),0,1),1),IF('Monthly_Data'!F795=F1139,IF(ISBLANK('Monthly_Data'!F795)=ISBLANK(F1139),0,1),1),IF('Monthly_Data'!G795=G1139,IF(ISBLANK('Monthly_Data'!G795)=ISBLANK(G1139),0,1),1),IF('Monthly_Data'!H795=H1139,IF(ISBLANK('Monthly_Data'!H795)=ISBLANK(H1139),0,1),1))</x:f>
        <x:v>0</x:v>
      </x:c>
    </x:row>
    <x:row r="1140" ht="23" customHeight="1">
      <x:c r="A1140" s="2" t="str">
        <x:v>62052000_VN_202606_IMPORT</x:v>
      </x:c>
      <x:c r="B1140" s="2" t="n">
        <x:v>202606</x:v>
      </x:c>
      <x:c r="C1140" s="2" t="str">
        <x:v>62052000</x:v>
      </x:c>
      <x:c r="D1140" s="2" t="str">
        <x:v>Vietnam</x:v>
      </x:c>
      <x:c r="E1140" s="2" t="n">
        <x:v>451350</x:v>
      </x:c>
      <x:c r="F1140" s="2" t="n">
        <x:v>14231</x:v>
      </x:c>
      <x:c r="G1140" s="2" t="str">
        <x:v>WITHIN_BAND</x:v>
      </x:c>
      <x:c r="H1140" s="2" t="n">
        <x:v>1</x:v>
      </x:c>
      <x:c r="I1140" s="2"/>
      <x:c r="J1140" s="2"/>
      <x:c r="K1140" s="2"/>
      <x:c r="L1140" s="2" t="n">
        <x:f>SUM(IF('Monthly_Data'!A796=A1140,IF(ISBLANK('Monthly_Data'!A796)=ISBLANK(A1140),0,1),1),IF('Monthly_Data'!B796=B1140,IF(ISBLANK('Monthly_Data'!B796)=ISBLANK(B1140),0,1),1),IF('Monthly_Data'!C796=C1140,IF(ISBLANK('Monthly_Data'!C796)=ISBLANK(C1140),0,1),1),IF('Monthly_Data'!D796=D1140,IF(ISBLANK('Monthly_Data'!D796)=ISBLANK(D1140),0,1),1),IF('Monthly_Data'!E796=E1140,IF(ISBLANK('Monthly_Data'!E796)=ISBLANK(E1140),0,1),1),IF('Monthly_Data'!F796=F1140,IF(ISBLANK('Monthly_Data'!F796)=ISBLANK(F1140),0,1),1),IF('Monthly_Data'!G796=G1140,IF(ISBLANK('Monthly_Data'!G796)=ISBLANK(G1140),0,1),1),IF('Monthly_Data'!H796=H1140,IF(ISBLANK('Monthly_Data'!H796)=ISBLANK(H1140),0,1),1))</x:f>
        <x:v>0</x:v>
      </x:c>
    </x:row>
    <x:row r="1141" ht="23" customHeight="1">
      <x:c r="A1141" s="2" t="str">
        <x:v>62052000_WORLD_202606_IMPORT</x:v>
      </x:c>
      <x:c r="B1141" s="2" t="n">
        <x:v>202606</x:v>
      </x:c>
      <x:c r="C1141" s="2" t="str">
        <x:v>62052000</x:v>
      </x:c>
      <x:c r="D1141" s="2" t="str">
        <x:v>World</x:v>
      </x:c>
      <x:c r="E1141" s="2" t="n">
        <x:v>18430383</x:v>
      </x:c>
      <x:c r="F1141" s="2" t="n">
        <x:v>704182</x:v>
      </x:c>
      <x:c r="G1141" s="2" t="str">
        <x:v>WITHIN_BAND</x:v>
      </x:c>
      <x:c r="H1141" s="2" t="n">
        <x:v>1</x:v>
      </x:c>
      <x:c r="I1141" s="2"/>
      <x:c r="J1141" s="2"/>
      <x:c r="K1141" s="2"/>
      <x:c r="L1141" s="2" t="n">
        <x:f>SUM(IF('Monthly_Data'!A797=A1141,IF(ISBLANK('Monthly_Data'!A797)=ISBLANK(A1141),0,1),1),IF('Monthly_Data'!B797=B1141,IF(ISBLANK('Monthly_Data'!B797)=ISBLANK(B1141),0,1),1),IF('Monthly_Data'!C797=C1141,IF(ISBLANK('Monthly_Data'!C797)=ISBLANK(C1141),0,1),1),IF('Monthly_Data'!D797=D1141,IF(ISBLANK('Monthly_Data'!D797)=ISBLANK(D1141),0,1),1),IF('Monthly_Data'!E797=E1141,IF(ISBLANK('Monthly_Data'!E797)=ISBLANK(E1141),0,1),1),IF('Monthly_Data'!F797=F1141,IF(ISBLANK('Monthly_Data'!F797)=ISBLANK(F1141),0,1),1),IF('Monthly_Data'!G797=G1141,IF(ISBLANK('Monthly_Data'!G797)=ISBLANK(G1141),0,1),1),IF('Monthly_Data'!H797=H1141,IF(ISBLANK('Monthly_Data'!H797)=ISBLANK(H1141),0,1),1))</x:f>
        <x:v>0</x:v>
      </x:c>
    </x:row>
    <x:row r="1142" ht="23" customHeight="1">
      <x:c r="A1142" s="2"/>
      <x:c r="B1142" s="2"/>
      <x:c r="C1142" s="2"/>
      <x:c r="D1142" s="2"/>
      <x:c r="E1142" s="2"/>
      <x:c r="F1142" s="2"/>
      <x:c r="G1142" s="2"/>
      <x:c r="H1142" s="2"/>
      <x:c r="I1142" s="2"/>
      <x:c r="J1142" s="2"/>
      <x:c r="K1142" s="2"/>
      <x:c r="L1142" s="2"/>
    </x:row>
    <x:row r="1143" ht="23" customHeight="1">
      <x:c r="A1143" s="2"/>
      <x:c r="B1143" s="2"/>
      <x:c r="C1143" s="2"/>
      <x:c r="D1143" s="2"/>
      <x:c r="E1143" s="2"/>
      <x:c r="F1143" s="2"/>
      <x:c r="G1143" s="2"/>
      <x:c r="H1143" s="2"/>
      <x:c r="I1143" s="2"/>
      <x:c r="J1143" s="2"/>
      <x:c r="K1143" s="2"/>
      <x:c r="L1143" s="2"/>
    </x:row>
    <x:row r="1144" ht="23" customHeight="1">
      <x:c r="A1144" s="2"/>
      <x:c r="B1144" s="2"/>
      <x:c r="C1144" s="2"/>
      <x:c r="D1144" s="2"/>
      <x:c r="E1144" s="2"/>
      <x:c r="F1144" s="2"/>
      <x:c r="G1144" s="2"/>
      <x:c r="H1144" s="2"/>
      <x:c r="I1144" s="2"/>
      <x:c r="J1144" s="2"/>
      <x:c r="K1144" s="2"/>
      <x:c r="L1144" s="2"/>
    </x:row>
    <x:row r="1145" ht="23" customHeight="1">
      <x:c r="A1145" s="2"/>
      <x:c r="B1145" s="2"/>
      <x:c r="C1145" s="2"/>
      <x:c r="D1145" s="2"/>
      <x:c r="E1145" s="2"/>
      <x:c r="F1145" s="2"/>
      <x:c r="G1145" s="2"/>
      <x:c r="H1145" s="2"/>
      <x:c r="I1145" s="2"/>
      <x:c r="J1145" s="2"/>
      <x:c r="K1145" s="2"/>
      <x:c r="L1145" s="2"/>
    </x:row>
    <x:row r="1146" ht="23" customHeight="1">
      <x:c r="A1146" s="2"/>
      <x:c r="B1146" s="2"/>
      <x:c r="C1146" s="2"/>
      <x:c r="D1146" s="2"/>
      <x:c r="E1146" s="2"/>
      <x:c r="F1146" s="2"/>
      <x:c r="G1146" s="2"/>
      <x:c r="H1146" s="2"/>
      <x:c r="I1146" s="2"/>
      <x:c r="J1146" s="2"/>
      <x:c r="K1146" s="2"/>
      <x:c r="L1146" s="2"/>
    </x:row>
    <x:row r="1147" ht="23" customHeight="1">
      <x:c r="A1147" s="2"/>
      <x:c r="B1147" s="2"/>
      <x:c r="C1147" s="2"/>
      <x:c r="D1147" s="2"/>
      <x:c r="E1147" s="2"/>
      <x:c r="F1147" s="2"/>
      <x:c r="G1147" s="2"/>
      <x:c r="H1147" s="2"/>
      <x:c r="I1147" s="2"/>
      <x:c r="J1147" s="2"/>
      <x:c r="K1147" s="2"/>
      <x:c r="L1147" s="2"/>
    </x:row>
    <x:row r="1148" ht="23" customHeight="1">
      <x:c r="A1148" s="2"/>
      <x:c r="B1148" s="2"/>
      <x:c r="C1148" s="2"/>
      <x:c r="D1148" s="2"/>
      <x:c r="E1148" s="2"/>
      <x:c r="F1148" s="2"/>
      <x:c r="G1148" s="2"/>
      <x:c r="H1148" s="2"/>
      <x:c r="I1148" s="2"/>
      <x:c r="J1148" s="2"/>
      <x:c r="K1148" s="2"/>
      <x:c r="L1148" s="2"/>
    </x:row>
    <x:row r="1149" ht="26" customHeight="1">
      <x:c r="A1149" s="12" t="str">
        <x:v>Tariff snapshot: Source_Data!A131:K170</x:v>
      </x:c>
      <x:c r="B1149" s="12"/>
      <x:c r="C1149" s="12"/>
      <x:c r="D1149" s="12"/>
      <x:c r="E1149" s="12"/>
      <x:c r="F1149" s="12"/>
      <x:c r="G1149" s="12"/>
      <x:c r="H1149" s="12"/>
      <x:c r="I1149" s="12"/>
      <x:c r="J1149" s="12"/>
      <x:c r="K1149" s="12"/>
      <x:c r="L1149" s="2"/>
    </x:row>
    <x:row r="1150" ht="23" customHeight="1">
      <x:c r="A1150" s="2" t="str">
        <x:v>Bangladesh|61091000</x:v>
      </x:c>
      <x:c r="B1150" s="2" t="str">
        <x:v>Bangladesh</x:v>
      </x:c>
      <x:c r="C1150" s="2" t="str">
        <x:v>61091000</x:v>
      </x:c>
      <x:c r="D1150" s="2" t="n">
        <x:v>0</x:v>
      </x:c>
      <x:c r="E1150" s="2" t="n">
        <x:v>0</x:v>
      </x:c>
      <x:c r="F1150" s="2" t="n">
        <x:v>0</x:v>
      </x:c>
      <x:c r="G1150" s="2" t="n">
        <x:v>0.12</x:v>
      </x:c>
      <x:c r="H1150" s="2" t="str">
        <x:v>Yes</x:v>
      </x:c>
      <x:c r="I1150" s="2" t="str">
        <x:v>EXT_UKGT; EXT_DCTS_2026; EXT_DCTS_ROO; EXT_UN_LDC_BGD</x:v>
      </x:c>
      <x:c r="J1150" s="2" t="str">
        <x:v>T01; T02</x:v>
      </x:c>
      <x:c r="K1150" s="2" t="str">
        <x:v>Tariff_Matrix!A2:N2</x:v>
      </x:c>
      <x:c r="L1150" s="2" t="n">
        <x:f>SUM(IF('Source_Data'!A131=A1150,IF(ISBLANK('Source_Data'!A131)=ISBLANK(A1150),0,1),1),IF('Source_Data'!B131=B1150,IF(ISBLANK('Source_Data'!B131)=ISBLANK(B1150),0,1),1),IF('Source_Data'!C131=C1150,IF(ISBLANK('Source_Data'!C131)=ISBLANK(C1150),0,1),1),IF('Source_Data'!D131=D1150,IF(ISBLANK('Source_Data'!D131)=ISBLANK(D1150),0,1),1),IF('Source_Data'!E131=E1150,IF(ISBLANK('Source_Data'!E131)=ISBLANK(E1150),0,1),1),IF('Source_Data'!F131=F1150,IF(ISBLANK('Source_Data'!F131)=ISBLANK(F1150),0,1),1),IF('Source_Data'!G131=G1150,IF(ISBLANK('Source_Data'!G131)=ISBLANK(G1150),0,1),1),IF('Source_Data'!H131=H1150,IF(ISBLANK('Source_Data'!H131)=ISBLANK(H1150),0,1),1),IF('Source_Data'!I131=I1150,IF(ISBLANK('Source_Data'!I131)=ISBLANK(I1150),0,1),1),IF('Source_Data'!J131=J1150,IF(ISBLANK('Source_Data'!J131)=ISBLANK(J1150),0,1),1),IF('Source_Data'!K131=K1150,IF(ISBLANK('Source_Data'!K131)=ISBLANK(K1150),0,1),1))</x:f>
        <x:v>0</x:v>
      </x:c>
    </x:row>
    <x:row r="1151" ht="23" customHeight="1">
      <x:c r="A1151" s="2" t="str">
        <x:v>Cambodia|61091000</x:v>
      </x:c>
      <x:c r="B1151" s="2" t="str">
        <x:v>Cambodia</x:v>
      </x:c>
      <x:c r="C1151" s="2" t="str">
        <x:v>61091000</x:v>
      </x:c>
      <x:c r="D1151" s="2" t="n">
        <x:v>0</x:v>
      </x:c>
      <x:c r="E1151" s="2" t="n">
        <x:v>0</x:v>
      </x:c>
      <x:c r="F1151" s="2" t="n">
        <x:v>0</x:v>
      </x:c>
      <x:c r="G1151" s="2" t="n">
        <x:v>0.12</x:v>
      </x:c>
      <x:c r="H1151" s="2" t="str">
        <x:v>Yes</x:v>
      </x:c>
      <x:c r="I1151" s="2" t="str">
        <x:v>EXT_UKGT; EXT_DCTS_2026</x:v>
      </x:c>
      <x:c r="J1151" s="2" t="str">
        <x:v>T01; T02</x:v>
      </x:c>
      <x:c r="K1151" s="2" t="str">
        <x:v>Tariff_Matrix!A6:N6</x:v>
      </x:c>
      <x:c r="L1151" s="2" t="n">
        <x:f>SUM(IF('Source_Data'!A132=A1151,IF(ISBLANK('Source_Data'!A132)=ISBLANK(A1151),0,1),1),IF('Source_Data'!B132=B1151,IF(ISBLANK('Source_Data'!B132)=ISBLANK(B1151),0,1),1),IF('Source_Data'!C132=C1151,IF(ISBLANK('Source_Data'!C132)=ISBLANK(C1151),0,1),1),IF('Source_Data'!D132=D1151,IF(ISBLANK('Source_Data'!D132)=ISBLANK(D1151),0,1),1),IF('Source_Data'!E132=E1151,IF(ISBLANK('Source_Data'!E132)=ISBLANK(E1151),0,1),1),IF('Source_Data'!F132=F1151,IF(ISBLANK('Source_Data'!F132)=ISBLANK(F1151),0,1),1),IF('Source_Data'!G132=G1151,IF(ISBLANK('Source_Data'!G132)=ISBLANK(G1151),0,1),1),IF('Source_Data'!H132=H1151,IF(ISBLANK('Source_Data'!H132)=ISBLANK(H1151),0,1),1),IF('Source_Data'!I132=I1151,IF(ISBLANK('Source_Data'!I132)=ISBLANK(I1151),0,1),1),IF('Source_Data'!J132=J1151,IF(ISBLANK('Source_Data'!J132)=ISBLANK(J1151),0,1),1),IF('Source_Data'!K132=K1151,IF(ISBLANK('Source_Data'!K132)=ISBLANK(K1151),0,1),1))</x:f>
        <x:v>0</x:v>
      </x:c>
    </x:row>
    <x:row r="1152" ht="23" customHeight="1">
      <x:c r="A1152" s="2" t="str">
        <x:v>China|61091000</x:v>
      </x:c>
      <x:c r="B1152" s="2" t="str">
        <x:v>China</x:v>
      </x:c>
      <x:c r="C1152" s="2" t="str">
        <x:v>61091000</x:v>
      </x:c>
      <x:c r="D1152" s="2" t="n">
        <x:v>0.12</x:v>
      </x:c>
      <x:c r="E1152" s="2" t="n">
        <x:v>0.12</x:v>
      </x:c>
      <x:c r="F1152" s="2" t="n">
        <x:v>0.12</x:v>
      </x:c>
      <x:c r="G1152" s="2" t="n">
        <x:v>0.12</x:v>
      </x:c>
      <x:c r="H1152" s="2" t="str">
        <x:v>No</x:v>
      </x:c>
      <x:c r="I1152" s="2" t="str">
        <x:v>EXT_UKGT</x:v>
      </x:c>
      <x:c r="J1152" s="2" t="str">
        <x:v>T01; T02</x:v>
      </x:c>
      <x:c r="K1152" s="2" t="str">
        <x:v>Tariff_Matrix!A10:N10</x:v>
      </x:c>
      <x:c r="L1152" s="2" t="n">
        <x:f>SUM(IF('Source_Data'!A133=A1152,IF(ISBLANK('Source_Data'!A133)=ISBLANK(A1152),0,1),1),IF('Source_Data'!B133=B1152,IF(ISBLANK('Source_Data'!B133)=ISBLANK(B1152),0,1),1),IF('Source_Data'!C133=C1152,IF(ISBLANK('Source_Data'!C133)=ISBLANK(C1152),0,1),1),IF('Source_Data'!D133=D1152,IF(ISBLANK('Source_Data'!D133)=ISBLANK(D1152),0,1),1),IF('Source_Data'!E133=E1152,IF(ISBLANK('Source_Data'!E133)=ISBLANK(E1152),0,1),1),IF('Source_Data'!F133=F1152,IF(ISBLANK('Source_Data'!F133)=ISBLANK(F1152),0,1),1),IF('Source_Data'!G133=G1152,IF(ISBLANK('Source_Data'!G133)=ISBLANK(G1152),0,1),1),IF('Source_Data'!H133=H1152,IF(ISBLANK('Source_Data'!H133)=ISBLANK(H1152),0,1),1),IF('Source_Data'!I133=I1152,IF(ISBLANK('Source_Data'!I133)=ISBLANK(I1152),0,1),1),IF('Source_Data'!J133=J1152,IF(ISBLANK('Source_Data'!J133)=ISBLANK(J1152),0,1),1),IF('Source_Data'!K133=K1152,IF(ISBLANK('Source_Data'!K133)=ISBLANK(K1152),0,1),1))</x:f>
        <x:v>0</x:v>
      </x:c>
    </x:row>
    <x:row r="1153" ht="23" customHeight="1">
      <x:c r="A1153" s="2" t="str">
        <x:v>India|61091000</x:v>
      </x:c>
      <x:c r="B1153" s="2" t="str">
        <x:v>India</x:v>
      </x:c>
      <x:c r="C1153" s="2" t="str">
        <x:v>61091000</x:v>
      </x:c>
      <x:c r="D1153" s="2" t="n">
        <x:v>0.096</x:v>
      </x:c>
      <x:c r="E1153" s="2" t="n">
        <x:v>0.096</x:v>
      </x:c>
      <x:c r="F1153" s="2" t="n">
        <x:v>0</x:v>
      </x:c>
      <x:c r="G1153" s="2" t="n">
        <x:v>0.12</x:v>
      </x:c>
      <x:c r="H1153" s="2" t="str">
        <x:v>Yes</x:v>
      </x:c>
      <x:c r="I1153" s="2" t="str">
        <x:v>EXT_UKGT; EXT_DCTS_GRAD; EXT_CETA_ANNEX2A; EXT_CETA_TARIFF; EXT_CETA_PSR</x:v>
      </x:c>
      <x:c r="J1153" s="2" t="str">
        <x:v>T01; T02</x:v>
      </x:c>
      <x:c r="K1153" s="2" t="str">
        <x:v>Tariff_Matrix!A14:N14</x:v>
      </x:c>
      <x:c r="L1153" s="2" t="n">
        <x:f>SUM(IF('Source_Data'!A134=A1153,IF(ISBLANK('Source_Data'!A134)=ISBLANK(A1153),0,1),1),IF('Source_Data'!B134=B1153,IF(ISBLANK('Source_Data'!B134)=ISBLANK(B1153),0,1),1),IF('Source_Data'!C134=C1153,IF(ISBLANK('Source_Data'!C134)=ISBLANK(C1153),0,1),1),IF('Source_Data'!D134=D1153,IF(ISBLANK('Source_Data'!D134)=ISBLANK(D1153),0,1),1),IF('Source_Data'!E134=E1153,IF(ISBLANK('Source_Data'!E134)=ISBLANK(E1153),0,1),1),IF('Source_Data'!F134=F1153,IF(ISBLANK('Source_Data'!F134)=ISBLANK(F1153),0,1),1),IF('Source_Data'!G134=G1153,IF(ISBLANK('Source_Data'!G134)=ISBLANK(G1153),0,1),1),IF('Source_Data'!H134=H1153,IF(ISBLANK('Source_Data'!H134)=ISBLANK(H1153),0,1),1),IF('Source_Data'!I134=I1153,IF(ISBLANK('Source_Data'!I134)=ISBLANK(I1153),0,1),1),IF('Source_Data'!J134=J1153,IF(ISBLANK('Source_Data'!J134)=ISBLANK(J1153),0,1),1),IF('Source_Data'!K134=K1153,IF(ISBLANK('Source_Data'!K134)=ISBLANK(K1153),0,1),1))</x:f>
        <x:v>0</x:v>
      </x:c>
    </x:row>
    <x:row r="1154" ht="23" customHeight="1">
      <x:c r="A1154" s="2" t="str">
        <x:v>Morocco|61091000</x:v>
      </x:c>
      <x:c r="B1154" s="2" t="str">
        <x:v>Morocco</x:v>
      </x:c>
      <x:c r="C1154" s="2" t="str">
        <x:v>61091000</x:v>
      </x:c>
      <x:c r="D1154" s="2" t="n">
        <x:v>0</x:v>
      </x:c>
      <x:c r="E1154" s="2" t="n">
        <x:v>0</x:v>
      </x:c>
      <x:c r="F1154" s="2" t="n">
        <x:v>0</x:v>
      </x:c>
      <x:c r="G1154" s="2" t="n">
        <x:v>0.12</x:v>
      </x:c>
      <x:c r="H1154" s="2" t="str">
        <x:v>Yes</x:v>
      </x:c>
      <x:c r="I1154" s="2" t="str">
        <x:v>EXT_UKGT; EXT_UK_MOROCCO</x:v>
      </x:c>
      <x:c r="J1154" s="2" t="str">
        <x:v>T01; T02</x:v>
      </x:c>
      <x:c r="K1154" s="2" t="str">
        <x:v>Tariff_Matrix!A18:N18</x:v>
      </x:c>
      <x:c r="L1154" s="2" t="n">
        <x:f>SUM(IF('Source_Data'!A135=A1154,IF(ISBLANK('Source_Data'!A135)=ISBLANK(A1154),0,1),1),IF('Source_Data'!B135=B1154,IF(ISBLANK('Source_Data'!B135)=ISBLANK(B1154),0,1),1),IF('Source_Data'!C135=C1154,IF(ISBLANK('Source_Data'!C135)=ISBLANK(C1154),0,1),1),IF('Source_Data'!D135=D1154,IF(ISBLANK('Source_Data'!D135)=ISBLANK(D1154),0,1),1),IF('Source_Data'!E135=E1154,IF(ISBLANK('Source_Data'!E135)=ISBLANK(E1154),0,1),1),IF('Source_Data'!F135=F1154,IF(ISBLANK('Source_Data'!F135)=ISBLANK(F1154),0,1),1),IF('Source_Data'!G135=G1154,IF(ISBLANK('Source_Data'!G135)=ISBLANK(G1154),0,1),1),IF('Source_Data'!H135=H1154,IF(ISBLANK('Source_Data'!H135)=ISBLANK(H1154),0,1),1),IF('Source_Data'!I135=I1154,IF(ISBLANK('Source_Data'!I135)=ISBLANK(I1154),0,1),1),IF('Source_Data'!J135=J1154,IF(ISBLANK('Source_Data'!J135)=ISBLANK(J1154),0,1),1),IF('Source_Data'!K135=K1154,IF(ISBLANK('Source_Data'!K135)=ISBLANK(K1154),0,1),1))</x:f>
        <x:v>0</x:v>
      </x:c>
    </x:row>
    <x:row r="1155" ht="23" customHeight="1">
      <x:c r="A1155" s="2" t="str">
        <x:v>Myanmar|61091000</x:v>
      </x:c>
      <x:c r="B1155" s="2" t="str">
        <x:v>Myanmar</x:v>
      </x:c>
      <x:c r="C1155" s="2" t="str">
        <x:v>61091000</x:v>
      </x:c>
      <x:c r="D1155" s="2" t="n">
        <x:v>0</x:v>
      </x:c>
      <x:c r="E1155" s="2" t="n">
        <x:v>0</x:v>
      </x:c>
      <x:c r="F1155" s="2" t="n">
        <x:v>0</x:v>
      </x:c>
      <x:c r="G1155" s="2" t="n">
        <x:v>0.12</x:v>
      </x:c>
      <x:c r="H1155" s="2" t="str">
        <x:v>Yes</x:v>
      </x:c>
      <x:c r="I1155" s="2" t="str">
        <x:v>EXT_UKGT; EXT_DCTS_2026</x:v>
      </x:c>
      <x:c r="J1155" s="2" t="str">
        <x:v>T01; T02</x:v>
      </x:c>
      <x:c r="K1155" s="2" t="str">
        <x:v>Tariff_Matrix!A22:N22</x:v>
      </x:c>
      <x:c r="L1155" s="2" t="n">
        <x:f>SUM(IF('Source_Data'!A136=A1155,IF(ISBLANK('Source_Data'!A136)=ISBLANK(A1155),0,1),1),IF('Source_Data'!B136=B1155,IF(ISBLANK('Source_Data'!B136)=ISBLANK(B1155),0,1),1),IF('Source_Data'!C136=C1155,IF(ISBLANK('Source_Data'!C136)=ISBLANK(C1155),0,1),1),IF('Source_Data'!D136=D1155,IF(ISBLANK('Source_Data'!D136)=ISBLANK(D1155),0,1),1),IF('Source_Data'!E136=E1155,IF(ISBLANK('Source_Data'!E136)=ISBLANK(E1155),0,1),1),IF('Source_Data'!F136=F1155,IF(ISBLANK('Source_Data'!F136)=ISBLANK(F1155),0,1),1),IF('Source_Data'!G136=G1155,IF(ISBLANK('Source_Data'!G136)=ISBLANK(G1155),0,1),1),IF('Source_Data'!H136=H1155,IF(ISBLANK('Source_Data'!H136)=ISBLANK(H1155),0,1),1),IF('Source_Data'!I136=I1155,IF(ISBLANK('Source_Data'!I136)=ISBLANK(I1155),0,1),1),IF('Source_Data'!J136=J1155,IF(ISBLANK('Source_Data'!J136)=ISBLANK(J1155),0,1),1),IF('Source_Data'!K136=K1155,IF(ISBLANK('Source_Data'!K136)=ISBLANK(K1155),0,1),1))</x:f>
        <x:v>0</x:v>
      </x:c>
    </x:row>
    <x:row r="1156" ht="23" customHeight="1">
      <x:c r="A1156" s="2" t="str">
        <x:v>Pakistan|61091000</x:v>
      </x:c>
      <x:c r="B1156" s="2" t="str">
        <x:v>Pakistan</x:v>
      </x:c>
      <x:c r="C1156" s="2" t="str">
        <x:v>61091000</x:v>
      </x:c>
      <x:c r="D1156" s="2" t="n">
        <x:v>0</x:v>
      </x:c>
      <x:c r="E1156" s="2" t="n">
        <x:v>0</x:v>
      </x:c>
      <x:c r="F1156" s="2" t="n">
        <x:v>0</x:v>
      </x:c>
      <x:c r="G1156" s="2" t="n">
        <x:v>0.12</x:v>
      </x:c>
      <x:c r="H1156" s="2" t="str">
        <x:v>Yes</x:v>
      </x:c>
      <x:c r="I1156" s="2" t="str">
        <x:v>EXT_UKGT; EXT_DCTS_2026</x:v>
      </x:c>
      <x:c r="J1156" s="2" t="str">
        <x:v>T01; T02</x:v>
      </x:c>
      <x:c r="K1156" s="2" t="str">
        <x:v>Tariff_Matrix!A26:N26</x:v>
      </x:c>
      <x:c r="L1156" s="2" t="n">
        <x:f>SUM(IF('Source_Data'!A137=A1156,IF(ISBLANK('Source_Data'!A137)=ISBLANK(A1156),0,1),1),IF('Source_Data'!B137=B1156,IF(ISBLANK('Source_Data'!B137)=ISBLANK(B1156),0,1),1),IF('Source_Data'!C137=C1156,IF(ISBLANK('Source_Data'!C137)=ISBLANK(C1156),0,1),1),IF('Source_Data'!D137=D1156,IF(ISBLANK('Source_Data'!D137)=ISBLANK(D1156),0,1),1),IF('Source_Data'!E137=E1156,IF(ISBLANK('Source_Data'!E137)=ISBLANK(E1156),0,1),1),IF('Source_Data'!F137=F1156,IF(ISBLANK('Source_Data'!F137)=ISBLANK(F1156),0,1),1),IF('Source_Data'!G137=G1156,IF(ISBLANK('Source_Data'!G137)=ISBLANK(G1156),0,1),1),IF('Source_Data'!H137=H1156,IF(ISBLANK('Source_Data'!H137)=ISBLANK(H1156),0,1),1),IF('Source_Data'!I137=I1156,IF(ISBLANK('Source_Data'!I137)=ISBLANK(I1156),0,1),1),IF('Source_Data'!J137=J1156,IF(ISBLANK('Source_Data'!J137)=ISBLANK(J1156),0,1),1),IF('Source_Data'!K137=K1156,IF(ISBLANK('Source_Data'!K137)=ISBLANK(K1156),0,1),1))</x:f>
        <x:v>0</x:v>
      </x:c>
    </x:row>
    <x:row r="1157" ht="23" customHeight="1">
      <x:c r="A1157" s="2" t="str">
        <x:v>Sri Lanka|61091000</x:v>
      </x:c>
      <x:c r="B1157" s="2" t="str">
        <x:v>Sri Lanka</x:v>
      </x:c>
      <x:c r="C1157" s="2" t="str">
        <x:v>61091000</x:v>
      </x:c>
      <x:c r="D1157" s="2" t="n">
        <x:v>0</x:v>
      </x:c>
      <x:c r="E1157" s="2" t="n">
        <x:v>0</x:v>
      </x:c>
      <x:c r="F1157" s="2" t="n">
        <x:v>0</x:v>
      </x:c>
      <x:c r="G1157" s="2" t="n">
        <x:v>0.12</x:v>
      </x:c>
      <x:c r="H1157" s="2" t="str">
        <x:v>Yes</x:v>
      </x:c>
      <x:c r="I1157" s="2" t="str">
        <x:v>EXT_UKGT; EXT_DCTS_2026</x:v>
      </x:c>
      <x:c r="J1157" s="2" t="str">
        <x:v>T01; T02</x:v>
      </x:c>
      <x:c r="K1157" s="2" t="str">
        <x:v>Tariff_Matrix!A30:N30</x:v>
      </x:c>
      <x:c r="L1157" s="2" t="n">
        <x:f>SUM(IF('Source_Data'!A138=A1157,IF(ISBLANK('Source_Data'!A138)=ISBLANK(A1157),0,1),1),IF('Source_Data'!B138=B1157,IF(ISBLANK('Source_Data'!B138)=ISBLANK(B1157),0,1),1),IF('Source_Data'!C138=C1157,IF(ISBLANK('Source_Data'!C138)=ISBLANK(C1157),0,1),1),IF('Source_Data'!D138=D1157,IF(ISBLANK('Source_Data'!D138)=ISBLANK(D1157),0,1),1),IF('Source_Data'!E138=E1157,IF(ISBLANK('Source_Data'!E138)=ISBLANK(E1157),0,1),1),IF('Source_Data'!F138=F1157,IF(ISBLANK('Source_Data'!F138)=ISBLANK(F1157),0,1),1),IF('Source_Data'!G138=G1157,IF(ISBLANK('Source_Data'!G138)=ISBLANK(G1157),0,1),1),IF('Source_Data'!H138=H1157,IF(ISBLANK('Source_Data'!H138)=ISBLANK(H1157),0,1),1),IF('Source_Data'!I138=I1157,IF(ISBLANK('Source_Data'!I138)=ISBLANK(I1157),0,1),1),IF('Source_Data'!J138=J1157,IF(ISBLANK('Source_Data'!J138)=ISBLANK(J1157),0,1),1),IF('Source_Data'!K138=K1157,IF(ISBLANK('Source_Data'!K138)=ISBLANK(K1157),0,1),1))</x:f>
        <x:v>0</x:v>
      </x:c>
    </x:row>
    <x:row r="1158" ht="23" customHeight="1">
      <x:c r="A1158" s="2" t="str">
        <x:v>Turkey|61091000</x:v>
      </x:c>
      <x:c r="B1158" s="2" t="str">
        <x:v>Turkey</x:v>
      </x:c>
      <x:c r="C1158" s="2" t="str">
        <x:v>61091000</x:v>
      </x:c>
      <x:c r="D1158" s="2" t="n">
        <x:v>0</x:v>
      </x:c>
      <x:c r="E1158" s="2" t="n">
        <x:v>0</x:v>
      </x:c>
      <x:c r="F1158" s="2" t="n">
        <x:v>0</x:v>
      </x:c>
      <x:c r="G1158" s="2" t="n">
        <x:v>0.12</x:v>
      </x:c>
      <x:c r="H1158" s="2" t="str">
        <x:v>Yes</x:v>
      </x:c>
      <x:c r="I1158" s="2" t="str">
        <x:v>EXT_UKGT; EXT_UK_TURKEY</x:v>
      </x:c>
      <x:c r="J1158" s="2" t="str">
        <x:v>T01; T02</x:v>
      </x:c>
      <x:c r="K1158" s="2" t="str">
        <x:v>Tariff_Matrix!A34:N34</x:v>
      </x:c>
      <x:c r="L1158" s="2" t="n">
        <x:f>SUM(IF('Source_Data'!A139=A1158,IF(ISBLANK('Source_Data'!A139)=ISBLANK(A1158),0,1),1),IF('Source_Data'!B139=B1158,IF(ISBLANK('Source_Data'!B139)=ISBLANK(B1158),0,1),1),IF('Source_Data'!C139=C1158,IF(ISBLANK('Source_Data'!C139)=ISBLANK(C1158),0,1),1),IF('Source_Data'!D139=D1158,IF(ISBLANK('Source_Data'!D139)=ISBLANK(D1158),0,1),1),IF('Source_Data'!E139=E1158,IF(ISBLANK('Source_Data'!E139)=ISBLANK(E1158),0,1),1),IF('Source_Data'!F139=F1158,IF(ISBLANK('Source_Data'!F139)=ISBLANK(F1158),0,1),1),IF('Source_Data'!G139=G1158,IF(ISBLANK('Source_Data'!G139)=ISBLANK(G1158),0,1),1),IF('Source_Data'!H139=H1158,IF(ISBLANK('Source_Data'!H139)=ISBLANK(H1158),0,1),1),IF('Source_Data'!I139=I1158,IF(ISBLANK('Source_Data'!I139)=ISBLANK(I1158),0,1),1),IF('Source_Data'!J139=J1158,IF(ISBLANK('Source_Data'!J139)=ISBLANK(J1158),0,1),1),IF('Source_Data'!K139=K1158,IF(ISBLANK('Source_Data'!K139)=ISBLANK(K1158),0,1),1))</x:f>
        <x:v>0</x:v>
      </x:c>
    </x:row>
    <x:row r="1159" ht="23" customHeight="1">
      <x:c r="A1159" s="2" t="str">
        <x:v>Vietnam|61091000</x:v>
      </x:c>
      <x:c r="B1159" s="2" t="str">
        <x:v>Vietnam</x:v>
      </x:c>
      <x:c r="C1159" s="2" t="str">
        <x:v>61091000</x:v>
      </x:c>
      <x:c r="D1159" s="2" t="n">
        <x:v>0</x:v>
      </x:c>
      <x:c r="E1159" s="2" t="n">
        <x:v>0</x:v>
      </x:c>
      <x:c r="F1159" s="2" t="n">
        <x:v>0</x:v>
      </x:c>
      <x:c r="G1159" s="2" t="n">
        <x:v>0.12</x:v>
      </x:c>
      <x:c r="H1159" s="2" t="str">
        <x:v>Yes</x:v>
      </x:c>
      <x:c r="I1159" s="2" t="str">
        <x:v>EXT_UKGT; EXT_UK_VIETNAM</x:v>
      </x:c>
      <x:c r="J1159" s="2" t="str">
        <x:v>T01; T02</x:v>
      </x:c>
      <x:c r="K1159" s="2" t="str">
        <x:v>Tariff_Matrix!A38:N38</x:v>
      </x:c>
      <x:c r="L1159" s="2" t="n">
        <x:f>SUM(IF('Source_Data'!A140=A1159,IF(ISBLANK('Source_Data'!A140)=ISBLANK(A1159),0,1),1),IF('Source_Data'!B140=B1159,IF(ISBLANK('Source_Data'!B140)=ISBLANK(B1159),0,1),1),IF('Source_Data'!C140=C1159,IF(ISBLANK('Source_Data'!C140)=ISBLANK(C1159),0,1),1),IF('Source_Data'!D140=D1159,IF(ISBLANK('Source_Data'!D140)=ISBLANK(D1159),0,1),1),IF('Source_Data'!E140=E1159,IF(ISBLANK('Source_Data'!E140)=ISBLANK(E1159),0,1),1),IF('Source_Data'!F140=F1159,IF(ISBLANK('Source_Data'!F140)=ISBLANK(F1159),0,1),1),IF('Source_Data'!G140=G1159,IF(ISBLANK('Source_Data'!G140)=ISBLANK(G1159),0,1),1),IF('Source_Data'!H140=H1159,IF(ISBLANK('Source_Data'!H140)=ISBLANK(H1159),0,1),1),IF('Source_Data'!I140=I1159,IF(ISBLANK('Source_Data'!I140)=ISBLANK(I1159),0,1),1),IF('Source_Data'!J140=J1159,IF(ISBLANK('Source_Data'!J140)=ISBLANK(J1159),0,1),1),IF('Source_Data'!K140=K1159,IF(ISBLANK('Source_Data'!K140)=ISBLANK(K1159),0,1),1))</x:f>
        <x:v>0</x:v>
      </x:c>
    </x:row>
    <x:row r="1160" ht="23" customHeight="1">
      <x:c r="A1160" s="2" t="str">
        <x:v>Bangladesh|61103099</x:v>
      </x:c>
      <x:c r="B1160" s="2" t="str">
        <x:v>Bangladesh</x:v>
      </x:c>
      <x:c r="C1160" s="2" t="str">
        <x:v>61103099</x:v>
      </x:c>
      <x:c r="D1160" s="2" t="n">
        <x:v>0</x:v>
      </x:c>
      <x:c r="E1160" s="2" t="n">
        <x:v>0</x:v>
      </x:c>
      <x:c r="F1160" s="2" t="n">
        <x:v>0</x:v>
      </x:c>
      <x:c r="G1160" s="2" t="n">
        <x:v>0.12</x:v>
      </x:c>
      <x:c r="H1160" s="2" t="str">
        <x:v>Yes</x:v>
      </x:c>
      <x:c r="I1160" s="2" t="str">
        <x:v>EXT_UKGT; EXT_DCTS_2026; EXT_DCTS_ROO; EXT_UN_LDC_BGD</x:v>
      </x:c>
      <x:c r="J1160" s="2" t="str">
        <x:v>T03</x:v>
      </x:c>
      <x:c r="K1160" s="2" t="str">
        <x:v>Tariff_Matrix!A3:N3</x:v>
      </x:c>
      <x:c r="L1160" s="2" t="n">
        <x:f>SUM(IF('Source_Data'!A141=A1160,IF(ISBLANK('Source_Data'!A141)=ISBLANK(A1160),0,1),1),IF('Source_Data'!B141=B1160,IF(ISBLANK('Source_Data'!B141)=ISBLANK(B1160),0,1),1),IF('Source_Data'!C141=C1160,IF(ISBLANK('Source_Data'!C141)=ISBLANK(C1160),0,1),1),IF('Source_Data'!D141=D1160,IF(ISBLANK('Source_Data'!D141)=ISBLANK(D1160),0,1),1),IF('Source_Data'!E141=E1160,IF(ISBLANK('Source_Data'!E141)=ISBLANK(E1160),0,1),1),IF('Source_Data'!F141=F1160,IF(ISBLANK('Source_Data'!F141)=ISBLANK(F1160),0,1),1),IF('Source_Data'!G141=G1160,IF(ISBLANK('Source_Data'!G141)=ISBLANK(G1160),0,1),1),IF('Source_Data'!H141=H1160,IF(ISBLANK('Source_Data'!H141)=ISBLANK(H1160),0,1),1),IF('Source_Data'!I141=I1160,IF(ISBLANK('Source_Data'!I141)=ISBLANK(I1160),0,1),1),IF('Source_Data'!J141=J1160,IF(ISBLANK('Source_Data'!J141)=ISBLANK(J1160),0,1),1),IF('Source_Data'!K141=K1160,IF(ISBLANK('Source_Data'!K141)=ISBLANK(K1160),0,1),1))</x:f>
        <x:v>0</x:v>
      </x:c>
    </x:row>
    <x:row r="1161" ht="23" customHeight="1">
      <x:c r="A1161" s="2" t="str">
        <x:v>Cambodia|61103099</x:v>
      </x:c>
      <x:c r="B1161" s="2" t="str">
        <x:v>Cambodia</x:v>
      </x:c>
      <x:c r="C1161" s="2" t="str">
        <x:v>61103099</x:v>
      </x:c>
      <x:c r="D1161" s="2" t="n">
        <x:v>0</x:v>
      </x:c>
      <x:c r="E1161" s="2" t="n">
        <x:v>0</x:v>
      </x:c>
      <x:c r="F1161" s="2" t="n">
        <x:v>0</x:v>
      </x:c>
      <x:c r="G1161" s="2" t="n">
        <x:v>0.12</x:v>
      </x:c>
      <x:c r="H1161" s="2" t="str">
        <x:v>Yes</x:v>
      </x:c>
      <x:c r="I1161" s="2" t="str">
        <x:v>EXT_UKGT; EXT_DCTS_2026</x:v>
      </x:c>
      <x:c r="J1161" s="2" t="str">
        <x:v>T03</x:v>
      </x:c>
      <x:c r="K1161" s="2" t="str">
        <x:v>Tariff_Matrix!A7:N7</x:v>
      </x:c>
      <x:c r="L1161" s="2" t="n">
        <x:f>SUM(IF('Source_Data'!A142=A1161,IF(ISBLANK('Source_Data'!A142)=ISBLANK(A1161),0,1),1),IF('Source_Data'!B142=B1161,IF(ISBLANK('Source_Data'!B142)=ISBLANK(B1161),0,1),1),IF('Source_Data'!C142=C1161,IF(ISBLANK('Source_Data'!C142)=ISBLANK(C1161),0,1),1),IF('Source_Data'!D142=D1161,IF(ISBLANK('Source_Data'!D142)=ISBLANK(D1161),0,1),1),IF('Source_Data'!E142=E1161,IF(ISBLANK('Source_Data'!E142)=ISBLANK(E1161),0,1),1),IF('Source_Data'!F142=F1161,IF(ISBLANK('Source_Data'!F142)=ISBLANK(F1161),0,1),1),IF('Source_Data'!G142=G1161,IF(ISBLANK('Source_Data'!G142)=ISBLANK(G1161),0,1),1),IF('Source_Data'!H142=H1161,IF(ISBLANK('Source_Data'!H142)=ISBLANK(H1161),0,1),1),IF('Source_Data'!I142=I1161,IF(ISBLANK('Source_Data'!I142)=ISBLANK(I1161),0,1),1),IF('Source_Data'!J142=J1161,IF(ISBLANK('Source_Data'!J142)=ISBLANK(J1161),0,1),1),IF('Source_Data'!K142=K1161,IF(ISBLANK('Source_Data'!K142)=ISBLANK(K1161),0,1),1))</x:f>
        <x:v>0</x:v>
      </x:c>
    </x:row>
    <x:row r="1162" ht="23" customHeight="1">
      <x:c r="A1162" s="2" t="str">
        <x:v>China|61103099</x:v>
      </x:c>
      <x:c r="B1162" s="2" t="str">
        <x:v>China</x:v>
      </x:c>
      <x:c r="C1162" s="2" t="str">
        <x:v>61103099</x:v>
      </x:c>
      <x:c r="D1162" s="2" t="n">
        <x:v>0.12</x:v>
      </x:c>
      <x:c r="E1162" s="2" t="n">
        <x:v>0.12</x:v>
      </x:c>
      <x:c r="F1162" s="2" t="n">
        <x:v>0.12</x:v>
      </x:c>
      <x:c r="G1162" s="2" t="n">
        <x:v>0.12</x:v>
      </x:c>
      <x:c r="H1162" s="2" t="str">
        <x:v>No</x:v>
      </x:c>
      <x:c r="I1162" s="2" t="str">
        <x:v>EXT_UKGT</x:v>
      </x:c>
      <x:c r="J1162" s="2" t="str">
        <x:v>T03</x:v>
      </x:c>
      <x:c r="K1162" s="2" t="str">
        <x:v>Tariff_Matrix!A11:N11</x:v>
      </x:c>
      <x:c r="L1162" s="2" t="n">
        <x:f>SUM(IF('Source_Data'!A143=A1162,IF(ISBLANK('Source_Data'!A143)=ISBLANK(A1162),0,1),1),IF('Source_Data'!B143=B1162,IF(ISBLANK('Source_Data'!B143)=ISBLANK(B1162),0,1),1),IF('Source_Data'!C143=C1162,IF(ISBLANK('Source_Data'!C143)=ISBLANK(C1162),0,1),1),IF('Source_Data'!D143=D1162,IF(ISBLANK('Source_Data'!D143)=ISBLANK(D1162),0,1),1),IF('Source_Data'!E143=E1162,IF(ISBLANK('Source_Data'!E143)=ISBLANK(E1162),0,1),1),IF('Source_Data'!F143=F1162,IF(ISBLANK('Source_Data'!F143)=ISBLANK(F1162),0,1),1),IF('Source_Data'!G143=G1162,IF(ISBLANK('Source_Data'!G143)=ISBLANK(G1162),0,1),1),IF('Source_Data'!H143=H1162,IF(ISBLANK('Source_Data'!H143)=ISBLANK(H1162),0,1),1),IF('Source_Data'!I143=I1162,IF(ISBLANK('Source_Data'!I143)=ISBLANK(I1162),0,1),1),IF('Source_Data'!J143=J1162,IF(ISBLANK('Source_Data'!J143)=ISBLANK(J1162),0,1),1),IF('Source_Data'!K143=K1162,IF(ISBLANK('Source_Data'!K143)=ISBLANK(K1162),0,1),1))</x:f>
        <x:v>0</x:v>
      </x:c>
    </x:row>
    <x:row r="1163" ht="23" customHeight="1">
      <x:c r="A1163" s="2" t="str">
        <x:v>India|61103099</x:v>
      </x:c>
      <x:c r="B1163" s="2" t="str">
        <x:v>India</x:v>
      </x:c>
      <x:c r="C1163" s="2" t="str">
        <x:v>61103099</x:v>
      </x:c>
      <x:c r="D1163" s="2" t="n">
        <x:v>0.096</x:v>
      </x:c>
      <x:c r="E1163" s="2" t="n">
        <x:v>0.096</x:v>
      </x:c>
      <x:c r="F1163" s="2" t="n">
        <x:v>0</x:v>
      </x:c>
      <x:c r="G1163" s="2" t="n">
        <x:v>0.12</x:v>
      </x:c>
      <x:c r="H1163" s="2" t="str">
        <x:v>Yes</x:v>
      </x:c>
      <x:c r="I1163" s="2" t="str">
        <x:v>EXT_UKGT; EXT_DCTS_GRAD; EXT_CETA_ANNEX2A; EXT_CETA_TARIFF; EXT_CETA_PSR</x:v>
      </x:c>
      <x:c r="J1163" s="2" t="str">
        <x:v>T03</x:v>
      </x:c>
      <x:c r="K1163" s="2" t="str">
        <x:v>Tariff_Matrix!A15:N15</x:v>
      </x:c>
      <x:c r="L1163" s="2" t="n">
        <x:f>SUM(IF('Source_Data'!A144=A1163,IF(ISBLANK('Source_Data'!A144)=ISBLANK(A1163),0,1),1),IF('Source_Data'!B144=B1163,IF(ISBLANK('Source_Data'!B144)=ISBLANK(B1163),0,1),1),IF('Source_Data'!C144=C1163,IF(ISBLANK('Source_Data'!C144)=ISBLANK(C1163),0,1),1),IF('Source_Data'!D144=D1163,IF(ISBLANK('Source_Data'!D144)=ISBLANK(D1163),0,1),1),IF('Source_Data'!E144=E1163,IF(ISBLANK('Source_Data'!E144)=ISBLANK(E1163),0,1),1),IF('Source_Data'!F144=F1163,IF(ISBLANK('Source_Data'!F144)=ISBLANK(F1163),0,1),1),IF('Source_Data'!G144=G1163,IF(ISBLANK('Source_Data'!G144)=ISBLANK(G1163),0,1),1),IF('Source_Data'!H144=H1163,IF(ISBLANK('Source_Data'!H144)=ISBLANK(H1163),0,1),1),IF('Source_Data'!I144=I1163,IF(ISBLANK('Source_Data'!I144)=ISBLANK(I1163),0,1),1),IF('Source_Data'!J144=J1163,IF(ISBLANK('Source_Data'!J144)=ISBLANK(J1163),0,1),1),IF('Source_Data'!K144=K1163,IF(ISBLANK('Source_Data'!K144)=ISBLANK(K1163),0,1),1))</x:f>
        <x:v>0</x:v>
      </x:c>
    </x:row>
    <x:row r="1164" ht="23" customHeight="1">
      <x:c r="A1164" s="2" t="str">
        <x:v>Morocco|61103099</x:v>
      </x:c>
      <x:c r="B1164" s="2" t="str">
        <x:v>Morocco</x:v>
      </x:c>
      <x:c r="C1164" s="2" t="str">
        <x:v>61103099</x:v>
      </x:c>
      <x:c r="D1164" s="2" t="n">
        <x:v>0</x:v>
      </x:c>
      <x:c r="E1164" s="2" t="n">
        <x:v>0</x:v>
      </x:c>
      <x:c r="F1164" s="2" t="n">
        <x:v>0</x:v>
      </x:c>
      <x:c r="G1164" s="2" t="n">
        <x:v>0.12</x:v>
      </x:c>
      <x:c r="H1164" s="2" t="str">
        <x:v>Yes</x:v>
      </x:c>
      <x:c r="I1164" s="2" t="str">
        <x:v>EXT_UKGT; EXT_UK_MOROCCO</x:v>
      </x:c>
      <x:c r="J1164" s="2" t="str">
        <x:v>T03</x:v>
      </x:c>
      <x:c r="K1164" s="2" t="str">
        <x:v>Tariff_Matrix!A19:N19</x:v>
      </x:c>
      <x:c r="L1164" s="2" t="n">
        <x:f>SUM(IF('Source_Data'!A145=A1164,IF(ISBLANK('Source_Data'!A145)=ISBLANK(A1164),0,1),1),IF('Source_Data'!B145=B1164,IF(ISBLANK('Source_Data'!B145)=ISBLANK(B1164),0,1),1),IF('Source_Data'!C145=C1164,IF(ISBLANK('Source_Data'!C145)=ISBLANK(C1164),0,1),1),IF('Source_Data'!D145=D1164,IF(ISBLANK('Source_Data'!D145)=ISBLANK(D1164),0,1),1),IF('Source_Data'!E145=E1164,IF(ISBLANK('Source_Data'!E145)=ISBLANK(E1164),0,1),1),IF('Source_Data'!F145=F1164,IF(ISBLANK('Source_Data'!F145)=ISBLANK(F1164),0,1),1),IF('Source_Data'!G145=G1164,IF(ISBLANK('Source_Data'!G145)=ISBLANK(G1164),0,1),1),IF('Source_Data'!H145=H1164,IF(ISBLANK('Source_Data'!H145)=ISBLANK(H1164),0,1),1),IF('Source_Data'!I145=I1164,IF(ISBLANK('Source_Data'!I145)=ISBLANK(I1164),0,1),1),IF('Source_Data'!J145=J1164,IF(ISBLANK('Source_Data'!J145)=ISBLANK(J1164),0,1),1),IF('Source_Data'!K145=K1164,IF(ISBLANK('Source_Data'!K145)=ISBLANK(K1164),0,1),1))</x:f>
        <x:v>0</x:v>
      </x:c>
    </x:row>
    <x:row r="1165" ht="23" customHeight="1">
      <x:c r="A1165" s="2" t="str">
        <x:v>Myanmar|61103099</x:v>
      </x:c>
      <x:c r="B1165" s="2" t="str">
        <x:v>Myanmar</x:v>
      </x:c>
      <x:c r="C1165" s="2" t="str">
        <x:v>61103099</x:v>
      </x:c>
      <x:c r="D1165" s="2" t="n">
        <x:v>0</x:v>
      </x:c>
      <x:c r="E1165" s="2" t="n">
        <x:v>0</x:v>
      </x:c>
      <x:c r="F1165" s="2" t="n">
        <x:v>0</x:v>
      </x:c>
      <x:c r="G1165" s="2" t="n">
        <x:v>0.12</x:v>
      </x:c>
      <x:c r="H1165" s="2" t="str">
        <x:v>Yes</x:v>
      </x:c>
      <x:c r="I1165" s="2" t="str">
        <x:v>EXT_UKGT; EXT_DCTS_2026</x:v>
      </x:c>
      <x:c r="J1165" s="2" t="str">
        <x:v>T03</x:v>
      </x:c>
      <x:c r="K1165" s="2" t="str">
        <x:v>Tariff_Matrix!A23:N23</x:v>
      </x:c>
      <x:c r="L1165" s="2" t="n">
        <x:f>SUM(IF('Source_Data'!A146=A1165,IF(ISBLANK('Source_Data'!A146)=ISBLANK(A1165),0,1),1),IF('Source_Data'!B146=B1165,IF(ISBLANK('Source_Data'!B146)=ISBLANK(B1165),0,1),1),IF('Source_Data'!C146=C1165,IF(ISBLANK('Source_Data'!C146)=ISBLANK(C1165),0,1),1),IF('Source_Data'!D146=D1165,IF(ISBLANK('Source_Data'!D146)=ISBLANK(D1165),0,1),1),IF('Source_Data'!E146=E1165,IF(ISBLANK('Source_Data'!E146)=ISBLANK(E1165),0,1),1),IF('Source_Data'!F146=F1165,IF(ISBLANK('Source_Data'!F146)=ISBLANK(F1165),0,1),1),IF('Source_Data'!G146=G1165,IF(ISBLANK('Source_Data'!G146)=ISBLANK(G1165),0,1),1),IF('Source_Data'!H146=H1165,IF(ISBLANK('Source_Data'!H146)=ISBLANK(H1165),0,1),1),IF('Source_Data'!I146=I1165,IF(ISBLANK('Source_Data'!I146)=ISBLANK(I1165),0,1),1),IF('Source_Data'!J146=J1165,IF(ISBLANK('Source_Data'!J146)=ISBLANK(J1165),0,1),1),IF('Source_Data'!K146=K1165,IF(ISBLANK('Source_Data'!K146)=ISBLANK(K1165),0,1),1))</x:f>
        <x:v>0</x:v>
      </x:c>
    </x:row>
    <x:row r="1166" ht="23" customHeight="1">
      <x:c r="A1166" s="2" t="str">
        <x:v>Pakistan|61103099</x:v>
      </x:c>
      <x:c r="B1166" s="2" t="str">
        <x:v>Pakistan</x:v>
      </x:c>
      <x:c r="C1166" s="2" t="str">
        <x:v>61103099</x:v>
      </x:c>
      <x:c r="D1166" s="2" t="n">
        <x:v>0</x:v>
      </x:c>
      <x:c r="E1166" s="2" t="n">
        <x:v>0</x:v>
      </x:c>
      <x:c r="F1166" s="2" t="n">
        <x:v>0</x:v>
      </x:c>
      <x:c r="G1166" s="2" t="n">
        <x:v>0.12</x:v>
      </x:c>
      <x:c r="H1166" s="2" t="str">
        <x:v>Yes</x:v>
      </x:c>
      <x:c r="I1166" s="2" t="str">
        <x:v>EXT_UKGT; EXT_DCTS_2026</x:v>
      </x:c>
      <x:c r="J1166" s="2" t="str">
        <x:v>T03</x:v>
      </x:c>
      <x:c r="K1166" s="2" t="str">
        <x:v>Tariff_Matrix!A27:N27</x:v>
      </x:c>
      <x:c r="L1166" s="2" t="n">
        <x:f>SUM(IF('Source_Data'!A147=A1166,IF(ISBLANK('Source_Data'!A147)=ISBLANK(A1166),0,1),1),IF('Source_Data'!B147=B1166,IF(ISBLANK('Source_Data'!B147)=ISBLANK(B1166),0,1),1),IF('Source_Data'!C147=C1166,IF(ISBLANK('Source_Data'!C147)=ISBLANK(C1166),0,1),1),IF('Source_Data'!D147=D1166,IF(ISBLANK('Source_Data'!D147)=ISBLANK(D1166),0,1),1),IF('Source_Data'!E147=E1166,IF(ISBLANK('Source_Data'!E147)=ISBLANK(E1166),0,1),1),IF('Source_Data'!F147=F1166,IF(ISBLANK('Source_Data'!F147)=ISBLANK(F1166),0,1),1),IF('Source_Data'!G147=G1166,IF(ISBLANK('Source_Data'!G147)=ISBLANK(G1166),0,1),1),IF('Source_Data'!H147=H1166,IF(ISBLANK('Source_Data'!H147)=ISBLANK(H1166),0,1),1),IF('Source_Data'!I147=I1166,IF(ISBLANK('Source_Data'!I147)=ISBLANK(I1166),0,1),1),IF('Source_Data'!J147=J1166,IF(ISBLANK('Source_Data'!J147)=ISBLANK(J1166),0,1),1),IF('Source_Data'!K147=K1166,IF(ISBLANK('Source_Data'!K147)=ISBLANK(K1166),0,1),1))</x:f>
        <x:v>0</x:v>
      </x:c>
    </x:row>
    <x:row r="1167" ht="23" customHeight="1">
      <x:c r="A1167" s="2" t="str">
        <x:v>Sri Lanka|61103099</x:v>
      </x:c>
      <x:c r="B1167" s="2" t="str">
        <x:v>Sri Lanka</x:v>
      </x:c>
      <x:c r="C1167" s="2" t="str">
        <x:v>61103099</x:v>
      </x:c>
      <x:c r="D1167" s="2" t="n">
        <x:v>0</x:v>
      </x:c>
      <x:c r="E1167" s="2" t="n">
        <x:v>0</x:v>
      </x:c>
      <x:c r="F1167" s="2" t="n">
        <x:v>0</x:v>
      </x:c>
      <x:c r="G1167" s="2" t="n">
        <x:v>0.12</x:v>
      </x:c>
      <x:c r="H1167" s="2" t="str">
        <x:v>Yes</x:v>
      </x:c>
      <x:c r="I1167" s="2" t="str">
        <x:v>EXT_UKGT; EXT_DCTS_2026</x:v>
      </x:c>
      <x:c r="J1167" s="2" t="str">
        <x:v>T03</x:v>
      </x:c>
      <x:c r="K1167" s="2" t="str">
        <x:v>Tariff_Matrix!A31:N31</x:v>
      </x:c>
      <x:c r="L1167" s="2" t="n">
        <x:f>SUM(IF('Source_Data'!A148=A1167,IF(ISBLANK('Source_Data'!A148)=ISBLANK(A1167),0,1),1),IF('Source_Data'!B148=B1167,IF(ISBLANK('Source_Data'!B148)=ISBLANK(B1167),0,1),1),IF('Source_Data'!C148=C1167,IF(ISBLANK('Source_Data'!C148)=ISBLANK(C1167),0,1),1),IF('Source_Data'!D148=D1167,IF(ISBLANK('Source_Data'!D148)=ISBLANK(D1167),0,1),1),IF('Source_Data'!E148=E1167,IF(ISBLANK('Source_Data'!E148)=ISBLANK(E1167),0,1),1),IF('Source_Data'!F148=F1167,IF(ISBLANK('Source_Data'!F148)=ISBLANK(F1167),0,1),1),IF('Source_Data'!G148=G1167,IF(ISBLANK('Source_Data'!G148)=ISBLANK(G1167),0,1),1),IF('Source_Data'!H148=H1167,IF(ISBLANK('Source_Data'!H148)=ISBLANK(H1167),0,1),1),IF('Source_Data'!I148=I1167,IF(ISBLANK('Source_Data'!I148)=ISBLANK(I1167),0,1),1),IF('Source_Data'!J148=J1167,IF(ISBLANK('Source_Data'!J148)=ISBLANK(J1167),0,1),1),IF('Source_Data'!K148=K1167,IF(ISBLANK('Source_Data'!K148)=ISBLANK(K1167),0,1),1))</x:f>
        <x:v>0</x:v>
      </x:c>
    </x:row>
    <x:row r="1168" ht="23" customHeight="1">
      <x:c r="A1168" s="2" t="str">
        <x:v>Turkey|61103099</x:v>
      </x:c>
      <x:c r="B1168" s="2" t="str">
        <x:v>Turkey</x:v>
      </x:c>
      <x:c r="C1168" s="2" t="str">
        <x:v>61103099</x:v>
      </x:c>
      <x:c r="D1168" s="2" t="n">
        <x:v>0</x:v>
      </x:c>
      <x:c r="E1168" s="2" t="n">
        <x:v>0</x:v>
      </x:c>
      <x:c r="F1168" s="2" t="n">
        <x:v>0</x:v>
      </x:c>
      <x:c r="G1168" s="2" t="n">
        <x:v>0.12</x:v>
      </x:c>
      <x:c r="H1168" s="2" t="str">
        <x:v>Yes</x:v>
      </x:c>
      <x:c r="I1168" s="2" t="str">
        <x:v>EXT_UKGT; EXT_UK_TURKEY</x:v>
      </x:c>
      <x:c r="J1168" s="2" t="str">
        <x:v>T03</x:v>
      </x:c>
      <x:c r="K1168" s="2" t="str">
        <x:v>Tariff_Matrix!A35:N35</x:v>
      </x:c>
      <x:c r="L1168" s="2" t="n">
        <x:f>SUM(IF('Source_Data'!A149=A1168,IF(ISBLANK('Source_Data'!A149)=ISBLANK(A1168),0,1),1),IF('Source_Data'!B149=B1168,IF(ISBLANK('Source_Data'!B149)=ISBLANK(B1168),0,1),1),IF('Source_Data'!C149=C1168,IF(ISBLANK('Source_Data'!C149)=ISBLANK(C1168),0,1),1),IF('Source_Data'!D149=D1168,IF(ISBLANK('Source_Data'!D149)=ISBLANK(D1168),0,1),1),IF('Source_Data'!E149=E1168,IF(ISBLANK('Source_Data'!E149)=ISBLANK(E1168),0,1),1),IF('Source_Data'!F149=F1168,IF(ISBLANK('Source_Data'!F149)=ISBLANK(F1168),0,1),1),IF('Source_Data'!G149=G1168,IF(ISBLANK('Source_Data'!G149)=ISBLANK(G1168),0,1),1),IF('Source_Data'!H149=H1168,IF(ISBLANK('Source_Data'!H149)=ISBLANK(H1168),0,1),1),IF('Source_Data'!I149=I1168,IF(ISBLANK('Source_Data'!I149)=ISBLANK(I1168),0,1),1),IF('Source_Data'!J149=J1168,IF(ISBLANK('Source_Data'!J149)=ISBLANK(J1168),0,1),1),IF('Source_Data'!K149=K1168,IF(ISBLANK('Source_Data'!K149)=ISBLANK(K1168),0,1),1))</x:f>
        <x:v>0</x:v>
      </x:c>
    </x:row>
    <x:row r="1169" ht="23" customHeight="1">
      <x:c r="A1169" s="2" t="str">
        <x:v>Vietnam|61103099</x:v>
      </x:c>
      <x:c r="B1169" s="2" t="str">
        <x:v>Vietnam</x:v>
      </x:c>
      <x:c r="C1169" s="2" t="str">
        <x:v>61103099</x:v>
      </x:c>
      <x:c r="D1169" s="2" t="n">
        <x:v>0</x:v>
      </x:c>
      <x:c r="E1169" s="2" t="n">
        <x:v>0</x:v>
      </x:c>
      <x:c r="F1169" s="2" t="n">
        <x:v>0</x:v>
      </x:c>
      <x:c r="G1169" s="2" t="n">
        <x:v>0.12</x:v>
      </x:c>
      <x:c r="H1169" s="2" t="str">
        <x:v>Yes</x:v>
      </x:c>
      <x:c r="I1169" s="2" t="str">
        <x:v>EXT_UKGT; EXT_UK_VIETNAM</x:v>
      </x:c>
      <x:c r="J1169" s="2" t="str">
        <x:v>T03</x:v>
      </x:c>
      <x:c r="K1169" s="2" t="str">
        <x:v>Tariff_Matrix!A39:N39</x:v>
      </x:c>
      <x:c r="L1169" s="2" t="n">
        <x:f>SUM(IF('Source_Data'!A150=A1169,IF(ISBLANK('Source_Data'!A150)=ISBLANK(A1169),0,1),1),IF('Source_Data'!B150=B1169,IF(ISBLANK('Source_Data'!B150)=ISBLANK(B1169),0,1),1),IF('Source_Data'!C150=C1169,IF(ISBLANK('Source_Data'!C150)=ISBLANK(C1169),0,1),1),IF('Source_Data'!D150=D1169,IF(ISBLANK('Source_Data'!D150)=ISBLANK(D1169),0,1),1),IF('Source_Data'!E150=E1169,IF(ISBLANK('Source_Data'!E150)=ISBLANK(E1169),0,1),1),IF('Source_Data'!F150=F1169,IF(ISBLANK('Source_Data'!F150)=ISBLANK(F1169),0,1),1),IF('Source_Data'!G150=G1169,IF(ISBLANK('Source_Data'!G150)=ISBLANK(G1169),0,1),1),IF('Source_Data'!H150=H1169,IF(ISBLANK('Source_Data'!H150)=ISBLANK(H1169),0,1),1),IF('Source_Data'!I150=I1169,IF(ISBLANK('Source_Data'!I150)=ISBLANK(I1169),0,1),1),IF('Source_Data'!J150=J1169,IF(ISBLANK('Source_Data'!J150)=ISBLANK(J1169),0,1),1),IF('Source_Data'!K150=K1169,IF(ISBLANK('Source_Data'!K150)=ISBLANK(K1169),0,1),1))</x:f>
        <x:v>0</x:v>
      </x:c>
    </x:row>
    <x:row r="1170" ht="23" customHeight="1">
      <x:c r="A1170" s="2" t="str">
        <x:v>Bangladesh|62044300</x:v>
      </x:c>
      <x:c r="B1170" s="2" t="str">
        <x:v>Bangladesh</x:v>
      </x:c>
      <x:c r="C1170" s="2" t="str">
        <x:v>62044300</x:v>
      </x:c>
      <x:c r="D1170" s="2" t="n">
        <x:v>0</x:v>
      </x:c>
      <x:c r="E1170" s="2" t="n">
        <x:v>0</x:v>
      </x:c>
      <x:c r="F1170" s="2" t="n">
        <x:v>0</x:v>
      </x:c>
      <x:c r="G1170" s="2" t="n">
        <x:v>0.12</x:v>
      </x:c>
      <x:c r="H1170" s="2" t="str">
        <x:v>Yes</x:v>
      </x:c>
      <x:c r="I1170" s="2" t="str">
        <x:v>EXT_UKGT; EXT_DCTS_2026; EXT_DCTS_ROO; EXT_UN_LDC_BGD</x:v>
      </x:c>
      <x:c r="J1170" s="2" t="str">
        <x:v>T04; T09; T11</x:v>
      </x:c>
      <x:c r="K1170" s="2" t="str">
        <x:v>Tariff_Matrix!A4:N4</x:v>
      </x:c>
      <x:c r="L1170" s="2" t="n">
        <x:f>SUM(IF('Source_Data'!A151=A1170,IF(ISBLANK('Source_Data'!A151)=ISBLANK(A1170),0,1),1),IF('Source_Data'!B151=B1170,IF(ISBLANK('Source_Data'!B151)=ISBLANK(B1170),0,1),1),IF('Source_Data'!C151=C1170,IF(ISBLANK('Source_Data'!C151)=ISBLANK(C1170),0,1),1),IF('Source_Data'!D151=D1170,IF(ISBLANK('Source_Data'!D151)=ISBLANK(D1170),0,1),1),IF('Source_Data'!E151=E1170,IF(ISBLANK('Source_Data'!E151)=ISBLANK(E1170),0,1),1),IF('Source_Data'!F151=F1170,IF(ISBLANK('Source_Data'!F151)=ISBLANK(F1170),0,1),1),IF('Source_Data'!G151=G1170,IF(ISBLANK('Source_Data'!G151)=ISBLANK(G1170),0,1),1),IF('Source_Data'!H151=H1170,IF(ISBLANK('Source_Data'!H151)=ISBLANK(H1170),0,1),1),IF('Source_Data'!I151=I1170,IF(ISBLANK('Source_Data'!I151)=ISBLANK(I1170),0,1),1),IF('Source_Data'!J151=J1170,IF(ISBLANK('Source_Data'!J151)=ISBLANK(J1170),0,1),1),IF('Source_Data'!K151=K1170,IF(ISBLANK('Source_Data'!K151)=ISBLANK(K1170),0,1),1))</x:f>
        <x:v>0</x:v>
      </x:c>
    </x:row>
    <x:row r="1171" ht="23" customHeight="1">
      <x:c r="A1171" s="2" t="str">
        <x:v>Cambodia|62044300</x:v>
      </x:c>
      <x:c r="B1171" s="2" t="str">
        <x:v>Cambodia</x:v>
      </x:c>
      <x:c r="C1171" s="2" t="str">
        <x:v>62044300</x:v>
      </x:c>
      <x:c r="D1171" s="2" t="n">
        <x:v>0</x:v>
      </x:c>
      <x:c r="E1171" s="2" t="n">
        <x:v>0</x:v>
      </x:c>
      <x:c r="F1171" s="2" t="n">
        <x:v>0</x:v>
      </x:c>
      <x:c r="G1171" s="2" t="n">
        <x:v>0.12</x:v>
      </x:c>
      <x:c r="H1171" s="2" t="str">
        <x:v>Yes</x:v>
      </x:c>
      <x:c r="I1171" s="2" t="str">
        <x:v>EXT_UKGT; EXT_DCTS_2026</x:v>
      </x:c>
      <x:c r="J1171" s="2" t="str">
        <x:v>T04; T09; T11</x:v>
      </x:c>
      <x:c r="K1171" s="2" t="str">
        <x:v>Tariff_Matrix!A8:N8</x:v>
      </x:c>
      <x:c r="L1171" s="2" t="n">
        <x:f>SUM(IF('Source_Data'!A152=A1171,IF(ISBLANK('Source_Data'!A152)=ISBLANK(A1171),0,1),1),IF('Source_Data'!B152=B1171,IF(ISBLANK('Source_Data'!B152)=ISBLANK(B1171),0,1),1),IF('Source_Data'!C152=C1171,IF(ISBLANK('Source_Data'!C152)=ISBLANK(C1171),0,1),1),IF('Source_Data'!D152=D1171,IF(ISBLANK('Source_Data'!D152)=ISBLANK(D1171),0,1),1),IF('Source_Data'!E152=E1171,IF(ISBLANK('Source_Data'!E152)=ISBLANK(E1171),0,1),1),IF('Source_Data'!F152=F1171,IF(ISBLANK('Source_Data'!F152)=ISBLANK(F1171),0,1),1),IF('Source_Data'!G152=G1171,IF(ISBLANK('Source_Data'!G152)=ISBLANK(G1171),0,1),1),IF('Source_Data'!H152=H1171,IF(ISBLANK('Source_Data'!H152)=ISBLANK(H1171),0,1),1),IF('Source_Data'!I152=I1171,IF(ISBLANK('Source_Data'!I152)=ISBLANK(I1171),0,1),1),IF('Source_Data'!J152=J1171,IF(ISBLANK('Source_Data'!J152)=ISBLANK(J1171),0,1),1),IF('Source_Data'!K152=K1171,IF(ISBLANK('Source_Data'!K152)=ISBLANK(K1171),0,1),1))</x:f>
        <x:v>0</x:v>
      </x:c>
    </x:row>
    <x:row r="1172" ht="23" customHeight="1">
      <x:c r="A1172" s="2" t="str">
        <x:v>China|62044300</x:v>
      </x:c>
      <x:c r="B1172" s="2" t="str">
        <x:v>China</x:v>
      </x:c>
      <x:c r="C1172" s="2" t="str">
        <x:v>62044300</x:v>
      </x:c>
      <x:c r="D1172" s="2" t="n">
        <x:v>0.12</x:v>
      </x:c>
      <x:c r="E1172" s="2" t="n">
        <x:v>0.12</x:v>
      </x:c>
      <x:c r="F1172" s="2" t="n">
        <x:v>0.12</x:v>
      </x:c>
      <x:c r="G1172" s="2" t="n">
        <x:v>0.12</x:v>
      </x:c>
      <x:c r="H1172" s="2" t="str">
        <x:v>No</x:v>
      </x:c>
      <x:c r="I1172" s="2" t="str">
        <x:v>EXT_UKGT</x:v>
      </x:c>
      <x:c r="J1172" s="2" t="str">
        <x:v>T04; T09; T11</x:v>
      </x:c>
      <x:c r="K1172" s="2" t="str">
        <x:v>Tariff_Matrix!A12:N12</x:v>
      </x:c>
      <x:c r="L1172" s="2" t="n">
        <x:f>SUM(IF('Source_Data'!A153=A1172,IF(ISBLANK('Source_Data'!A153)=ISBLANK(A1172),0,1),1),IF('Source_Data'!B153=B1172,IF(ISBLANK('Source_Data'!B153)=ISBLANK(B1172),0,1),1),IF('Source_Data'!C153=C1172,IF(ISBLANK('Source_Data'!C153)=ISBLANK(C1172),0,1),1),IF('Source_Data'!D153=D1172,IF(ISBLANK('Source_Data'!D153)=ISBLANK(D1172),0,1),1),IF('Source_Data'!E153=E1172,IF(ISBLANK('Source_Data'!E153)=ISBLANK(E1172),0,1),1),IF('Source_Data'!F153=F1172,IF(ISBLANK('Source_Data'!F153)=ISBLANK(F1172),0,1),1),IF('Source_Data'!G153=G1172,IF(ISBLANK('Source_Data'!G153)=ISBLANK(G1172),0,1),1),IF('Source_Data'!H153=H1172,IF(ISBLANK('Source_Data'!H153)=ISBLANK(H1172),0,1),1),IF('Source_Data'!I153=I1172,IF(ISBLANK('Source_Data'!I153)=ISBLANK(I1172),0,1),1),IF('Source_Data'!J153=J1172,IF(ISBLANK('Source_Data'!J153)=ISBLANK(J1172),0,1),1),IF('Source_Data'!K153=K1172,IF(ISBLANK('Source_Data'!K153)=ISBLANK(K1172),0,1),1))</x:f>
        <x:v>0</x:v>
      </x:c>
    </x:row>
    <x:row r="1173" ht="23" customHeight="1">
      <x:c r="A1173" s="2" t="str">
        <x:v>India|62044300</x:v>
      </x:c>
      <x:c r="B1173" s="2" t="str">
        <x:v>India</x:v>
      </x:c>
      <x:c r="C1173" s="2" t="str">
        <x:v>62044300</x:v>
      </x:c>
      <x:c r="D1173" s="2" t="n">
        <x:v>0.096</x:v>
      </x:c>
      <x:c r="E1173" s="2" t="n">
        <x:v>0.12</x:v>
      </x:c>
      <x:c r="F1173" s="2" t="n">
        <x:v>0</x:v>
      </x:c>
      <x:c r="G1173" s="2" t="n">
        <x:v>0.12</x:v>
      </x:c>
      <x:c r="H1173" s="2" t="str">
        <x:v>Yes</x:v>
      </x:c>
      <x:c r="I1173" s="2" t="str">
        <x:v>EXT_UKGT; EXT_DCTS_GRAD; EXT_CETA_ANNEX2A; EXT_CETA_TARIFF; EXT_CETA_PSR</x:v>
      </x:c>
      <x:c r="J1173" s="2" t="str">
        <x:v>T04; T09; T11</x:v>
      </x:c>
      <x:c r="K1173" s="2" t="str">
        <x:v>Tariff_Matrix!A16:N16</x:v>
      </x:c>
      <x:c r="L1173" s="2" t="n">
        <x:f>SUM(IF('Source_Data'!A154=A1173,IF(ISBLANK('Source_Data'!A154)=ISBLANK(A1173),0,1),1),IF('Source_Data'!B154=B1173,IF(ISBLANK('Source_Data'!B154)=ISBLANK(B1173),0,1),1),IF('Source_Data'!C154=C1173,IF(ISBLANK('Source_Data'!C154)=ISBLANK(C1173),0,1),1),IF('Source_Data'!D154=D1173,IF(ISBLANK('Source_Data'!D154)=ISBLANK(D1173),0,1),1),IF('Source_Data'!E154=E1173,IF(ISBLANK('Source_Data'!E154)=ISBLANK(E1173),0,1),1),IF('Source_Data'!F154=F1173,IF(ISBLANK('Source_Data'!F154)=ISBLANK(F1173),0,1),1),IF('Source_Data'!G154=G1173,IF(ISBLANK('Source_Data'!G154)=ISBLANK(G1173),0,1),1),IF('Source_Data'!H154=H1173,IF(ISBLANK('Source_Data'!H154)=ISBLANK(H1173),0,1),1),IF('Source_Data'!I154=I1173,IF(ISBLANK('Source_Data'!I154)=ISBLANK(I1173),0,1),1),IF('Source_Data'!J154=J1173,IF(ISBLANK('Source_Data'!J154)=ISBLANK(J1173),0,1),1),IF('Source_Data'!K154=K1173,IF(ISBLANK('Source_Data'!K154)=ISBLANK(K1173),0,1),1))</x:f>
        <x:v>0</x:v>
      </x:c>
    </x:row>
    <x:row r="1174" ht="23" customHeight="1">
      <x:c r="A1174" s="2" t="str">
        <x:v>Morocco|62044300</x:v>
      </x:c>
      <x:c r="B1174" s="2" t="str">
        <x:v>Morocco</x:v>
      </x:c>
      <x:c r="C1174" s="2" t="str">
        <x:v>62044300</x:v>
      </x:c>
      <x:c r="D1174" s="2" t="n">
        <x:v>0</x:v>
      </x:c>
      <x:c r="E1174" s="2" t="n">
        <x:v>0</x:v>
      </x:c>
      <x:c r="F1174" s="2" t="n">
        <x:v>0</x:v>
      </x:c>
      <x:c r="G1174" s="2" t="n">
        <x:v>0.12</x:v>
      </x:c>
      <x:c r="H1174" s="2" t="str">
        <x:v>Yes</x:v>
      </x:c>
      <x:c r="I1174" s="2" t="str">
        <x:v>EXT_UKGT; EXT_UK_MOROCCO</x:v>
      </x:c>
      <x:c r="J1174" s="2" t="str">
        <x:v>T04; T09; T11</x:v>
      </x:c>
      <x:c r="K1174" s="2" t="str">
        <x:v>Tariff_Matrix!A20:N20</x:v>
      </x:c>
      <x:c r="L1174" s="2" t="n">
        <x:f>SUM(IF('Source_Data'!A155=A1174,IF(ISBLANK('Source_Data'!A155)=ISBLANK(A1174),0,1),1),IF('Source_Data'!B155=B1174,IF(ISBLANK('Source_Data'!B155)=ISBLANK(B1174),0,1),1),IF('Source_Data'!C155=C1174,IF(ISBLANK('Source_Data'!C155)=ISBLANK(C1174),0,1),1),IF('Source_Data'!D155=D1174,IF(ISBLANK('Source_Data'!D155)=ISBLANK(D1174),0,1),1),IF('Source_Data'!E155=E1174,IF(ISBLANK('Source_Data'!E155)=ISBLANK(E1174),0,1),1),IF('Source_Data'!F155=F1174,IF(ISBLANK('Source_Data'!F155)=ISBLANK(F1174),0,1),1),IF('Source_Data'!G155=G1174,IF(ISBLANK('Source_Data'!G155)=ISBLANK(G1174),0,1),1),IF('Source_Data'!H155=H1174,IF(ISBLANK('Source_Data'!H155)=ISBLANK(H1174),0,1),1),IF('Source_Data'!I155=I1174,IF(ISBLANK('Source_Data'!I155)=ISBLANK(I1174),0,1),1),IF('Source_Data'!J155=J1174,IF(ISBLANK('Source_Data'!J155)=ISBLANK(J1174),0,1),1),IF('Source_Data'!K155=K1174,IF(ISBLANK('Source_Data'!K155)=ISBLANK(K1174),0,1),1))</x:f>
        <x:v>0</x:v>
      </x:c>
    </x:row>
    <x:row r="1175" ht="23" customHeight="1">
      <x:c r="A1175" s="2" t="str">
        <x:v>Myanmar|62044300</x:v>
      </x:c>
      <x:c r="B1175" s="2" t="str">
        <x:v>Myanmar</x:v>
      </x:c>
      <x:c r="C1175" s="2" t="str">
        <x:v>62044300</x:v>
      </x:c>
      <x:c r="D1175" s="2" t="n">
        <x:v>0</x:v>
      </x:c>
      <x:c r="E1175" s="2" t="n">
        <x:v>0</x:v>
      </x:c>
      <x:c r="F1175" s="2" t="n">
        <x:v>0</x:v>
      </x:c>
      <x:c r="G1175" s="2" t="n">
        <x:v>0.12</x:v>
      </x:c>
      <x:c r="H1175" s="2" t="str">
        <x:v>Yes</x:v>
      </x:c>
      <x:c r="I1175" s="2" t="str">
        <x:v>EXT_UKGT; EXT_DCTS_2026</x:v>
      </x:c>
      <x:c r="J1175" s="2" t="str">
        <x:v>T04; T09; T11</x:v>
      </x:c>
      <x:c r="K1175" s="2" t="str">
        <x:v>Tariff_Matrix!A24:N24</x:v>
      </x:c>
      <x:c r="L1175" s="2" t="n">
        <x:f>SUM(IF('Source_Data'!A156=A1175,IF(ISBLANK('Source_Data'!A156)=ISBLANK(A1175),0,1),1),IF('Source_Data'!B156=B1175,IF(ISBLANK('Source_Data'!B156)=ISBLANK(B1175),0,1),1),IF('Source_Data'!C156=C1175,IF(ISBLANK('Source_Data'!C156)=ISBLANK(C1175),0,1),1),IF('Source_Data'!D156=D1175,IF(ISBLANK('Source_Data'!D156)=ISBLANK(D1175),0,1),1),IF('Source_Data'!E156=E1175,IF(ISBLANK('Source_Data'!E156)=ISBLANK(E1175),0,1),1),IF('Source_Data'!F156=F1175,IF(ISBLANK('Source_Data'!F156)=ISBLANK(F1175),0,1),1),IF('Source_Data'!G156=G1175,IF(ISBLANK('Source_Data'!G156)=ISBLANK(G1175),0,1),1),IF('Source_Data'!H156=H1175,IF(ISBLANK('Source_Data'!H156)=ISBLANK(H1175),0,1),1),IF('Source_Data'!I156=I1175,IF(ISBLANK('Source_Data'!I156)=ISBLANK(I1175),0,1),1),IF('Source_Data'!J156=J1175,IF(ISBLANK('Source_Data'!J156)=ISBLANK(J1175),0,1),1),IF('Source_Data'!K156=K1175,IF(ISBLANK('Source_Data'!K156)=ISBLANK(K1175),0,1),1))</x:f>
        <x:v>0</x:v>
      </x:c>
    </x:row>
    <x:row r="1176" ht="23" customHeight="1">
      <x:c r="A1176" s="2" t="str">
        <x:v>Pakistan|62044300</x:v>
      </x:c>
      <x:c r="B1176" s="2" t="str">
        <x:v>Pakistan</x:v>
      </x:c>
      <x:c r="C1176" s="2" t="str">
        <x:v>62044300</x:v>
      </x:c>
      <x:c r="D1176" s="2" t="n">
        <x:v>0</x:v>
      </x:c>
      <x:c r="E1176" s="2" t="n">
        <x:v>0</x:v>
      </x:c>
      <x:c r="F1176" s="2" t="n">
        <x:v>0</x:v>
      </x:c>
      <x:c r="G1176" s="2" t="n">
        <x:v>0.12</x:v>
      </x:c>
      <x:c r="H1176" s="2" t="str">
        <x:v>Yes</x:v>
      </x:c>
      <x:c r="I1176" s="2" t="str">
        <x:v>EXT_UKGT; EXT_DCTS_2026</x:v>
      </x:c>
      <x:c r="J1176" s="2" t="str">
        <x:v>T04; T09; T11</x:v>
      </x:c>
      <x:c r="K1176" s="2" t="str">
        <x:v>Tariff_Matrix!A28:N28</x:v>
      </x:c>
      <x:c r="L1176" s="2" t="n">
        <x:f>SUM(IF('Source_Data'!A157=A1176,IF(ISBLANK('Source_Data'!A157)=ISBLANK(A1176),0,1),1),IF('Source_Data'!B157=B1176,IF(ISBLANK('Source_Data'!B157)=ISBLANK(B1176),0,1),1),IF('Source_Data'!C157=C1176,IF(ISBLANK('Source_Data'!C157)=ISBLANK(C1176),0,1),1),IF('Source_Data'!D157=D1176,IF(ISBLANK('Source_Data'!D157)=ISBLANK(D1176),0,1),1),IF('Source_Data'!E157=E1176,IF(ISBLANK('Source_Data'!E157)=ISBLANK(E1176),0,1),1),IF('Source_Data'!F157=F1176,IF(ISBLANK('Source_Data'!F157)=ISBLANK(F1176),0,1),1),IF('Source_Data'!G157=G1176,IF(ISBLANK('Source_Data'!G157)=ISBLANK(G1176),0,1),1),IF('Source_Data'!H157=H1176,IF(ISBLANK('Source_Data'!H157)=ISBLANK(H1176),0,1),1),IF('Source_Data'!I157=I1176,IF(ISBLANK('Source_Data'!I157)=ISBLANK(I1176),0,1),1),IF('Source_Data'!J157=J1176,IF(ISBLANK('Source_Data'!J157)=ISBLANK(J1176),0,1),1),IF('Source_Data'!K157=K1176,IF(ISBLANK('Source_Data'!K157)=ISBLANK(K1176),0,1),1))</x:f>
        <x:v>0</x:v>
      </x:c>
    </x:row>
    <x:row r="1177" ht="23" customHeight="1">
      <x:c r="A1177" s="2" t="str">
        <x:v>Sri Lanka|62044300</x:v>
      </x:c>
      <x:c r="B1177" s="2" t="str">
        <x:v>Sri Lanka</x:v>
      </x:c>
      <x:c r="C1177" s="2" t="str">
        <x:v>62044300</x:v>
      </x:c>
      <x:c r="D1177" s="2" t="n">
        <x:v>0</x:v>
      </x:c>
      <x:c r="E1177" s="2" t="n">
        <x:v>0</x:v>
      </x:c>
      <x:c r="F1177" s="2" t="n">
        <x:v>0</x:v>
      </x:c>
      <x:c r="G1177" s="2" t="n">
        <x:v>0.12</x:v>
      </x:c>
      <x:c r="H1177" s="2" t="str">
        <x:v>Yes</x:v>
      </x:c>
      <x:c r="I1177" s="2" t="str">
        <x:v>EXT_UKGT; EXT_DCTS_2026</x:v>
      </x:c>
      <x:c r="J1177" s="2" t="str">
        <x:v>T04; T09; T11</x:v>
      </x:c>
      <x:c r="K1177" s="2" t="str">
        <x:v>Tariff_Matrix!A32:N32</x:v>
      </x:c>
      <x:c r="L1177" s="2" t="n">
        <x:f>SUM(IF('Source_Data'!A158=A1177,IF(ISBLANK('Source_Data'!A158)=ISBLANK(A1177),0,1),1),IF('Source_Data'!B158=B1177,IF(ISBLANK('Source_Data'!B158)=ISBLANK(B1177),0,1),1),IF('Source_Data'!C158=C1177,IF(ISBLANK('Source_Data'!C158)=ISBLANK(C1177),0,1),1),IF('Source_Data'!D158=D1177,IF(ISBLANK('Source_Data'!D158)=ISBLANK(D1177),0,1),1),IF('Source_Data'!E158=E1177,IF(ISBLANK('Source_Data'!E158)=ISBLANK(E1177),0,1),1),IF('Source_Data'!F158=F1177,IF(ISBLANK('Source_Data'!F158)=ISBLANK(F1177),0,1),1),IF('Source_Data'!G158=G1177,IF(ISBLANK('Source_Data'!G158)=ISBLANK(G1177),0,1),1),IF('Source_Data'!H158=H1177,IF(ISBLANK('Source_Data'!H158)=ISBLANK(H1177),0,1),1),IF('Source_Data'!I158=I1177,IF(ISBLANK('Source_Data'!I158)=ISBLANK(I1177),0,1),1),IF('Source_Data'!J158=J1177,IF(ISBLANK('Source_Data'!J158)=ISBLANK(J1177),0,1),1),IF('Source_Data'!K158=K1177,IF(ISBLANK('Source_Data'!K158)=ISBLANK(K1177),0,1),1))</x:f>
        <x:v>0</x:v>
      </x:c>
    </x:row>
    <x:row r="1178" ht="23" customHeight="1">
      <x:c r="A1178" s="2" t="str">
        <x:v>Turkey|62044300</x:v>
      </x:c>
      <x:c r="B1178" s="2" t="str">
        <x:v>Turkey</x:v>
      </x:c>
      <x:c r="C1178" s="2" t="str">
        <x:v>62044300</x:v>
      </x:c>
      <x:c r="D1178" s="2" t="n">
        <x:v>0</x:v>
      </x:c>
      <x:c r="E1178" s="2" t="n">
        <x:v>0</x:v>
      </x:c>
      <x:c r="F1178" s="2" t="n">
        <x:v>0</x:v>
      </x:c>
      <x:c r="G1178" s="2" t="n">
        <x:v>0.12</x:v>
      </x:c>
      <x:c r="H1178" s="2" t="str">
        <x:v>Yes</x:v>
      </x:c>
      <x:c r="I1178" s="2" t="str">
        <x:v>EXT_UKGT; EXT_UK_TURKEY</x:v>
      </x:c>
      <x:c r="J1178" s="2" t="str">
        <x:v>T04; T09; T11</x:v>
      </x:c>
      <x:c r="K1178" s="2" t="str">
        <x:v>Tariff_Matrix!A36:N36</x:v>
      </x:c>
      <x:c r="L1178" s="2" t="n">
        <x:f>SUM(IF('Source_Data'!A159=A1178,IF(ISBLANK('Source_Data'!A159)=ISBLANK(A1178),0,1),1),IF('Source_Data'!B159=B1178,IF(ISBLANK('Source_Data'!B159)=ISBLANK(B1178),0,1),1),IF('Source_Data'!C159=C1178,IF(ISBLANK('Source_Data'!C159)=ISBLANK(C1178),0,1),1),IF('Source_Data'!D159=D1178,IF(ISBLANK('Source_Data'!D159)=ISBLANK(D1178),0,1),1),IF('Source_Data'!E159=E1178,IF(ISBLANK('Source_Data'!E159)=ISBLANK(E1178),0,1),1),IF('Source_Data'!F159=F1178,IF(ISBLANK('Source_Data'!F159)=ISBLANK(F1178),0,1),1),IF('Source_Data'!G159=G1178,IF(ISBLANK('Source_Data'!G159)=ISBLANK(G1178),0,1),1),IF('Source_Data'!H159=H1178,IF(ISBLANK('Source_Data'!H159)=ISBLANK(H1178),0,1),1),IF('Source_Data'!I159=I1178,IF(ISBLANK('Source_Data'!I159)=ISBLANK(I1178),0,1),1),IF('Source_Data'!J159=J1178,IF(ISBLANK('Source_Data'!J159)=ISBLANK(J1178),0,1),1),IF('Source_Data'!K159=K1178,IF(ISBLANK('Source_Data'!K159)=ISBLANK(K1178),0,1),1))</x:f>
        <x:v>0</x:v>
      </x:c>
    </x:row>
    <x:row r="1179" ht="23" customHeight="1">
      <x:c r="A1179" s="2" t="str">
        <x:v>Vietnam|62044300</x:v>
      </x:c>
      <x:c r="B1179" s="2" t="str">
        <x:v>Vietnam</x:v>
      </x:c>
      <x:c r="C1179" s="2" t="str">
        <x:v>62044300</x:v>
      </x:c>
      <x:c r="D1179" s="2" t="n">
        <x:v>0.03</x:v>
      </x:c>
      <x:c r="E1179" s="2" t="n">
        <x:v>0.015</x:v>
      </x:c>
      <x:c r="F1179" s="2" t="n">
        <x:v>0.015</x:v>
      </x:c>
      <x:c r="G1179" s="2" t="n">
        <x:v>0.12</x:v>
      </x:c>
      <x:c r="H1179" s="2" t="str">
        <x:v>Yes</x:v>
      </x:c>
      <x:c r="I1179" s="2" t="str">
        <x:v>EXT_UKGT; EXT_UK_VIETNAM</x:v>
      </x:c>
      <x:c r="J1179" s="2" t="str">
        <x:v>T04; T09; T11</x:v>
      </x:c>
      <x:c r="K1179" s="2" t="str">
        <x:v>Tariff_Matrix!A40:N40</x:v>
      </x:c>
      <x:c r="L1179" s="2" t="n">
        <x:f>SUM(IF('Source_Data'!A160=A1179,IF(ISBLANK('Source_Data'!A160)=ISBLANK(A1179),0,1),1),IF('Source_Data'!B160=B1179,IF(ISBLANK('Source_Data'!B160)=ISBLANK(B1179),0,1),1),IF('Source_Data'!C160=C1179,IF(ISBLANK('Source_Data'!C160)=ISBLANK(C1179),0,1),1),IF('Source_Data'!D160=D1179,IF(ISBLANK('Source_Data'!D160)=ISBLANK(D1179),0,1),1),IF('Source_Data'!E160=E1179,IF(ISBLANK('Source_Data'!E160)=ISBLANK(E1179),0,1),1),IF('Source_Data'!F160=F1179,IF(ISBLANK('Source_Data'!F160)=ISBLANK(F1179),0,1),1),IF('Source_Data'!G160=G1179,IF(ISBLANK('Source_Data'!G160)=ISBLANK(G1179),0,1),1),IF('Source_Data'!H160=H1179,IF(ISBLANK('Source_Data'!H160)=ISBLANK(H1179),0,1),1),IF('Source_Data'!I160=I1179,IF(ISBLANK('Source_Data'!I160)=ISBLANK(I1179),0,1),1),IF('Source_Data'!J160=J1179,IF(ISBLANK('Source_Data'!J160)=ISBLANK(J1179),0,1),1),IF('Source_Data'!K160=K1179,IF(ISBLANK('Source_Data'!K160)=ISBLANK(K1179),0,1),1))</x:f>
        <x:v>0</x:v>
      </x:c>
    </x:row>
    <x:row r="1180" ht="23" customHeight="1">
      <x:c r="A1180" s="2" t="str">
        <x:v>Bangladesh|62052000</x:v>
      </x:c>
      <x:c r="B1180" s="2" t="str">
        <x:v>Bangladesh</x:v>
      </x:c>
      <x:c r="C1180" s="2" t="str">
        <x:v>62052000</x:v>
      </x:c>
      <x:c r="D1180" s="2" t="n">
        <x:v>0</x:v>
      </x:c>
      <x:c r="E1180" s="2" t="n">
        <x:v>0</x:v>
      </x:c>
      <x:c r="F1180" s="2" t="n">
        <x:v>0</x:v>
      </x:c>
      <x:c r="G1180" s="2" t="n">
        <x:v>0.12</x:v>
      </x:c>
      <x:c r="H1180" s="2" t="str">
        <x:v>Yes</x:v>
      </x:c>
      <x:c r="I1180" s="2" t="str">
        <x:v>EXT_UKGT; EXT_DCTS_2026; EXT_DCTS_ROO; EXT_UN_LDC_BGD</x:v>
      </x:c>
      <x:c r="J1180" s="2" t="str">
        <x:v>T05; T06</x:v>
      </x:c>
      <x:c r="K1180" s="2" t="str">
        <x:v>Tariff_Matrix!A5:N5</x:v>
      </x:c>
      <x:c r="L1180" s="2" t="n">
        <x:f>SUM(IF('Source_Data'!A161=A1180,IF(ISBLANK('Source_Data'!A161)=ISBLANK(A1180),0,1),1),IF('Source_Data'!B161=B1180,IF(ISBLANK('Source_Data'!B161)=ISBLANK(B1180),0,1),1),IF('Source_Data'!C161=C1180,IF(ISBLANK('Source_Data'!C161)=ISBLANK(C1180),0,1),1),IF('Source_Data'!D161=D1180,IF(ISBLANK('Source_Data'!D161)=ISBLANK(D1180),0,1),1),IF('Source_Data'!E161=E1180,IF(ISBLANK('Source_Data'!E161)=ISBLANK(E1180),0,1),1),IF('Source_Data'!F161=F1180,IF(ISBLANK('Source_Data'!F161)=ISBLANK(F1180),0,1),1),IF('Source_Data'!G161=G1180,IF(ISBLANK('Source_Data'!G161)=ISBLANK(G1180),0,1),1),IF('Source_Data'!H161=H1180,IF(ISBLANK('Source_Data'!H161)=ISBLANK(H1180),0,1),1),IF('Source_Data'!I161=I1180,IF(ISBLANK('Source_Data'!I161)=ISBLANK(I1180),0,1),1),IF('Source_Data'!J161=J1180,IF(ISBLANK('Source_Data'!J161)=ISBLANK(J1180),0,1),1),IF('Source_Data'!K161=K1180,IF(ISBLANK('Source_Data'!K161)=ISBLANK(K1180),0,1),1))</x:f>
        <x:v>0</x:v>
      </x:c>
    </x:row>
    <x:row r="1181" ht="23" customHeight="1">
      <x:c r="A1181" s="2" t="str">
        <x:v>Cambodia|62052000</x:v>
      </x:c>
      <x:c r="B1181" s="2" t="str">
        <x:v>Cambodia</x:v>
      </x:c>
      <x:c r="C1181" s="2" t="str">
        <x:v>62052000</x:v>
      </x:c>
      <x:c r="D1181" s="2" t="n">
        <x:v>0</x:v>
      </x:c>
      <x:c r="E1181" s="2" t="n">
        <x:v>0</x:v>
      </x:c>
      <x:c r="F1181" s="2" t="n">
        <x:v>0</x:v>
      </x:c>
      <x:c r="G1181" s="2" t="n">
        <x:v>0.12</x:v>
      </x:c>
      <x:c r="H1181" s="2" t="str">
        <x:v>Yes</x:v>
      </x:c>
      <x:c r="I1181" s="2" t="str">
        <x:v>EXT_UKGT; EXT_DCTS_2026</x:v>
      </x:c>
      <x:c r="J1181" s="2" t="str">
        <x:v>T05; T06</x:v>
      </x:c>
      <x:c r="K1181" s="2" t="str">
        <x:v>Tariff_Matrix!A9:N9</x:v>
      </x:c>
      <x:c r="L1181" s="2" t="n">
        <x:f>SUM(IF('Source_Data'!A162=A1181,IF(ISBLANK('Source_Data'!A162)=ISBLANK(A1181),0,1),1),IF('Source_Data'!B162=B1181,IF(ISBLANK('Source_Data'!B162)=ISBLANK(B1181),0,1),1),IF('Source_Data'!C162=C1181,IF(ISBLANK('Source_Data'!C162)=ISBLANK(C1181),0,1),1),IF('Source_Data'!D162=D1181,IF(ISBLANK('Source_Data'!D162)=ISBLANK(D1181),0,1),1),IF('Source_Data'!E162=E1181,IF(ISBLANK('Source_Data'!E162)=ISBLANK(E1181),0,1),1),IF('Source_Data'!F162=F1181,IF(ISBLANK('Source_Data'!F162)=ISBLANK(F1181),0,1),1),IF('Source_Data'!G162=G1181,IF(ISBLANK('Source_Data'!G162)=ISBLANK(G1181),0,1),1),IF('Source_Data'!H162=H1181,IF(ISBLANK('Source_Data'!H162)=ISBLANK(H1181),0,1),1),IF('Source_Data'!I162=I1181,IF(ISBLANK('Source_Data'!I162)=ISBLANK(I1181),0,1),1),IF('Source_Data'!J162=J1181,IF(ISBLANK('Source_Data'!J162)=ISBLANK(J1181),0,1),1),IF('Source_Data'!K162=K1181,IF(ISBLANK('Source_Data'!K162)=ISBLANK(K1181),0,1),1))</x:f>
        <x:v>0</x:v>
      </x:c>
    </x:row>
    <x:row r="1182" ht="23" customHeight="1">
      <x:c r="A1182" s="2" t="str">
        <x:v>China|62052000</x:v>
      </x:c>
      <x:c r="B1182" s="2" t="str">
        <x:v>China</x:v>
      </x:c>
      <x:c r="C1182" s="2" t="str">
        <x:v>62052000</x:v>
      </x:c>
      <x:c r="D1182" s="2" t="n">
        <x:v>0.12</x:v>
      </x:c>
      <x:c r="E1182" s="2" t="n">
        <x:v>0.12</x:v>
      </x:c>
      <x:c r="F1182" s="2" t="n">
        <x:v>0.12</x:v>
      </x:c>
      <x:c r="G1182" s="2" t="n">
        <x:v>0.12</x:v>
      </x:c>
      <x:c r="H1182" s="2" t="str">
        <x:v>No</x:v>
      </x:c>
      <x:c r="I1182" s="2" t="str">
        <x:v>EXT_UKGT</x:v>
      </x:c>
      <x:c r="J1182" s="2" t="str">
        <x:v>T05; T06</x:v>
      </x:c>
      <x:c r="K1182" s="2" t="str">
        <x:v>Tariff_Matrix!A13:N13</x:v>
      </x:c>
      <x:c r="L1182" s="2" t="n">
        <x:f>SUM(IF('Source_Data'!A163=A1182,IF(ISBLANK('Source_Data'!A163)=ISBLANK(A1182),0,1),1),IF('Source_Data'!B163=B1182,IF(ISBLANK('Source_Data'!B163)=ISBLANK(B1182),0,1),1),IF('Source_Data'!C163=C1182,IF(ISBLANK('Source_Data'!C163)=ISBLANK(C1182),0,1),1),IF('Source_Data'!D163=D1182,IF(ISBLANK('Source_Data'!D163)=ISBLANK(D1182),0,1),1),IF('Source_Data'!E163=E1182,IF(ISBLANK('Source_Data'!E163)=ISBLANK(E1182),0,1),1),IF('Source_Data'!F163=F1182,IF(ISBLANK('Source_Data'!F163)=ISBLANK(F1182),0,1),1),IF('Source_Data'!G163=G1182,IF(ISBLANK('Source_Data'!G163)=ISBLANK(G1182),0,1),1),IF('Source_Data'!H163=H1182,IF(ISBLANK('Source_Data'!H163)=ISBLANK(H1182),0,1),1),IF('Source_Data'!I163=I1182,IF(ISBLANK('Source_Data'!I163)=ISBLANK(I1182),0,1),1),IF('Source_Data'!J163=J1182,IF(ISBLANK('Source_Data'!J163)=ISBLANK(J1182),0,1),1),IF('Source_Data'!K163=K1182,IF(ISBLANK('Source_Data'!K163)=ISBLANK(K1182),0,1),1))</x:f>
        <x:v>0</x:v>
      </x:c>
    </x:row>
    <x:row r="1183" ht="23" customHeight="1">
      <x:c r="A1183" s="2" t="str">
        <x:v>India|62052000</x:v>
      </x:c>
      <x:c r="B1183" s="2" t="str">
        <x:v>India</x:v>
      </x:c>
      <x:c r="C1183" s="2" t="str">
        <x:v>62052000</x:v>
      </x:c>
      <x:c r="D1183" s="2" t="n">
        <x:v>0.096</x:v>
      </x:c>
      <x:c r="E1183" s="2" t="n">
        <x:v>0.12</x:v>
      </x:c>
      <x:c r="F1183" s="2" t="n">
        <x:v>0</x:v>
      </x:c>
      <x:c r="G1183" s="2" t="n">
        <x:v>0.12</x:v>
      </x:c>
      <x:c r="H1183" s="2" t="str">
        <x:v>Yes</x:v>
      </x:c>
      <x:c r="I1183" s="2" t="str">
        <x:v>EXT_UKGT; EXT_DCTS_GRAD; EXT_CETA_ANNEX2A; EXT_CETA_TARIFF; EXT_CETA_PSR</x:v>
      </x:c>
      <x:c r="J1183" s="2" t="str">
        <x:v>T05; T06</x:v>
      </x:c>
      <x:c r="K1183" s="2" t="str">
        <x:v>Tariff_Matrix!A17:N17</x:v>
      </x:c>
      <x:c r="L1183" s="2" t="n">
        <x:f>SUM(IF('Source_Data'!A164=A1183,IF(ISBLANK('Source_Data'!A164)=ISBLANK(A1183),0,1),1),IF('Source_Data'!B164=B1183,IF(ISBLANK('Source_Data'!B164)=ISBLANK(B1183),0,1),1),IF('Source_Data'!C164=C1183,IF(ISBLANK('Source_Data'!C164)=ISBLANK(C1183),0,1),1),IF('Source_Data'!D164=D1183,IF(ISBLANK('Source_Data'!D164)=ISBLANK(D1183),0,1),1),IF('Source_Data'!E164=E1183,IF(ISBLANK('Source_Data'!E164)=ISBLANK(E1183),0,1),1),IF('Source_Data'!F164=F1183,IF(ISBLANK('Source_Data'!F164)=ISBLANK(F1183),0,1),1),IF('Source_Data'!G164=G1183,IF(ISBLANK('Source_Data'!G164)=ISBLANK(G1183),0,1),1),IF('Source_Data'!H164=H1183,IF(ISBLANK('Source_Data'!H164)=ISBLANK(H1183),0,1),1),IF('Source_Data'!I164=I1183,IF(ISBLANK('Source_Data'!I164)=ISBLANK(I1183),0,1),1),IF('Source_Data'!J164=J1183,IF(ISBLANK('Source_Data'!J164)=ISBLANK(J1183),0,1),1),IF('Source_Data'!K164=K1183,IF(ISBLANK('Source_Data'!K164)=ISBLANK(K1183),0,1),1))</x:f>
        <x:v>0</x:v>
      </x:c>
    </x:row>
    <x:row r="1184" ht="23" customHeight="1">
      <x:c r="A1184" s="2" t="str">
        <x:v>Morocco|62052000</x:v>
      </x:c>
      <x:c r="B1184" s="2" t="str">
        <x:v>Morocco</x:v>
      </x:c>
      <x:c r="C1184" s="2" t="str">
        <x:v>62052000</x:v>
      </x:c>
      <x:c r="D1184" s="2" t="n">
        <x:v>0</x:v>
      </x:c>
      <x:c r="E1184" s="2" t="n">
        <x:v>0</x:v>
      </x:c>
      <x:c r="F1184" s="2" t="n">
        <x:v>0</x:v>
      </x:c>
      <x:c r="G1184" s="2" t="n">
        <x:v>0.12</x:v>
      </x:c>
      <x:c r="H1184" s="2" t="str">
        <x:v>Yes</x:v>
      </x:c>
      <x:c r="I1184" s="2" t="str">
        <x:v>EXT_UKGT; EXT_UK_MOROCCO</x:v>
      </x:c>
      <x:c r="J1184" s="2" t="str">
        <x:v>T05; T06</x:v>
      </x:c>
      <x:c r="K1184" s="2" t="str">
        <x:v>Tariff_Matrix!A21:N21</x:v>
      </x:c>
      <x:c r="L1184" s="2" t="n">
        <x:f>SUM(IF('Source_Data'!A165=A1184,IF(ISBLANK('Source_Data'!A165)=ISBLANK(A1184),0,1),1),IF('Source_Data'!B165=B1184,IF(ISBLANK('Source_Data'!B165)=ISBLANK(B1184),0,1),1),IF('Source_Data'!C165=C1184,IF(ISBLANK('Source_Data'!C165)=ISBLANK(C1184),0,1),1),IF('Source_Data'!D165=D1184,IF(ISBLANK('Source_Data'!D165)=ISBLANK(D1184),0,1),1),IF('Source_Data'!E165=E1184,IF(ISBLANK('Source_Data'!E165)=ISBLANK(E1184),0,1),1),IF('Source_Data'!F165=F1184,IF(ISBLANK('Source_Data'!F165)=ISBLANK(F1184),0,1),1),IF('Source_Data'!G165=G1184,IF(ISBLANK('Source_Data'!G165)=ISBLANK(G1184),0,1),1),IF('Source_Data'!H165=H1184,IF(ISBLANK('Source_Data'!H165)=ISBLANK(H1184),0,1),1),IF('Source_Data'!I165=I1184,IF(ISBLANK('Source_Data'!I165)=ISBLANK(I1184),0,1),1),IF('Source_Data'!J165=J1184,IF(ISBLANK('Source_Data'!J165)=ISBLANK(J1184),0,1),1),IF('Source_Data'!K165=K1184,IF(ISBLANK('Source_Data'!K165)=ISBLANK(K1184),0,1),1))</x:f>
        <x:v>0</x:v>
      </x:c>
    </x:row>
    <x:row r="1185" ht="23" customHeight="1">
      <x:c r="A1185" s="2" t="str">
        <x:v>Myanmar|62052000</x:v>
      </x:c>
      <x:c r="B1185" s="2" t="str">
        <x:v>Myanmar</x:v>
      </x:c>
      <x:c r="C1185" s="2" t="str">
        <x:v>62052000</x:v>
      </x:c>
      <x:c r="D1185" s="2" t="n">
        <x:v>0</x:v>
      </x:c>
      <x:c r="E1185" s="2" t="n">
        <x:v>0</x:v>
      </x:c>
      <x:c r="F1185" s="2" t="n">
        <x:v>0</x:v>
      </x:c>
      <x:c r="G1185" s="2" t="n">
        <x:v>0.12</x:v>
      </x:c>
      <x:c r="H1185" s="2" t="str">
        <x:v>Yes</x:v>
      </x:c>
      <x:c r="I1185" s="2" t="str">
        <x:v>EXT_UKGT; EXT_DCTS_2026</x:v>
      </x:c>
      <x:c r="J1185" s="2" t="str">
        <x:v>T05; T06</x:v>
      </x:c>
      <x:c r="K1185" s="2" t="str">
        <x:v>Tariff_Matrix!A25:N25</x:v>
      </x:c>
      <x:c r="L1185" s="2" t="n">
        <x:f>SUM(IF('Source_Data'!A166=A1185,IF(ISBLANK('Source_Data'!A166)=ISBLANK(A1185),0,1),1),IF('Source_Data'!B166=B1185,IF(ISBLANK('Source_Data'!B166)=ISBLANK(B1185),0,1),1),IF('Source_Data'!C166=C1185,IF(ISBLANK('Source_Data'!C166)=ISBLANK(C1185),0,1),1),IF('Source_Data'!D166=D1185,IF(ISBLANK('Source_Data'!D166)=ISBLANK(D1185),0,1),1),IF('Source_Data'!E166=E1185,IF(ISBLANK('Source_Data'!E166)=ISBLANK(E1185),0,1),1),IF('Source_Data'!F166=F1185,IF(ISBLANK('Source_Data'!F166)=ISBLANK(F1185),0,1),1),IF('Source_Data'!G166=G1185,IF(ISBLANK('Source_Data'!G166)=ISBLANK(G1185),0,1),1),IF('Source_Data'!H166=H1185,IF(ISBLANK('Source_Data'!H166)=ISBLANK(H1185),0,1),1),IF('Source_Data'!I166=I1185,IF(ISBLANK('Source_Data'!I166)=ISBLANK(I1185),0,1),1),IF('Source_Data'!J166=J1185,IF(ISBLANK('Source_Data'!J166)=ISBLANK(J1185),0,1),1),IF('Source_Data'!K166=K1185,IF(ISBLANK('Source_Data'!K166)=ISBLANK(K1185),0,1),1))</x:f>
        <x:v>0</x:v>
      </x:c>
    </x:row>
    <x:row r="1186" ht="23" customHeight="1">
      <x:c r="A1186" s="2" t="str">
        <x:v>Pakistan|62052000</x:v>
      </x:c>
      <x:c r="B1186" s="2" t="str">
        <x:v>Pakistan</x:v>
      </x:c>
      <x:c r="C1186" s="2" t="str">
        <x:v>62052000</x:v>
      </x:c>
      <x:c r="D1186" s="2" t="n">
        <x:v>0</x:v>
      </x:c>
      <x:c r="E1186" s="2" t="n">
        <x:v>0</x:v>
      </x:c>
      <x:c r="F1186" s="2" t="n">
        <x:v>0</x:v>
      </x:c>
      <x:c r="G1186" s="2" t="n">
        <x:v>0.12</x:v>
      </x:c>
      <x:c r="H1186" s="2" t="str">
        <x:v>Yes</x:v>
      </x:c>
      <x:c r="I1186" s="2" t="str">
        <x:v>EXT_UKGT; EXT_DCTS_2026</x:v>
      </x:c>
      <x:c r="J1186" s="2" t="str">
        <x:v>T05; T06</x:v>
      </x:c>
      <x:c r="K1186" s="2" t="str">
        <x:v>Tariff_Matrix!A29:N29</x:v>
      </x:c>
      <x:c r="L1186" s="2" t="n">
        <x:f>SUM(IF('Source_Data'!A167=A1186,IF(ISBLANK('Source_Data'!A167)=ISBLANK(A1186),0,1),1),IF('Source_Data'!B167=B1186,IF(ISBLANK('Source_Data'!B167)=ISBLANK(B1186),0,1),1),IF('Source_Data'!C167=C1186,IF(ISBLANK('Source_Data'!C167)=ISBLANK(C1186),0,1),1),IF('Source_Data'!D167=D1186,IF(ISBLANK('Source_Data'!D167)=ISBLANK(D1186),0,1),1),IF('Source_Data'!E167=E1186,IF(ISBLANK('Source_Data'!E167)=ISBLANK(E1186),0,1),1),IF('Source_Data'!F167=F1186,IF(ISBLANK('Source_Data'!F167)=ISBLANK(F1186),0,1),1),IF('Source_Data'!G167=G1186,IF(ISBLANK('Source_Data'!G167)=ISBLANK(G1186),0,1),1),IF('Source_Data'!H167=H1186,IF(ISBLANK('Source_Data'!H167)=ISBLANK(H1186),0,1),1),IF('Source_Data'!I167=I1186,IF(ISBLANK('Source_Data'!I167)=ISBLANK(I1186),0,1),1),IF('Source_Data'!J167=J1186,IF(ISBLANK('Source_Data'!J167)=ISBLANK(J1186),0,1),1),IF('Source_Data'!K167=K1186,IF(ISBLANK('Source_Data'!K167)=ISBLANK(K1186),0,1),1))</x:f>
        <x:v>0</x:v>
      </x:c>
    </x:row>
    <x:row r="1187" ht="23" customHeight="1">
      <x:c r="A1187" s="2" t="str">
        <x:v>Sri Lanka|62052000</x:v>
      </x:c>
      <x:c r="B1187" s="2" t="str">
        <x:v>Sri Lanka</x:v>
      </x:c>
      <x:c r="C1187" s="2" t="str">
        <x:v>62052000</x:v>
      </x:c>
      <x:c r="D1187" s="2" t="n">
        <x:v>0</x:v>
      </x:c>
      <x:c r="E1187" s="2" t="n">
        <x:v>0</x:v>
      </x:c>
      <x:c r="F1187" s="2" t="n">
        <x:v>0</x:v>
      </x:c>
      <x:c r="G1187" s="2" t="n">
        <x:v>0.12</x:v>
      </x:c>
      <x:c r="H1187" s="2" t="str">
        <x:v>Yes</x:v>
      </x:c>
      <x:c r="I1187" s="2" t="str">
        <x:v>EXT_UKGT; EXT_DCTS_2026</x:v>
      </x:c>
      <x:c r="J1187" s="2" t="str">
        <x:v>T05; T06</x:v>
      </x:c>
      <x:c r="K1187" s="2" t="str">
        <x:v>Tariff_Matrix!A33:N33</x:v>
      </x:c>
      <x:c r="L1187" s="2" t="n">
        <x:f>SUM(IF('Source_Data'!A168=A1187,IF(ISBLANK('Source_Data'!A168)=ISBLANK(A1187),0,1),1),IF('Source_Data'!B168=B1187,IF(ISBLANK('Source_Data'!B168)=ISBLANK(B1187),0,1),1),IF('Source_Data'!C168=C1187,IF(ISBLANK('Source_Data'!C168)=ISBLANK(C1187),0,1),1),IF('Source_Data'!D168=D1187,IF(ISBLANK('Source_Data'!D168)=ISBLANK(D1187),0,1),1),IF('Source_Data'!E168=E1187,IF(ISBLANK('Source_Data'!E168)=ISBLANK(E1187),0,1),1),IF('Source_Data'!F168=F1187,IF(ISBLANK('Source_Data'!F168)=ISBLANK(F1187),0,1),1),IF('Source_Data'!G168=G1187,IF(ISBLANK('Source_Data'!G168)=ISBLANK(G1187),0,1),1),IF('Source_Data'!H168=H1187,IF(ISBLANK('Source_Data'!H168)=ISBLANK(H1187),0,1),1),IF('Source_Data'!I168=I1187,IF(ISBLANK('Source_Data'!I168)=ISBLANK(I1187),0,1),1),IF('Source_Data'!J168=J1187,IF(ISBLANK('Source_Data'!J168)=ISBLANK(J1187),0,1),1),IF('Source_Data'!K168=K1187,IF(ISBLANK('Source_Data'!K168)=ISBLANK(K1187),0,1),1))</x:f>
        <x:v>0</x:v>
      </x:c>
    </x:row>
    <x:row r="1188" ht="23" customHeight="1">
      <x:c r="A1188" s="2" t="str">
        <x:v>Turkey|62052000</x:v>
      </x:c>
      <x:c r="B1188" s="2" t="str">
        <x:v>Turkey</x:v>
      </x:c>
      <x:c r="C1188" s="2" t="str">
        <x:v>62052000</x:v>
      </x:c>
      <x:c r="D1188" s="2" t="n">
        <x:v>0</x:v>
      </x:c>
      <x:c r="E1188" s="2" t="n">
        <x:v>0</x:v>
      </x:c>
      <x:c r="F1188" s="2" t="n">
        <x:v>0</x:v>
      </x:c>
      <x:c r="G1188" s="2" t="n">
        <x:v>0.12</x:v>
      </x:c>
      <x:c r="H1188" s="2" t="str">
        <x:v>Yes</x:v>
      </x:c>
      <x:c r="I1188" s="2" t="str">
        <x:v>EXT_UKGT; EXT_UK_TURKEY</x:v>
      </x:c>
      <x:c r="J1188" s="2" t="str">
        <x:v>T05; T06</x:v>
      </x:c>
      <x:c r="K1188" s="2" t="str">
        <x:v>Tariff_Matrix!A37:N37</x:v>
      </x:c>
      <x:c r="L1188" s="2" t="n">
        <x:f>SUM(IF('Source_Data'!A169=A1188,IF(ISBLANK('Source_Data'!A169)=ISBLANK(A1188),0,1),1),IF('Source_Data'!B169=B1188,IF(ISBLANK('Source_Data'!B169)=ISBLANK(B1188),0,1),1),IF('Source_Data'!C169=C1188,IF(ISBLANK('Source_Data'!C169)=ISBLANK(C1188),0,1),1),IF('Source_Data'!D169=D1188,IF(ISBLANK('Source_Data'!D169)=ISBLANK(D1188),0,1),1),IF('Source_Data'!E169=E1188,IF(ISBLANK('Source_Data'!E169)=ISBLANK(E1188),0,1),1),IF('Source_Data'!F169=F1188,IF(ISBLANK('Source_Data'!F169)=ISBLANK(F1188),0,1),1),IF('Source_Data'!G169=G1188,IF(ISBLANK('Source_Data'!G169)=ISBLANK(G1188),0,1),1),IF('Source_Data'!H169=H1188,IF(ISBLANK('Source_Data'!H169)=ISBLANK(H1188),0,1),1),IF('Source_Data'!I169=I1188,IF(ISBLANK('Source_Data'!I169)=ISBLANK(I1188),0,1),1),IF('Source_Data'!J169=J1188,IF(ISBLANK('Source_Data'!J169)=ISBLANK(J1188),0,1),1),IF('Source_Data'!K169=K1188,IF(ISBLANK('Source_Data'!K169)=ISBLANK(K1188),0,1),1))</x:f>
        <x:v>0</x:v>
      </x:c>
    </x:row>
    <x:row r="1189" ht="23" customHeight="1">
      <x:c r="A1189" s="2" t="str">
        <x:v>Vietnam|62052000</x:v>
      </x:c>
      <x:c r="B1189" s="2" t="str">
        <x:v>Vietnam</x:v>
      </x:c>
      <x:c r="C1189" s="2" t="str">
        <x:v>62052000</x:v>
      </x:c>
      <x:c r="D1189" s="2" t="n">
        <x:v>0</x:v>
      </x:c>
      <x:c r="E1189" s="2" t="n">
        <x:v>0</x:v>
      </x:c>
      <x:c r="F1189" s="2" t="n">
        <x:v>0</x:v>
      </x:c>
      <x:c r="G1189" s="2" t="n">
        <x:v>0.12</x:v>
      </x:c>
      <x:c r="H1189" s="2" t="str">
        <x:v>Yes</x:v>
      </x:c>
      <x:c r="I1189" s="2" t="str">
        <x:v>EXT_UKGT; EXT_UK_VIETNAM</x:v>
      </x:c>
      <x:c r="J1189" s="2" t="str">
        <x:v>T05; T06</x:v>
      </x:c>
      <x:c r="K1189" s="2" t="str">
        <x:v>Tariff_Matrix!A41:N41</x:v>
      </x:c>
      <x:c r="L1189" s="2" t="n">
        <x:f>SUM(IF('Source_Data'!A170=A1189,IF(ISBLANK('Source_Data'!A170)=ISBLANK(A1189),0,1),1),IF('Source_Data'!B170=B1189,IF(ISBLANK('Source_Data'!B170)=ISBLANK(B1189),0,1),1),IF('Source_Data'!C170=C1189,IF(ISBLANK('Source_Data'!C170)=ISBLANK(C1189),0,1),1),IF('Source_Data'!D170=D1189,IF(ISBLANK('Source_Data'!D170)=ISBLANK(D1189),0,1),1),IF('Source_Data'!E170=E1189,IF(ISBLANK('Source_Data'!E170)=ISBLANK(E1189),0,1),1),IF('Source_Data'!F170=F1189,IF(ISBLANK('Source_Data'!F170)=ISBLANK(F1189),0,1),1),IF('Source_Data'!G170=G1189,IF(ISBLANK('Source_Data'!G170)=ISBLANK(G1189),0,1),1),IF('Source_Data'!H170=H1189,IF(ISBLANK('Source_Data'!H170)=ISBLANK(H1189),0,1),1),IF('Source_Data'!I170=I1189,IF(ISBLANK('Source_Data'!I170)=ISBLANK(I1189),0,1),1),IF('Source_Data'!J170=J1189,IF(ISBLANK('Source_Data'!J170)=ISBLANK(J1189),0,1),1),IF('Source_Data'!K170=K1189,IF(ISBLANK('Source_Data'!K170)=ISBLANK(K1189),0,1),1))</x:f>
        <x:v>0</x:v>
      </x:c>
    </x:row>
    <x:row r="1190" ht="23" customHeight="1">
      <x:c r="A1190" s="2"/>
      <x:c r="B1190" s="2"/>
      <x:c r="C1190" s="2"/>
      <x:c r="D1190" s="2"/>
      <x:c r="E1190" s="2"/>
      <x:c r="F1190" s="2"/>
      <x:c r="G1190" s="2"/>
      <x:c r="H1190" s="2"/>
      <x:c r="I1190" s="2"/>
      <x:c r="J1190" s="2"/>
      <x:c r="K1190" s="2"/>
      <x:c r="L1190" s="2"/>
    </x:row>
    <x:row r="1191" ht="23" customHeight="1">
      <x:c r="A1191" s="2"/>
      <x:c r="B1191" s="2"/>
      <x:c r="C1191" s="2"/>
      <x:c r="D1191" s="2"/>
      <x:c r="E1191" s="2"/>
      <x:c r="F1191" s="2"/>
      <x:c r="G1191" s="2"/>
      <x:c r="H1191" s="2"/>
      <x:c r="I1191" s="2"/>
      <x:c r="J1191" s="2"/>
      <x:c r="K1191" s="2"/>
      <x:c r="L1191" s="2"/>
    </x:row>
    <x:row r="1192" ht="23" customHeight="1">
      <x:c r="A1192" s="2"/>
      <x:c r="B1192" s="2"/>
      <x:c r="C1192" s="2"/>
      <x:c r="D1192" s="2"/>
      <x:c r="E1192" s="2"/>
      <x:c r="F1192" s="2"/>
      <x:c r="G1192" s="2"/>
      <x:c r="H1192" s="2"/>
      <x:c r="I1192" s="2"/>
      <x:c r="J1192" s="2"/>
      <x:c r="K1192" s="2"/>
      <x:c r="L1192" s="2"/>
    </x:row>
    <x:row r="1193" ht="23" customHeight="1">
      <x:c r="A1193" s="2"/>
      <x:c r="B1193" s="2"/>
      <x:c r="C1193" s="2"/>
      <x:c r="D1193" s="2"/>
      <x:c r="E1193" s="2"/>
      <x:c r="F1193" s="2"/>
      <x:c r="G1193" s="2"/>
      <x:c r="H1193" s="2"/>
      <x:c r="I1193" s="2"/>
      <x:c r="J1193" s="2"/>
      <x:c r="K1193" s="2"/>
      <x:c r="L1193" s="2"/>
    </x:row>
    <x:row r="1194" ht="23" customHeight="1">
      <x:c r="A1194" s="2"/>
      <x:c r="B1194" s="2"/>
      <x:c r="C1194" s="2"/>
      <x:c r="D1194" s="2"/>
      <x:c r="E1194" s="2"/>
      <x:c r="F1194" s="2"/>
      <x:c r="G1194" s="2"/>
      <x:c r="H1194" s="2"/>
      <x:c r="I1194" s="2"/>
      <x:c r="J1194" s="2"/>
      <x:c r="K1194" s="2"/>
      <x:c r="L1194" s="2"/>
    </x:row>
    <x:row r="1195" ht="23" customHeight="1">
      <x:c r="A1195" s="2"/>
      <x:c r="B1195" s="2"/>
      <x:c r="C1195" s="2"/>
      <x:c r="D1195" s="2"/>
      <x:c r="E1195" s="2"/>
      <x:c r="F1195" s="2"/>
      <x:c r="G1195" s="2"/>
      <x:c r="H1195" s="2"/>
      <x:c r="I1195" s="2"/>
      <x:c r="J1195" s="2"/>
      <x:c r="K1195" s="2"/>
      <x:c r="L1195" s="2"/>
    </x:row>
    <x:row r="1196" ht="23" customHeight="1">
      <x:c r="A1196" s="2"/>
      <x:c r="B1196" s="2"/>
      <x:c r="C1196" s="2"/>
      <x:c r="D1196" s="2"/>
      <x:c r="E1196" s="2"/>
      <x:c r="F1196" s="2"/>
      <x:c r="G1196" s="2"/>
      <x:c r="H1196" s="2"/>
      <x:c r="I1196" s="2"/>
      <x:c r="J1196" s="2"/>
      <x:c r="K1196" s="2"/>
      <x:c r="L1196" s="2"/>
    </x:row>
    <x:row r="1197" ht="23" customHeight="1">
      <x:c r="A1197" s="2"/>
      <x:c r="B1197" s="2"/>
      <x:c r="C1197" s="2"/>
      <x:c r="D1197" s="2"/>
      <x:c r="E1197" s="2"/>
      <x:c r="F1197" s="2"/>
      <x:c r="G1197" s="2"/>
      <x:c r="H1197" s="2"/>
      <x:c r="I1197" s="2"/>
      <x:c r="J1197" s="2"/>
      <x:c r="K1197" s="2"/>
      <x:c r="L1197" s="2"/>
    </x:row>
    <x:row r="1198" ht="23" customHeight="1">
      <x:c r="A1198" s="2"/>
      <x:c r="B1198" s="2"/>
      <x:c r="C1198" s="2"/>
      <x:c r="D1198" s="2"/>
      <x:c r="E1198" s="2"/>
      <x:c r="F1198" s="2"/>
      <x:c r="G1198" s="2"/>
      <x:c r="H1198" s="2"/>
      <x:c r="I1198" s="2"/>
      <x:c r="J1198" s="2"/>
      <x:c r="K1198" s="2"/>
      <x:c r="L1198" s="2"/>
    </x:row>
    <x:row r="1199" ht="26" customHeight="1">
      <x:c r="A1199" s="12" t="str">
        <x:v>Basket inputs: Source_Data!A176:D179</x:v>
      </x:c>
      <x:c r="B1199" s="12"/>
      <x:c r="C1199" s="12"/>
      <x:c r="D1199" s="12"/>
      <x:c r="E1199" s="12"/>
      <x:c r="F1199" s="12"/>
      <x:c r="G1199" s="12"/>
      <x:c r="H1199" s="12"/>
      <x:c r="I1199" s="12"/>
      <x:c r="J1199" s="12"/>
      <x:c r="K1199" s="12"/>
      <x:c r="L1199" s="2"/>
    </x:row>
    <x:row r="1200" ht="23" customHeight="1">
      <x:c r="A1200" s="2" t="str">
        <x:v>61091000</x:v>
      </x:c>
      <x:c r="B1200" s="2" t="str">
        <x:v>Cotton T-shirts</x:v>
      </x:c>
      <x:c r="C1200" s="2" t="n">
        <x:v>0.25</x:v>
      </x:c>
      <x:c r="D1200" s="2" t="n">
        <x:v>1223299784</x:v>
      </x:c>
      <x:c r="E1200" s="2"/>
      <x:c r="F1200" s="2"/>
      <x:c r="G1200" s="2"/>
      <x:c r="H1200" s="2"/>
      <x:c r="I1200" s="2"/>
      <x:c r="J1200" s="2"/>
      <x:c r="K1200" s="2"/>
      <x:c r="L1200" s="2" t="n">
        <x:f>SUM(IF('Source_Data'!A176=A1200,IF(ISBLANK('Source_Data'!A176)=ISBLANK(A1200),0,1),1),IF('Source_Data'!B176=B1200,IF(ISBLANK('Source_Data'!B176)=ISBLANK(B1200),0,1),1),IF('Source_Data'!C176=C1200,IF(ISBLANK('Source_Data'!C176)=ISBLANK(C1200),0,1),1),IF('Source_Data'!D176=D1200,IF(ISBLANK('Source_Data'!D176)=ISBLANK(D1200),0,1),1))</x:f>
        <x:v>0</x:v>
      </x:c>
    </x:row>
    <x:row r="1201" ht="23" customHeight="1">
      <x:c r="A1201" s="2" t="str">
        <x:v>61103099</x:v>
      </x:c>
      <x:c r="B1201" s="2" t="str">
        <x:v>MMF knitwear</x:v>
      </x:c>
      <x:c r="C1201" s="2" t="n">
        <x:v>0.25</x:v>
      </x:c>
      <x:c r="D1201" s="2" t="n">
        <x:v>719371758</x:v>
      </x:c>
      <x:c r="E1201" s="2"/>
      <x:c r="F1201" s="2"/>
      <x:c r="G1201" s="2"/>
      <x:c r="H1201" s="2"/>
      <x:c r="I1201" s="2"/>
      <x:c r="J1201" s="2"/>
      <x:c r="K1201" s="2"/>
      <x:c r="L1201" s="2" t="n">
        <x:f>SUM(IF('Source_Data'!A177=A1201,IF(ISBLANK('Source_Data'!A177)=ISBLANK(A1201),0,1),1),IF('Source_Data'!B177=B1201,IF(ISBLANK('Source_Data'!B177)=ISBLANK(B1201),0,1),1),IF('Source_Data'!C177=C1201,IF(ISBLANK('Source_Data'!C177)=ISBLANK(C1201),0,1),1),IF('Source_Data'!D177=D1201,IF(ISBLANK('Source_Data'!D177)=ISBLANK(D1201),0,1),1))</x:f>
        <x:v>0</x:v>
      </x:c>
    </x:row>
    <x:row r="1202" ht="23" customHeight="1">
      <x:c r="A1202" s="2" t="str">
        <x:v>62044300</x:v>
      </x:c>
      <x:c r="B1202" s="2" t="str">
        <x:v>Synthetic dresses</x:v>
      </x:c>
      <x:c r="C1202" s="2" t="n">
        <x:v>0.25</x:v>
      </x:c>
      <x:c r="D1202" s="2" t="n">
        <x:v>349077816</x:v>
      </x:c>
      <x:c r="E1202" s="2"/>
      <x:c r="F1202" s="2"/>
      <x:c r="G1202" s="2"/>
      <x:c r="H1202" s="2"/>
      <x:c r="I1202" s="2"/>
      <x:c r="J1202" s="2"/>
      <x:c r="K1202" s="2"/>
      <x:c r="L1202" s="2" t="n">
        <x:f>SUM(IF('Source_Data'!A178=A1202,IF(ISBLANK('Source_Data'!A178)=ISBLANK(A1202),0,1),1),IF('Source_Data'!B178=B1202,IF(ISBLANK('Source_Data'!B178)=ISBLANK(B1202),0,1),1),IF('Source_Data'!C178=C1202,IF(ISBLANK('Source_Data'!C178)=ISBLANK(C1202),0,1),1),IF('Source_Data'!D178=D1202,IF(ISBLANK('Source_Data'!D178)=ISBLANK(D1202),0,1),1))</x:f>
        <x:v>0</x:v>
      </x:c>
    </x:row>
    <x:row r="1203" ht="23" customHeight="1">
      <x:c r="A1203" s="2" t="str">
        <x:v>62052000</x:v>
      </x:c>
      <x:c r="B1203" s="2" t="str">
        <x:v>Cotton shirts</x:v>
      </x:c>
      <x:c r="C1203" s="2" t="n">
        <x:v>0.25</x:v>
      </x:c>
      <x:c r="D1203" s="2" t="n">
        <x:v>263245768</x:v>
      </x:c>
      <x:c r="E1203" s="2"/>
      <x:c r="F1203" s="2"/>
      <x:c r="G1203" s="2"/>
      <x:c r="H1203" s="2"/>
      <x:c r="I1203" s="2"/>
      <x:c r="J1203" s="2"/>
      <x:c r="K1203" s="2"/>
      <x:c r="L1203" s="2" t="n">
        <x:f>SUM(IF('Source_Data'!A179=A1203,IF(ISBLANK('Source_Data'!A179)=ISBLANK(A1203),0,1),1),IF('Source_Data'!B179=B1203,IF(ISBLANK('Source_Data'!B179)=ISBLANK(B1203),0,1),1),IF('Source_Data'!C179=C1203,IF(ISBLANK('Source_Data'!C179)=ISBLANK(C1203),0,1),1),IF('Source_Data'!D179=D1203,IF(ISBLANK('Source_Data'!D179)=ISBLANK(D1203),0,1),1))</x:f>
        <x:v>0</x:v>
      </x:c>
    </x:row>
    <x:row r="1204" ht="23" customHeight="1">
      <x:c r="A1204" s="2"/>
      <x:c r="B1204" s="2"/>
      <x:c r="C1204" s="2"/>
      <x:c r="D1204" s="2"/>
      <x:c r="E1204" s="2"/>
      <x:c r="F1204" s="2"/>
      <x:c r="G1204" s="2"/>
      <x:c r="H1204" s="2"/>
      <x:c r="I1204" s="2"/>
      <x:c r="J1204" s="2"/>
      <x:c r="K1204" s="2"/>
      <x:c r="L1204" s="2"/>
    </x:row>
    <x:row r="1205" ht="23" customHeight="1">
      <x:c r="A1205" s="2"/>
      <x:c r="B1205" s="2"/>
      <x:c r="C1205" s="2"/>
      <x:c r="D1205" s="2"/>
      <x:c r="E1205" s="2"/>
      <x:c r="F1205" s="2"/>
      <x:c r="G1205" s="2"/>
      <x:c r="H1205" s="2"/>
      <x:c r="I1205" s="2"/>
      <x:c r="J1205" s="2"/>
      <x:c r="K1205" s="2"/>
      <x:c r="L1205" s="2"/>
    </x:row>
    <x:row r="1206" ht="23" customHeight="1">
      <x:c r="A1206" s="2"/>
      <x:c r="B1206" s="2"/>
      <x:c r="C1206" s="2"/>
      <x:c r="D1206" s="2"/>
      <x:c r="E1206" s="2"/>
      <x:c r="F1206" s="2"/>
      <x:c r="G1206" s="2"/>
      <x:c r="H1206" s="2"/>
      <x:c r="I1206" s="2"/>
      <x:c r="J1206" s="2"/>
      <x:c r="K1206" s="2"/>
      <x:c r="L1206" s="2"/>
    </x:row>
    <x:row r="1207" ht="23" customHeight="1">
      <x:c r="A1207" s="2"/>
      <x:c r="B1207" s="2"/>
      <x:c r="C1207" s="2"/>
      <x:c r="D1207" s="2"/>
      <x:c r="E1207" s="2"/>
      <x:c r="F1207" s="2"/>
      <x:c r="G1207" s="2"/>
      <x:c r="H1207" s="2"/>
      <x:c r="I1207" s="2"/>
      <x:c r="J1207" s="2"/>
      <x:c r="K1207" s="2"/>
      <x:c r="L1207" s="2"/>
    </x:row>
    <x:row r="1208" ht="23" customHeight="1">
      <x:c r="A1208" s="2"/>
      <x:c r="B1208" s="2"/>
      <x:c r="C1208" s="2"/>
      <x:c r="D1208" s="2"/>
      <x:c r="E1208" s="2"/>
      <x:c r="F1208" s="2"/>
      <x:c r="G1208" s="2"/>
      <x:c r="H1208" s="2"/>
      <x:c r="I1208" s="2"/>
      <x:c r="J1208" s="2"/>
      <x:c r="K1208" s="2"/>
      <x:c r="L1208" s="2"/>
    </x:row>
    <x:row r="1209" ht="26" customHeight="1">
      <x:c r="A1209" s="12" t="str">
        <x:v>Receiver mixes: Assumptions!A52:F75</x:v>
      </x:c>
      <x:c r="B1209" s="12"/>
      <x:c r="C1209" s="12"/>
      <x:c r="D1209" s="12"/>
      <x:c r="E1209" s="12"/>
      <x:c r="F1209" s="12"/>
      <x:c r="G1209" s="12"/>
      <x:c r="H1209" s="12"/>
      <x:c r="I1209" s="12"/>
      <x:c r="J1209" s="12"/>
      <x:c r="K1209" s="12"/>
      <x:c r="L1209" s="2"/>
    </x:row>
    <x:row r="1210" ht="23" customHeight="1">
      <x:c r="A1210" s="2" t="n">
        <x:v>1</x:v>
      </x:c>
      <x:c r="B1210" s="2" t="str">
        <x:v>61091000</x:v>
      </x:c>
      <x:c r="C1210" s="2" t="n">
        <x:v>0.5</x:v>
      </x:c>
      <x:c r="D1210" s="2" t="n">
        <x:v>0.25</x:v>
      </x:c>
      <x:c r="E1210" s="2" t="n">
        <x:v>0.25</x:v>
      </x:c>
      <x:c r="F1210" s="2" t="n">
        <x:v>1</x:v>
      </x:c>
      <x:c r="G1210" s="2"/>
      <x:c r="H1210" s="2"/>
      <x:c r="I1210" s="2"/>
      <x:c r="J1210" s="2"/>
      <x:c r="K1210" s="2"/>
      <x:c r="L1210" s="2" t="n">
        <x:f>SUM(IF('Assumptions'!A52=A1210,IF(ISBLANK('Assumptions'!A52)=ISBLANK(A1210),0,1),1),IF('Assumptions'!B52=B1210,IF(ISBLANK('Assumptions'!B52)=ISBLANK(B1210),0,1),1),IF('Assumptions'!C52=C1210,IF(ISBLANK('Assumptions'!C52)=ISBLANK(C1210),0,1),1),IF('Assumptions'!D52=D1210,IF(ISBLANK('Assumptions'!D52)=ISBLANK(D1210),0,1),1),IF('Assumptions'!E52=E1210,IF(ISBLANK('Assumptions'!E52)=ISBLANK(E1210),0,1),1),IF('Assumptions'!F52=F1210,IF(ISBLANK('Assumptions'!F52)=ISBLANK(F1210),0,1),1))</x:f>
        <x:v>0</x:v>
      </x:c>
    </x:row>
    <x:row r="1211" ht="23" customHeight="1">
      <x:c r="A1211" s="2" t="n">
        <x:v>1</x:v>
      </x:c>
      <x:c r="B1211" s="2" t="str">
        <x:v>61103099</x:v>
      </x:c>
      <x:c r="C1211" s="2" t="n">
        <x:v>0.5</x:v>
      </x:c>
      <x:c r="D1211" s="2" t="n">
        <x:v>0.25</x:v>
      </x:c>
      <x:c r="E1211" s="2" t="n">
        <x:v>0.25</x:v>
      </x:c>
      <x:c r="F1211" s="2" t="n">
        <x:v>1</x:v>
      </x:c>
      <x:c r="G1211" s="2"/>
      <x:c r="H1211" s="2"/>
      <x:c r="I1211" s="2"/>
      <x:c r="J1211" s="2"/>
      <x:c r="K1211" s="2"/>
      <x:c r="L1211" s="2" t="n">
        <x:f>SUM(IF('Assumptions'!A53=A1211,IF(ISBLANK('Assumptions'!A53)=ISBLANK(A1211),0,1),1),IF('Assumptions'!B53=B1211,IF(ISBLANK('Assumptions'!B53)=ISBLANK(B1211),0,1),1),IF('Assumptions'!C53=C1211,IF(ISBLANK('Assumptions'!C53)=ISBLANK(C1211),0,1),1),IF('Assumptions'!D53=D1211,IF(ISBLANK('Assumptions'!D53)=ISBLANK(D1211),0,1),1),IF('Assumptions'!E53=E1211,IF(ISBLANK('Assumptions'!E53)=ISBLANK(E1211),0,1),1),IF('Assumptions'!F53=F1211,IF(ISBLANK('Assumptions'!F53)=ISBLANK(F1211),0,1),1))</x:f>
        <x:v>0</x:v>
      </x:c>
    </x:row>
    <x:row r="1212" ht="23" customHeight="1">
      <x:c r="A1212" s="2" t="n">
        <x:v>1</x:v>
      </x:c>
      <x:c r="B1212" s="2" t="str">
        <x:v>62044300</x:v>
      </x:c>
      <x:c r="C1212" s="2" t="n">
        <x:v>0.5</x:v>
      </x:c>
      <x:c r="D1212" s="2" t="n">
        <x:v>0.25</x:v>
      </x:c>
      <x:c r="E1212" s="2" t="n">
        <x:v>0.25</x:v>
      </x:c>
      <x:c r="F1212" s="2" t="n">
        <x:v>1</x:v>
      </x:c>
      <x:c r="G1212" s="2"/>
      <x:c r="H1212" s="2"/>
      <x:c r="I1212" s="2"/>
      <x:c r="J1212" s="2"/>
      <x:c r="K1212" s="2"/>
      <x:c r="L1212" s="2" t="n">
        <x:f>SUM(IF('Assumptions'!A54=A1212,IF(ISBLANK('Assumptions'!A54)=ISBLANK(A1212),0,1),1),IF('Assumptions'!B54=B1212,IF(ISBLANK('Assumptions'!B54)=ISBLANK(B1212),0,1),1),IF('Assumptions'!C54=C1212,IF(ISBLANK('Assumptions'!C54)=ISBLANK(C1212),0,1),1),IF('Assumptions'!D54=D1212,IF(ISBLANK('Assumptions'!D54)=ISBLANK(D1212),0,1),1),IF('Assumptions'!E54=E1212,IF(ISBLANK('Assumptions'!E54)=ISBLANK(E1212),0,1),1),IF('Assumptions'!F54=F1212,IF(ISBLANK('Assumptions'!F54)=ISBLANK(F1212),0,1),1))</x:f>
        <x:v>0</x:v>
      </x:c>
    </x:row>
    <x:row r="1213" ht="23" customHeight="1">
      <x:c r="A1213" s="2" t="n">
        <x:v>1</x:v>
      </x:c>
      <x:c r="B1213" s="2" t="str">
        <x:v>62052000</x:v>
      </x:c>
      <x:c r="C1213" s="2" t="n">
        <x:v>0.5</x:v>
      </x:c>
      <x:c r="D1213" s="2" t="n">
        <x:v>0.25</x:v>
      </x:c>
      <x:c r="E1213" s="2" t="n">
        <x:v>0.25</x:v>
      </x:c>
      <x:c r="F1213" s="2" t="n">
        <x:v>1</x:v>
      </x:c>
      <x:c r="G1213" s="2"/>
      <x:c r="H1213" s="2"/>
      <x:c r="I1213" s="2"/>
      <x:c r="J1213" s="2"/>
      <x:c r="K1213" s="2"/>
      <x:c r="L1213" s="2" t="n">
        <x:f>SUM(IF('Assumptions'!A55=A1213,IF(ISBLANK('Assumptions'!A55)=ISBLANK(A1213),0,1),1),IF('Assumptions'!B55=B1213,IF(ISBLANK('Assumptions'!B55)=ISBLANK(B1213),0,1),1),IF('Assumptions'!C55=C1213,IF(ISBLANK('Assumptions'!C55)=ISBLANK(C1213),0,1),1),IF('Assumptions'!D55=D1213,IF(ISBLANK('Assumptions'!D55)=ISBLANK(D1213),0,1),1),IF('Assumptions'!E55=E1213,IF(ISBLANK('Assumptions'!E55)=ISBLANK(E1213),0,1),1),IF('Assumptions'!F55=F1213,IF(ISBLANK('Assumptions'!F55)=ISBLANK(F1213),0,1),1))</x:f>
        <x:v>0</x:v>
      </x:c>
    </x:row>
    <x:row r="1214" ht="23" customHeight="1">
      <x:c r="A1214" s="2" t="n">
        <x:v>2</x:v>
      </x:c>
      <x:c r="B1214" s="2" t="str">
        <x:v>61091000</x:v>
      </x:c>
      <x:c r="C1214" s="2" t="n">
        <x:v>0.3333333333333333</x:v>
      </x:c>
      <x:c r="D1214" s="2" t="n">
        <x:v>0.3333333333333333</x:v>
      </x:c>
      <x:c r="E1214" s="2" t="n">
        <x:v>0.3333333333333333</x:v>
      </x:c>
      <x:c r="F1214" s="2" t="n">
        <x:v>1</x:v>
      </x:c>
      <x:c r="G1214" s="2"/>
      <x:c r="H1214" s="2"/>
      <x:c r="I1214" s="2"/>
      <x:c r="J1214" s="2"/>
      <x:c r="K1214" s="2"/>
      <x:c r="L1214" s="2" t="n">
        <x:f>SUM(IF('Assumptions'!A56=A1214,IF(ISBLANK('Assumptions'!A56)=ISBLANK(A1214),0,1),1),IF('Assumptions'!B56=B1214,IF(ISBLANK('Assumptions'!B56)=ISBLANK(B1214),0,1),1),IF('Assumptions'!C56=C1214,IF(ISBLANK('Assumptions'!C56)=ISBLANK(C1214),0,1),1),IF('Assumptions'!D56=D1214,IF(ISBLANK('Assumptions'!D56)=ISBLANK(D1214),0,1),1),IF('Assumptions'!E56=E1214,IF(ISBLANK('Assumptions'!E56)=ISBLANK(E1214),0,1),1),IF('Assumptions'!F56=F1214,IF(ISBLANK('Assumptions'!F56)=ISBLANK(F1214),0,1),1))</x:f>
        <x:v>0</x:v>
      </x:c>
    </x:row>
    <x:row r="1215" ht="23" customHeight="1">
      <x:c r="A1215" s="2" t="n">
        <x:v>2</x:v>
      </x:c>
      <x:c r="B1215" s="2" t="str">
        <x:v>61103099</x:v>
      </x:c>
      <x:c r="C1215" s="2" t="n">
        <x:v>0.3333333333333333</x:v>
      </x:c>
      <x:c r="D1215" s="2" t="n">
        <x:v>0.3333333333333333</x:v>
      </x:c>
      <x:c r="E1215" s="2" t="n">
        <x:v>0.3333333333333333</x:v>
      </x:c>
      <x:c r="F1215" s="2" t="n">
        <x:v>1</x:v>
      </x:c>
      <x:c r="G1215" s="2"/>
      <x:c r="H1215" s="2"/>
      <x:c r="I1215" s="2"/>
      <x:c r="J1215" s="2"/>
      <x:c r="K1215" s="2"/>
      <x:c r="L1215" s="2" t="n">
        <x:f>SUM(IF('Assumptions'!A57=A1215,IF(ISBLANK('Assumptions'!A57)=ISBLANK(A1215),0,1),1),IF('Assumptions'!B57=B1215,IF(ISBLANK('Assumptions'!B57)=ISBLANK(B1215),0,1),1),IF('Assumptions'!C57=C1215,IF(ISBLANK('Assumptions'!C57)=ISBLANK(C1215),0,1),1),IF('Assumptions'!D57=D1215,IF(ISBLANK('Assumptions'!D57)=ISBLANK(D1215),0,1),1),IF('Assumptions'!E57=E1215,IF(ISBLANK('Assumptions'!E57)=ISBLANK(E1215),0,1),1),IF('Assumptions'!F57=F1215,IF(ISBLANK('Assumptions'!F57)=ISBLANK(F1215),0,1),1))</x:f>
        <x:v>0</x:v>
      </x:c>
    </x:row>
    <x:row r="1216" ht="23" customHeight="1">
      <x:c r="A1216" s="2" t="n">
        <x:v>2</x:v>
      </x:c>
      <x:c r="B1216" s="2" t="str">
        <x:v>62044300</x:v>
      </x:c>
      <x:c r="C1216" s="2" t="n">
        <x:v>0.3333333333333333</x:v>
      </x:c>
      <x:c r="D1216" s="2" t="n">
        <x:v>0.3333333333333333</x:v>
      </x:c>
      <x:c r="E1216" s="2" t="n">
        <x:v>0.3333333333333333</x:v>
      </x:c>
      <x:c r="F1216" s="2" t="n">
        <x:v>1</x:v>
      </x:c>
      <x:c r="G1216" s="2"/>
      <x:c r="H1216" s="2"/>
      <x:c r="I1216" s="2"/>
      <x:c r="J1216" s="2"/>
      <x:c r="K1216" s="2"/>
      <x:c r="L1216" s="2" t="n">
        <x:f>SUM(IF('Assumptions'!A58=A1216,IF(ISBLANK('Assumptions'!A58)=ISBLANK(A1216),0,1),1),IF('Assumptions'!B58=B1216,IF(ISBLANK('Assumptions'!B58)=ISBLANK(B1216),0,1),1),IF('Assumptions'!C58=C1216,IF(ISBLANK('Assumptions'!C58)=ISBLANK(C1216),0,1),1),IF('Assumptions'!D58=D1216,IF(ISBLANK('Assumptions'!D58)=ISBLANK(D1216),0,1),1),IF('Assumptions'!E58=E1216,IF(ISBLANK('Assumptions'!E58)=ISBLANK(E1216),0,1),1),IF('Assumptions'!F58=F1216,IF(ISBLANK('Assumptions'!F58)=ISBLANK(F1216),0,1),1))</x:f>
        <x:v>0</x:v>
      </x:c>
    </x:row>
    <x:row r="1217" ht="23" customHeight="1">
      <x:c r="A1217" s="2" t="n">
        <x:v>2</x:v>
      </x:c>
      <x:c r="B1217" s="2" t="str">
        <x:v>62052000</x:v>
      </x:c>
      <x:c r="C1217" s="2" t="n">
        <x:v>0.3333333333333333</x:v>
      </x:c>
      <x:c r="D1217" s="2" t="n">
        <x:v>0.3333333333333333</x:v>
      </x:c>
      <x:c r="E1217" s="2" t="n">
        <x:v>0.3333333333333333</x:v>
      </x:c>
      <x:c r="F1217" s="2" t="n">
        <x:v>1</x:v>
      </x:c>
      <x:c r="G1217" s="2"/>
      <x:c r="H1217" s="2"/>
      <x:c r="I1217" s="2"/>
      <x:c r="J1217" s="2"/>
      <x:c r="K1217" s="2"/>
      <x:c r="L1217" s="2" t="n">
        <x:f>SUM(IF('Assumptions'!A59=A1217,IF(ISBLANK('Assumptions'!A59)=ISBLANK(A1217),0,1),1),IF('Assumptions'!B59=B1217,IF(ISBLANK('Assumptions'!B59)=ISBLANK(B1217),0,1),1),IF('Assumptions'!C59=C1217,IF(ISBLANK('Assumptions'!C59)=ISBLANK(C1217),0,1),1),IF('Assumptions'!D59=D1217,IF(ISBLANK('Assumptions'!D59)=ISBLANK(D1217),0,1),1),IF('Assumptions'!E59=E1217,IF(ISBLANK('Assumptions'!E59)=ISBLANK(E1217),0,1),1),IF('Assumptions'!F59=F1217,IF(ISBLANK('Assumptions'!F59)=ISBLANK(F1217),0,1),1))</x:f>
        <x:v>0</x:v>
      </x:c>
    </x:row>
    <x:row r="1218" ht="23" customHeight="1">
      <x:c r="A1218" s="2" t="n">
        <x:v>3</x:v>
      </x:c>
      <x:c r="B1218" s="2" t="str">
        <x:v>61091000</x:v>
      </x:c>
      <x:c r="C1218" s="2" t="n">
        <x:v>0.5591970096677155</x:v>
      </x:c>
      <x:c r="D1218" s="2" t="n">
        <x:v>0.35621575722244825</x:v>
      </x:c>
      <x:c r="E1218" s="2" t="n">
        <x:v>0.08458723310983628</x:v>
      </x:c>
      <x:c r="F1218" s="2" t="n">
        <x:v>1</x:v>
      </x:c>
      <x:c r="G1218" s="2"/>
      <x:c r="H1218" s="2"/>
      <x:c r="I1218" s="2"/>
      <x:c r="J1218" s="2"/>
      <x:c r="K1218" s="2"/>
      <x:c r="L1218" s="2" t="n">
        <x:f>SUM(IF('Assumptions'!A60=A1218,IF(ISBLANK('Assumptions'!A60)=ISBLANK(A1218),0,1),1),IF('Assumptions'!B60=B1218,IF(ISBLANK('Assumptions'!B60)=ISBLANK(B1218),0,1),1),IF('Assumptions'!C60=C1218,IF(ISBLANK('Assumptions'!C60)=ISBLANK(C1218),0,1),1),IF('Assumptions'!D60=D1218,IF(ISBLANK('Assumptions'!D60)=ISBLANK(D1218),0,1),1),IF('Assumptions'!E60=E1218,IF(ISBLANK('Assumptions'!E60)=ISBLANK(E1218),0,1),1),IF('Assumptions'!F60=F1218,IF(ISBLANK('Assumptions'!F60)=ISBLANK(F1218),0,1),1))</x:f>
        <x:v>0</x:v>
      </x:c>
    </x:row>
    <x:row r="1219" ht="23" customHeight="1">
      <x:c r="A1219" s="2" t="n">
        <x:v>3</x:v>
      </x:c>
      <x:c r="B1219" s="2" t="str">
        <x:v>61103099</x:v>
      </x:c>
      <x:c r="C1219" s="2" t="n">
        <x:v>0.020125363150035717</x:v>
      </x:c>
      <x:c r="D1219" s="2" t="n">
        <x:v>0.9296900284649403</x:v>
      </x:c>
      <x:c r="E1219" s="2" t="n">
        <x:v>0.05018460838502393</x:v>
      </x:c>
      <x:c r="F1219" s="2" t="n">
        <x:v>1</x:v>
      </x:c>
      <x:c r="G1219" s="2"/>
      <x:c r="H1219" s="2"/>
      <x:c r="I1219" s="2"/>
      <x:c r="J1219" s="2"/>
      <x:c r="K1219" s="2"/>
      <x:c r="L1219" s="2" t="n">
        <x:f>SUM(IF('Assumptions'!A61=A1219,IF(ISBLANK('Assumptions'!A61)=ISBLANK(A1219),0,1),1),IF('Assumptions'!B61=B1219,IF(ISBLANK('Assumptions'!B61)=ISBLANK(B1219),0,1),1),IF('Assumptions'!C61=C1219,IF(ISBLANK('Assumptions'!C61)=ISBLANK(C1219),0,1),1),IF('Assumptions'!D61=D1219,IF(ISBLANK('Assumptions'!D61)=ISBLANK(D1219),0,1),1),IF('Assumptions'!E61=E1219,IF(ISBLANK('Assumptions'!E61)=ISBLANK(E1219),0,1),1),IF('Assumptions'!F61=F1219,IF(ISBLANK('Assumptions'!F61)=ISBLANK(F1219),0,1),1))</x:f>
        <x:v>0</x:v>
      </x:c>
    </x:row>
    <x:row r="1220" ht="23" customHeight="1">
      <x:c r="A1220" s="2" t="n">
        <x:v>3</x:v>
      </x:c>
      <x:c r="B1220" s="2" t="str">
        <x:v>62044300</x:v>
      </x:c>
      <x:c r="C1220" s="2" t="n">
        <x:v>0.6869136818660501</x:v>
      </x:c>
      <x:c r="D1220" s="2" t="n">
        <x:v>0.15452600853203663</x:v>
      </x:c>
      <x:c r="E1220" s="2" t="n">
        <x:v>0.15856030960191322</x:v>
      </x:c>
      <x:c r="F1220" s="2" t="n">
        <x:v>1</x:v>
      </x:c>
      <x:c r="G1220" s="2"/>
      <x:c r="H1220" s="2"/>
      <x:c r="I1220" s="2"/>
      <x:c r="J1220" s="2"/>
      <x:c r="K1220" s="2"/>
      <x:c r="L1220" s="2" t="n">
        <x:f>SUM(IF('Assumptions'!A62=A1220,IF(ISBLANK('Assumptions'!A62)=ISBLANK(A1220),0,1),1),IF('Assumptions'!B62=B1220,IF(ISBLANK('Assumptions'!B62)=ISBLANK(B1220),0,1),1),IF('Assumptions'!C62=C1220,IF(ISBLANK('Assumptions'!C62)=ISBLANK(C1220),0,1),1),IF('Assumptions'!D62=D1220,IF(ISBLANK('Assumptions'!D62)=ISBLANK(D1220),0,1),1),IF('Assumptions'!E62=E1220,IF(ISBLANK('Assumptions'!E62)=ISBLANK(E1220),0,1),1),IF('Assumptions'!F62=F1220,IF(ISBLANK('Assumptions'!F62)=ISBLANK(F1220),0,1),1))</x:f>
        <x:v>0</x:v>
      </x:c>
    </x:row>
    <x:row r="1221" ht="23" customHeight="1">
      <x:c r="A1221" s="2" t="n">
        <x:v>3</x:v>
      </x:c>
      <x:c r="B1221" s="2" t="str">
        <x:v>62052000</x:v>
      </x:c>
      <x:c r="C1221" s="2" t="n">
        <x:v>0.6434507385755575</x:v>
      </x:c>
      <x:c r="D1221" s="2" t="n">
        <x:v>0.1562101864457371</x:v>
      </x:c>
      <x:c r="E1221" s="2" t="n">
        <x:v>0.20033907497870546</x:v>
      </x:c>
      <x:c r="F1221" s="2" t="n">
        <x:v>1</x:v>
      </x:c>
      <x:c r="G1221" s="2"/>
      <x:c r="H1221" s="2"/>
      <x:c r="I1221" s="2"/>
      <x:c r="J1221" s="2"/>
      <x:c r="K1221" s="2"/>
      <x:c r="L1221" s="2" t="n">
        <x:f>SUM(IF('Assumptions'!A63=A1221,IF(ISBLANK('Assumptions'!A63)=ISBLANK(A1221),0,1),1),IF('Assumptions'!B63=B1221,IF(ISBLANK('Assumptions'!B63)=ISBLANK(B1221),0,1),1),IF('Assumptions'!C63=C1221,IF(ISBLANK('Assumptions'!C63)=ISBLANK(C1221),0,1),1),IF('Assumptions'!D63=D1221,IF(ISBLANK('Assumptions'!D63)=ISBLANK(D1221),0,1),1),IF('Assumptions'!E63=E1221,IF(ISBLANK('Assumptions'!E63)=ISBLANK(E1221),0,1),1),IF('Assumptions'!F63=F1221,IF(ISBLANK('Assumptions'!F63)=ISBLANK(F1221),0,1),1))</x:f>
        <x:v>0</x:v>
      </x:c>
    </x:row>
    <x:row r="1222" ht="23" customHeight="1">
      <x:c r="A1222" s="2" t="n">
        <x:v>4</x:v>
      </x:c>
      <x:c r="B1222" s="2" t="str">
        <x:v>61091000</x:v>
      </x:c>
      <x:c r="C1222" s="2" t="n">
        <x:v>0.25</x:v>
      </x:c>
      <x:c r="D1222" s="2" t="n">
        <x:v>0.5</x:v>
      </x:c>
      <x:c r="E1222" s="2" t="n">
        <x:v>0.25</x:v>
      </x:c>
      <x:c r="F1222" s="2" t="n">
        <x:v>1</x:v>
      </x:c>
      <x:c r="G1222" s="2"/>
      <x:c r="H1222" s="2"/>
      <x:c r="I1222" s="2"/>
      <x:c r="J1222" s="2"/>
      <x:c r="K1222" s="2"/>
      <x:c r="L1222" s="2" t="n">
        <x:f>SUM(IF('Assumptions'!A64=A1222,IF(ISBLANK('Assumptions'!A64)=ISBLANK(A1222),0,1),1),IF('Assumptions'!B64=B1222,IF(ISBLANK('Assumptions'!B64)=ISBLANK(B1222),0,1),1),IF('Assumptions'!C64=C1222,IF(ISBLANK('Assumptions'!C64)=ISBLANK(C1222),0,1),1),IF('Assumptions'!D64=D1222,IF(ISBLANK('Assumptions'!D64)=ISBLANK(D1222),0,1),1),IF('Assumptions'!E64=E1222,IF(ISBLANK('Assumptions'!E64)=ISBLANK(E1222),0,1),1),IF('Assumptions'!F64=F1222,IF(ISBLANK('Assumptions'!F64)=ISBLANK(F1222),0,1),1))</x:f>
        <x:v>0</x:v>
      </x:c>
    </x:row>
    <x:row r="1223" ht="23" customHeight="1">
      <x:c r="A1223" s="2" t="n">
        <x:v>4</x:v>
      </x:c>
      <x:c r="B1223" s="2" t="str">
        <x:v>61103099</x:v>
      </x:c>
      <x:c r="C1223" s="2" t="n">
        <x:v>0.25</x:v>
      </x:c>
      <x:c r="D1223" s="2" t="n">
        <x:v>0.5</x:v>
      </x:c>
      <x:c r="E1223" s="2" t="n">
        <x:v>0.25</x:v>
      </x:c>
      <x:c r="F1223" s="2" t="n">
        <x:v>1</x:v>
      </x:c>
      <x:c r="G1223" s="2"/>
      <x:c r="H1223" s="2"/>
      <x:c r="I1223" s="2"/>
      <x:c r="J1223" s="2"/>
      <x:c r="K1223" s="2"/>
      <x:c r="L1223" s="2" t="n">
        <x:f>SUM(IF('Assumptions'!A65=A1223,IF(ISBLANK('Assumptions'!A65)=ISBLANK(A1223),0,1),1),IF('Assumptions'!B65=B1223,IF(ISBLANK('Assumptions'!B65)=ISBLANK(B1223),0,1),1),IF('Assumptions'!C65=C1223,IF(ISBLANK('Assumptions'!C65)=ISBLANK(C1223),0,1),1),IF('Assumptions'!D65=D1223,IF(ISBLANK('Assumptions'!D65)=ISBLANK(D1223),0,1),1),IF('Assumptions'!E65=E1223,IF(ISBLANK('Assumptions'!E65)=ISBLANK(E1223),0,1),1),IF('Assumptions'!F65=F1223,IF(ISBLANK('Assumptions'!F65)=ISBLANK(F1223),0,1),1))</x:f>
        <x:v>0</x:v>
      </x:c>
    </x:row>
    <x:row r="1224" ht="23" customHeight="1">
      <x:c r="A1224" s="2" t="n">
        <x:v>4</x:v>
      </x:c>
      <x:c r="B1224" s="2" t="str">
        <x:v>62044300</x:v>
      </x:c>
      <x:c r="C1224" s="2" t="n">
        <x:v>0.25</x:v>
      </x:c>
      <x:c r="D1224" s="2" t="n">
        <x:v>0.5</x:v>
      </x:c>
      <x:c r="E1224" s="2" t="n">
        <x:v>0.25</x:v>
      </x:c>
      <x:c r="F1224" s="2" t="n">
        <x:v>1</x:v>
      </x:c>
      <x:c r="G1224" s="2"/>
      <x:c r="H1224" s="2"/>
      <x:c r="I1224" s="2"/>
      <x:c r="J1224" s="2"/>
      <x:c r="K1224" s="2"/>
      <x:c r="L1224" s="2" t="n">
        <x:f>SUM(IF('Assumptions'!A66=A1224,IF(ISBLANK('Assumptions'!A66)=ISBLANK(A1224),0,1),1),IF('Assumptions'!B66=B1224,IF(ISBLANK('Assumptions'!B66)=ISBLANK(B1224),0,1),1),IF('Assumptions'!C66=C1224,IF(ISBLANK('Assumptions'!C66)=ISBLANK(C1224),0,1),1),IF('Assumptions'!D66=D1224,IF(ISBLANK('Assumptions'!D66)=ISBLANK(D1224),0,1),1),IF('Assumptions'!E66=E1224,IF(ISBLANK('Assumptions'!E66)=ISBLANK(E1224),0,1),1),IF('Assumptions'!F66=F1224,IF(ISBLANK('Assumptions'!F66)=ISBLANK(F1224),0,1),1))</x:f>
        <x:v>0</x:v>
      </x:c>
    </x:row>
    <x:row r="1225" ht="23" customHeight="1">
      <x:c r="A1225" s="2" t="n">
        <x:v>4</x:v>
      </x:c>
      <x:c r="B1225" s="2" t="str">
        <x:v>62052000</x:v>
      </x:c>
      <x:c r="C1225" s="2" t="n">
        <x:v>0.25</x:v>
      </x:c>
      <x:c r="D1225" s="2" t="n">
        <x:v>0.5</x:v>
      </x:c>
      <x:c r="E1225" s="2" t="n">
        <x:v>0.25</x:v>
      </x:c>
      <x:c r="F1225" s="2" t="n">
        <x:v>1</x:v>
      </x:c>
      <x:c r="G1225" s="2"/>
      <x:c r="H1225" s="2"/>
      <x:c r="I1225" s="2"/>
      <x:c r="J1225" s="2"/>
      <x:c r="K1225" s="2"/>
      <x:c r="L1225" s="2" t="n">
        <x:f>SUM(IF('Assumptions'!A67=A1225,IF(ISBLANK('Assumptions'!A67)=ISBLANK(A1225),0,1),1),IF('Assumptions'!B67=B1225,IF(ISBLANK('Assumptions'!B67)=ISBLANK(B1225),0,1),1),IF('Assumptions'!C67=C1225,IF(ISBLANK('Assumptions'!C67)=ISBLANK(C1225),0,1),1),IF('Assumptions'!D67=D1225,IF(ISBLANK('Assumptions'!D67)=ISBLANK(D1225),0,1),1),IF('Assumptions'!E67=E1225,IF(ISBLANK('Assumptions'!E67)=ISBLANK(E1225),0,1),1),IF('Assumptions'!F67=F1225,IF(ISBLANK('Assumptions'!F67)=ISBLANK(F1225),0,1),1))</x:f>
        <x:v>0</x:v>
      </x:c>
    </x:row>
    <x:row r="1226" ht="23" customHeight="1">
      <x:c r="A1226" s="2" t="n">
        <x:v>5</x:v>
      </x:c>
      <x:c r="B1226" s="2" t="str">
        <x:v>61091000</x:v>
      </x:c>
      <x:c r="C1226" s="2" t="n">
        <x:v>0.5</x:v>
      </x:c>
      <x:c r="D1226" s="2" t="n">
        <x:v>0.25</x:v>
      </x:c>
      <x:c r="E1226" s="2" t="n">
        <x:v>0.25</x:v>
      </x:c>
      <x:c r="F1226" s="2" t="n">
        <x:v>0</x:v>
      </x:c>
      <x:c r="G1226" s="2"/>
      <x:c r="H1226" s="2"/>
      <x:c r="I1226" s="2"/>
      <x:c r="J1226" s="2"/>
      <x:c r="K1226" s="2"/>
      <x:c r="L1226" s="2" t="n">
        <x:f>SUM(IF('Assumptions'!A68=A1226,IF(ISBLANK('Assumptions'!A68)=ISBLANK(A1226),0,1),1),IF('Assumptions'!B68=B1226,IF(ISBLANK('Assumptions'!B68)=ISBLANK(B1226),0,1),1),IF('Assumptions'!C68=C1226,IF(ISBLANK('Assumptions'!C68)=ISBLANK(C1226),0,1),1),IF('Assumptions'!D68=D1226,IF(ISBLANK('Assumptions'!D68)=ISBLANK(D1226),0,1),1),IF('Assumptions'!E68=E1226,IF(ISBLANK('Assumptions'!E68)=ISBLANK(E1226),0,1),1),IF('Assumptions'!F68=F1226,IF(ISBLANK('Assumptions'!F68)=ISBLANK(F1226),0,1),1))</x:f>
        <x:v>0</x:v>
      </x:c>
    </x:row>
    <x:row r="1227" ht="23" customHeight="1">
      <x:c r="A1227" s="2" t="n">
        <x:v>5</x:v>
      </x:c>
      <x:c r="B1227" s="2" t="str">
        <x:v>61103099</x:v>
      </x:c>
      <x:c r="C1227" s="2" t="n">
        <x:v>0.5</x:v>
      </x:c>
      <x:c r="D1227" s="2" t="n">
        <x:v>0.25</x:v>
      </x:c>
      <x:c r="E1227" s="2" t="n">
        <x:v>0.25</x:v>
      </x:c>
      <x:c r="F1227" s="2" t="n">
        <x:v>1</x:v>
      </x:c>
      <x:c r="G1227" s="2"/>
      <x:c r="H1227" s="2"/>
      <x:c r="I1227" s="2"/>
      <x:c r="J1227" s="2"/>
      <x:c r="K1227" s="2"/>
      <x:c r="L1227" s="2" t="n">
        <x:f>SUM(IF('Assumptions'!A69=A1227,IF(ISBLANK('Assumptions'!A69)=ISBLANK(A1227),0,1),1),IF('Assumptions'!B69=B1227,IF(ISBLANK('Assumptions'!B69)=ISBLANK(B1227),0,1),1),IF('Assumptions'!C69=C1227,IF(ISBLANK('Assumptions'!C69)=ISBLANK(C1227),0,1),1),IF('Assumptions'!D69=D1227,IF(ISBLANK('Assumptions'!D69)=ISBLANK(D1227),0,1),1),IF('Assumptions'!E69=E1227,IF(ISBLANK('Assumptions'!E69)=ISBLANK(E1227),0,1),1),IF('Assumptions'!F69=F1227,IF(ISBLANK('Assumptions'!F69)=ISBLANK(F1227),0,1),1))</x:f>
        <x:v>0</x:v>
      </x:c>
    </x:row>
    <x:row r="1228" ht="23" customHeight="1">
      <x:c r="A1228" s="2" t="n">
        <x:v>5</x:v>
      </x:c>
      <x:c r="B1228" s="2" t="str">
        <x:v>62044300</x:v>
      </x:c>
      <x:c r="C1228" s="2" t="n">
        <x:v>0.5</x:v>
      </x:c>
      <x:c r="D1228" s="2" t="n">
        <x:v>0.25</x:v>
      </x:c>
      <x:c r="E1228" s="2" t="n">
        <x:v>0.25</x:v>
      </x:c>
      <x:c r="F1228" s="2" t="n">
        <x:v>1</x:v>
      </x:c>
      <x:c r="G1228" s="2"/>
      <x:c r="H1228" s="2"/>
      <x:c r="I1228" s="2"/>
      <x:c r="J1228" s="2"/>
      <x:c r="K1228" s="2"/>
      <x:c r="L1228" s="2" t="n">
        <x:f>SUM(IF('Assumptions'!A70=A1228,IF(ISBLANK('Assumptions'!A70)=ISBLANK(A1228),0,1),1),IF('Assumptions'!B70=B1228,IF(ISBLANK('Assumptions'!B70)=ISBLANK(B1228),0,1),1),IF('Assumptions'!C70=C1228,IF(ISBLANK('Assumptions'!C70)=ISBLANK(C1228),0,1),1),IF('Assumptions'!D70=D1228,IF(ISBLANK('Assumptions'!D70)=ISBLANK(D1228),0,1),1),IF('Assumptions'!E70=E1228,IF(ISBLANK('Assumptions'!E70)=ISBLANK(E1228),0,1),1),IF('Assumptions'!F70=F1228,IF(ISBLANK('Assumptions'!F70)=ISBLANK(F1228),0,1),1))</x:f>
        <x:v>0</x:v>
      </x:c>
    </x:row>
    <x:row r="1229" ht="23" customHeight="1">
      <x:c r="A1229" s="2" t="n">
        <x:v>5</x:v>
      </x:c>
      <x:c r="B1229" s="2" t="str">
        <x:v>62052000</x:v>
      </x:c>
      <x:c r="C1229" s="2" t="n">
        <x:v>0.5</x:v>
      </x:c>
      <x:c r="D1229" s="2" t="n">
        <x:v>0.25</x:v>
      </x:c>
      <x:c r="E1229" s="2" t="n">
        <x:v>0.25</x:v>
      </x:c>
      <x:c r="F1229" s="2" t="n">
        <x:v>0</x:v>
      </x:c>
      <x:c r="G1229" s="2"/>
      <x:c r="H1229" s="2"/>
      <x:c r="I1229" s="2"/>
      <x:c r="J1229" s="2"/>
      <x:c r="K1229" s="2"/>
      <x:c r="L1229" s="2" t="n">
        <x:f>SUM(IF('Assumptions'!A71=A1229,IF(ISBLANK('Assumptions'!A71)=ISBLANK(A1229),0,1),1),IF('Assumptions'!B71=B1229,IF(ISBLANK('Assumptions'!B71)=ISBLANK(B1229),0,1),1),IF('Assumptions'!C71=C1229,IF(ISBLANK('Assumptions'!C71)=ISBLANK(C1229),0,1),1),IF('Assumptions'!D71=D1229,IF(ISBLANK('Assumptions'!D71)=ISBLANK(D1229),0,1),1),IF('Assumptions'!E71=E1229,IF(ISBLANK('Assumptions'!E71)=ISBLANK(E1229),0,1),1),IF('Assumptions'!F71=F1229,IF(ISBLANK('Assumptions'!F71)=ISBLANK(F1229),0,1),1))</x:f>
        <x:v>0</x:v>
      </x:c>
    </x:row>
    <x:row r="1230" ht="23" customHeight="1">
      <x:c r="A1230" s="2" t="n">
        <x:v>6</x:v>
      </x:c>
      <x:c r="B1230" s="2" t="str">
        <x:v>61091000</x:v>
      </x:c>
      <x:c r="C1230" s="2" t="n">
        <x:v>0.5</x:v>
      </x:c>
      <x:c r="D1230" s="2" t="n">
        <x:v>0.25</x:v>
      </x:c>
      <x:c r="E1230" s="2" t="n">
        <x:v>0.25</x:v>
      </x:c>
      <x:c r="F1230" s="2" t="n">
        <x:v>0</x:v>
      </x:c>
      <x:c r="G1230" s="2"/>
      <x:c r="H1230" s="2"/>
      <x:c r="I1230" s="2"/>
      <x:c r="J1230" s="2"/>
      <x:c r="K1230" s="2"/>
      <x:c r="L1230" s="2" t="n">
        <x:f>SUM(IF('Assumptions'!A72=A1230,IF(ISBLANK('Assumptions'!A72)=ISBLANK(A1230),0,1),1),IF('Assumptions'!B72=B1230,IF(ISBLANK('Assumptions'!B72)=ISBLANK(B1230),0,1),1),IF('Assumptions'!C72=C1230,IF(ISBLANK('Assumptions'!C72)=ISBLANK(C1230),0,1),1),IF('Assumptions'!D72=D1230,IF(ISBLANK('Assumptions'!D72)=ISBLANK(D1230),0,1),1),IF('Assumptions'!E72=E1230,IF(ISBLANK('Assumptions'!E72)=ISBLANK(E1230),0,1),1),IF('Assumptions'!F72=F1230,IF(ISBLANK('Assumptions'!F72)=ISBLANK(F1230),0,1),1))</x:f>
        <x:v>0</x:v>
      </x:c>
    </x:row>
    <x:row r="1231" ht="23" customHeight="1">
      <x:c r="A1231" s="2" t="n">
        <x:v>6</x:v>
      </x:c>
      <x:c r="B1231" s="2" t="str">
        <x:v>61103099</x:v>
      </x:c>
      <x:c r="C1231" s="2" t="n">
        <x:v>0</x:v>
      </x:c>
      <x:c r="D1231" s="2" t="n">
        <x:v>0.75</x:v>
      </x:c>
      <x:c r="E1231" s="2" t="n">
        <x:v>0.25</x:v>
      </x:c>
      <x:c r="F1231" s="2" t="n">
        <x:v>1</x:v>
      </x:c>
      <x:c r="G1231" s="2"/>
      <x:c r="H1231" s="2"/>
      <x:c r="I1231" s="2"/>
      <x:c r="J1231" s="2"/>
      <x:c r="K1231" s="2"/>
      <x:c r="L1231" s="2" t="n">
        <x:f>SUM(IF('Assumptions'!A73=A1231,IF(ISBLANK('Assumptions'!A73)=ISBLANK(A1231),0,1),1),IF('Assumptions'!B73=B1231,IF(ISBLANK('Assumptions'!B73)=ISBLANK(B1231),0,1),1),IF('Assumptions'!C73=C1231,IF(ISBLANK('Assumptions'!C73)=ISBLANK(C1231),0,1),1),IF('Assumptions'!D73=D1231,IF(ISBLANK('Assumptions'!D73)=ISBLANK(D1231),0,1),1),IF('Assumptions'!E73=E1231,IF(ISBLANK('Assumptions'!E73)=ISBLANK(E1231),0,1),1),IF('Assumptions'!F73=F1231,IF(ISBLANK('Assumptions'!F73)=ISBLANK(F1231),0,1),1))</x:f>
        <x:v>0</x:v>
      </x:c>
    </x:row>
    <x:row r="1232" ht="23" customHeight="1">
      <x:c r="A1232" s="2" t="n">
        <x:v>6</x:v>
      </x:c>
      <x:c r="B1232" s="2" t="str">
        <x:v>62044300</x:v>
      </x:c>
      <x:c r="C1232" s="2" t="n">
        <x:v>0.5</x:v>
      </x:c>
      <x:c r="D1232" s="2" t="n">
        <x:v>0.25</x:v>
      </x:c>
      <x:c r="E1232" s="2" t="n">
        <x:v>0.25</x:v>
      </x:c>
      <x:c r="F1232" s="2" t="n">
        <x:v>1</x:v>
      </x:c>
      <x:c r="G1232" s="2"/>
      <x:c r="H1232" s="2"/>
      <x:c r="I1232" s="2"/>
      <x:c r="J1232" s="2"/>
      <x:c r="K1232" s="2"/>
      <x:c r="L1232" s="2" t="n">
        <x:f>SUM(IF('Assumptions'!A74=A1232,IF(ISBLANK('Assumptions'!A74)=ISBLANK(A1232),0,1),1),IF('Assumptions'!B74=B1232,IF(ISBLANK('Assumptions'!B74)=ISBLANK(B1232),0,1),1),IF('Assumptions'!C74=C1232,IF(ISBLANK('Assumptions'!C74)=ISBLANK(C1232),0,1),1),IF('Assumptions'!D74=D1232,IF(ISBLANK('Assumptions'!D74)=ISBLANK(D1232),0,1),1),IF('Assumptions'!E74=E1232,IF(ISBLANK('Assumptions'!E74)=ISBLANK(E1232),0,1),1),IF('Assumptions'!F74=F1232,IF(ISBLANK('Assumptions'!F74)=ISBLANK(F1232),0,1),1))</x:f>
        <x:v>0</x:v>
      </x:c>
    </x:row>
    <x:row r="1233" ht="23" customHeight="1">
      <x:c r="A1233" s="2" t="n">
        <x:v>6</x:v>
      </x:c>
      <x:c r="B1233" s="2" t="str">
        <x:v>62052000</x:v>
      </x:c>
      <x:c r="C1233" s="2" t="n">
        <x:v>0.5</x:v>
      </x:c>
      <x:c r="D1233" s="2" t="n">
        <x:v>0.25</x:v>
      </x:c>
      <x:c r="E1233" s="2" t="n">
        <x:v>0.25</x:v>
      </x:c>
      <x:c r="F1233" s="2" t="n">
        <x:v>0</x:v>
      </x:c>
      <x:c r="G1233" s="2"/>
      <x:c r="H1233" s="2"/>
      <x:c r="I1233" s="2"/>
      <x:c r="J1233" s="2"/>
      <x:c r="K1233" s="2"/>
      <x:c r="L1233" s="2" t="n">
        <x:f>SUM(IF('Assumptions'!A75=A1233,IF(ISBLANK('Assumptions'!A75)=ISBLANK(A1233),0,1),1),IF('Assumptions'!B75=B1233,IF(ISBLANK('Assumptions'!B75)=ISBLANK(B1233),0,1),1),IF('Assumptions'!C75=C1233,IF(ISBLANK('Assumptions'!C75)=ISBLANK(C1233),0,1),1),IF('Assumptions'!D75=D1233,IF(ISBLANK('Assumptions'!D75)=ISBLANK(D1233),0,1),1),IF('Assumptions'!E75=E1233,IF(ISBLANK('Assumptions'!E75)=ISBLANK(E1233),0,1),1),IF('Assumptions'!F75=F1233,IF(ISBLANK('Assumptions'!F75)=ISBLANK(F1233),0,1),1))</x:f>
        <x:v>0</x:v>
      </x:c>
    </x:row>
    <x:row r="1234" ht="23" customHeight="1">
      <x:c r="A1234" s="2"/>
      <x:c r="B1234" s="2"/>
      <x:c r="C1234" s="2"/>
      <x:c r="D1234" s="2"/>
      <x:c r="E1234" s="2"/>
      <x:c r="F1234" s="2"/>
      <x:c r="G1234" s="2"/>
      <x:c r="H1234" s="2"/>
      <x:c r="I1234" s="2"/>
      <x:c r="J1234" s="2"/>
      <x:c r="K1234" s="2"/>
      <x:c r="L1234" s="2"/>
    </x:row>
    <x:row r="1235" ht="23" customHeight="1">
      <x:c r="A1235" s="2"/>
      <x:c r="B1235" s="2"/>
      <x:c r="C1235" s="2"/>
      <x:c r="D1235" s="2"/>
      <x:c r="E1235" s="2"/>
      <x:c r="F1235" s="2"/>
      <x:c r="G1235" s="2"/>
      <x:c r="H1235" s="2"/>
      <x:c r="I1235" s="2"/>
      <x:c r="J1235" s="2"/>
      <x:c r="K1235" s="2"/>
      <x:c r="L1235" s="2"/>
    </x:row>
    <x:row r="1236" ht="23" customHeight="1">
      <x:c r="A1236" s="2"/>
      <x:c r="B1236" s="2"/>
      <x:c r="C1236" s="2"/>
      <x:c r="D1236" s="2"/>
      <x:c r="E1236" s="2"/>
      <x:c r="F1236" s="2"/>
      <x:c r="G1236" s="2"/>
      <x:c r="H1236" s="2"/>
      <x:c r="I1236" s="2"/>
      <x:c r="J1236" s="2"/>
      <x:c r="K1236" s="2"/>
      <x:c r="L1236" s="2"/>
    </x:row>
    <x:row r="1237" ht="23" customHeight="1">
      <x:c r="A1237" s="2"/>
      <x:c r="B1237" s="2"/>
      <x:c r="C1237" s="2"/>
      <x:c r="D1237" s="2"/>
      <x:c r="E1237" s="2"/>
      <x:c r="F1237" s="2"/>
      <x:c r="G1237" s="2"/>
      <x:c r="H1237" s="2"/>
      <x:c r="I1237" s="2"/>
      <x:c r="J1237" s="2"/>
      <x:c r="K1237" s="2"/>
      <x:c r="L1237" s="2"/>
    </x:row>
    <x:row r="1238" ht="23" customHeight="1">
      <x:c r="A1238" s="2"/>
      <x:c r="B1238" s="2"/>
      <x:c r="C1238" s="2"/>
      <x:c r="D1238" s="2"/>
      <x:c r="E1238" s="2"/>
      <x:c r="F1238" s="2"/>
      <x:c r="G1238" s="2"/>
      <x:c r="H1238" s="2"/>
      <x:c r="I1238" s="2"/>
      <x:c r="J1238" s="2"/>
      <x:c r="K1238" s="2"/>
      <x:c r="L1238" s="2"/>
    </x:row>
    <x:row r="1239" ht="26" customHeight="1">
      <x:c r="A1239" s="12" t="str">
        <x:v>Operating sets: Assumptions!A42:F45</x:v>
      </x:c>
      <x:c r="B1239" s="12"/>
      <x:c r="C1239" s="12"/>
      <x:c r="D1239" s="12"/>
      <x:c r="E1239" s="12"/>
      <x:c r="F1239" s="12"/>
      <x:c r="G1239" s="12"/>
      <x:c r="H1239" s="12"/>
      <x:c r="I1239" s="12"/>
      <x:c r="J1239" s="12"/>
      <x:c r="K1239" s="12"/>
      <x:c r="L1239" s="2"/>
    </x:row>
    <x:row r="1240" ht="23" customHeight="1">
      <x:c r="A1240" s="2" t="n">
        <x:v>0</x:v>
      </x:c>
      <x:c r="B1240" s="2" t="str">
        <x:v>Excluded from initial cost</x:v>
      </x:c>
      <x:c r="C1240" s="2" t="n">
        <x:v>0</x:v>
      </x:c>
      <x:c r="D1240" s="2" t="n">
        <x:v>0</x:v>
      </x:c>
      <x:c r="E1240" s="2" t="n">
        <x:v>0.15</x:v>
      </x:c>
      <x:c r="F1240" s="2" t="n">
        <x:v>0</x:v>
      </x:c>
      <x:c r="G1240" s="2"/>
      <x:c r="H1240" s="2"/>
      <x:c r="I1240" s="2"/>
      <x:c r="J1240" s="2"/>
      <x:c r="K1240" s="2"/>
      <x:c r="L1240" s="2" t="n">
        <x:f>SUM(IF('Assumptions'!A42=A1240,IF(ISBLANK('Assumptions'!A42)=ISBLANK(A1240),0,1),1),IF('Assumptions'!B42=B1240,IF(ISBLANK('Assumptions'!B42)=ISBLANK(B1240),0,1),1),IF('Assumptions'!C42=C1240,IF(ISBLANK('Assumptions'!C42)=ISBLANK(C1240),0,1),1),IF('Assumptions'!D42=D1240,IF(ISBLANK('Assumptions'!D42)=ISBLANK(D1240),0,1),1),IF('Assumptions'!E42=E1240,IF(ISBLANK('Assumptions'!E42)=ISBLANK(E1240),0,1),1),IF('Assumptions'!F42=F1240,IF(ISBLANK('Assumptions'!F42)=ISBLANK(F1240),0,1),1))</x:f>
        <x:v>0</x:v>
      </x:c>
    </x:row>
    <x:row r="1241" ht="23" customHeight="1">
      <x:c r="A1241" s="2" t="n">
        <x:v>1</x:v>
      </x:c>
      <x:c r="B1241" s="2" t="str">
        <x:v>Low stress</x:v>
      </x:c>
      <x:c r="C1241" s="2" t="n">
        <x:v>0.1</x:v>
      </x:c>
      <x:c r="D1241" s="2" t="n">
        <x:v>0.05</x:v>
      </x:c>
      <x:c r="E1241" s="2" t="n">
        <x:v>0.1</x:v>
      </x:c>
      <x:c r="F1241" s="2" t="n">
        <x:v>7</x:v>
      </x:c>
      <x:c r="G1241" s="2"/>
      <x:c r="H1241" s="2"/>
      <x:c r="I1241" s="2"/>
      <x:c r="J1241" s="2"/>
      <x:c r="K1241" s="2"/>
      <x:c r="L1241" s="2" t="n">
        <x:f>SUM(IF('Assumptions'!A43=A1241,IF(ISBLANK('Assumptions'!A43)=ISBLANK(A1241),0,1),1),IF('Assumptions'!B43=B1241,IF(ISBLANK('Assumptions'!B43)=ISBLANK(B1241),0,1),1),IF('Assumptions'!C43=C1241,IF(ISBLANK('Assumptions'!C43)=ISBLANK(C1241),0,1),1),IF('Assumptions'!D43=D1241,IF(ISBLANK('Assumptions'!D43)=ISBLANK(D1241),0,1),1),IF('Assumptions'!E43=E1241,IF(ISBLANK('Assumptions'!E43)=ISBLANK(E1241),0,1),1),IF('Assumptions'!F43=F1241,IF(ISBLANK('Assumptions'!F43)=ISBLANK(F1241),0,1),1))</x:f>
        <x:v>0</x:v>
      </x:c>
    </x:row>
    <x:row r="1242" ht="23" customHeight="1">
      <x:c r="A1242" s="2" t="n">
        <x:v>2</x:v>
      </x:c>
      <x:c r="B1242" s="2" t="str">
        <x:v>Central stress</x:v>
      </x:c>
      <x:c r="C1242" s="2" t="n">
        <x:v>0.25</x:v>
      </x:c>
      <x:c r="D1242" s="2" t="n">
        <x:v>0.1</x:v>
      </x:c>
      <x:c r="E1242" s="2" t="n">
        <x:v>0.15</x:v>
      </x:c>
      <x:c r="F1242" s="2" t="n">
        <x:v>14</x:v>
      </x:c>
      <x:c r="G1242" s="2"/>
      <x:c r="H1242" s="2"/>
      <x:c r="I1242" s="2"/>
      <x:c r="J1242" s="2"/>
      <x:c r="K1242" s="2"/>
      <x:c r="L1242" s="2" t="n">
        <x:f>SUM(IF('Assumptions'!A44=A1242,IF(ISBLANK('Assumptions'!A44)=ISBLANK(A1242),0,1),1),IF('Assumptions'!B44=B1242,IF(ISBLANK('Assumptions'!B44)=ISBLANK(B1242),0,1),1),IF('Assumptions'!C44=C1242,IF(ISBLANK('Assumptions'!C44)=ISBLANK(C1242),0,1),1),IF('Assumptions'!D44=D1242,IF(ISBLANK('Assumptions'!D44)=ISBLANK(D1242),0,1),1),IF('Assumptions'!E44=E1242,IF(ISBLANK('Assumptions'!E44)=ISBLANK(E1242),0,1),1),IF('Assumptions'!F44=F1242,IF(ISBLANK('Assumptions'!F44)=ISBLANK(F1242),0,1),1))</x:f>
        <x:v>0</x:v>
      </x:c>
    </x:row>
    <x:row r="1243" ht="23" customHeight="1">
      <x:c r="A1243" s="2" t="n">
        <x:v>3</x:v>
      </x:c>
      <x:c r="B1243" s="2" t="str">
        <x:v>High stress</x:v>
      </x:c>
      <x:c r="C1243" s="2" t="n">
        <x:v>0.5</x:v>
      </x:c>
      <x:c r="D1243" s="2" t="n">
        <x:v>0.25</x:v>
      </x:c>
      <x:c r="E1243" s="2" t="n">
        <x:v>0.2</x:v>
      </x:c>
      <x:c r="F1243" s="2" t="n">
        <x:v>28</x:v>
      </x:c>
      <x:c r="G1243" s="2"/>
      <x:c r="H1243" s="2"/>
      <x:c r="I1243" s="2"/>
      <x:c r="J1243" s="2"/>
      <x:c r="K1243" s="2"/>
      <x:c r="L1243" s="2" t="n">
        <x:f>SUM(IF('Assumptions'!A45=A1243,IF(ISBLANK('Assumptions'!A45)=ISBLANK(A1243),0,1),1),IF('Assumptions'!B45=B1243,IF(ISBLANK('Assumptions'!B45)=ISBLANK(B1243),0,1),1),IF('Assumptions'!C45=C1243,IF(ISBLANK('Assumptions'!C45)=ISBLANK(C1243),0,1),1),IF('Assumptions'!D45=D1243,IF(ISBLANK('Assumptions'!D45)=ISBLANK(D1243),0,1),1),IF('Assumptions'!E45=E1243,IF(ISBLANK('Assumptions'!E45)=ISBLANK(E1243),0,1),1),IF('Assumptions'!F45=F1243,IF(ISBLANK('Assumptions'!F45)=ISBLANK(F1243),0,1),1))</x:f>
        <x:v>0</x:v>
      </x:c>
    </x:row>
    <x:row r="1244" ht="23" customHeight="1">
      <x:c r="A1244" s="2"/>
      <x:c r="B1244" s="2"/>
      <x:c r="C1244" s="2"/>
      <x:c r="D1244" s="2"/>
      <x:c r="E1244" s="2"/>
      <x:c r="F1244" s="2"/>
      <x:c r="G1244" s="2"/>
      <x:c r="H1244" s="2"/>
      <x:c r="I1244" s="2"/>
      <x:c r="J1244" s="2"/>
      <x:c r="K1244" s="2"/>
      <x:c r="L1244" s="2"/>
    </x:row>
    <x:row r="1245" ht="23" customHeight="1">
      <x:c r="A1245" s="2"/>
      <x:c r="B1245" s="2"/>
      <x:c r="C1245" s="2"/>
      <x:c r="D1245" s="2"/>
      <x:c r="E1245" s="2"/>
      <x:c r="F1245" s="2"/>
      <x:c r="G1245" s="2"/>
      <x:c r="H1245" s="2"/>
      <x:c r="I1245" s="2"/>
      <x:c r="J1245" s="2"/>
      <x:c r="K1245" s="2"/>
      <x:c r="L1245" s="2"/>
    </x:row>
    <x:row r="1246" ht="23" customHeight="1">
      <x:c r="A1246" s="2"/>
      <x:c r="B1246" s="2"/>
      <x:c r="C1246" s="2"/>
      <x:c r="D1246" s="2"/>
      <x:c r="E1246" s="2"/>
      <x:c r="F1246" s="2"/>
      <x:c r="G1246" s="2"/>
      <x:c r="H1246" s="2"/>
      <x:c r="I1246" s="2"/>
      <x:c r="J1246" s="2"/>
      <x:c r="K1246" s="2"/>
      <x:c r="L1246" s="2"/>
    </x:row>
    <x:row r="1247" ht="23" customHeight="1">
      <x:c r="A1247" s="2"/>
      <x:c r="B1247" s="2"/>
      <x:c r="C1247" s="2"/>
      <x:c r="D1247" s="2"/>
      <x:c r="E1247" s="2"/>
      <x:c r="F1247" s="2"/>
      <x:c r="G1247" s="2"/>
      <x:c r="H1247" s="2"/>
      <x:c r="I1247" s="2"/>
      <x:c r="J1247" s="2"/>
      <x:c r="K1247" s="2"/>
      <x:c r="L1247" s="2"/>
    </x:row>
    <x:row r="1248" ht="23" customHeight="1">
      <x:c r="A1248" s="2"/>
      <x:c r="B1248" s="2"/>
      <x:c r="C1248" s="2"/>
      <x:c r="D1248" s="2"/>
      <x:c r="E1248" s="2"/>
      <x:c r="F1248" s="2"/>
      <x:c r="G1248" s="2"/>
      <x:c r="H1248" s="2"/>
      <x:c r="I1248" s="2"/>
      <x:c r="J1248" s="2"/>
      <x:c r="K1248" s="2"/>
      <x:c r="L1248" s="2"/>
    </x:row>
    <x:row r="1249" ht="26" customHeight="1">
      <x:c r="A1249" s="12" t="str">
        <x:v>Recipient share ceiling: Assumptions!E5</x:v>
      </x:c>
      <x:c r="B1249" s="12"/>
      <x:c r="C1249" s="12"/>
      <x:c r="D1249" s="12"/>
      <x:c r="E1249" s="12"/>
      <x:c r="F1249" s="12"/>
      <x:c r="G1249" s="12"/>
      <x:c r="H1249" s="12"/>
      <x:c r="I1249" s="12"/>
      <x:c r="J1249" s="12"/>
      <x:c r="K1249" s="12"/>
      <x:c r="L1249" s="2"/>
    </x:row>
    <x:row r="1250" ht="23" customHeight="1">
      <x:c r="A1250" s="2" t="n">
        <x:v>0.35</x:v>
      </x:c>
      <x:c r="B1250" s="2"/>
      <x:c r="C1250" s="2"/>
      <x:c r="D1250" s="2"/>
      <x:c r="E1250" s="2"/>
      <x:c r="F1250" s="2"/>
      <x:c r="G1250" s="2"/>
      <x:c r="H1250" s="2"/>
      <x:c r="I1250" s="2"/>
      <x:c r="J1250" s="2"/>
      <x:c r="K1250" s="2"/>
      <x:c r="L1250" s="2" t="n">
        <x:f>SUM(IF('Assumptions'!E5=A1250,IF(ISBLANK('Assumptions'!E5)=ISBLANK(A1250),0,1),1))</x:f>
        <x:v>0</x:v>
      </x:c>
    </x:row>
    <x:row r="1251" ht="23" customHeight="1">
      <x:c r="A1251" s="2" t="n">
        <x:v>0.1</x:v>
      </x:c>
      <x:c r="B1251" s="2" t="str">
        <x:v>Recipient addition cap</x:v>
      </x:c>
      <x:c r="C1251" s="2"/>
      <x:c r="D1251" s="2"/>
      <x:c r="E1251" s="2"/>
      <x:c r="F1251" s="2"/>
      <x:c r="G1251" s="2"/>
      <x:c r="H1251" s="2"/>
      <x:c r="I1251" s="2"/>
      <x:c r="J1251" s="2"/>
      <x:c r="K1251" s="2"/>
      <x:c r="L1251" s="2" t="n">
        <x:f>SUM(IF('Assumptions'!H5=A1251,IF(ISBLANK('Assumptions'!H5)=ISBLANK(A1251),0,1),1))</x:f>
        <x:v>0</x:v>
      </x:c>
    </x:row>
    <x:row r="1252" ht="23" customHeight="1">
      <x:c r="A1252" s="2"/>
      <x:c r="B1252" s="2"/>
      <x:c r="C1252" s="2"/>
      <x:c r="D1252" s="2"/>
      <x:c r="E1252" s="2"/>
      <x:c r="F1252" s="2"/>
      <x:c r="G1252" s="2"/>
      <x:c r="H1252" s="2"/>
      <x:c r="I1252" s="2"/>
      <x:c r="J1252" s="2"/>
      <x:c r="K1252" s="2"/>
      <x:c r="L1252" s="2"/>
    </x:row>
  </x:sheetData>
  <x:mergeCells>
    <x:mergeCell ref="A4:L4"/>
    <x:mergeCell ref="A34:L34"/>
    <x:mergeCell ref="A205:L205"/>
    <x:mergeCell ref="A219:K219"/>
    <x:mergeCell ref="A349:K349"/>
    <x:mergeCell ref="A1149:K1149"/>
    <x:mergeCell ref="A1199:K1199"/>
    <x:mergeCell ref="A1209:K1209"/>
    <x:mergeCell ref="A1239:K1239"/>
    <x:mergeCell ref="A1249:K1249"/>
  </x:mergeCells>
  <x:conditionalFormatting sqref="K7:K32">
    <x:cfRule type="containsText" dxfId="1" priority="1" operator="containsText" text="Refresh"/>
  </x:conditionalFormatting>
  <x:pageMargins left="0.7" right="0.7" top="0.75" bottom="0.75" header="0.3" footer="0.3"/>
  <x:drawing xmlns:r="http://schemas.openxmlformats.org/officeDocument/2006/relationships" r:id="Rda99266133e8448e"/>
</x:worksheet>
</file>

<file path=xl/worksheets/sheet6.xml><?xml version="1.0" encoding="utf-8"?>
<x:worksheet xmlns:x="http://schemas.openxmlformats.org/spreadsheetml/2006/main">
  <x:sheetViews>
    <x:sheetView showGridLines="0" workbookViewId="0"/>
  </x:sheetViews>
  <x:sheetFormatPr defaultRowHeight="15"/>
  <x:cols>
    <x:col min="1" max="1" width="38" hidden="0" customWidth="1"/>
    <x:col min="2" max="2" width="15"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 min="9" max="9" width="15" hidden="0" customWidth="1"/>
    <x:col min="10" max="10" width="15" hidden="0" customWidth="1"/>
    <x:col min="11" max="11" width="15" hidden="0" customWidth="1"/>
    <x:col min="12" max="12" width="15" hidden="0" customWidth="1"/>
    <x:col min="13" max="13" width="15" hidden="0" customWidth="1"/>
    <x:col min="14" max="14" width="15" hidden="0" customWidth="1"/>
    <x:col min="15" max="15" width="15" hidden="0" customWidth="1"/>
    <x:col min="16" max="16" width="15" hidden="0" customWidth="1"/>
    <x:col min="17" max="17" width="15" hidden="0" customWidth="1"/>
    <x:col min="18" max="18" width="15" hidden="0" customWidth="1"/>
    <x:col min="19" max="19" width="15" hidden="0" customWidth="1"/>
  </x:cols>
  <x:sheetData>
    <x:row r="1" ht="23" customHeight="1">
      <x:c r="A1" s="2"/>
      <x:c r="B1" s="2"/>
      <x:c r="C1" s="2"/>
      <x:c r="D1" s="2"/>
      <x:c r="E1" s="2"/>
      <x:c r="F1" s="2"/>
      <x:c r="G1" s="2"/>
      <x:c r="H1" s="2"/>
      <x:c r="I1" s="2"/>
      <x:c r="J1" s="2"/>
      <x:c r="K1" s="2"/>
      <x:c r="L1" s="2"/>
      <x:c r="M1" s="2"/>
      <x:c r="N1" s="2"/>
      <x:c r="O1" s="2"/>
      <x:c r="P1" s="2"/>
      <x:c r="Q1" s="2"/>
      <x:c r="R1" s="2"/>
      <x:c r="S1" s="2"/>
    </x:row>
    <x:row r="2" ht="29" customHeight="1">
      <x:c r="A2" s="3" t="str">
        <x:v>WP008 governed input snapshot</x:v>
      </x:c>
      <x:c r="B2" s="2"/>
      <x:c r="C2" s="2"/>
      <x:c r="D2" s="2"/>
      <x:c r="E2" s="2"/>
      <x:c r="F2" s="2"/>
      <x:c r="G2" s="2"/>
      <x:c r="H2" s="2"/>
      <x:c r="I2" s="2"/>
      <x:c r="J2" s="2"/>
      <x:c r="K2" s="2"/>
      <x:c r="L2" s="2"/>
      <x:c r="M2" s="2"/>
      <x:c r="N2" s="2"/>
      <x:c r="O2" s="2"/>
      <x:c r="P2" s="2"/>
      <x:c r="Q2" s="2"/>
      <x:c r="R2" s="2"/>
      <x:c r="S2" s="2"/>
    </x:row>
    <x:row r="3" ht="38" customHeight="1">
      <x:c r="A3" s="12" t="str">
        <x:v>Source: NEXT_WP008_Cost_and_Sourcing_Scenarios_v1.1.xlsx. Trade_Periods A6:K125; Tariffs A6:K45. Reported observations are preserved. Common-month aggregates recalculate from Monthly_Data.</x:v>
      </x:c>
      <x:c r="B3" s="12"/>
      <x:c r="C3" s="12"/>
      <x:c r="D3" s="12"/>
      <x:c r="E3" s="12"/>
      <x:c r="F3" s="12"/>
      <x:c r="G3" s="12"/>
      <x:c r="H3" s="12"/>
      <x:c r="I3" s="12"/>
      <x:c r="J3" s="12"/>
      <x:c r="K3" s="12"/>
      <x:c r="L3" s="12"/>
      <x:c r="M3" s="12"/>
      <x:c r="N3" s="12"/>
      <x:c r="O3" s="12"/>
      <x:c r="P3" s="12"/>
      <x:c r="Q3" s="12"/>
      <x:c r="R3" s="12"/>
      <x:c r="S3" s="12"/>
    </x:row>
    <x:row r="4" ht="23" customHeight="1">
      <x:c r="A4" s="2"/>
      <x:c r="B4" s="2"/>
      <x:c r="C4" s="2"/>
      <x:c r="D4" s="2"/>
      <x:c r="E4" s="2"/>
      <x:c r="F4" s="2"/>
      <x:c r="G4" s="2"/>
      <x:c r="H4" s="2"/>
      <x:c r="I4" s="2"/>
      <x:c r="J4" s="2"/>
      <x:c r="K4" s="2"/>
      <x:c r="L4" s="2"/>
      <x:c r="M4" s="2"/>
      <x:c r="N4" s="2"/>
      <x:c r="O4" s="2"/>
      <x:c r="P4" s="2"/>
      <x:c r="Q4" s="2"/>
      <x:c r="R4" s="2"/>
      <x:c r="S4" s="2"/>
    </x:row>
    <x:row r="5" ht="42" customHeight="1">
      <x:c r="A5" s="11" t="str">
        <x:v>Key</x:v>
      </x:c>
      <x:c r="B5" s="11" t="str">
        <x:v>Period</x:v>
      </x:c>
      <x:c r="C5" s="11" t="str">
        <x:v>Country</x:v>
      </x:c>
      <x:c r="D5" s="11" t="str">
        <x:v>CN8</x:v>
      </x:c>
      <x:c r="E5" s="11" t="str">
        <x:v>Reported value £</x:v>
      </x:c>
      <x:c r="F5" s="11" t="str">
        <x:v>Reported mass kg</x:v>
      </x:c>
      <x:c r="G5" s="11" t="str">
        <x:v>Months</x:v>
      </x:c>
      <x:c r="H5" s="11" t="str">
        <x:v>REVIEW months</x:v>
      </x:c>
      <x:c r="I5" s="11" t="str">
        <x:v>Export UV £/kg</x:v>
      </x:c>
      <x:c r="J5" s="11" t="str">
        <x:v>Start month</x:v>
      </x:c>
      <x:c r="K5" s="11" t="str">
        <x:v>End month</x:v>
      </x:c>
      <x:c r="L5" s="11" t="str">
        <x:v>Common value £</x:v>
      </x:c>
      <x:c r="M5" s="11" t="str">
        <x:v>Common mass kg</x:v>
      </x:c>
      <x:c r="N5" s="11" t="str">
        <x:v>Common months</x:v>
      </x:c>
      <x:c r="O5" s="11" t="str">
        <x:v>Common UV £/kg</x:v>
      </x:c>
      <x:c r="P5" s="11" t="str">
        <x:v>Key count</x:v>
      </x:c>
      <x:c r="Q5" s="2"/>
      <x:c r="R5" s="2"/>
      <x:c r="S5" s="2"/>
    </x:row>
    <x:row r="6" ht="23" customHeight="1">
      <x:c r="A6" s="2" t="str">
        <x:v>FY2025|Bangladesh|61091000</x:v>
      </x:c>
      <x:c r="B6" s="2" t="str">
        <x:v>FY2025</x:v>
      </x:c>
      <x:c r="C6" s="2" t="str">
        <x:v>Bangladesh</x:v>
      </x:c>
      <x:c r="D6" s="2" t="str">
        <x:v>61091000</x:v>
      </x:c>
      <x:c r="E6" s="16" t="n">
        <x:v>455361217</x:v>
      </x:c>
      <x:c r="F6" s="16" t="n">
        <x:v>44227971</x:v>
      </x:c>
      <x:c r="G6" s="2" t="n">
        <x:v>12</x:v>
      </x:c>
      <x:c r="H6" s="2" t="n">
        <x:v>0</x:v>
      </x:c>
      <x:c r="I6" s="17" t="n">
        <x:v>10.295774522417046</x:v>
      </x:c>
      <x:c r="J6" s="2" t="n">
        <x:v>202501</x:v>
      </x:c>
      <x:c r="K6" s="2" t="n">
        <x:v>202512</x:v>
      </x:c>
      <x:c r="L6" s="16" t="n">
        <x:f>SUMIFS('Monthly_Data'!$E$6:$E$797,'Monthly_Data'!$B$6:$B$797,"&gt;="&amp;J6,'Monthly_Data'!$B$6:$B$797,"&lt;="&amp;K6,'Monthly_Data'!$C$6:$C$797,D6,'Monthly_Data'!$D$6:$D$797,C6,'Monthly_Data'!$I$6:$I$797,1)</x:f>
        <x:v>279600730</x:v>
      </x:c>
      <x:c r="M6" s="16" t="n">
        <x:f>SUMIFS('Monthly_Data'!$F$6:$F$797,'Monthly_Data'!$B$6:$B$797,"&gt;="&amp;J6,'Monthly_Data'!$B$6:$B$797,"&lt;="&amp;K6,'Monthly_Data'!$C$6:$C$797,D6,'Monthly_Data'!$D$6:$D$797,C6,'Monthly_Data'!$I$6:$I$797,1)</x:f>
        <x:v>27161127</x:v>
      </x:c>
      <x:c r="N6" s="2" t="n">
        <x:f>COUNTIFS('Monthly_Data'!$B$6:$B$797,"&gt;="&amp;J6,'Monthly_Data'!$B$6:$B$797,"&lt;="&amp;K6,'Monthly_Data'!$C$6:$C$797,D6,'Monthly_Data'!$D$6:$D$797,C6,'Monthly_Data'!$I$6:$I$797,1)</x:f>
        <x:v>8</x:v>
      </x:c>
      <x:c r="O6" s="17" t="n">
        <x:f>IF(M6&gt;0,L6/M6,"n.a.")</x:f>
        <x:v>10.29415053359163</x:v>
      </x:c>
      <x:c r="P6" s="2" t="n">
        <x:f>COUNTIFS($A$6:$A$125,A6)</x:f>
        <x:v>1</x:v>
      </x:c>
      <x:c r="Q6" s="2"/>
      <x:c r="R6" s="2"/>
      <x:c r="S6" s="2"/>
    </x:row>
    <x:row r="7" ht="23" customHeight="1">
      <x:c r="A7" s="2" t="str">
        <x:v>FY2025|Cambodia|61091000</x:v>
      </x:c>
      <x:c r="B7" s="2" t="str">
        <x:v>FY2025</x:v>
      </x:c>
      <x:c r="C7" s="2" t="str">
        <x:v>Cambodia</x:v>
      </x:c>
      <x:c r="D7" s="2" t="str">
        <x:v>61091000</x:v>
      </x:c>
      <x:c r="E7" s="16" t="n">
        <x:v>10485143</x:v>
      </x:c>
      <x:c r="F7" s="16" t="n">
        <x:v>547756</x:v>
      </x:c>
      <x:c r="G7" s="2" t="n">
        <x:v>12</x:v>
      </x:c>
      <x:c r="H7" s="2" t="n">
        <x:v>0</x:v>
      </x:c>
      <x:c r="I7" s="17" t="n">
        <x:v>19.14199570611732</x:v>
      </x:c>
      <x:c r="J7" s="2" t="n">
        <x:v>202501</x:v>
      </x:c>
      <x:c r="K7" s="2" t="n">
        <x:v>202512</x:v>
      </x:c>
      <x:c r="L7" s="16" t="n">
        <x:f>SUMIFS('Monthly_Data'!$E$6:$E$797,'Monthly_Data'!$B$6:$B$797,"&gt;="&amp;J7,'Monthly_Data'!$B$6:$B$797,"&lt;="&amp;K7,'Monthly_Data'!$C$6:$C$797,D7,'Monthly_Data'!$D$6:$D$797,C7,'Monthly_Data'!$I$6:$I$797,1)</x:f>
        <x:v>7039886</x:v>
      </x:c>
      <x:c r="M7" s="16" t="n">
        <x:f>SUMIFS('Monthly_Data'!$F$6:$F$797,'Monthly_Data'!$B$6:$B$797,"&gt;="&amp;J7,'Monthly_Data'!$B$6:$B$797,"&lt;="&amp;K7,'Monthly_Data'!$C$6:$C$797,D7,'Monthly_Data'!$D$6:$D$797,C7,'Monthly_Data'!$I$6:$I$797,1)</x:f>
        <x:v>377183</x:v>
      </x:c>
      <x:c r="N7" s="2" t="n">
        <x:f>COUNTIFS('Monthly_Data'!$B$6:$B$797,"&gt;="&amp;J7,'Monthly_Data'!$B$6:$B$797,"&lt;="&amp;K7,'Monthly_Data'!$C$6:$C$797,D7,'Monthly_Data'!$D$6:$D$797,C7,'Monthly_Data'!$I$6:$I$797,1)</x:f>
        <x:v>8</x:v>
      </x:c>
      <x:c r="O7" s="17" t="n">
        <x:f>IF(M7&gt;0,L7/M7,"n.a.")</x:f>
        <x:v>18.66437776888142</x:v>
      </x:c>
      <x:c r="P7" s="2" t="n">
        <x:f>COUNTIFS($A$6:$A$125,A7)</x:f>
        <x:v>1</x:v>
      </x:c>
      <x:c r="Q7" s="2"/>
      <x:c r="R7" s="2"/>
      <x:c r="S7" s="2"/>
    </x:row>
    <x:row r="8" ht="23" customHeight="1">
      <x:c r="A8" s="2" t="str">
        <x:v>FY2025|China|61091000</x:v>
      </x:c>
      <x:c r="B8" s="2" t="str">
        <x:v>FY2025</x:v>
      </x:c>
      <x:c r="C8" s="2" t="str">
        <x:v>China</x:v>
      </x:c>
      <x:c r="D8" s="2" t="str">
        <x:v>61091000</x:v>
      </x:c>
      <x:c r="E8" s="16" t="n">
        <x:v>44790747</x:v>
      </x:c>
      <x:c r="F8" s="16" t="n">
        <x:v>2430960</x:v>
      </x:c>
      <x:c r="G8" s="2" t="n">
        <x:v>12</x:v>
      </x:c>
      <x:c r="H8" s="2" t="n">
        <x:v>0</x:v>
      </x:c>
      <x:c r="I8" s="17" t="n">
        <x:v>18.425127110277423</x:v>
      </x:c>
      <x:c r="J8" s="2" t="n">
        <x:v>202501</x:v>
      </x:c>
      <x:c r="K8" s="2" t="n">
        <x:v>202512</x:v>
      </x:c>
      <x:c r="L8" s="16" t="n">
        <x:f>SUMIFS('Monthly_Data'!$E$6:$E$797,'Monthly_Data'!$B$6:$B$797,"&gt;="&amp;J8,'Monthly_Data'!$B$6:$B$797,"&lt;="&amp;K8,'Monthly_Data'!$C$6:$C$797,D8,'Monthly_Data'!$D$6:$D$797,C8,'Monthly_Data'!$I$6:$I$797,1)</x:f>
        <x:v>29921795</x:v>
      </x:c>
      <x:c r="M8" s="16" t="n">
        <x:f>SUMIFS('Monthly_Data'!$F$6:$F$797,'Monthly_Data'!$B$6:$B$797,"&gt;="&amp;J8,'Monthly_Data'!$B$6:$B$797,"&lt;="&amp;K8,'Monthly_Data'!$C$6:$C$797,D8,'Monthly_Data'!$D$6:$D$797,C8,'Monthly_Data'!$I$6:$I$797,1)</x:f>
        <x:v>1676887</x:v>
      </x:c>
      <x:c r="N8" s="2" t="n">
        <x:f>COUNTIFS('Monthly_Data'!$B$6:$B$797,"&gt;="&amp;J8,'Monthly_Data'!$B$6:$B$797,"&lt;="&amp;K8,'Monthly_Data'!$C$6:$C$797,D8,'Monthly_Data'!$D$6:$D$797,C8,'Monthly_Data'!$I$6:$I$797,1)</x:f>
        <x:v>8</x:v>
      </x:c>
      <x:c r="O8" s="17" t="n">
        <x:f>IF(M8&gt;0,L8/M8,"n.a.")</x:f>
        <x:v>17.84365613186816</x:v>
      </x:c>
      <x:c r="P8" s="2" t="n">
        <x:f>COUNTIFS($A$6:$A$125,A8)</x:f>
        <x:v>1</x:v>
      </x:c>
      <x:c r="Q8" s="2"/>
      <x:c r="R8" s="2"/>
      <x:c r="S8" s="2"/>
    </x:row>
    <x:row r="9" ht="23" customHeight="1">
      <x:c r="A9" s="2" t="str">
        <x:v>FY2025|India|61091000</x:v>
      </x:c>
      <x:c r="B9" s="2" t="str">
        <x:v>FY2025</x:v>
      </x:c>
      <x:c r="C9" s="2" t="str">
        <x:v>India</x:v>
      </x:c>
      <x:c r="D9" s="2" t="str">
        <x:v>61091000</x:v>
      </x:c>
      <x:c r="E9" s="16" t="n">
        <x:v>100902224</x:v>
      </x:c>
      <x:c r="F9" s="16" t="n">
        <x:v>7735285</x:v>
      </x:c>
      <x:c r="G9" s="2" t="n">
        <x:v>12</x:v>
      </x:c>
      <x:c r="H9" s="2" t="n">
        <x:v>0</x:v>
      </x:c>
      <x:c r="I9" s="17" t="n">
        <x:v>13.044409352725854</x:v>
      </x:c>
      <x:c r="J9" s="2" t="n">
        <x:v>202501</x:v>
      </x:c>
      <x:c r="K9" s="2" t="n">
        <x:v>202512</x:v>
      </x:c>
      <x:c r="L9" s="16" t="n">
        <x:f>SUMIFS('Monthly_Data'!$E$6:$E$797,'Monthly_Data'!$B$6:$B$797,"&gt;="&amp;J9,'Monthly_Data'!$B$6:$B$797,"&lt;="&amp;K9,'Monthly_Data'!$C$6:$C$797,D9,'Monthly_Data'!$D$6:$D$797,C9,'Monthly_Data'!$I$6:$I$797,1)</x:f>
        <x:v>58584726</x:v>
      </x:c>
      <x:c r="M9" s="16" t="n">
        <x:f>SUMIFS('Monthly_Data'!$F$6:$F$797,'Monthly_Data'!$B$6:$B$797,"&gt;="&amp;J9,'Monthly_Data'!$B$6:$B$797,"&lt;="&amp;K9,'Monthly_Data'!$C$6:$C$797,D9,'Monthly_Data'!$D$6:$D$797,C9,'Monthly_Data'!$I$6:$I$797,1)</x:f>
        <x:v>4442271</x:v>
      </x:c>
      <x:c r="N9" s="2" t="n">
        <x:f>COUNTIFS('Monthly_Data'!$B$6:$B$797,"&gt;="&amp;J9,'Monthly_Data'!$B$6:$B$797,"&lt;="&amp;K9,'Monthly_Data'!$C$6:$C$797,D9,'Monthly_Data'!$D$6:$D$797,C9,'Monthly_Data'!$I$6:$I$797,1)</x:f>
        <x:v>8</x:v>
      </x:c>
      <x:c r="O9" s="17" t="n">
        <x:f>IF(M9&gt;0,L9/M9,"n.a.")</x:f>
        <x:v>13.188012617870454</x:v>
      </x:c>
      <x:c r="P9" s="2" t="n">
        <x:f>COUNTIFS($A$6:$A$125,A9)</x:f>
        <x:v>1</x:v>
      </x:c>
      <x:c r="Q9" s="2"/>
      <x:c r="R9" s="2"/>
      <x:c r="S9" s="2"/>
    </x:row>
    <x:row r="10" ht="23" customHeight="1">
      <x:c r="A10" s="2" t="str">
        <x:v>FY2025|Morocco|61091000</x:v>
      </x:c>
      <x:c r="B10" s="2" t="str">
        <x:v>FY2025</x:v>
      </x:c>
      <x:c r="C10" s="2" t="str">
        <x:v>Morocco</x:v>
      </x:c>
      <x:c r="D10" s="2" t="str">
        <x:v>61091000</x:v>
      </x:c>
      <x:c r="E10" s="16" t="n">
        <x:v>11996927</x:v>
      </x:c>
      <x:c r="F10" s="16" t="n">
        <x:v>1265062</x:v>
      </x:c>
      <x:c r="G10" s="2" t="n">
        <x:v>12</x:v>
      </x:c>
      <x:c r="H10" s="2" t="n">
        <x:v>1</x:v>
      </x:c>
      <x:c r="I10" s="17" t="n">
        <x:v>9.483271966117076</x:v>
      </x:c>
      <x:c r="J10" s="2" t="n">
        <x:v>202501</x:v>
      </x:c>
      <x:c r="K10" s="2" t="n">
        <x:v>202512</x:v>
      </x:c>
      <x:c r="L10" s="16" t="n">
        <x:f>SUMIFS('Monthly_Data'!$E$6:$E$797,'Monthly_Data'!$B$6:$B$797,"&gt;="&amp;J10,'Monthly_Data'!$B$6:$B$797,"&lt;="&amp;K10,'Monthly_Data'!$C$6:$C$797,D10,'Monthly_Data'!$D$6:$D$797,C10,'Monthly_Data'!$I$6:$I$797,1)</x:f>
        <x:v>7506840</x:v>
      </x:c>
      <x:c r="M10" s="16" t="n">
        <x:f>SUMIFS('Monthly_Data'!$F$6:$F$797,'Monthly_Data'!$B$6:$B$797,"&gt;="&amp;J10,'Monthly_Data'!$B$6:$B$797,"&lt;="&amp;K10,'Monthly_Data'!$C$6:$C$797,D10,'Monthly_Data'!$D$6:$D$797,C10,'Monthly_Data'!$I$6:$I$797,1)</x:f>
        <x:v>801681</x:v>
      </x:c>
      <x:c r="N10" s="2" t="n">
        <x:f>COUNTIFS('Monthly_Data'!$B$6:$B$797,"&gt;="&amp;J10,'Monthly_Data'!$B$6:$B$797,"&lt;="&amp;K10,'Monthly_Data'!$C$6:$C$797,D10,'Monthly_Data'!$D$6:$D$797,C10,'Monthly_Data'!$I$6:$I$797,1)</x:f>
        <x:v>8</x:v>
      </x:c>
      <x:c r="O10" s="17" t="n">
        <x:f>IF(M10&gt;0,L10/M10,"n.a.")</x:f>
        <x:v>9.363874159422513</x:v>
      </x:c>
      <x:c r="P10" s="2" t="n">
        <x:f>COUNTIFS($A$6:$A$125,A10)</x:f>
        <x:v>1</x:v>
      </x:c>
      <x:c r="Q10" s="2"/>
      <x:c r="R10" s="2"/>
      <x:c r="S10" s="2"/>
    </x:row>
    <x:row r="11" ht="23" customHeight="1">
      <x:c r="A11" s="2" t="str">
        <x:v>FY2025|Myanmar|61091000</x:v>
      </x:c>
      <x:c r="B11" s="2" t="str">
        <x:v>FY2025</x:v>
      </x:c>
      <x:c r="C11" s="2" t="str">
        <x:v>Myanmar</x:v>
      </x:c>
      <x:c r="D11" s="2" t="str">
        <x:v>61091000</x:v>
      </x:c>
      <x:c r="E11" s="16" t="n">
        <x:v>377935</x:v>
      </x:c>
      <x:c r="F11" s="16" t="n">
        <x:v>29326</x:v>
      </x:c>
      <x:c r="G11" s="2" t="n">
        <x:v>12</x:v>
      </x:c>
      <x:c r="H11" s="2" t="n">
        <x:v>0</x:v>
      </x:c>
      <x:c r="I11" s="17" t="n">
        <x:v>12.887369569665143</x:v>
      </x:c>
      <x:c r="J11" s="2" t="n">
        <x:v>202501</x:v>
      </x:c>
      <x:c r="K11" s="2" t="n">
        <x:v>202512</x:v>
      </x:c>
      <x:c r="L11" s="16" t="n">
        <x:f>SUMIFS('Monthly_Data'!$E$6:$E$797,'Monthly_Data'!$B$6:$B$797,"&gt;="&amp;J11,'Monthly_Data'!$B$6:$B$797,"&lt;="&amp;K11,'Monthly_Data'!$C$6:$C$797,D11,'Monthly_Data'!$D$6:$D$797,C11,'Monthly_Data'!$I$6:$I$797,1)</x:f>
        <x:v>254441</x:v>
      </x:c>
      <x:c r="M11" s="16" t="n">
        <x:f>SUMIFS('Monthly_Data'!$F$6:$F$797,'Monthly_Data'!$B$6:$B$797,"&gt;="&amp;J11,'Monthly_Data'!$B$6:$B$797,"&lt;="&amp;K11,'Monthly_Data'!$C$6:$C$797,D11,'Monthly_Data'!$D$6:$D$797,C11,'Monthly_Data'!$I$6:$I$797,1)</x:f>
        <x:v>20714</x:v>
      </x:c>
      <x:c r="N11" s="2" t="n">
        <x:f>COUNTIFS('Monthly_Data'!$B$6:$B$797,"&gt;="&amp;J11,'Monthly_Data'!$B$6:$B$797,"&lt;="&amp;K11,'Monthly_Data'!$C$6:$C$797,D11,'Monthly_Data'!$D$6:$D$797,C11,'Monthly_Data'!$I$6:$I$797,1)</x:f>
        <x:v>8</x:v>
      </x:c>
      <x:c r="O11" s="17" t="n">
        <x:f>IF(M11&gt;0,L11/M11,"n.a.")</x:f>
        <x:v>12.28352804866274</x:v>
      </x:c>
      <x:c r="P11" s="2" t="n">
        <x:f>COUNTIFS($A$6:$A$125,A11)</x:f>
        <x:v>1</x:v>
      </x:c>
      <x:c r="Q11" s="2"/>
      <x:c r="R11" s="2"/>
      <x:c r="S11" s="2"/>
    </x:row>
    <x:row r="12" ht="23" customHeight="1">
      <x:c r="A12" s="2" t="str">
        <x:v>FY2025|Pakistan|61091000</x:v>
      </x:c>
      <x:c r="B12" s="2" t="str">
        <x:v>FY2025</x:v>
      </x:c>
      <x:c r="C12" s="2" t="str">
        <x:v>Pakistan</x:v>
      </x:c>
      <x:c r="D12" s="2" t="str">
        <x:v>61091000</x:v>
      </x:c>
      <x:c r="E12" s="16" t="n">
        <x:v>50802167</x:v>
      </x:c>
      <x:c r="F12" s="16" t="n">
        <x:v>10896985</x:v>
      </x:c>
      <x:c r="G12" s="2" t="n">
        <x:v>12</x:v>
      </x:c>
      <x:c r="H12" s="2" t="n">
        <x:v>4</x:v>
      </x:c>
      <x:c r="I12" s="17" t="n">
        <x:v>4.662038811652948</x:v>
      </x:c>
      <x:c r="J12" s="2" t="n">
        <x:v>202501</x:v>
      </x:c>
      <x:c r="K12" s="2" t="n">
        <x:v>202512</x:v>
      </x:c>
      <x:c r="L12" s="16" t="n">
        <x:f>SUMIFS('Monthly_Data'!$E$6:$E$797,'Monthly_Data'!$B$6:$B$797,"&gt;="&amp;J12,'Monthly_Data'!$B$6:$B$797,"&lt;="&amp;K12,'Monthly_Data'!$C$6:$C$797,D12,'Monthly_Data'!$D$6:$D$797,C12,'Monthly_Data'!$I$6:$I$797,1)</x:f>
        <x:v>31440750</x:v>
      </x:c>
      <x:c r="M12" s="16" t="n">
        <x:f>SUMIFS('Monthly_Data'!$F$6:$F$797,'Monthly_Data'!$B$6:$B$797,"&gt;="&amp;J12,'Monthly_Data'!$B$6:$B$797,"&lt;="&amp;K12,'Monthly_Data'!$C$6:$C$797,D12,'Monthly_Data'!$D$6:$D$797,C12,'Monthly_Data'!$I$6:$I$797,1)</x:f>
        <x:v>2884303</x:v>
      </x:c>
      <x:c r="N12" s="2" t="n">
        <x:f>COUNTIFS('Monthly_Data'!$B$6:$B$797,"&gt;="&amp;J12,'Monthly_Data'!$B$6:$B$797,"&lt;="&amp;K12,'Monthly_Data'!$C$6:$C$797,D12,'Monthly_Data'!$D$6:$D$797,C12,'Monthly_Data'!$I$6:$I$797,1)</x:f>
        <x:v>8</x:v>
      </x:c>
      <x:c r="O12" s="17" t="n">
        <x:f>IF(M12&gt;0,L12/M12,"n.a.")</x:f>
        <x:v>10.900640466691605</x:v>
      </x:c>
      <x:c r="P12" s="2" t="n">
        <x:f>COUNTIFS($A$6:$A$125,A12)</x:f>
        <x:v>1</x:v>
      </x:c>
      <x:c r="Q12" s="2"/>
      <x:c r="R12" s="2"/>
      <x:c r="S12" s="2"/>
    </x:row>
    <x:row r="13" ht="23" customHeight="1">
      <x:c r="A13" s="2" t="str">
        <x:v>FY2025|Sri Lanka|61091000</x:v>
      </x:c>
      <x:c r="B13" s="2" t="str">
        <x:v>FY2025</x:v>
      </x:c>
      <x:c r="C13" s="2" t="str">
        <x:v>Sri Lanka</x:v>
      </x:c>
      <x:c r="D13" s="2" t="str">
        <x:v>61091000</x:v>
      </x:c>
      <x:c r="E13" s="16" t="n">
        <x:v>22682066</x:v>
      </x:c>
      <x:c r="F13" s="16" t="n">
        <x:v>2215013</x:v>
      </x:c>
      <x:c r="G13" s="2" t="n">
        <x:v>12</x:v>
      </x:c>
      <x:c r="H13" s="2" t="n">
        <x:v>0</x:v>
      </x:c>
      <x:c r="I13" s="17" t="n">
        <x:v>10.240150283542354</x:v>
      </x:c>
      <x:c r="J13" s="2" t="n">
        <x:v>202501</x:v>
      </x:c>
      <x:c r="K13" s="2" t="n">
        <x:v>202512</x:v>
      </x:c>
      <x:c r="L13" s="16" t="n">
        <x:f>SUMIFS('Monthly_Data'!$E$6:$E$797,'Monthly_Data'!$B$6:$B$797,"&gt;="&amp;J13,'Monthly_Data'!$B$6:$B$797,"&lt;="&amp;K13,'Monthly_Data'!$C$6:$C$797,D13,'Monthly_Data'!$D$6:$D$797,C13,'Monthly_Data'!$I$6:$I$797,1)</x:f>
        <x:v>14028089</x:v>
      </x:c>
      <x:c r="M13" s="16" t="n">
        <x:f>SUMIFS('Monthly_Data'!$F$6:$F$797,'Monthly_Data'!$B$6:$B$797,"&gt;="&amp;J13,'Monthly_Data'!$B$6:$B$797,"&lt;="&amp;K13,'Monthly_Data'!$C$6:$C$797,D13,'Monthly_Data'!$D$6:$D$797,C13,'Monthly_Data'!$I$6:$I$797,1)</x:f>
        <x:v>1406635</x:v>
      </x:c>
      <x:c r="N13" s="2" t="n">
        <x:f>COUNTIFS('Monthly_Data'!$B$6:$B$797,"&gt;="&amp;J13,'Monthly_Data'!$B$6:$B$797,"&lt;="&amp;K13,'Monthly_Data'!$C$6:$C$797,D13,'Monthly_Data'!$D$6:$D$797,C13,'Monthly_Data'!$I$6:$I$797,1)</x:f>
        <x:v>8</x:v>
      </x:c>
      <x:c r="O13" s="17" t="n">
        <x:f>IF(M13&gt;0,L13/M13,"n.a.")</x:f>
        <x:v>9.9727996246361</x:v>
      </x:c>
      <x:c r="P13" s="2" t="n">
        <x:f>COUNTIFS($A$6:$A$125,A13)</x:f>
        <x:v>1</x:v>
      </x:c>
      <x:c r="Q13" s="2"/>
      <x:c r="R13" s="2"/>
      <x:c r="S13" s="2"/>
    </x:row>
    <x:row r="14" ht="23" customHeight="1">
      <x:c r="A14" s="2" t="str">
        <x:v>FY2025|Turkey|61091000</x:v>
      </x:c>
      <x:c r="B14" s="2" t="str">
        <x:v>FY2025</x:v>
      </x:c>
      <x:c r="C14" s="2" t="str">
        <x:v>Turkey</x:v>
      </x:c>
      <x:c r="D14" s="2" t="str">
        <x:v>61091000</x:v>
      </x:c>
      <x:c r="E14" s="16" t="n">
        <x:v>109167119</x:v>
      </x:c>
      <x:c r="F14" s="16" t="n">
        <x:v>4927477</x:v>
      </x:c>
      <x:c r="G14" s="2" t="n">
        <x:v>12</x:v>
      </x:c>
      <x:c r="H14" s="2" t="n">
        <x:v>0</x:v>
      </x:c>
      <x:c r="I14" s="17" t="n">
        <x:v>22.15476987513082</x:v>
      </x:c>
      <x:c r="J14" s="2" t="n">
        <x:v>202501</x:v>
      </x:c>
      <x:c r="K14" s="2" t="n">
        <x:v>202512</x:v>
      </x:c>
      <x:c r="L14" s="16" t="n">
        <x:f>SUMIFS('Monthly_Data'!$E$6:$E$797,'Monthly_Data'!$B$6:$B$797,"&gt;="&amp;J14,'Monthly_Data'!$B$6:$B$797,"&lt;="&amp;K14,'Monthly_Data'!$C$6:$C$797,D14,'Monthly_Data'!$D$6:$D$797,C14,'Monthly_Data'!$I$6:$I$797,1)</x:f>
        <x:v>65407784</x:v>
      </x:c>
      <x:c r="M14" s="16" t="n">
        <x:f>SUMIFS('Monthly_Data'!$F$6:$F$797,'Monthly_Data'!$B$6:$B$797,"&gt;="&amp;J14,'Monthly_Data'!$B$6:$B$797,"&lt;="&amp;K14,'Monthly_Data'!$C$6:$C$797,D14,'Monthly_Data'!$D$6:$D$797,C14,'Monthly_Data'!$I$6:$I$797,1)</x:f>
        <x:v>3077282</x:v>
      </x:c>
      <x:c r="N14" s="2" t="n">
        <x:f>COUNTIFS('Monthly_Data'!$B$6:$B$797,"&gt;="&amp;J14,'Monthly_Data'!$B$6:$B$797,"&lt;="&amp;K14,'Monthly_Data'!$C$6:$C$797,D14,'Monthly_Data'!$D$6:$D$797,C14,'Monthly_Data'!$I$6:$I$797,1)</x:f>
        <x:v>8</x:v>
      </x:c>
      <x:c r="O14" s="17" t="n">
        <x:f>IF(M14&gt;0,L14/M14,"n.a.")</x:f>
        <x:v>21.25505039837103</x:v>
      </x:c>
      <x:c r="P14" s="2" t="n">
        <x:f>COUNTIFS($A$6:$A$125,A14)</x:f>
        <x:v>1</x:v>
      </x:c>
      <x:c r="Q14" s="2"/>
      <x:c r="R14" s="2"/>
      <x:c r="S14" s="2"/>
    </x:row>
    <x:row r="15" ht="23" customHeight="1">
      <x:c r="A15" s="2" t="str">
        <x:v>FY2025|Vietnam|61091000</x:v>
      </x:c>
      <x:c r="B15" s="2" t="str">
        <x:v>FY2025</x:v>
      </x:c>
      <x:c r="C15" s="2" t="str">
        <x:v>Vietnam</x:v>
      </x:c>
      <x:c r="D15" s="2" t="str">
        <x:v>61091000</x:v>
      </x:c>
      <x:c r="E15" s="16" t="n">
        <x:v>23980546</x:v>
      </x:c>
      <x:c r="F15" s="16" t="n">
        <x:v>1170082</x:v>
      </x:c>
      <x:c r="G15" s="2" t="n">
        <x:v>12</x:v>
      </x:c>
      <x:c r="H15" s="2" t="n">
        <x:v>0</x:v>
      </x:c>
      <x:c r="I15" s="17" t="n">
        <x:v>20.494756777730107</x:v>
      </x:c>
      <x:c r="J15" s="2" t="n">
        <x:v>202501</x:v>
      </x:c>
      <x:c r="K15" s="2" t="n">
        <x:v>202512</x:v>
      </x:c>
      <x:c r="L15" s="16" t="n">
        <x:f>SUMIFS('Monthly_Data'!$E$6:$E$797,'Monthly_Data'!$B$6:$B$797,"&gt;="&amp;J15,'Monthly_Data'!$B$6:$B$797,"&lt;="&amp;K15,'Monthly_Data'!$C$6:$C$797,D15,'Monthly_Data'!$D$6:$D$797,C15,'Monthly_Data'!$I$6:$I$797,1)</x:f>
        <x:v>13064717</x:v>
      </x:c>
      <x:c r="M15" s="16" t="n">
        <x:f>SUMIFS('Monthly_Data'!$F$6:$F$797,'Monthly_Data'!$B$6:$B$797,"&gt;="&amp;J15,'Monthly_Data'!$B$6:$B$797,"&lt;="&amp;K15,'Monthly_Data'!$C$6:$C$797,D15,'Monthly_Data'!$D$6:$D$797,C15,'Monthly_Data'!$I$6:$I$797,1)</x:f>
        <x:v>641927</x:v>
      </x:c>
      <x:c r="N15" s="2" t="n">
        <x:f>COUNTIFS('Monthly_Data'!$B$6:$B$797,"&gt;="&amp;J15,'Monthly_Data'!$B$6:$B$797,"&lt;="&amp;K15,'Monthly_Data'!$C$6:$C$797,D15,'Monthly_Data'!$D$6:$D$797,C15,'Monthly_Data'!$I$6:$I$797,1)</x:f>
        <x:v>8</x:v>
      </x:c>
      <x:c r="O15" s="17" t="n">
        <x:f>IF(M15&gt;0,L15/M15,"n.a.")</x:f>
        <x:v>20.3523406867136</x:v>
      </x:c>
      <x:c r="P15" s="2" t="n">
        <x:f>COUNTIFS($A$6:$A$125,A15)</x:f>
        <x:v>1</x:v>
      </x:c>
      <x:c r="Q15" s="2"/>
      <x:c r="R15" s="2"/>
      <x:c r="S15" s="2"/>
    </x:row>
    <x:row r="16" ht="23" customHeight="1">
      <x:c r="A16" s="2" t="str">
        <x:v>FY2025|Bangladesh|61103099</x:v>
      </x:c>
      <x:c r="B16" s="2" t="str">
        <x:v>FY2025</x:v>
      </x:c>
      <x:c r="C16" s="2" t="str">
        <x:v>Bangladesh</x:v>
      </x:c>
      <x:c r="D16" s="2" t="str">
        <x:v>61103099</x:v>
      </x:c>
      <x:c r="E16" s="16" t="n">
        <x:v>164836619</x:v>
      </x:c>
      <x:c r="F16" s="16" t="n">
        <x:v>13246692</x:v>
      </x:c>
      <x:c r="G16" s="2" t="n">
        <x:v>12</x:v>
      </x:c>
      <x:c r="H16" s="2" t="n">
        <x:v>0</x:v>
      </x:c>
      <x:c r="I16" s="17" t="n">
        <x:v>12.443606222595045</x:v>
      </x:c>
      <x:c r="J16" s="2" t="n">
        <x:v>202501</x:v>
      </x:c>
      <x:c r="K16" s="2" t="n">
        <x:v>202512</x:v>
      </x:c>
      <x:c r="L16" s="16" t="n">
        <x:f>SUMIFS('Monthly_Data'!$E$6:$E$797,'Monthly_Data'!$B$6:$B$797,"&gt;="&amp;J16,'Monthly_Data'!$B$6:$B$797,"&lt;="&amp;K16,'Monthly_Data'!$C$6:$C$797,D16,'Monthly_Data'!$D$6:$D$797,C16,'Monthly_Data'!$I$6:$I$797,1)</x:f>
        <x:v>104488465</x:v>
      </x:c>
      <x:c r="M16" s="16" t="n">
        <x:f>SUMIFS('Monthly_Data'!$F$6:$F$797,'Monthly_Data'!$B$6:$B$797,"&gt;="&amp;J16,'Monthly_Data'!$B$6:$B$797,"&lt;="&amp;K16,'Monthly_Data'!$C$6:$C$797,D16,'Monthly_Data'!$D$6:$D$797,C16,'Monthly_Data'!$I$6:$I$797,1)</x:f>
        <x:v>8519362</x:v>
      </x:c>
      <x:c r="N16" s="2" t="n">
        <x:f>COUNTIFS('Monthly_Data'!$B$6:$B$797,"&gt;="&amp;J16,'Monthly_Data'!$B$6:$B$797,"&lt;="&amp;K16,'Monthly_Data'!$C$6:$C$797,D16,'Monthly_Data'!$D$6:$D$797,C16,'Monthly_Data'!$I$6:$I$797,1)</x:f>
        <x:v>9</x:v>
      </x:c>
      <x:c r="O16" s="17" t="n">
        <x:f>IF(M16&gt;0,L16/M16,"n.a.")</x:f>
        <x:v>12.264822764897184</x:v>
      </x:c>
      <x:c r="P16" s="2" t="n">
        <x:f>COUNTIFS($A$6:$A$125,A16)</x:f>
        <x:v>1</x:v>
      </x:c>
      <x:c r="Q16" s="2"/>
      <x:c r="R16" s="2"/>
      <x:c r="S16" s="2"/>
    </x:row>
    <x:row r="17" ht="23" customHeight="1">
      <x:c r="A17" s="2" t="str">
        <x:v>FY2025|Cambodia|61103099</x:v>
      </x:c>
      <x:c r="B17" s="2" t="str">
        <x:v>FY2025</x:v>
      </x:c>
      <x:c r="C17" s="2" t="str">
        <x:v>Cambodia</x:v>
      </x:c>
      <x:c r="D17" s="2" t="str">
        <x:v>61103099</x:v>
      </x:c>
      <x:c r="E17" s="16" t="n">
        <x:v>72460733</x:v>
      </x:c>
      <x:c r="F17" s="16" t="n">
        <x:v>6288565</x:v>
      </x:c>
      <x:c r="G17" s="2" t="n">
        <x:v>12</x:v>
      </x:c>
      <x:c r="H17" s="2" t="n">
        <x:v>0</x:v>
      </x:c>
      <x:c r="I17" s="17" t="n">
        <x:v>11.522618117169815</x:v>
      </x:c>
      <x:c r="J17" s="2" t="n">
        <x:v>202501</x:v>
      </x:c>
      <x:c r="K17" s="2" t="n">
        <x:v>202512</x:v>
      </x:c>
      <x:c r="L17" s="16" t="n">
        <x:f>SUMIFS('Monthly_Data'!$E$6:$E$797,'Monthly_Data'!$B$6:$B$797,"&gt;="&amp;J17,'Monthly_Data'!$B$6:$B$797,"&lt;="&amp;K17,'Monthly_Data'!$C$6:$C$797,D17,'Monthly_Data'!$D$6:$D$797,C17,'Monthly_Data'!$I$6:$I$797,1)</x:f>
        <x:v>46317552</x:v>
      </x:c>
      <x:c r="M17" s="16" t="n">
        <x:f>SUMIFS('Monthly_Data'!$F$6:$F$797,'Monthly_Data'!$B$6:$B$797,"&gt;="&amp;J17,'Monthly_Data'!$B$6:$B$797,"&lt;="&amp;K17,'Monthly_Data'!$C$6:$C$797,D17,'Monthly_Data'!$D$6:$D$797,C17,'Monthly_Data'!$I$6:$I$797,1)</x:f>
        <x:v>3874664</x:v>
      </x:c>
      <x:c r="N17" s="2" t="n">
        <x:f>COUNTIFS('Monthly_Data'!$B$6:$B$797,"&gt;="&amp;J17,'Monthly_Data'!$B$6:$B$797,"&lt;="&amp;K17,'Monthly_Data'!$C$6:$C$797,D17,'Monthly_Data'!$D$6:$D$797,C17,'Monthly_Data'!$I$6:$I$797,1)</x:f>
        <x:v>9</x:v>
      </x:c>
      <x:c r="O17" s="17" t="n">
        <x:f>IF(M17&gt;0,L17/M17,"n.a.")</x:f>
        <x:v>11.953953168584425</x:v>
      </x:c>
      <x:c r="P17" s="2" t="n">
        <x:f>COUNTIFS($A$6:$A$125,A17)</x:f>
        <x:v>1</x:v>
      </x:c>
      <x:c r="Q17" s="2"/>
      <x:c r="R17" s="2"/>
      <x:c r="S17" s="2"/>
    </x:row>
    <x:row r="18" ht="23" customHeight="1">
      <x:c r="A18" s="2" t="str">
        <x:v>FY2025|China|61103099</x:v>
      </x:c>
      <x:c r="B18" s="2" t="str">
        <x:v>FY2025</x:v>
      </x:c>
      <x:c r="C18" s="2" t="str">
        <x:v>China</x:v>
      </x:c>
      <x:c r="D18" s="2" t="str">
        <x:v>61103099</x:v>
      </x:c>
      <x:c r="E18" s="16" t="n">
        <x:v>235660674</x:v>
      </x:c>
      <x:c r="F18" s="16" t="n">
        <x:v>16459562</x:v>
      </x:c>
      <x:c r="G18" s="2" t="n">
        <x:v>12</x:v>
      </x:c>
      <x:c r="H18" s="2" t="n">
        <x:v>0</x:v>
      </x:c>
      <x:c r="I18" s="17" t="n">
        <x:v>14.31755437963659</x:v>
      </x:c>
      <x:c r="J18" s="2" t="n">
        <x:v>202501</x:v>
      </x:c>
      <x:c r="K18" s="2" t="n">
        <x:v>202512</x:v>
      </x:c>
      <x:c r="L18" s="16" t="n">
        <x:f>SUMIFS('Monthly_Data'!$E$6:$E$797,'Monthly_Data'!$B$6:$B$797,"&gt;="&amp;J18,'Monthly_Data'!$B$6:$B$797,"&lt;="&amp;K18,'Monthly_Data'!$C$6:$C$797,D18,'Monthly_Data'!$D$6:$D$797,C18,'Monthly_Data'!$I$6:$I$797,1)</x:f>
        <x:v>137520621</x:v>
      </x:c>
      <x:c r="M18" s="16" t="n">
        <x:f>SUMIFS('Monthly_Data'!$F$6:$F$797,'Monthly_Data'!$B$6:$B$797,"&gt;="&amp;J18,'Monthly_Data'!$B$6:$B$797,"&lt;="&amp;K18,'Monthly_Data'!$C$6:$C$797,D18,'Monthly_Data'!$D$6:$D$797,C18,'Monthly_Data'!$I$6:$I$797,1)</x:f>
        <x:v>9168388</x:v>
      </x:c>
      <x:c r="N18" s="2" t="n">
        <x:f>COUNTIFS('Monthly_Data'!$B$6:$B$797,"&gt;="&amp;J18,'Monthly_Data'!$B$6:$B$797,"&lt;="&amp;K18,'Monthly_Data'!$C$6:$C$797,D18,'Monthly_Data'!$D$6:$D$797,C18,'Monthly_Data'!$I$6:$I$797,1)</x:f>
        <x:v>9</x:v>
      </x:c>
      <x:c r="O18" s="17" t="n">
        <x:f>IF(M18&gt;0,L18/M18,"n.a.")</x:f>
        <x:v>14.99943294284666</x:v>
      </x:c>
      <x:c r="P18" s="2" t="n">
        <x:f>COUNTIFS($A$6:$A$125,A18)</x:f>
        <x:v>1</x:v>
      </x:c>
      <x:c r="Q18" s="2"/>
      <x:c r="R18" s="2"/>
      <x:c r="S18" s="2"/>
    </x:row>
    <x:row r="19" ht="23" customHeight="1">
      <x:c r="A19" s="2" t="str">
        <x:v>FY2025|India|61103099</x:v>
      </x:c>
      <x:c r="B19" s="2" t="str">
        <x:v>FY2025</x:v>
      </x:c>
      <x:c r="C19" s="2" t="str">
        <x:v>India</x:v>
      </x:c>
      <x:c r="D19" s="2" t="str">
        <x:v>61103099</x:v>
      </x:c>
      <x:c r="E19" s="16" t="n">
        <x:v>2259458</x:v>
      </x:c>
      <x:c r="F19" s="16" t="n">
        <x:v>159066</x:v>
      </x:c>
      <x:c r="G19" s="2" t="n">
        <x:v>12</x:v>
      </x:c>
      <x:c r="H19" s="2" t="n">
        <x:v>0</x:v>
      </x:c>
      <x:c r="I19" s="17" t="n">
        <x:v>14.20453145235311</x:v>
      </x:c>
      <x:c r="J19" s="2" t="n">
        <x:v>202501</x:v>
      </x:c>
      <x:c r="K19" s="2" t="n">
        <x:v>202512</x:v>
      </x:c>
      <x:c r="L19" s="16" t="n">
        <x:f>SUMIFS('Monthly_Data'!$E$6:$E$797,'Monthly_Data'!$B$6:$B$797,"&gt;="&amp;J19,'Monthly_Data'!$B$6:$B$797,"&lt;="&amp;K19,'Monthly_Data'!$C$6:$C$797,D19,'Monthly_Data'!$D$6:$D$797,C19,'Monthly_Data'!$I$6:$I$797,1)</x:f>
        <x:v>1663760</x:v>
      </x:c>
      <x:c r="M19" s="16" t="n">
        <x:f>SUMIFS('Monthly_Data'!$F$6:$F$797,'Monthly_Data'!$B$6:$B$797,"&gt;="&amp;J19,'Monthly_Data'!$B$6:$B$797,"&lt;="&amp;K19,'Monthly_Data'!$C$6:$C$797,D19,'Monthly_Data'!$D$6:$D$797,C19,'Monthly_Data'!$I$6:$I$797,1)</x:f>
        <x:v>115642</x:v>
      </x:c>
      <x:c r="N19" s="2" t="n">
        <x:f>COUNTIFS('Monthly_Data'!$B$6:$B$797,"&gt;="&amp;J19,'Monthly_Data'!$B$6:$B$797,"&lt;="&amp;K19,'Monthly_Data'!$C$6:$C$797,D19,'Monthly_Data'!$D$6:$D$797,C19,'Monthly_Data'!$I$6:$I$797,1)</x:f>
        <x:v>9</x:v>
      </x:c>
      <x:c r="O19" s="17" t="n">
        <x:f>IF(M19&gt;0,L19/M19,"n.a.")</x:f>
        <x:v>14.387160374258487</x:v>
      </x:c>
      <x:c r="P19" s="2" t="n">
        <x:f>COUNTIFS($A$6:$A$125,A19)</x:f>
        <x:v>1</x:v>
      </x:c>
      <x:c r="Q19" s="2"/>
      <x:c r="R19" s="2"/>
      <x:c r="S19" s="2"/>
    </x:row>
    <x:row r="20" ht="23" customHeight="1">
      <x:c r="A20" s="2" t="str">
        <x:v>FY2025|Morocco|61103099</x:v>
      </x:c>
      <x:c r="B20" s="2" t="str">
        <x:v>FY2025</x:v>
      </x:c>
      <x:c r="C20" s="2" t="str">
        <x:v>Morocco</x:v>
      </x:c>
      <x:c r="D20" s="2" t="str">
        <x:v>61103099</x:v>
      </x:c>
      <x:c r="E20" s="16" t="n">
        <x:v>389054</x:v>
      </x:c>
      <x:c r="F20" s="16" t="n">
        <x:v>19704</x:v>
      </x:c>
      <x:c r="G20" s="2" t="n">
        <x:v>12</x:v>
      </x:c>
      <x:c r="H20" s="2" t="n">
        <x:v>1</x:v>
      </x:c>
      <x:c r="I20" s="17" t="n">
        <x:v>19.744924888347544</x:v>
      </x:c>
      <x:c r="J20" s="2" t="n">
        <x:v>202501</x:v>
      </x:c>
      <x:c r="K20" s="2" t="n">
        <x:v>202512</x:v>
      </x:c>
      <x:c r="L20" s="16" t="n">
        <x:f>SUMIFS('Monthly_Data'!$E$6:$E$797,'Monthly_Data'!$B$6:$B$797,"&gt;="&amp;J20,'Monthly_Data'!$B$6:$B$797,"&lt;="&amp;K20,'Monthly_Data'!$C$6:$C$797,D20,'Monthly_Data'!$D$6:$D$797,C20,'Monthly_Data'!$I$6:$I$797,1)</x:f>
        <x:v>323822</x:v>
      </x:c>
      <x:c r="M20" s="16" t="n">
        <x:f>SUMIFS('Monthly_Data'!$F$6:$F$797,'Monthly_Data'!$B$6:$B$797,"&gt;="&amp;J20,'Monthly_Data'!$B$6:$B$797,"&lt;="&amp;K20,'Monthly_Data'!$C$6:$C$797,D20,'Monthly_Data'!$D$6:$D$797,C20,'Monthly_Data'!$I$6:$I$797,1)</x:f>
        <x:v>17607</x:v>
      </x:c>
      <x:c r="N20" s="2" t="n">
        <x:f>COUNTIFS('Monthly_Data'!$B$6:$B$797,"&gt;="&amp;J20,'Monthly_Data'!$B$6:$B$797,"&lt;="&amp;K20,'Monthly_Data'!$C$6:$C$797,D20,'Monthly_Data'!$D$6:$D$797,C20,'Monthly_Data'!$I$6:$I$797,1)</x:f>
        <x:v>9</x:v>
      </x:c>
      <x:c r="O20" s="17" t="n">
        <x:f>IF(M20&gt;0,L20/M20,"n.a.")</x:f>
        <x:v>18.391662406997217</x:v>
      </x:c>
      <x:c r="P20" s="2" t="n">
        <x:f>COUNTIFS($A$6:$A$125,A20)</x:f>
        <x:v>1</x:v>
      </x:c>
      <x:c r="Q20" s="2"/>
      <x:c r="R20" s="2"/>
      <x:c r="S20" s="2"/>
    </x:row>
    <x:row r="21" ht="23" customHeight="1">
      <x:c r="A21" s="2" t="str">
        <x:v>FY2025|Myanmar|61103099</x:v>
      </x:c>
      <x:c r="B21" s="2" t="str">
        <x:v>FY2025</x:v>
      </x:c>
      <x:c r="C21" s="2" t="str">
        <x:v>Myanmar</x:v>
      </x:c>
      <x:c r="D21" s="2" t="str">
        <x:v>61103099</x:v>
      </x:c>
      <x:c r="E21" s="16" t="n">
        <x:v>8133003</x:v>
      </x:c>
      <x:c r="F21" s="16" t="n">
        <x:v>508754</x:v>
      </x:c>
      <x:c r="G21" s="2" t="n">
        <x:v>12</x:v>
      </x:c>
      <x:c r="H21" s="2" t="n">
        <x:v>0</x:v>
      </x:c>
      <x:c r="I21" s="17" t="n">
        <x:v>15.986120993643294</x:v>
      </x:c>
      <x:c r="J21" s="2" t="n">
        <x:v>202501</x:v>
      </x:c>
      <x:c r="K21" s="2" t="n">
        <x:v>202512</x:v>
      </x:c>
      <x:c r="L21" s="16" t="n">
        <x:f>SUMIFS('Monthly_Data'!$E$6:$E$797,'Monthly_Data'!$B$6:$B$797,"&gt;="&amp;J21,'Monthly_Data'!$B$6:$B$797,"&lt;="&amp;K21,'Monthly_Data'!$C$6:$C$797,D21,'Monthly_Data'!$D$6:$D$797,C21,'Monthly_Data'!$I$6:$I$797,1)</x:f>
        <x:v>4596243</x:v>
      </x:c>
      <x:c r="M21" s="16" t="n">
        <x:f>SUMIFS('Monthly_Data'!$F$6:$F$797,'Monthly_Data'!$B$6:$B$797,"&gt;="&amp;J21,'Monthly_Data'!$B$6:$B$797,"&lt;="&amp;K21,'Monthly_Data'!$C$6:$C$797,D21,'Monthly_Data'!$D$6:$D$797,C21,'Monthly_Data'!$I$6:$I$797,1)</x:f>
        <x:v>283103</x:v>
      </x:c>
      <x:c r="N21" s="2" t="n">
        <x:f>COUNTIFS('Monthly_Data'!$B$6:$B$797,"&gt;="&amp;J21,'Monthly_Data'!$B$6:$B$797,"&lt;="&amp;K21,'Monthly_Data'!$C$6:$C$797,D21,'Monthly_Data'!$D$6:$D$797,C21,'Monthly_Data'!$I$6:$I$797,1)</x:f>
        <x:v>9</x:v>
      </x:c>
      <x:c r="O21" s="17" t="n">
        <x:f>IF(M21&gt;0,L21/M21,"n.a.")</x:f>
        <x:v>16.235232406579936</x:v>
      </x:c>
      <x:c r="P21" s="2" t="n">
        <x:f>COUNTIFS($A$6:$A$125,A21)</x:f>
        <x:v>1</x:v>
      </x:c>
      <x:c r="Q21" s="2"/>
      <x:c r="R21" s="2"/>
      <x:c r="S21" s="2"/>
    </x:row>
    <x:row r="22" ht="23" customHeight="1">
      <x:c r="A22" s="2" t="str">
        <x:v>FY2025|Pakistan|61103099</x:v>
      </x:c>
      <x:c r="B22" s="2" t="str">
        <x:v>FY2025</x:v>
      </x:c>
      <x:c r="C22" s="2" t="str">
        <x:v>Pakistan</x:v>
      </x:c>
      <x:c r="D22" s="2" t="str">
        <x:v>61103099</x:v>
      </x:c>
      <x:c r="E22" s="16" t="n">
        <x:v>5754495</x:v>
      </x:c>
      <x:c r="F22" s="16" t="n">
        <x:v>427235</x:v>
      </x:c>
      <x:c r="G22" s="2" t="n">
        <x:v>12</x:v>
      </x:c>
      <x:c r="H22" s="2" t="n">
        <x:v>0</x:v>
      </x:c>
      <x:c r="I22" s="17" t="n">
        <x:v>13.469156319121796</x:v>
      </x:c>
      <x:c r="J22" s="2" t="n">
        <x:v>202501</x:v>
      </x:c>
      <x:c r="K22" s="2" t="n">
        <x:v>202512</x:v>
      </x:c>
      <x:c r="L22" s="16" t="n">
        <x:f>SUMIFS('Monthly_Data'!$E$6:$E$797,'Monthly_Data'!$B$6:$B$797,"&gt;="&amp;J22,'Monthly_Data'!$B$6:$B$797,"&lt;="&amp;K22,'Monthly_Data'!$C$6:$C$797,D22,'Monthly_Data'!$D$6:$D$797,C22,'Monthly_Data'!$I$6:$I$797,1)</x:f>
        <x:v>4562935</x:v>
      </x:c>
      <x:c r="M22" s="16" t="n">
        <x:f>SUMIFS('Monthly_Data'!$F$6:$F$797,'Monthly_Data'!$B$6:$B$797,"&gt;="&amp;J22,'Monthly_Data'!$B$6:$B$797,"&lt;="&amp;K22,'Monthly_Data'!$C$6:$C$797,D22,'Monthly_Data'!$D$6:$D$797,C22,'Monthly_Data'!$I$6:$I$797,1)</x:f>
        <x:v>339111</x:v>
      </x:c>
      <x:c r="N22" s="2" t="n">
        <x:f>COUNTIFS('Monthly_Data'!$B$6:$B$797,"&gt;="&amp;J22,'Monthly_Data'!$B$6:$B$797,"&lt;="&amp;K22,'Monthly_Data'!$C$6:$C$797,D22,'Monthly_Data'!$D$6:$D$797,C22,'Monthly_Data'!$I$6:$I$797,1)</x:f>
        <x:v>9</x:v>
      </x:c>
      <x:c r="O22" s="17" t="n">
        <x:f>IF(M22&gt;0,L22/M22,"n.a.")</x:f>
        <x:v>13.455579441539792</x:v>
      </x:c>
      <x:c r="P22" s="2" t="n">
        <x:f>COUNTIFS($A$6:$A$125,A22)</x:f>
        <x:v>1</x:v>
      </x:c>
      <x:c r="Q22" s="2"/>
      <x:c r="R22" s="2"/>
      <x:c r="S22" s="2"/>
    </x:row>
    <x:row r="23" ht="23" customHeight="1">
      <x:c r="A23" s="2" t="str">
        <x:v>FY2025|Sri Lanka|61103099</x:v>
      </x:c>
      <x:c r="B23" s="2" t="str">
        <x:v>FY2025</x:v>
      </x:c>
      <x:c r="C23" s="2" t="str">
        <x:v>Sri Lanka</x:v>
      </x:c>
      <x:c r="D23" s="2" t="str">
        <x:v>61103099</x:v>
      </x:c>
      <x:c r="E23" s="16" t="n">
        <x:v>1800198</x:v>
      </x:c>
      <x:c r="F23" s="16" t="n">
        <x:v>100905</x:v>
      </x:c>
      <x:c r="G23" s="2" t="n">
        <x:v>12</x:v>
      </x:c>
      <x:c r="H23" s="2" t="n">
        <x:v>0</x:v>
      </x:c>
      <x:c r="I23" s="17" t="n">
        <x:v>17.840523264456667</x:v>
      </x:c>
      <x:c r="J23" s="2" t="n">
        <x:v>202501</x:v>
      </x:c>
      <x:c r="K23" s="2" t="n">
        <x:v>202512</x:v>
      </x:c>
      <x:c r="L23" s="16" t="n">
        <x:f>SUMIFS('Monthly_Data'!$E$6:$E$797,'Monthly_Data'!$B$6:$B$797,"&gt;="&amp;J23,'Monthly_Data'!$B$6:$B$797,"&lt;="&amp;K23,'Monthly_Data'!$C$6:$C$797,D23,'Monthly_Data'!$D$6:$D$797,C23,'Monthly_Data'!$I$6:$I$797,1)</x:f>
        <x:v>1195313</x:v>
      </x:c>
      <x:c r="M23" s="16" t="n">
        <x:f>SUMIFS('Monthly_Data'!$F$6:$F$797,'Monthly_Data'!$B$6:$B$797,"&gt;="&amp;J23,'Monthly_Data'!$B$6:$B$797,"&lt;="&amp;K23,'Monthly_Data'!$C$6:$C$797,D23,'Monthly_Data'!$D$6:$D$797,C23,'Monthly_Data'!$I$6:$I$797,1)</x:f>
        <x:v>64213</x:v>
      </x:c>
      <x:c r="N23" s="2" t="n">
        <x:f>COUNTIFS('Monthly_Data'!$B$6:$B$797,"&gt;="&amp;J23,'Monthly_Data'!$B$6:$B$797,"&lt;="&amp;K23,'Monthly_Data'!$C$6:$C$797,D23,'Monthly_Data'!$D$6:$D$797,C23,'Monthly_Data'!$I$6:$I$797,1)</x:f>
        <x:v>9</x:v>
      </x:c>
      <x:c r="O23" s="17" t="n">
        <x:f>IF(M23&gt;0,L23/M23,"n.a.")</x:f>
        <x:v>18.614813199819352</x:v>
      </x:c>
      <x:c r="P23" s="2" t="n">
        <x:f>COUNTIFS($A$6:$A$125,A23)</x:f>
        <x:v>1</x:v>
      </x:c>
      <x:c r="Q23" s="2"/>
      <x:c r="R23" s="2"/>
      <x:c r="S23" s="2"/>
    </x:row>
    <x:row r="24" ht="23" customHeight="1">
      <x:c r="A24" s="2" t="str">
        <x:v>FY2025|Turkey|61103099</x:v>
      </x:c>
      <x:c r="B24" s="2" t="str">
        <x:v>FY2025</x:v>
      </x:c>
      <x:c r="C24" s="2" t="str">
        <x:v>Turkey</x:v>
      </x:c>
      <x:c r="D24" s="2" t="str">
        <x:v>61103099</x:v>
      </x:c>
      <x:c r="E24" s="16" t="n">
        <x:v>58922223</x:v>
      </x:c>
      <x:c r="F24" s="16" t="n">
        <x:v>7348045</x:v>
      </x:c>
      <x:c r="G24" s="2" t="n">
        <x:v>12</x:v>
      </x:c>
      <x:c r="H24" s="2" t="n">
        <x:v>2</x:v>
      </x:c>
      <x:c r="I24" s="17" t="n">
        <x:v>8.018761861148102</x:v>
      </x:c>
      <x:c r="J24" s="2" t="n">
        <x:v>202501</x:v>
      </x:c>
      <x:c r="K24" s="2" t="n">
        <x:v>202512</x:v>
      </x:c>
      <x:c r="L24" s="16" t="n">
        <x:f>SUMIFS('Monthly_Data'!$E$6:$E$797,'Monthly_Data'!$B$6:$B$797,"&gt;="&amp;J24,'Monthly_Data'!$B$6:$B$797,"&lt;="&amp;K24,'Monthly_Data'!$C$6:$C$797,D24,'Monthly_Data'!$D$6:$D$797,C24,'Monthly_Data'!$I$6:$I$797,1)</x:f>
        <x:v>39909479</x:v>
      </x:c>
      <x:c r="M24" s="16" t="n">
        <x:f>SUMIFS('Monthly_Data'!$F$6:$F$797,'Monthly_Data'!$B$6:$B$797,"&gt;="&amp;J24,'Monthly_Data'!$B$6:$B$797,"&lt;="&amp;K24,'Monthly_Data'!$C$6:$C$797,D24,'Monthly_Data'!$D$6:$D$797,C24,'Monthly_Data'!$I$6:$I$797,1)</x:f>
        <x:v>2196012</x:v>
      </x:c>
      <x:c r="N24" s="2" t="n">
        <x:f>COUNTIFS('Monthly_Data'!$B$6:$B$797,"&gt;="&amp;J24,'Monthly_Data'!$B$6:$B$797,"&lt;="&amp;K24,'Monthly_Data'!$C$6:$C$797,D24,'Monthly_Data'!$D$6:$D$797,C24,'Monthly_Data'!$I$6:$I$797,1)</x:f>
        <x:v>9</x:v>
      </x:c>
      <x:c r="O24" s="17" t="n">
        <x:f>IF(M24&gt;0,L24/M24,"n.a.")</x:f>
        <x:v>18.17361608224363</x:v>
      </x:c>
      <x:c r="P24" s="2" t="n">
        <x:f>COUNTIFS($A$6:$A$125,A24)</x:f>
        <x:v>1</x:v>
      </x:c>
      <x:c r="Q24" s="2"/>
      <x:c r="R24" s="2"/>
      <x:c r="S24" s="2"/>
    </x:row>
    <x:row r="25" ht="23" customHeight="1">
      <x:c r="A25" s="2" t="str">
        <x:v>FY2025|Vietnam|61103099</x:v>
      </x:c>
      <x:c r="B25" s="2" t="str">
        <x:v>FY2025</x:v>
      </x:c>
      <x:c r="C25" s="2" t="str">
        <x:v>Vietnam</x:v>
      </x:c>
      <x:c r="D25" s="2" t="str">
        <x:v>61103099</x:v>
      </x:c>
      <x:c r="E25" s="16" t="n">
        <x:v>10350943</x:v>
      </x:c>
      <x:c r="F25" s="16" t="n">
        <x:v>396647</x:v>
      </x:c>
      <x:c r="G25" s="2" t="n">
        <x:v>12</x:v>
      </x:c>
      <x:c r="H25" s="2" t="n">
        <x:v>0</x:v>
      </x:c>
      <x:c r="I25" s="17" t="n">
        <x:v>26.09610812636929</x:v>
      </x:c>
      <x:c r="J25" s="2" t="n">
        <x:v>202501</x:v>
      </x:c>
      <x:c r="K25" s="2" t="n">
        <x:v>202512</x:v>
      </x:c>
      <x:c r="L25" s="16" t="n">
        <x:f>SUMIFS('Monthly_Data'!$E$6:$E$797,'Monthly_Data'!$B$6:$B$797,"&gt;="&amp;J25,'Monthly_Data'!$B$6:$B$797,"&lt;="&amp;K25,'Monthly_Data'!$C$6:$C$797,D25,'Monthly_Data'!$D$6:$D$797,C25,'Monthly_Data'!$I$6:$I$797,1)</x:f>
        <x:v>7682718</x:v>
      </x:c>
      <x:c r="M25" s="16" t="n">
        <x:f>SUMIFS('Monthly_Data'!$F$6:$F$797,'Monthly_Data'!$B$6:$B$797,"&gt;="&amp;J25,'Monthly_Data'!$B$6:$B$797,"&lt;="&amp;K25,'Monthly_Data'!$C$6:$C$797,D25,'Monthly_Data'!$D$6:$D$797,C25,'Monthly_Data'!$I$6:$I$797,1)</x:f>
        <x:v>277724</x:v>
      </x:c>
      <x:c r="N25" s="2" t="n">
        <x:f>COUNTIFS('Monthly_Data'!$B$6:$B$797,"&gt;="&amp;J25,'Monthly_Data'!$B$6:$B$797,"&lt;="&amp;K25,'Monthly_Data'!$C$6:$C$797,D25,'Monthly_Data'!$D$6:$D$797,C25,'Monthly_Data'!$I$6:$I$797,1)</x:f>
        <x:v>9</x:v>
      </x:c>
      <x:c r="O25" s="17" t="n">
        <x:f>IF(M25&gt;0,L25/M25,"n.a.")</x:f>
        <x:v>27.663140383978337</x:v>
      </x:c>
      <x:c r="P25" s="2" t="n">
        <x:f>COUNTIFS($A$6:$A$125,A25)</x:f>
        <x:v>1</x:v>
      </x:c>
      <x:c r="Q25" s="2"/>
      <x:c r="R25" s="2"/>
      <x:c r="S25" s="2"/>
    </x:row>
    <x:row r="26" ht="23" customHeight="1">
      <x:c r="A26" s="2" t="str">
        <x:v>FY2025|Bangladesh|62044300</x:v>
      </x:c>
      <x:c r="B26" s="2" t="str">
        <x:v>FY2025</x:v>
      </x:c>
      <x:c r="C26" s="2" t="str">
        <x:v>Bangladesh</x:v>
      </x:c>
      <x:c r="D26" s="2" t="str">
        <x:v>62044300</x:v>
      </x:c>
      <x:c r="E26" s="16" t="n">
        <x:v>12960863</x:v>
      </x:c>
      <x:c r="F26" s="16" t="n">
        <x:v>788304</x:v>
      </x:c>
      <x:c r="G26" s="2" t="n">
        <x:v>12</x:v>
      </x:c>
      <x:c r="H26" s="2" t="n">
        <x:v>0</x:v>
      </x:c>
      <x:c r="I26" s="17" t="n">
        <x:v>16.44145278978668</x:v>
      </x:c>
      <x:c r="J26" s="2" t="n">
        <x:v>202501</x:v>
      </x:c>
      <x:c r="K26" s="2" t="n">
        <x:v>202512</x:v>
      </x:c>
      <x:c r="L26" s="16" t="n">
        <x:f>SUMIFS('Monthly_Data'!$E$6:$E$797,'Monthly_Data'!$B$6:$B$797,"&gt;="&amp;J26,'Monthly_Data'!$B$6:$B$797,"&lt;="&amp;K26,'Monthly_Data'!$C$6:$C$797,D26,'Monthly_Data'!$D$6:$D$797,C26,'Monthly_Data'!$I$6:$I$797,1)</x:f>
        <x:v>12960863</x:v>
      </x:c>
      <x:c r="M26" s="16" t="n">
        <x:f>SUMIFS('Monthly_Data'!$F$6:$F$797,'Monthly_Data'!$B$6:$B$797,"&gt;="&amp;J26,'Monthly_Data'!$B$6:$B$797,"&lt;="&amp;K26,'Monthly_Data'!$C$6:$C$797,D26,'Monthly_Data'!$D$6:$D$797,C26,'Monthly_Data'!$I$6:$I$797,1)</x:f>
        <x:v>788304</x:v>
      </x:c>
      <x:c r="N26" s="2" t="n">
        <x:f>COUNTIFS('Monthly_Data'!$B$6:$B$797,"&gt;="&amp;J26,'Monthly_Data'!$B$6:$B$797,"&lt;="&amp;K26,'Monthly_Data'!$C$6:$C$797,D26,'Monthly_Data'!$D$6:$D$797,C26,'Monthly_Data'!$I$6:$I$797,1)</x:f>
        <x:v>12</x:v>
      </x:c>
      <x:c r="O26" s="17" t="n">
        <x:f>IF(M26&gt;0,L26/M26,"n.a.")</x:f>
        <x:v>16.44145278978668</x:v>
      </x:c>
      <x:c r="P26" s="2" t="n">
        <x:f>COUNTIFS($A$6:$A$125,A26)</x:f>
        <x:v>1</x:v>
      </x:c>
      <x:c r="Q26" s="2"/>
      <x:c r="R26" s="2"/>
      <x:c r="S26" s="2"/>
    </x:row>
    <x:row r="27" ht="23" customHeight="1">
      <x:c r="A27" s="2" t="str">
        <x:v>FY2025|Cambodia|62044300</x:v>
      </x:c>
      <x:c r="B27" s="2" t="str">
        <x:v>FY2025</x:v>
      </x:c>
      <x:c r="C27" s="2" t="str">
        <x:v>Cambodia</x:v>
      </x:c>
      <x:c r="D27" s="2" t="str">
        <x:v>62044300</x:v>
      </x:c>
      <x:c r="E27" s="16" t="n">
        <x:v>3551535</x:v>
      </x:c>
      <x:c r="F27" s="16" t="n">
        <x:v>193821</x:v>
      </x:c>
      <x:c r="G27" s="2" t="n">
        <x:v>12</x:v>
      </x:c>
      <x:c r="H27" s="2" t="n">
        <x:v>0</x:v>
      </x:c>
      <x:c r="I27" s="17" t="n">
        <x:v>18.32378844397666</x:v>
      </x:c>
      <x:c r="J27" s="2" t="n">
        <x:v>202501</x:v>
      </x:c>
      <x:c r="K27" s="2" t="n">
        <x:v>202512</x:v>
      </x:c>
      <x:c r="L27" s="16" t="n">
        <x:f>SUMIFS('Monthly_Data'!$E$6:$E$797,'Monthly_Data'!$B$6:$B$797,"&gt;="&amp;J27,'Monthly_Data'!$B$6:$B$797,"&lt;="&amp;K27,'Monthly_Data'!$C$6:$C$797,D27,'Monthly_Data'!$D$6:$D$797,C27,'Monthly_Data'!$I$6:$I$797,1)</x:f>
        <x:v>3551535</x:v>
      </x:c>
      <x:c r="M27" s="16" t="n">
        <x:f>SUMIFS('Monthly_Data'!$F$6:$F$797,'Monthly_Data'!$B$6:$B$797,"&gt;="&amp;J27,'Monthly_Data'!$B$6:$B$797,"&lt;="&amp;K27,'Monthly_Data'!$C$6:$C$797,D27,'Monthly_Data'!$D$6:$D$797,C27,'Monthly_Data'!$I$6:$I$797,1)</x:f>
        <x:v>193821</x:v>
      </x:c>
      <x:c r="N27" s="2" t="n">
        <x:f>COUNTIFS('Monthly_Data'!$B$6:$B$797,"&gt;="&amp;J27,'Monthly_Data'!$B$6:$B$797,"&lt;="&amp;K27,'Monthly_Data'!$C$6:$C$797,D27,'Monthly_Data'!$D$6:$D$797,C27,'Monthly_Data'!$I$6:$I$797,1)</x:f>
        <x:v>12</x:v>
      </x:c>
      <x:c r="O27" s="17" t="n">
        <x:f>IF(M27&gt;0,L27/M27,"n.a.")</x:f>
        <x:v>18.32378844397666</x:v>
      </x:c>
      <x:c r="P27" s="2" t="n">
        <x:f>COUNTIFS($A$6:$A$125,A27)</x:f>
        <x:v>1</x:v>
      </x:c>
      <x:c r="Q27" s="2"/>
      <x:c r="R27" s="2"/>
      <x:c r="S27" s="2"/>
    </x:row>
    <x:row r="28" ht="23" customHeight="1">
      <x:c r="A28" s="2" t="str">
        <x:v>FY2025|China|62044300</x:v>
      </x:c>
      <x:c r="B28" s="2" t="str">
        <x:v>FY2025</x:v>
      </x:c>
      <x:c r="C28" s="2" t="str">
        <x:v>China</x:v>
      </x:c>
      <x:c r="D28" s="2" t="str">
        <x:v>62044300</x:v>
      </x:c>
      <x:c r="E28" s="16" t="n">
        <x:v>102164136</x:v>
      </x:c>
      <x:c r="F28" s="16" t="n">
        <x:v>3777711</x:v>
      </x:c>
      <x:c r="G28" s="2" t="n">
        <x:v>12</x:v>
      </x:c>
      <x:c r="H28" s="2" t="n">
        <x:v>0</x:v>
      </x:c>
      <x:c r="I28" s="17" t="n">
        <x:v>27.04392580586498</x:v>
      </x:c>
      <x:c r="J28" s="2" t="n">
        <x:v>202501</x:v>
      </x:c>
      <x:c r="K28" s="2" t="n">
        <x:v>202512</x:v>
      </x:c>
      <x:c r="L28" s="16" t="n">
        <x:f>SUMIFS('Monthly_Data'!$E$6:$E$797,'Monthly_Data'!$B$6:$B$797,"&gt;="&amp;J28,'Monthly_Data'!$B$6:$B$797,"&lt;="&amp;K28,'Monthly_Data'!$C$6:$C$797,D28,'Monthly_Data'!$D$6:$D$797,C28,'Monthly_Data'!$I$6:$I$797,1)</x:f>
        <x:v>102164136</x:v>
      </x:c>
      <x:c r="M28" s="16" t="n">
        <x:f>SUMIFS('Monthly_Data'!$F$6:$F$797,'Monthly_Data'!$B$6:$B$797,"&gt;="&amp;J28,'Monthly_Data'!$B$6:$B$797,"&lt;="&amp;K28,'Monthly_Data'!$C$6:$C$797,D28,'Monthly_Data'!$D$6:$D$797,C28,'Monthly_Data'!$I$6:$I$797,1)</x:f>
        <x:v>3777711</x:v>
      </x:c>
      <x:c r="N28" s="2" t="n">
        <x:f>COUNTIFS('Monthly_Data'!$B$6:$B$797,"&gt;="&amp;J28,'Monthly_Data'!$B$6:$B$797,"&lt;="&amp;K28,'Monthly_Data'!$C$6:$C$797,D28,'Monthly_Data'!$D$6:$D$797,C28,'Monthly_Data'!$I$6:$I$797,1)</x:f>
        <x:v>12</x:v>
      </x:c>
      <x:c r="O28" s="17" t="n">
        <x:f>IF(M28&gt;0,L28/M28,"n.a.")</x:f>
        <x:v>27.04392580586498</x:v>
      </x:c>
      <x:c r="P28" s="2" t="n">
        <x:f>COUNTIFS($A$6:$A$125,A28)</x:f>
        <x:v>1</x:v>
      </x:c>
      <x:c r="Q28" s="2"/>
      <x:c r="R28" s="2"/>
      <x:c r="S28" s="2"/>
    </x:row>
    <x:row r="29" ht="23" customHeight="1">
      <x:c r="A29" s="2" t="str">
        <x:v>FY2025|India|62044300</x:v>
      </x:c>
      <x:c r="B29" s="2" t="str">
        <x:v>FY2025</x:v>
      </x:c>
      <x:c r="C29" s="2" t="str">
        <x:v>India</x:v>
      </x:c>
      <x:c r="D29" s="2" t="str">
        <x:v>62044300</x:v>
      </x:c>
      <x:c r="E29" s="16" t="n">
        <x:v>35008468</x:v>
      </x:c>
      <x:c r="F29" s="16" t="n">
        <x:v>1191708</x:v>
      </x:c>
      <x:c r="G29" s="2" t="n">
        <x:v>12</x:v>
      </x:c>
      <x:c r="H29" s="2" t="n">
        <x:v>0</x:v>
      </x:c>
      <x:c r="I29" s="17" t="n">
        <x:v>29.376716443961104</x:v>
      </x:c>
      <x:c r="J29" s="2" t="n">
        <x:v>202501</x:v>
      </x:c>
      <x:c r="K29" s="2" t="n">
        <x:v>202512</x:v>
      </x:c>
      <x:c r="L29" s="16" t="n">
        <x:f>SUMIFS('Monthly_Data'!$E$6:$E$797,'Monthly_Data'!$B$6:$B$797,"&gt;="&amp;J29,'Monthly_Data'!$B$6:$B$797,"&lt;="&amp;K29,'Monthly_Data'!$C$6:$C$797,D29,'Monthly_Data'!$D$6:$D$797,C29,'Monthly_Data'!$I$6:$I$797,1)</x:f>
        <x:v>35008468</x:v>
      </x:c>
      <x:c r="M29" s="16" t="n">
        <x:f>SUMIFS('Monthly_Data'!$F$6:$F$797,'Monthly_Data'!$B$6:$B$797,"&gt;="&amp;J29,'Monthly_Data'!$B$6:$B$797,"&lt;="&amp;K29,'Monthly_Data'!$C$6:$C$797,D29,'Monthly_Data'!$D$6:$D$797,C29,'Monthly_Data'!$I$6:$I$797,1)</x:f>
        <x:v>1191708</x:v>
      </x:c>
      <x:c r="N29" s="2" t="n">
        <x:f>COUNTIFS('Monthly_Data'!$B$6:$B$797,"&gt;="&amp;J29,'Monthly_Data'!$B$6:$B$797,"&lt;="&amp;K29,'Monthly_Data'!$C$6:$C$797,D29,'Monthly_Data'!$D$6:$D$797,C29,'Monthly_Data'!$I$6:$I$797,1)</x:f>
        <x:v>12</x:v>
      </x:c>
      <x:c r="O29" s="17" t="n">
        <x:f>IF(M29&gt;0,L29/M29,"n.a.")</x:f>
        <x:v>29.376716443961104</x:v>
      </x:c>
      <x:c r="P29" s="2" t="n">
        <x:f>COUNTIFS($A$6:$A$125,A29)</x:f>
        <x:v>1</x:v>
      </x:c>
      <x:c r="Q29" s="2"/>
      <x:c r="R29" s="2"/>
      <x:c r="S29" s="2"/>
    </x:row>
    <x:row r="30" ht="23" customHeight="1">
      <x:c r="A30" s="2" t="str">
        <x:v>FY2025|Morocco|62044300</x:v>
      </x:c>
      <x:c r="B30" s="2" t="str">
        <x:v>FY2025</x:v>
      </x:c>
      <x:c r="C30" s="2" t="str">
        <x:v>Morocco</x:v>
      </x:c>
      <x:c r="D30" s="2" t="str">
        <x:v>62044300</x:v>
      </x:c>
      <x:c r="E30" s="16" t="n">
        <x:v>10494510</x:v>
      </x:c>
      <x:c r="F30" s="16" t="n">
        <x:v>483259</x:v>
      </x:c>
      <x:c r="G30" s="2" t="n">
        <x:v>12</x:v>
      </x:c>
      <x:c r="H30" s="2" t="n">
        <x:v>0</x:v>
      </x:c>
      <x:c r="I30" s="17" t="n">
        <x:v>21.716119099696023</x:v>
      </x:c>
      <x:c r="J30" s="2" t="n">
        <x:v>202501</x:v>
      </x:c>
      <x:c r="K30" s="2" t="n">
        <x:v>202512</x:v>
      </x:c>
      <x:c r="L30" s="16" t="n">
        <x:f>SUMIFS('Monthly_Data'!$E$6:$E$797,'Monthly_Data'!$B$6:$B$797,"&gt;="&amp;J30,'Monthly_Data'!$B$6:$B$797,"&lt;="&amp;K30,'Monthly_Data'!$C$6:$C$797,D30,'Monthly_Data'!$D$6:$D$797,C30,'Monthly_Data'!$I$6:$I$797,1)</x:f>
        <x:v>10494510</x:v>
      </x:c>
      <x:c r="M30" s="16" t="n">
        <x:f>SUMIFS('Monthly_Data'!$F$6:$F$797,'Monthly_Data'!$B$6:$B$797,"&gt;="&amp;J30,'Monthly_Data'!$B$6:$B$797,"&lt;="&amp;K30,'Monthly_Data'!$C$6:$C$797,D30,'Monthly_Data'!$D$6:$D$797,C30,'Monthly_Data'!$I$6:$I$797,1)</x:f>
        <x:v>483259</x:v>
      </x:c>
      <x:c r="N30" s="2" t="n">
        <x:f>COUNTIFS('Monthly_Data'!$B$6:$B$797,"&gt;="&amp;J30,'Monthly_Data'!$B$6:$B$797,"&lt;="&amp;K30,'Monthly_Data'!$C$6:$C$797,D30,'Monthly_Data'!$D$6:$D$797,C30,'Monthly_Data'!$I$6:$I$797,1)</x:f>
        <x:v>12</x:v>
      </x:c>
      <x:c r="O30" s="17" t="n">
        <x:f>IF(M30&gt;0,L30/M30,"n.a.")</x:f>
        <x:v>21.716119099696023</x:v>
      </x:c>
      <x:c r="P30" s="2" t="n">
        <x:f>COUNTIFS($A$6:$A$125,A30)</x:f>
        <x:v>1</x:v>
      </x:c>
      <x:c r="Q30" s="2"/>
      <x:c r="R30" s="2"/>
      <x:c r="S30" s="2"/>
    </x:row>
    <x:row r="31" ht="23" customHeight="1">
      <x:c r="A31" s="2" t="str">
        <x:v>FY2025|Myanmar|62044300</x:v>
      </x:c>
      <x:c r="B31" s="2" t="str">
        <x:v>FY2025</x:v>
      </x:c>
      <x:c r="C31" s="2" t="str">
        <x:v>Myanmar</x:v>
      </x:c>
      <x:c r="D31" s="2" t="str">
        <x:v>62044300</x:v>
      </x:c>
      <x:c r="E31" s="16" t="n">
        <x:v>6104751</x:v>
      </x:c>
      <x:c r="F31" s="16" t="n">
        <x:v>138284</x:v>
      </x:c>
      <x:c r="G31" s="2" t="n">
        <x:v>12</x:v>
      </x:c>
      <x:c r="H31" s="2" t="n">
        <x:v>0</x:v>
      </x:c>
      <x:c r="I31" s="17" t="n">
        <x:v>44.14647392323045</x:v>
      </x:c>
      <x:c r="J31" s="2" t="n">
        <x:v>202501</x:v>
      </x:c>
      <x:c r="K31" s="2" t="n">
        <x:v>202512</x:v>
      </x:c>
      <x:c r="L31" s="16" t="n">
        <x:f>SUMIFS('Monthly_Data'!$E$6:$E$797,'Monthly_Data'!$B$6:$B$797,"&gt;="&amp;J31,'Monthly_Data'!$B$6:$B$797,"&lt;="&amp;K31,'Monthly_Data'!$C$6:$C$797,D31,'Monthly_Data'!$D$6:$D$797,C31,'Monthly_Data'!$I$6:$I$797,1)</x:f>
        <x:v>6104751</x:v>
      </x:c>
      <x:c r="M31" s="16" t="n">
        <x:f>SUMIFS('Monthly_Data'!$F$6:$F$797,'Monthly_Data'!$B$6:$B$797,"&gt;="&amp;J31,'Monthly_Data'!$B$6:$B$797,"&lt;="&amp;K31,'Monthly_Data'!$C$6:$C$797,D31,'Monthly_Data'!$D$6:$D$797,C31,'Monthly_Data'!$I$6:$I$797,1)</x:f>
        <x:v>138284</x:v>
      </x:c>
      <x:c r="N31" s="2" t="n">
        <x:f>COUNTIFS('Monthly_Data'!$B$6:$B$797,"&gt;="&amp;J31,'Monthly_Data'!$B$6:$B$797,"&lt;="&amp;K31,'Monthly_Data'!$C$6:$C$797,D31,'Monthly_Data'!$D$6:$D$797,C31,'Monthly_Data'!$I$6:$I$797,1)</x:f>
        <x:v>12</x:v>
      </x:c>
      <x:c r="O31" s="17" t="n">
        <x:f>IF(M31&gt;0,L31/M31,"n.a.")</x:f>
        <x:v>44.14647392323045</x:v>
      </x:c>
      <x:c r="P31" s="2" t="n">
        <x:f>COUNTIFS($A$6:$A$125,A31)</x:f>
        <x:v>1</x:v>
      </x:c>
      <x:c r="Q31" s="2"/>
      <x:c r="R31" s="2"/>
      <x:c r="S31" s="2"/>
    </x:row>
    <x:row r="32" ht="23" customHeight="1">
      <x:c r="A32" s="2" t="str">
        <x:v>FY2025|Pakistan|62044300</x:v>
      </x:c>
      <x:c r="B32" s="2" t="str">
        <x:v>FY2025</x:v>
      </x:c>
      <x:c r="C32" s="2" t="str">
        <x:v>Pakistan</x:v>
      </x:c>
      <x:c r="D32" s="2" t="str">
        <x:v>62044300</x:v>
      </x:c>
      <x:c r="E32" s="16" t="n">
        <x:v>1574667</x:v>
      </x:c>
      <x:c r="F32" s="16" t="n">
        <x:v>78305</x:v>
      </x:c>
      <x:c r="G32" s="2" t="n">
        <x:v>12</x:v>
      </x:c>
      <x:c r="H32" s="2" t="n">
        <x:v>0</x:v>
      </x:c>
      <x:c r="I32" s="17" t="n">
        <x:v>20.109405529659664</x:v>
      </x:c>
      <x:c r="J32" s="2" t="n">
        <x:v>202501</x:v>
      </x:c>
      <x:c r="K32" s="2" t="n">
        <x:v>202512</x:v>
      </x:c>
      <x:c r="L32" s="16" t="n">
        <x:f>SUMIFS('Monthly_Data'!$E$6:$E$797,'Monthly_Data'!$B$6:$B$797,"&gt;="&amp;J32,'Monthly_Data'!$B$6:$B$797,"&lt;="&amp;K32,'Monthly_Data'!$C$6:$C$797,D32,'Monthly_Data'!$D$6:$D$797,C32,'Monthly_Data'!$I$6:$I$797,1)</x:f>
        <x:v>1574667</x:v>
      </x:c>
      <x:c r="M32" s="16" t="n">
        <x:f>SUMIFS('Monthly_Data'!$F$6:$F$797,'Monthly_Data'!$B$6:$B$797,"&gt;="&amp;J32,'Monthly_Data'!$B$6:$B$797,"&lt;="&amp;K32,'Monthly_Data'!$C$6:$C$797,D32,'Monthly_Data'!$D$6:$D$797,C32,'Monthly_Data'!$I$6:$I$797,1)</x:f>
        <x:v>78305</x:v>
      </x:c>
      <x:c r="N32" s="2" t="n">
        <x:f>COUNTIFS('Monthly_Data'!$B$6:$B$797,"&gt;="&amp;J32,'Monthly_Data'!$B$6:$B$797,"&lt;="&amp;K32,'Monthly_Data'!$C$6:$C$797,D32,'Monthly_Data'!$D$6:$D$797,C32,'Monthly_Data'!$I$6:$I$797,1)</x:f>
        <x:v>12</x:v>
      </x:c>
      <x:c r="O32" s="17" t="n">
        <x:f>IF(M32&gt;0,L32/M32,"n.a.")</x:f>
        <x:v>20.109405529659664</x:v>
      </x:c>
      <x:c r="P32" s="2" t="n">
        <x:f>COUNTIFS($A$6:$A$125,A32)</x:f>
        <x:v>1</x:v>
      </x:c>
      <x:c r="Q32" s="2"/>
      <x:c r="R32" s="2"/>
      <x:c r="S32" s="2"/>
    </x:row>
    <x:row r="33" ht="23" customHeight="1">
      <x:c r="A33" s="2" t="str">
        <x:v>FY2025|Sri Lanka|62044300</x:v>
      </x:c>
      <x:c r="B33" s="2" t="str">
        <x:v>FY2025</x:v>
      </x:c>
      <x:c r="C33" s="2" t="str">
        <x:v>Sri Lanka</x:v>
      </x:c>
      <x:c r="D33" s="2" t="str">
        <x:v>62044300</x:v>
      </x:c>
      <x:c r="E33" s="16" t="n">
        <x:v>12589106</x:v>
      </x:c>
      <x:c r="F33" s="16" t="n">
        <x:v>683522</x:v>
      </x:c>
      <x:c r="G33" s="2" t="n">
        <x:v>12</x:v>
      </x:c>
      <x:c r="H33" s="2" t="n">
        <x:v>0</x:v>
      </x:c>
      <x:c r="I33" s="17" t="n">
        <x:v>18.417996787228503</x:v>
      </x:c>
      <x:c r="J33" s="2" t="n">
        <x:v>202501</x:v>
      </x:c>
      <x:c r="K33" s="2" t="n">
        <x:v>202512</x:v>
      </x:c>
      <x:c r="L33" s="16" t="n">
        <x:f>SUMIFS('Monthly_Data'!$E$6:$E$797,'Monthly_Data'!$B$6:$B$797,"&gt;="&amp;J33,'Monthly_Data'!$B$6:$B$797,"&lt;="&amp;K33,'Monthly_Data'!$C$6:$C$797,D33,'Monthly_Data'!$D$6:$D$797,C33,'Monthly_Data'!$I$6:$I$797,1)</x:f>
        <x:v>12589106</x:v>
      </x:c>
      <x:c r="M33" s="16" t="n">
        <x:f>SUMIFS('Monthly_Data'!$F$6:$F$797,'Monthly_Data'!$B$6:$B$797,"&gt;="&amp;J33,'Monthly_Data'!$B$6:$B$797,"&lt;="&amp;K33,'Monthly_Data'!$C$6:$C$797,D33,'Monthly_Data'!$D$6:$D$797,C33,'Monthly_Data'!$I$6:$I$797,1)</x:f>
        <x:v>683522</x:v>
      </x:c>
      <x:c r="N33" s="2" t="n">
        <x:f>COUNTIFS('Monthly_Data'!$B$6:$B$797,"&gt;="&amp;J33,'Monthly_Data'!$B$6:$B$797,"&lt;="&amp;K33,'Monthly_Data'!$C$6:$C$797,D33,'Monthly_Data'!$D$6:$D$797,C33,'Monthly_Data'!$I$6:$I$797,1)</x:f>
        <x:v>12</x:v>
      </x:c>
      <x:c r="O33" s="17" t="n">
        <x:f>IF(M33&gt;0,L33/M33,"n.a.")</x:f>
        <x:v>18.417996787228503</x:v>
      </x:c>
      <x:c r="P33" s="2" t="n">
        <x:f>COUNTIFS($A$6:$A$125,A33)</x:f>
        <x:v>1</x:v>
      </x:c>
      <x:c r="Q33" s="2"/>
      <x:c r="R33" s="2"/>
      <x:c r="S33" s="2"/>
    </x:row>
    <x:row r="34" ht="23" customHeight="1">
      <x:c r="A34" s="2" t="str">
        <x:v>FY2025|Turkey|62044300</x:v>
      </x:c>
      <x:c r="B34" s="2" t="str">
        <x:v>FY2025</x:v>
      </x:c>
      <x:c r="C34" s="2" t="str">
        <x:v>Turkey</x:v>
      </x:c>
      <x:c r="D34" s="2" t="str">
        <x:v>62044300</x:v>
      </x:c>
      <x:c r="E34" s="16" t="n">
        <x:v>9800274</x:v>
      </x:c>
      <x:c r="F34" s="16" t="n">
        <x:v>268083</x:v>
      </x:c>
      <x:c r="G34" s="2" t="n">
        <x:v>12</x:v>
      </x:c>
      <x:c r="H34" s="2" t="n">
        <x:v>0</x:v>
      </x:c>
      <x:c r="I34" s="17" t="n">
        <x:v>36.556864851557165</x:v>
      </x:c>
      <x:c r="J34" s="2" t="n">
        <x:v>202501</x:v>
      </x:c>
      <x:c r="K34" s="2" t="n">
        <x:v>202512</x:v>
      </x:c>
      <x:c r="L34" s="16" t="n">
        <x:f>SUMIFS('Monthly_Data'!$E$6:$E$797,'Monthly_Data'!$B$6:$B$797,"&gt;="&amp;J34,'Monthly_Data'!$B$6:$B$797,"&lt;="&amp;K34,'Monthly_Data'!$C$6:$C$797,D34,'Monthly_Data'!$D$6:$D$797,C34,'Monthly_Data'!$I$6:$I$797,1)</x:f>
        <x:v>9800274</x:v>
      </x:c>
      <x:c r="M34" s="16" t="n">
        <x:f>SUMIFS('Monthly_Data'!$F$6:$F$797,'Monthly_Data'!$B$6:$B$797,"&gt;="&amp;J34,'Monthly_Data'!$B$6:$B$797,"&lt;="&amp;K34,'Monthly_Data'!$C$6:$C$797,D34,'Monthly_Data'!$D$6:$D$797,C34,'Monthly_Data'!$I$6:$I$797,1)</x:f>
        <x:v>268083</x:v>
      </x:c>
      <x:c r="N34" s="2" t="n">
        <x:f>COUNTIFS('Monthly_Data'!$B$6:$B$797,"&gt;="&amp;J34,'Monthly_Data'!$B$6:$B$797,"&lt;="&amp;K34,'Monthly_Data'!$C$6:$C$797,D34,'Monthly_Data'!$D$6:$D$797,C34,'Monthly_Data'!$I$6:$I$797,1)</x:f>
        <x:v>12</x:v>
      </x:c>
      <x:c r="O34" s="17" t="n">
        <x:f>IF(M34&gt;0,L34/M34,"n.a.")</x:f>
        <x:v>36.556864851557165</x:v>
      </x:c>
      <x:c r="P34" s="2" t="n">
        <x:f>COUNTIFS($A$6:$A$125,A34)</x:f>
        <x:v>1</x:v>
      </x:c>
      <x:c r="Q34" s="2"/>
      <x:c r="R34" s="2"/>
      <x:c r="S34" s="2"/>
    </x:row>
    <x:row r="35" ht="23" customHeight="1">
      <x:c r="A35" s="2" t="str">
        <x:v>FY2025|Vietnam|62044300</x:v>
      </x:c>
      <x:c r="B35" s="2" t="str">
        <x:v>FY2025</x:v>
      </x:c>
      <x:c r="C35" s="2" t="str">
        <x:v>Vietnam</x:v>
      </x:c>
      <x:c r="D35" s="2" t="str">
        <x:v>62044300</x:v>
      </x:c>
      <x:c r="E35" s="16" t="n">
        <x:v>6910466</x:v>
      </x:c>
      <x:c r="F35" s="16" t="n">
        <x:v>275082</x:v>
      </x:c>
      <x:c r="G35" s="2" t="n">
        <x:v>12</x:v>
      </x:c>
      <x:c r="H35" s="2" t="n">
        <x:v>0</x:v>
      </x:c>
      <x:c r="I35" s="17" t="n">
        <x:v>25.121476505187545</x:v>
      </x:c>
      <x:c r="J35" s="2" t="n">
        <x:v>202501</x:v>
      </x:c>
      <x:c r="K35" s="2" t="n">
        <x:v>202512</x:v>
      </x:c>
      <x:c r="L35" s="16" t="n">
        <x:f>SUMIFS('Monthly_Data'!$E$6:$E$797,'Monthly_Data'!$B$6:$B$797,"&gt;="&amp;J35,'Monthly_Data'!$B$6:$B$797,"&lt;="&amp;K35,'Monthly_Data'!$C$6:$C$797,D35,'Monthly_Data'!$D$6:$D$797,C35,'Monthly_Data'!$I$6:$I$797,1)</x:f>
        <x:v>6910466</x:v>
      </x:c>
      <x:c r="M35" s="16" t="n">
        <x:f>SUMIFS('Monthly_Data'!$F$6:$F$797,'Monthly_Data'!$B$6:$B$797,"&gt;="&amp;J35,'Monthly_Data'!$B$6:$B$797,"&lt;="&amp;K35,'Monthly_Data'!$C$6:$C$797,D35,'Monthly_Data'!$D$6:$D$797,C35,'Monthly_Data'!$I$6:$I$797,1)</x:f>
        <x:v>275082</x:v>
      </x:c>
      <x:c r="N35" s="2" t="n">
        <x:f>COUNTIFS('Monthly_Data'!$B$6:$B$797,"&gt;="&amp;J35,'Monthly_Data'!$B$6:$B$797,"&lt;="&amp;K35,'Monthly_Data'!$C$6:$C$797,D35,'Monthly_Data'!$D$6:$D$797,C35,'Monthly_Data'!$I$6:$I$797,1)</x:f>
        <x:v>12</x:v>
      </x:c>
      <x:c r="O35" s="17" t="n">
        <x:f>IF(M35&gt;0,L35/M35,"n.a.")</x:f>
        <x:v>25.121476505187545</x:v>
      </x:c>
      <x:c r="P35" s="2" t="n">
        <x:f>COUNTIFS($A$6:$A$125,A35)</x:f>
        <x:v>1</x:v>
      </x:c>
      <x:c r="Q35" s="2"/>
      <x:c r="R35" s="2"/>
      <x:c r="S35" s="2"/>
    </x:row>
    <x:row r="36" ht="23" customHeight="1">
      <x:c r="A36" s="2" t="str">
        <x:v>FY2025|Bangladesh|62052000</x:v>
      </x:c>
      <x:c r="B36" s="2" t="str">
        <x:v>FY2025</x:v>
      </x:c>
      <x:c r="C36" s="2" t="str">
        <x:v>Bangladesh</x:v>
      </x:c>
      <x:c r="D36" s="2" t="str">
        <x:v>62052000</x:v>
      </x:c>
      <x:c r="E36" s="16" t="n">
        <x:v>81131664</x:v>
      </x:c>
      <x:c r="F36" s="16" t="n">
        <x:v>4630717</x:v>
      </x:c>
      <x:c r="G36" s="2" t="n">
        <x:v>12</x:v>
      </x:c>
      <x:c r="H36" s="2" t="n">
        <x:v>0</x:v>
      </x:c>
      <x:c r="I36" s="17" t="n">
        <x:v>17.520324390369787</x:v>
      </x:c>
      <x:c r="J36" s="2" t="n">
        <x:v>202501</x:v>
      </x:c>
      <x:c r="K36" s="2" t="n">
        <x:v>202512</x:v>
      </x:c>
      <x:c r="L36" s="16" t="n">
        <x:f>SUMIFS('Monthly_Data'!$E$6:$E$797,'Monthly_Data'!$B$6:$B$797,"&gt;="&amp;J36,'Monthly_Data'!$B$6:$B$797,"&lt;="&amp;K36,'Monthly_Data'!$C$6:$C$797,D36,'Monthly_Data'!$D$6:$D$797,C36,'Monthly_Data'!$I$6:$I$797,1)</x:f>
        <x:v>66656906</x:v>
      </x:c>
      <x:c r="M36" s="16" t="n">
        <x:f>SUMIFS('Monthly_Data'!$F$6:$F$797,'Monthly_Data'!$B$6:$B$797,"&gt;="&amp;J36,'Monthly_Data'!$B$6:$B$797,"&lt;="&amp;K36,'Monthly_Data'!$C$6:$C$797,D36,'Monthly_Data'!$D$6:$D$797,C36,'Monthly_Data'!$I$6:$I$797,1)</x:f>
        <x:v>3753275</x:v>
      </x:c>
      <x:c r="N36" s="2" t="n">
        <x:f>COUNTIFS('Monthly_Data'!$B$6:$B$797,"&gt;="&amp;J36,'Monthly_Data'!$B$6:$B$797,"&lt;="&amp;K36,'Monthly_Data'!$C$6:$C$797,D36,'Monthly_Data'!$D$6:$D$797,C36,'Monthly_Data'!$I$6:$I$797,1)</x:f>
        <x:v>10</x:v>
      </x:c>
      <x:c r="O36" s="17" t="n">
        <x:f>IF(M36&gt;0,L36/M36,"n.a.")</x:f>
        <x:v>17.759664826051914</x:v>
      </x:c>
      <x:c r="P36" s="2" t="n">
        <x:f>COUNTIFS($A$6:$A$125,A36)</x:f>
        <x:v>1</x:v>
      </x:c>
      <x:c r="Q36" s="2"/>
      <x:c r="R36" s="2"/>
      <x:c r="S36" s="2"/>
    </x:row>
    <x:row r="37" ht="23" customHeight="1">
      <x:c r="A37" s="2" t="str">
        <x:v>FY2025|Cambodia|62052000</x:v>
      </x:c>
      <x:c r="B37" s="2" t="str">
        <x:v>FY2025</x:v>
      </x:c>
      <x:c r="C37" s="2" t="str">
        <x:v>Cambodia</x:v>
      </x:c>
      <x:c r="D37" s="2" t="str">
        <x:v>62052000</x:v>
      </x:c>
      <x:c r="E37" s="16" t="n">
        <x:v>15422184</x:v>
      </x:c>
      <x:c r="F37" s="16" t="n">
        <x:v>674204</x:v>
      </x:c>
      <x:c r="G37" s="2" t="n">
        <x:v>12</x:v>
      </x:c>
      <x:c r="H37" s="2" t="n">
        <x:v>0</x:v>
      </x:c>
      <x:c r="I37" s="17" t="n">
        <x:v>22.87465514888669</x:v>
      </x:c>
      <x:c r="J37" s="2" t="n">
        <x:v>202501</x:v>
      </x:c>
      <x:c r="K37" s="2" t="n">
        <x:v>202512</x:v>
      </x:c>
      <x:c r="L37" s="16" t="n">
        <x:f>SUMIFS('Monthly_Data'!$E$6:$E$797,'Monthly_Data'!$B$6:$B$797,"&gt;="&amp;J37,'Monthly_Data'!$B$6:$B$797,"&lt;="&amp;K37,'Monthly_Data'!$C$6:$C$797,D37,'Monthly_Data'!$D$6:$D$797,C37,'Monthly_Data'!$I$6:$I$797,1)</x:f>
        <x:v>12122244</x:v>
      </x:c>
      <x:c r="M37" s="16" t="n">
        <x:f>SUMIFS('Monthly_Data'!$F$6:$F$797,'Monthly_Data'!$B$6:$B$797,"&gt;="&amp;J37,'Monthly_Data'!$B$6:$B$797,"&lt;="&amp;K37,'Monthly_Data'!$C$6:$C$797,D37,'Monthly_Data'!$D$6:$D$797,C37,'Monthly_Data'!$I$6:$I$797,1)</x:f>
        <x:v>527979</x:v>
      </x:c>
      <x:c r="N37" s="2" t="n">
        <x:f>COUNTIFS('Monthly_Data'!$B$6:$B$797,"&gt;="&amp;J37,'Monthly_Data'!$B$6:$B$797,"&lt;="&amp;K37,'Monthly_Data'!$C$6:$C$797,D37,'Monthly_Data'!$D$6:$D$797,C37,'Monthly_Data'!$I$6:$I$797,1)</x:f>
        <x:v>10</x:v>
      </x:c>
      <x:c r="O37" s="17" t="n">
        <x:f>IF(M37&gt;0,L37/M37,"n.a.")</x:f>
        <x:v>22.959708624774848</x:v>
      </x:c>
      <x:c r="P37" s="2" t="n">
        <x:f>COUNTIFS($A$6:$A$125,A37)</x:f>
        <x:v>1</x:v>
      </x:c>
      <x:c r="Q37" s="2"/>
      <x:c r="R37" s="2"/>
      <x:c r="S37" s="2"/>
    </x:row>
    <x:row r="38" ht="23" customHeight="1">
      <x:c r="A38" s="2" t="str">
        <x:v>FY2025|China|62052000</x:v>
      </x:c>
      <x:c r="B38" s="2" t="str">
        <x:v>FY2025</x:v>
      </x:c>
      <x:c r="C38" s="2" t="str">
        <x:v>China</x:v>
      </x:c>
      <x:c r="D38" s="2" t="str">
        <x:v>62052000</x:v>
      </x:c>
      <x:c r="E38" s="16" t="n">
        <x:v>11991268</x:v>
      </x:c>
      <x:c r="F38" s="16" t="n">
        <x:v>584970</x:v>
      </x:c>
      <x:c r="G38" s="2" t="n">
        <x:v>12</x:v>
      </x:c>
      <x:c r="H38" s="2" t="n">
        <x:v>0</x:v>
      </x:c>
      <x:c r="I38" s="17" t="n">
        <x:v>20.498945245055303</x:v>
      </x:c>
      <x:c r="J38" s="2" t="n">
        <x:v>202501</x:v>
      </x:c>
      <x:c r="K38" s="2" t="n">
        <x:v>202512</x:v>
      </x:c>
      <x:c r="L38" s="16" t="n">
        <x:f>SUMIFS('Monthly_Data'!$E$6:$E$797,'Monthly_Data'!$B$6:$B$797,"&gt;="&amp;J38,'Monthly_Data'!$B$6:$B$797,"&lt;="&amp;K38,'Monthly_Data'!$C$6:$C$797,D38,'Monthly_Data'!$D$6:$D$797,C38,'Monthly_Data'!$I$6:$I$797,1)</x:f>
        <x:v>10627646</x:v>
      </x:c>
      <x:c r="M38" s="16" t="n">
        <x:f>SUMIFS('Monthly_Data'!$F$6:$F$797,'Monthly_Data'!$B$6:$B$797,"&gt;="&amp;J38,'Monthly_Data'!$B$6:$B$797,"&lt;="&amp;K38,'Monthly_Data'!$C$6:$C$797,D38,'Monthly_Data'!$D$6:$D$797,C38,'Monthly_Data'!$I$6:$I$797,1)</x:f>
        <x:v>513662</x:v>
      </x:c>
      <x:c r="N38" s="2" t="n">
        <x:f>COUNTIFS('Monthly_Data'!$B$6:$B$797,"&gt;="&amp;J38,'Monthly_Data'!$B$6:$B$797,"&lt;="&amp;K38,'Monthly_Data'!$C$6:$C$797,D38,'Monthly_Data'!$D$6:$D$797,C38,'Monthly_Data'!$I$6:$I$797,1)</x:f>
        <x:v>10</x:v>
      </x:c>
      <x:c r="O38" s="17" t="n">
        <x:f>IF(M38&gt;0,L38/M38,"n.a.")</x:f>
        <x:v>20.68995954538198</x:v>
      </x:c>
      <x:c r="P38" s="2" t="n">
        <x:f>COUNTIFS($A$6:$A$125,A38)</x:f>
        <x:v>1</x:v>
      </x:c>
      <x:c r="Q38" s="2"/>
      <x:c r="R38" s="2"/>
      <x:c r="S38" s="2"/>
    </x:row>
    <x:row r="39" ht="23" customHeight="1">
      <x:c r="A39" s="2" t="str">
        <x:v>FY2025|India|62052000</x:v>
      </x:c>
      <x:c r="B39" s="2" t="str">
        <x:v>FY2025</x:v>
      </x:c>
      <x:c r="C39" s="2" t="str">
        <x:v>India</x:v>
      </x:c>
      <x:c r="D39" s="2" t="str">
        <x:v>62052000</x:v>
      </x:c>
      <x:c r="E39" s="16" t="n">
        <x:v>30022861</x:v>
      </x:c>
      <x:c r="F39" s="16" t="n">
        <x:v>1414140</x:v>
      </x:c>
      <x:c r="G39" s="2" t="n">
        <x:v>12</x:v>
      </x:c>
      <x:c r="H39" s="2" t="n">
        <x:v>0</x:v>
      </x:c>
      <x:c r="I39" s="17" t="n">
        <x:v>21.230472937615794</x:v>
      </x:c>
      <x:c r="J39" s="2" t="n">
        <x:v>202501</x:v>
      </x:c>
      <x:c r="K39" s="2" t="n">
        <x:v>202512</x:v>
      </x:c>
      <x:c r="L39" s="16" t="n">
        <x:f>SUMIFS('Monthly_Data'!$E$6:$E$797,'Monthly_Data'!$B$6:$B$797,"&gt;="&amp;J39,'Monthly_Data'!$B$6:$B$797,"&lt;="&amp;K39,'Monthly_Data'!$C$6:$C$797,D39,'Monthly_Data'!$D$6:$D$797,C39,'Monthly_Data'!$I$6:$I$797,1)</x:f>
        <x:v>25905214</x:v>
      </x:c>
      <x:c r="M39" s="16" t="n">
        <x:f>SUMIFS('Monthly_Data'!$F$6:$F$797,'Monthly_Data'!$B$6:$B$797,"&gt;="&amp;J39,'Monthly_Data'!$B$6:$B$797,"&lt;="&amp;K39,'Monthly_Data'!$C$6:$C$797,D39,'Monthly_Data'!$D$6:$D$797,C39,'Monthly_Data'!$I$6:$I$797,1)</x:f>
        <x:v>1216571</x:v>
      </x:c>
      <x:c r="N39" s="2" t="n">
        <x:f>COUNTIFS('Monthly_Data'!$B$6:$B$797,"&gt;="&amp;J39,'Monthly_Data'!$B$6:$B$797,"&lt;="&amp;K39,'Monthly_Data'!$C$6:$C$797,D39,'Monthly_Data'!$D$6:$D$797,C39,'Monthly_Data'!$I$6:$I$797,1)</x:f>
        <x:v>10</x:v>
      </x:c>
      <x:c r="O39" s="17" t="n">
        <x:f>IF(M39&gt;0,L39/M39,"n.a.")</x:f>
        <x:v>21.293631033453863</x:v>
      </x:c>
      <x:c r="P39" s="2" t="n">
        <x:f>COUNTIFS($A$6:$A$125,A39)</x:f>
        <x:v>1</x:v>
      </x:c>
      <x:c r="Q39" s="2"/>
      <x:c r="R39" s="2"/>
      <x:c r="S39" s="2"/>
    </x:row>
    <x:row r="40" ht="23" customHeight="1">
      <x:c r="A40" s="2" t="str">
        <x:v>FY2025|Morocco|62052000</x:v>
      </x:c>
      <x:c r="B40" s="2" t="str">
        <x:v>FY2025</x:v>
      </x:c>
      <x:c r="C40" s="2" t="str">
        <x:v>Morocco</x:v>
      </x:c>
      <x:c r="D40" s="2" t="str">
        <x:v>62052000</x:v>
      </x:c>
      <x:c r="E40" s="16" t="n">
        <x:v>1395876</x:v>
      </x:c>
      <x:c r="F40" s="16" t="n">
        <x:v>33234</x:v>
      </x:c>
      <x:c r="G40" s="2" t="n">
        <x:v>12</x:v>
      </x:c>
      <x:c r="H40" s="2" t="n">
        <x:v>0</x:v>
      </x:c>
      <x:c r="I40" s="17" t="n">
        <x:v>42.001444304025995</x:v>
      </x:c>
      <x:c r="J40" s="2" t="n">
        <x:v>202501</x:v>
      </x:c>
      <x:c r="K40" s="2" t="n">
        <x:v>202512</x:v>
      </x:c>
      <x:c r="L40" s="16" t="n">
        <x:f>SUMIFS('Monthly_Data'!$E$6:$E$797,'Monthly_Data'!$B$6:$B$797,"&gt;="&amp;J40,'Monthly_Data'!$B$6:$B$797,"&lt;="&amp;K40,'Monthly_Data'!$C$6:$C$797,D40,'Monthly_Data'!$D$6:$D$797,C40,'Monthly_Data'!$I$6:$I$797,1)</x:f>
        <x:v>1209162</x:v>
      </x:c>
      <x:c r="M40" s="16" t="n">
        <x:f>SUMIFS('Monthly_Data'!$F$6:$F$797,'Monthly_Data'!$B$6:$B$797,"&gt;="&amp;J40,'Monthly_Data'!$B$6:$B$797,"&lt;="&amp;K40,'Monthly_Data'!$C$6:$C$797,D40,'Monthly_Data'!$D$6:$D$797,C40,'Monthly_Data'!$I$6:$I$797,1)</x:f>
        <x:v>28447</x:v>
      </x:c>
      <x:c r="N40" s="2" t="n">
        <x:f>COUNTIFS('Monthly_Data'!$B$6:$B$797,"&gt;="&amp;J40,'Monthly_Data'!$B$6:$B$797,"&lt;="&amp;K40,'Monthly_Data'!$C$6:$C$797,D40,'Monthly_Data'!$D$6:$D$797,C40,'Monthly_Data'!$I$6:$I$797,1)</x:f>
        <x:v>10</x:v>
      </x:c>
      <x:c r="O40" s="17" t="n">
        <x:f>IF(M40&gt;0,L40/M40,"n.a.")</x:f>
        <x:v>42.50578268358702</x:v>
      </x:c>
      <x:c r="P40" s="2" t="n">
        <x:f>COUNTIFS($A$6:$A$125,A40)</x:f>
        <x:v>1</x:v>
      </x:c>
      <x:c r="Q40" s="2"/>
      <x:c r="R40" s="2"/>
      <x:c r="S40" s="2"/>
    </x:row>
    <x:row r="41" ht="23" customHeight="1">
      <x:c r="A41" s="2" t="str">
        <x:v>FY2025|Myanmar|62052000</x:v>
      </x:c>
      <x:c r="B41" s="2" t="str">
        <x:v>FY2025</x:v>
      </x:c>
      <x:c r="C41" s="2" t="str">
        <x:v>Myanmar</x:v>
      </x:c>
      <x:c r="D41" s="2" t="str">
        <x:v>62052000</x:v>
      </x:c>
      <x:c r="E41" s="16" t="n">
        <x:v>798136</x:v>
      </x:c>
      <x:c r="F41" s="16" t="n">
        <x:v>54446</x:v>
      </x:c>
      <x:c r="G41" s="2" t="n">
        <x:v>12</x:v>
      </x:c>
      <x:c r="H41" s="2" t="n">
        <x:v>2</x:v>
      </x:c>
      <x:c r="I41" s="17" t="n">
        <x:v>14.659221981412776</x:v>
      </x:c>
      <x:c r="J41" s="2" t="n">
        <x:v>202501</x:v>
      </x:c>
      <x:c r="K41" s="2" t="n">
        <x:v>202512</x:v>
      </x:c>
      <x:c r="L41" s="16" t="n">
        <x:f>SUMIFS('Monthly_Data'!$E$6:$E$797,'Monthly_Data'!$B$6:$B$797,"&gt;="&amp;J41,'Monthly_Data'!$B$6:$B$797,"&lt;="&amp;K41,'Monthly_Data'!$C$6:$C$797,D41,'Monthly_Data'!$D$6:$D$797,C41,'Monthly_Data'!$I$6:$I$797,1)</x:f>
        <x:v>742908</x:v>
      </x:c>
      <x:c r="M41" s="16" t="n">
        <x:f>SUMIFS('Monthly_Data'!$F$6:$F$797,'Monthly_Data'!$B$6:$B$797,"&gt;="&amp;J41,'Monthly_Data'!$B$6:$B$797,"&lt;="&amp;K41,'Monthly_Data'!$C$6:$C$797,D41,'Monthly_Data'!$D$6:$D$797,C41,'Monthly_Data'!$I$6:$I$797,1)</x:f>
        <x:v>48112</x:v>
      </x:c>
      <x:c r="N41" s="2" t="n">
        <x:f>COUNTIFS('Monthly_Data'!$B$6:$B$797,"&gt;="&amp;J41,'Monthly_Data'!$B$6:$B$797,"&lt;="&amp;K41,'Monthly_Data'!$C$6:$C$797,D41,'Monthly_Data'!$D$6:$D$797,C41,'Monthly_Data'!$I$6:$I$797,1)</x:f>
        <x:v>10</x:v>
      </x:c>
      <x:c r="O41" s="17" t="n">
        <x:f>IF(M41&gt;0,L41/M41,"n.a.")</x:f>
        <x:v>15.441220485533755</x:v>
      </x:c>
      <x:c r="P41" s="2" t="n">
        <x:f>COUNTIFS($A$6:$A$125,A41)</x:f>
        <x:v>1</x:v>
      </x:c>
      <x:c r="Q41" s="2"/>
      <x:c r="R41" s="2"/>
      <x:c r="S41" s="2"/>
    </x:row>
    <x:row r="42" ht="23" customHeight="1">
      <x:c r="A42" s="2" t="str">
        <x:v>FY2025|Pakistan|62052000</x:v>
      </x:c>
      <x:c r="B42" s="2" t="str">
        <x:v>FY2025</x:v>
      </x:c>
      <x:c r="C42" s="2" t="str">
        <x:v>Pakistan</x:v>
      </x:c>
      <x:c r="D42" s="2" t="str">
        <x:v>62052000</x:v>
      </x:c>
      <x:c r="E42" s="16" t="n">
        <x:v>798771</x:v>
      </x:c>
      <x:c r="F42" s="16" t="n">
        <x:v>69348</x:v>
      </x:c>
      <x:c r="G42" s="2" t="n">
        <x:v>12</x:v>
      </x:c>
      <x:c r="H42" s="2" t="n">
        <x:v>0</x:v>
      </x:c>
      <x:c r="I42" s="17" t="n">
        <x:v>11.518299013670186</x:v>
      </x:c>
      <x:c r="J42" s="2" t="n">
        <x:v>202501</x:v>
      </x:c>
      <x:c r="K42" s="2" t="n">
        <x:v>202512</x:v>
      </x:c>
      <x:c r="L42" s="16" t="n">
        <x:f>SUMIFS('Monthly_Data'!$E$6:$E$797,'Monthly_Data'!$B$6:$B$797,"&gt;="&amp;J42,'Monthly_Data'!$B$6:$B$797,"&lt;="&amp;K42,'Monthly_Data'!$C$6:$C$797,D42,'Monthly_Data'!$D$6:$D$797,C42,'Monthly_Data'!$I$6:$I$797,1)</x:f>
        <x:v>652020</x:v>
      </x:c>
      <x:c r="M42" s="16" t="n">
        <x:f>SUMIFS('Monthly_Data'!$F$6:$F$797,'Monthly_Data'!$B$6:$B$797,"&gt;="&amp;J42,'Monthly_Data'!$B$6:$B$797,"&lt;="&amp;K42,'Monthly_Data'!$C$6:$C$797,D42,'Monthly_Data'!$D$6:$D$797,C42,'Monthly_Data'!$I$6:$I$797,1)</x:f>
        <x:v>53802</x:v>
      </x:c>
      <x:c r="N42" s="2" t="n">
        <x:f>COUNTIFS('Monthly_Data'!$B$6:$B$797,"&gt;="&amp;J42,'Monthly_Data'!$B$6:$B$797,"&lt;="&amp;K42,'Monthly_Data'!$C$6:$C$797,D42,'Monthly_Data'!$D$6:$D$797,C42,'Monthly_Data'!$I$6:$I$797,1)</x:f>
        <x:v>10</x:v>
      </x:c>
      <x:c r="O42" s="17" t="n">
        <x:f>IF(M42&gt;0,L42/M42,"n.a.")</x:f>
        <x:v>12.118880339020855</x:v>
      </x:c>
      <x:c r="P42" s="2" t="n">
        <x:f>COUNTIFS($A$6:$A$125,A42)</x:f>
        <x:v>1</x:v>
      </x:c>
      <x:c r="Q42" s="2"/>
      <x:c r="R42" s="2"/>
      <x:c r="S42" s="2"/>
    </x:row>
    <x:row r="43" ht="23" customHeight="1">
      <x:c r="A43" s="2" t="str">
        <x:v>FY2025|Sri Lanka|62052000</x:v>
      </x:c>
      <x:c r="B43" s="2" t="str">
        <x:v>FY2025</x:v>
      </x:c>
      <x:c r="C43" s="2" t="str">
        <x:v>Sri Lanka</x:v>
      </x:c>
      <x:c r="D43" s="2" t="str">
        <x:v>62052000</x:v>
      </x:c>
      <x:c r="E43" s="16" t="n">
        <x:v>4196454</x:v>
      </x:c>
      <x:c r="F43" s="16" t="n">
        <x:v>213562</x:v>
      </x:c>
      <x:c r="G43" s="2" t="n">
        <x:v>12</x:v>
      </x:c>
      <x:c r="H43" s="2" t="n">
        <x:v>0</x:v>
      </x:c>
      <x:c r="I43" s="17" t="n">
        <x:v>19.649815978498047</x:v>
      </x:c>
      <x:c r="J43" s="2" t="n">
        <x:v>202501</x:v>
      </x:c>
      <x:c r="K43" s="2" t="n">
        <x:v>202512</x:v>
      </x:c>
      <x:c r="L43" s="16" t="n">
        <x:f>SUMIFS('Monthly_Data'!$E$6:$E$797,'Monthly_Data'!$B$6:$B$797,"&gt;="&amp;J43,'Monthly_Data'!$B$6:$B$797,"&lt;="&amp;K43,'Monthly_Data'!$C$6:$C$797,D43,'Monthly_Data'!$D$6:$D$797,C43,'Monthly_Data'!$I$6:$I$797,1)</x:f>
        <x:v>3391858</x:v>
      </x:c>
      <x:c r="M43" s="16" t="n">
        <x:f>SUMIFS('Monthly_Data'!$F$6:$F$797,'Monthly_Data'!$B$6:$B$797,"&gt;="&amp;J43,'Monthly_Data'!$B$6:$B$797,"&lt;="&amp;K43,'Monthly_Data'!$C$6:$C$797,D43,'Monthly_Data'!$D$6:$D$797,C43,'Monthly_Data'!$I$6:$I$797,1)</x:f>
        <x:v>166401</x:v>
      </x:c>
      <x:c r="N43" s="2" t="n">
        <x:f>COUNTIFS('Monthly_Data'!$B$6:$B$797,"&gt;="&amp;J43,'Monthly_Data'!$B$6:$B$797,"&lt;="&amp;K43,'Monthly_Data'!$C$6:$C$797,D43,'Monthly_Data'!$D$6:$D$797,C43,'Monthly_Data'!$I$6:$I$797,1)</x:f>
        <x:v>10</x:v>
      </x:c>
      <x:c r="O43" s="17" t="n">
        <x:f>IF(M43&gt;0,L43/M43,"n.a.")</x:f>
        <x:v>20.383639521397107</x:v>
      </x:c>
      <x:c r="P43" s="2" t="n">
        <x:f>COUNTIFS($A$6:$A$125,A43)</x:f>
        <x:v>1</x:v>
      </x:c>
      <x:c r="Q43" s="2"/>
      <x:c r="R43" s="2"/>
      <x:c r="S43" s="2"/>
    </x:row>
    <x:row r="44" ht="23" customHeight="1">
      <x:c r="A44" s="2" t="str">
        <x:v>FY2025|Turkey|62052000</x:v>
      </x:c>
      <x:c r="B44" s="2" t="str">
        <x:v>FY2025</x:v>
      </x:c>
      <x:c r="C44" s="2" t="str">
        <x:v>Turkey</x:v>
      </x:c>
      <x:c r="D44" s="2" t="str">
        <x:v>62052000</x:v>
      </x:c>
      <x:c r="E44" s="16" t="n">
        <x:v>12908357</x:v>
      </x:c>
      <x:c r="F44" s="16" t="n">
        <x:v>343310</x:v>
      </x:c>
      <x:c r="G44" s="2" t="n">
        <x:v>12</x:v>
      </x:c>
      <x:c r="H44" s="2" t="n">
        <x:v>0</x:v>
      </x:c>
      <x:c r="I44" s="17" t="n">
        <x:v>37.59971163088753</x:v>
      </x:c>
      <x:c r="J44" s="2" t="n">
        <x:v>202501</x:v>
      </x:c>
      <x:c r="K44" s="2" t="n">
        <x:v>202512</x:v>
      </x:c>
      <x:c r="L44" s="16" t="n">
        <x:f>SUMIFS('Monthly_Data'!$E$6:$E$797,'Monthly_Data'!$B$6:$B$797,"&gt;="&amp;J44,'Monthly_Data'!$B$6:$B$797,"&lt;="&amp;K44,'Monthly_Data'!$C$6:$C$797,D44,'Monthly_Data'!$D$6:$D$797,C44,'Monthly_Data'!$I$6:$I$797,1)</x:f>
        <x:v>11199497</x:v>
      </x:c>
      <x:c r="M44" s="16" t="n">
        <x:f>SUMIFS('Monthly_Data'!$F$6:$F$797,'Monthly_Data'!$B$6:$B$797,"&gt;="&amp;J44,'Monthly_Data'!$B$6:$B$797,"&lt;="&amp;K44,'Monthly_Data'!$C$6:$C$797,D44,'Monthly_Data'!$D$6:$D$797,C44,'Monthly_Data'!$I$6:$I$797,1)</x:f>
        <x:v>295225</x:v>
      </x:c>
      <x:c r="N44" s="2" t="n">
        <x:f>COUNTIFS('Monthly_Data'!$B$6:$B$797,"&gt;="&amp;J44,'Monthly_Data'!$B$6:$B$797,"&lt;="&amp;K44,'Monthly_Data'!$C$6:$C$797,D44,'Monthly_Data'!$D$6:$D$797,C44,'Monthly_Data'!$I$6:$I$797,1)</x:f>
        <x:v>10</x:v>
      </x:c>
      <x:c r="O44" s="17" t="n">
        <x:f>IF(M44&gt;0,L44/M44,"n.a.")</x:f>
        <x:v>37.935462782623425</x:v>
      </x:c>
      <x:c r="P44" s="2" t="n">
        <x:f>COUNTIFS($A$6:$A$125,A44)</x:f>
        <x:v>1</x:v>
      </x:c>
      <x:c r="Q44" s="2"/>
      <x:c r="R44" s="2"/>
      <x:c r="S44" s="2"/>
    </x:row>
    <x:row r="45" ht="23" customHeight="1">
      <x:c r="A45" s="2" t="str">
        <x:v>FY2025|Vietnam|62052000</x:v>
      </x:c>
      <x:c r="B45" s="2" t="str">
        <x:v>FY2025</x:v>
      </x:c>
      <x:c r="C45" s="2" t="str">
        <x:v>Vietnam</x:v>
      </x:c>
      <x:c r="D45" s="2" t="str">
        <x:v>62052000</x:v>
      </x:c>
      <x:c r="E45" s="16" t="n">
        <x:v>12963317</x:v>
      </x:c>
      <x:c r="F45" s="16" t="n">
        <x:v>440294</x:v>
      </x:c>
      <x:c r="G45" s="2" t="n">
        <x:v>12</x:v>
      </x:c>
      <x:c r="H45" s="2" t="n">
        <x:v>0</x:v>
      </x:c>
      <x:c r="I45" s="17" t="n">
        <x:v>29.442411207057102</x:v>
      </x:c>
      <x:c r="J45" s="2" t="n">
        <x:v>202501</x:v>
      </x:c>
      <x:c r="K45" s="2" t="n">
        <x:v>202512</x:v>
      </x:c>
      <x:c r="L45" s="16" t="n">
        <x:f>SUMIFS('Monthly_Data'!$E$6:$E$797,'Monthly_Data'!$B$6:$B$797,"&gt;="&amp;J45,'Monthly_Data'!$B$6:$B$797,"&lt;="&amp;K45,'Monthly_Data'!$C$6:$C$797,D45,'Monthly_Data'!$D$6:$D$797,C45,'Monthly_Data'!$I$6:$I$797,1)</x:f>
        <x:v>10415700</x:v>
      </x:c>
      <x:c r="M45" s="16" t="n">
        <x:f>SUMIFS('Monthly_Data'!$F$6:$F$797,'Monthly_Data'!$B$6:$B$797,"&gt;="&amp;J45,'Monthly_Data'!$B$6:$B$797,"&lt;="&amp;K45,'Monthly_Data'!$C$6:$C$797,D45,'Monthly_Data'!$D$6:$D$797,C45,'Monthly_Data'!$I$6:$I$797,1)</x:f>
        <x:v>344993</x:v>
      </x:c>
      <x:c r="N45" s="2" t="n">
        <x:f>COUNTIFS('Monthly_Data'!$B$6:$B$797,"&gt;="&amp;J45,'Monthly_Data'!$B$6:$B$797,"&lt;="&amp;K45,'Monthly_Data'!$C$6:$C$797,D45,'Monthly_Data'!$D$6:$D$797,C45,'Monthly_Data'!$I$6:$I$797,1)</x:f>
        <x:v>10</x:v>
      </x:c>
      <x:c r="O45" s="17" t="n">
        <x:f>IF(M45&gt;0,L45/M45,"n.a.")</x:f>
        <x:v>30.191047354584008</x:v>
      </x:c>
      <x:c r="P45" s="2" t="n">
        <x:f>COUNTIFS($A$6:$A$125,A45)</x:f>
        <x:v>1</x:v>
      </x:c>
      <x:c r="Q45" s="2"/>
      <x:c r="R45" s="2"/>
      <x:c r="S45" s="2"/>
    </x:row>
    <x:row r="46" ht="23" customHeight="1">
      <x:c r="A46" s="2" t="str">
        <x:v>H1 2025|Bangladesh|61091000</x:v>
      </x:c>
      <x:c r="B46" s="2" t="str">
        <x:v>H1 2025</x:v>
      </x:c>
      <x:c r="C46" s="2" t="str">
        <x:v>Bangladesh</x:v>
      </x:c>
      <x:c r="D46" s="2" t="str">
        <x:v>61091000</x:v>
      </x:c>
      <x:c r="E46" s="16" t="n">
        <x:v>258563902</x:v>
      </x:c>
      <x:c r="F46" s="16" t="n">
        <x:v>24659774</x:v>
      </x:c>
      <x:c r="G46" s="2" t="n">
        <x:v>6</x:v>
      </x:c>
      <x:c r="H46" s="2" t="n">
        <x:v>0</x:v>
      </x:c>
      <x:c r="I46" s="17" t="n">
        <x:v>10.485250270339055</x:v>
      </x:c>
      <x:c r="J46" s="2" t="n">
        <x:v>202501</x:v>
      </x:c>
      <x:c r="K46" s="2" t="n">
        <x:v>202506</x:v>
      </x:c>
      <x:c r="L46" s="16" t="n">
        <x:f>SUMIFS('Monthly_Data'!$E$6:$E$797,'Monthly_Data'!$B$6:$B$797,"&gt;="&amp;J46,'Monthly_Data'!$B$6:$B$797,"&lt;="&amp;K46,'Monthly_Data'!$C$6:$C$797,D46,'Monthly_Data'!$D$6:$D$797,C46,'Monthly_Data'!$I$6:$I$797,1)</x:f>
        <x:v>121879982</x:v>
      </x:c>
      <x:c r="M46" s="16" t="n">
        <x:f>SUMIFS('Monthly_Data'!$F$6:$F$797,'Monthly_Data'!$B$6:$B$797,"&gt;="&amp;J46,'Monthly_Data'!$B$6:$B$797,"&lt;="&amp;K46,'Monthly_Data'!$C$6:$C$797,D46,'Monthly_Data'!$D$6:$D$797,C46,'Monthly_Data'!$I$6:$I$797,1)</x:f>
        <x:v>11435550</x:v>
      </x:c>
      <x:c r="N46" s="2" t="n">
        <x:f>COUNTIFS('Monthly_Data'!$B$6:$B$797,"&gt;="&amp;J46,'Monthly_Data'!$B$6:$B$797,"&lt;="&amp;K46,'Monthly_Data'!$C$6:$C$797,D46,'Monthly_Data'!$D$6:$D$797,C46,'Monthly_Data'!$I$6:$I$797,1)</x:f>
        <x:v>3</x:v>
      </x:c>
      <x:c r="O46" s="17" t="n">
        <x:f>IF(M46&gt;0,L46/M46,"n.a.")</x:f>
        <x:v>10.65799038961834</x:v>
      </x:c>
      <x:c r="P46" s="2" t="n">
        <x:f>COUNTIFS($A$6:$A$125,A46)</x:f>
        <x:v>1</x:v>
      </x:c>
      <x:c r="Q46" s="2"/>
      <x:c r="R46" s="2"/>
      <x:c r="S46" s="2"/>
    </x:row>
    <x:row r="47" ht="23" customHeight="1">
      <x:c r="A47" s="2" t="str">
        <x:v>H1 2025|Cambodia|61091000</x:v>
      </x:c>
      <x:c r="B47" s="2" t="str">
        <x:v>H1 2025</x:v>
      </x:c>
      <x:c r="C47" s="2" t="str">
        <x:v>Cambodia</x:v>
      </x:c>
      <x:c r="D47" s="2" t="str">
        <x:v>61091000</x:v>
      </x:c>
      <x:c r="E47" s="16" t="n">
        <x:v>5558924</x:v>
      </x:c>
      <x:c r="F47" s="16" t="n">
        <x:v>287747</x:v>
      </x:c>
      <x:c r="G47" s="2" t="n">
        <x:v>6</x:v>
      </x:c>
      <x:c r="H47" s="2" t="n">
        <x:v>0</x:v>
      </x:c>
      <x:c r="I47" s="17" t="n">
        <x:v>19.318790465235086</x:v>
      </x:c>
      <x:c r="J47" s="2" t="n">
        <x:v>202501</x:v>
      </x:c>
      <x:c r="K47" s="2" t="n">
        <x:v>202506</x:v>
      </x:c>
      <x:c r="L47" s="16" t="n">
        <x:f>SUMIFS('Monthly_Data'!$E$6:$E$797,'Monthly_Data'!$B$6:$B$797,"&gt;="&amp;J47,'Monthly_Data'!$B$6:$B$797,"&lt;="&amp;K47,'Monthly_Data'!$C$6:$C$797,D47,'Monthly_Data'!$D$6:$D$797,C47,'Monthly_Data'!$I$6:$I$797,1)</x:f>
        <x:v>2634714</x:v>
      </x:c>
      <x:c r="M47" s="16" t="n">
        <x:f>SUMIFS('Monthly_Data'!$F$6:$F$797,'Monthly_Data'!$B$6:$B$797,"&gt;="&amp;J47,'Monthly_Data'!$B$6:$B$797,"&lt;="&amp;K47,'Monthly_Data'!$C$6:$C$797,D47,'Monthly_Data'!$D$6:$D$797,C47,'Monthly_Data'!$I$6:$I$797,1)</x:f>
        <x:v>144748</x:v>
      </x:c>
      <x:c r="N47" s="2" t="n">
        <x:f>COUNTIFS('Monthly_Data'!$B$6:$B$797,"&gt;="&amp;J47,'Monthly_Data'!$B$6:$B$797,"&lt;="&amp;K47,'Monthly_Data'!$C$6:$C$797,D47,'Monthly_Data'!$D$6:$D$797,C47,'Monthly_Data'!$I$6:$I$797,1)</x:f>
        <x:v>3</x:v>
      </x:c>
      <x:c r="O47" s="17" t="n">
        <x:f>IF(M47&gt;0,L47/M47,"n.a.")</x:f>
        <x:v>18.202075330919943</x:v>
      </x:c>
      <x:c r="P47" s="2" t="n">
        <x:f>COUNTIFS($A$6:$A$125,A47)</x:f>
        <x:v>1</x:v>
      </x:c>
      <x:c r="Q47" s="2"/>
      <x:c r="R47" s="2"/>
      <x:c r="S47" s="2"/>
    </x:row>
    <x:row r="48" ht="23" customHeight="1">
      <x:c r="A48" s="2" t="str">
        <x:v>H1 2025|China|61091000</x:v>
      </x:c>
      <x:c r="B48" s="2" t="str">
        <x:v>H1 2025</x:v>
      </x:c>
      <x:c r="C48" s="2" t="str">
        <x:v>China</x:v>
      </x:c>
      <x:c r="D48" s="2" t="str">
        <x:v>61091000</x:v>
      </x:c>
      <x:c r="E48" s="16" t="n">
        <x:v>26770914</x:v>
      </x:c>
      <x:c r="F48" s="16" t="n">
        <x:v>1389800</x:v>
      </x:c>
      <x:c r="G48" s="2" t="n">
        <x:v>6</x:v>
      </x:c>
      <x:c r="H48" s="2" t="n">
        <x:v>0</x:v>
      </x:c>
      <x:c r="I48" s="17" t="n">
        <x:v>19.262421931213126</x:v>
      </x:c>
      <x:c r="J48" s="2" t="n">
        <x:v>202501</x:v>
      </x:c>
      <x:c r="K48" s="2" t="n">
        <x:v>202506</x:v>
      </x:c>
      <x:c r="L48" s="16" t="n">
        <x:f>SUMIFS('Monthly_Data'!$E$6:$E$797,'Monthly_Data'!$B$6:$B$797,"&gt;="&amp;J48,'Monthly_Data'!$B$6:$B$797,"&lt;="&amp;K48,'Monthly_Data'!$C$6:$C$797,D48,'Monthly_Data'!$D$6:$D$797,C48,'Monthly_Data'!$I$6:$I$797,1)</x:f>
        <x:v>15461963</x:v>
      </x:c>
      <x:c r="M48" s="16" t="n">
        <x:f>SUMIFS('Monthly_Data'!$F$6:$F$797,'Monthly_Data'!$B$6:$B$797,"&gt;="&amp;J48,'Monthly_Data'!$B$6:$B$797,"&lt;="&amp;K48,'Monthly_Data'!$C$6:$C$797,D48,'Monthly_Data'!$D$6:$D$797,C48,'Monthly_Data'!$I$6:$I$797,1)</x:f>
        <x:v>821442</x:v>
      </x:c>
      <x:c r="N48" s="2" t="n">
        <x:f>COUNTIFS('Monthly_Data'!$B$6:$B$797,"&gt;="&amp;J48,'Monthly_Data'!$B$6:$B$797,"&lt;="&amp;K48,'Monthly_Data'!$C$6:$C$797,D48,'Monthly_Data'!$D$6:$D$797,C48,'Monthly_Data'!$I$6:$I$797,1)</x:f>
        <x:v>3</x:v>
      </x:c>
      <x:c r="O48" s="17" t="n">
        <x:f>IF(M48&gt;0,L48/M48,"n.a.")</x:f>
        <x:v>18.82295159000879</x:v>
      </x:c>
      <x:c r="P48" s="2" t="n">
        <x:f>COUNTIFS($A$6:$A$125,A48)</x:f>
        <x:v>1</x:v>
      </x:c>
      <x:c r="Q48" s="2"/>
      <x:c r="R48" s="2"/>
      <x:c r="S48" s="2"/>
    </x:row>
    <x:row r="49" ht="23" customHeight="1">
      <x:c r="A49" s="2" t="str">
        <x:v>H1 2025|India|61091000</x:v>
      </x:c>
      <x:c r="B49" s="2" t="str">
        <x:v>H1 2025</x:v>
      </x:c>
      <x:c r="C49" s="2" t="str">
        <x:v>India</x:v>
      </x:c>
      <x:c r="D49" s="2" t="str">
        <x:v>61091000</x:v>
      </x:c>
      <x:c r="E49" s="16" t="n">
        <x:v>57601904</x:v>
      </x:c>
      <x:c r="F49" s="16" t="n">
        <x:v>4255633</x:v>
      </x:c>
      <x:c r="G49" s="2" t="n">
        <x:v>6</x:v>
      </x:c>
      <x:c r="H49" s="2" t="n">
        <x:v>0</x:v>
      </x:c>
      <x:c r="I49" s="17" t="n">
        <x:v>13.5354491329492</x:v>
      </x:c>
      <x:c r="J49" s="2" t="n">
        <x:v>202501</x:v>
      </x:c>
      <x:c r="K49" s="2" t="n">
        <x:v>202506</x:v>
      </x:c>
      <x:c r="L49" s="16" t="n">
        <x:f>SUMIFS('Monthly_Data'!$E$6:$E$797,'Monthly_Data'!$B$6:$B$797,"&gt;="&amp;J49,'Monthly_Data'!$B$6:$B$797,"&lt;="&amp;K49,'Monthly_Data'!$C$6:$C$797,D49,'Monthly_Data'!$D$6:$D$797,C49,'Monthly_Data'!$I$6:$I$797,1)</x:f>
        <x:v>25176937</x:v>
      </x:c>
      <x:c r="M49" s="16" t="n">
        <x:f>SUMIFS('Monthly_Data'!$F$6:$F$797,'Monthly_Data'!$B$6:$B$797,"&gt;="&amp;J49,'Monthly_Data'!$B$6:$B$797,"&lt;="&amp;K49,'Monthly_Data'!$C$6:$C$797,D49,'Monthly_Data'!$D$6:$D$797,C49,'Monthly_Data'!$I$6:$I$797,1)</x:f>
        <x:v>1760505</x:v>
      </x:c>
      <x:c r="N49" s="2" t="n">
        <x:f>COUNTIFS('Monthly_Data'!$B$6:$B$797,"&gt;="&amp;J49,'Monthly_Data'!$B$6:$B$797,"&lt;="&amp;K49,'Monthly_Data'!$C$6:$C$797,D49,'Monthly_Data'!$D$6:$D$797,C49,'Monthly_Data'!$I$6:$I$797,1)</x:f>
        <x:v>3</x:v>
      </x:c>
      <x:c r="O49" s="17" t="n">
        <x:f>IF(M49&gt;0,L49/M49,"n.a.")</x:f>
        <x:v>14.300974436312307</x:v>
      </x:c>
      <x:c r="P49" s="2" t="n">
        <x:f>COUNTIFS($A$6:$A$125,A49)</x:f>
        <x:v>1</x:v>
      </x:c>
      <x:c r="Q49" s="2"/>
      <x:c r="R49" s="2"/>
      <x:c r="S49" s="2"/>
    </x:row>
    <x:row r="50" ht="23" customHeight="1">
      <x:c r="A50" s="2" t="str">
        <x:v>H1 2025|Morocco|61091000</x:v>
      </x:c>
      <x:c r="B50" s="2" t="str">
        <x:v>H1 2025</x:v>
      </x:c>
      <x:c r="C50" s="2" t="str">
        <x:v>Morocco</x:v>
      </x:c>
      <x:c r="D50" s="2" t="str">
        <x:v>61091000</x:v>
      </x:c>
      <x:c r="E50" s="16" t="n">
        <x:v>7105682</x:v>
      </x:c>
      <x:c r="F50" s="16" t="n">
        <x:v>780049</x:v>
      </x:c>
      <x:c r="G50" s="2" t="n">
        <x:v>6</x:v>
      </x:c>
      <x:c r="H50" s="2" t="n">
        <x:v>0</x:v>
      </x:c>
      <x:c r="I50" s="17" t="n">
        <x:v>9.109276468529542</x:v>
      </x:c>
      <x:c r="J50" s="2" t="n">
        <x:v>202501</x:v>
      </x:c>
      <x:c r="K50" s="2" t="n">
        <x:v>202506</x:v>
      </x:c>
      <x:c r="L50" s="16" t="n">
        <x:f>SUMIFS('Monthly_Data'!$E$6:$E$797,'Monthly_Data'!$B$6:$B$797,"&gt;="&amp;J50,'Monthly_Data'!$B$6:$B$797,"&lt;="&amp;K50,'Monthly_Data'!$C$6:$C$797,D50,'Monthly_Data'!$D$6:$D$797,C50,'Monthly_Data'!$I$6:$I$797,1)</x:f>
        <x:v>3237449</x:v>
      </x:c>
      <x:c r="M50" s="16" t="n">
        <x:f>SUMIFS('Monthly_Data'!$F$6:$F$797,'Monthly_Data'!$B$6:$B$797,"&gt;="&amp;J50,'Monthly_Data'!$B$6:$B$797,"&lt;="&amp;K50,'Monthly_Data'!$C$6:$C$797,D50,'Monthly_Data'!$D$6:$D$797,C50,'Monthly_Data'!$I$6:$I$797,1)</x:f>
        <x:v>348259</x:v>
      </x:c>
      <x:c r="N50" s="2" t="n">
        <x:f>COUNTIFS('Monthly_Data'!$B$6:$B$797,"&gt;="&amp;J50,'Monthly_Data'!$B$6:$B$797,"&lt;="&amp;K50,'Monthly_Data'!$C$6:$C$797,D50,'Monthly_Data'!$D$6:$D$797,C50,'Monthly_Data'!$I$6:$I$797,1)</x:f>
        <x:v>3</x:v>
      </x:c>
      <x:c r="O50" s="17" t="n">
        <x:f>IF(M50&gt;0,L50/M50,"n.a.")</x:f>
        <x:v>9.296095721862176</x:v>
      </x:c>
      <x:c r="P50" s="2" t="n">
        <x:f>COUNTIFS($A$6:$A$125,A50)</x:f>
        <x:v>1</x:v>
      </x:c>
      <x:c r="Q50" s="2"/>
      <x:c r="R50" s="2"/>
      <x:c r="S50" s="2"/>
    </x:row>
    <x:row r="51" ht="23" customHeight="1">
      <x:c r="A51" s="2" t="str">
        <x:v>H1 2025|Myanmar|61091000</x:v>
      </x:c>
      <x:c r="B51" s="2" t="str">
        <x:v>H1 2025</x:v>
      </x:c>
      <x:c r="C51" s="2" t="str">
        <x:v>Myanmar</x:v>
      </x:c>
      <x:c r="D51" s="2" t="str">
        <x:v>61091000</x:v>
      </x:c>
      <x:c r="E51" s="16" t="n">
        <x:v>221408</x:v>
      </x:c>
      <x:c r="F51" s="16" t="n">
        <x:v>14557</x:v>
      </x:c>
      <x:c r="G51" s="2" t="n">
        <x:v>6</x:v>
      </x:c>
      <x:c r="H51" s="2" t="n">
        <x:v>0</x:v>
      </x:c>
      <x:c r="I51" s="17" t="n">
        <x:v>15.209727278972316</x:v>
      </x:c>
      <x:c r="J51" s="2" t="n">
        <x:v>202501</x:v>
      </x:c>
      <x:c r="K51" s="2" t="n">
        <x:v>202506</x:v>
      </x:c>
      <x:c r="L51" s="16" t="n">
        <x:f>SUMIFS('Monthly_Data'!$E$6:$E$797,'Monthly_Data'!$B$6:$B$797,"&gt;="&amp;J51,'Monthly_Data'!$B$6:$B$797,"&lt;="&amp;K51,'Monthly_Data'!$C$6:$C$797,D51,'Monthly_Data'!$D$6:$D$797,C51,'Monthly_Data'!$I$6:$I$797,1)</x:f>
        <x:v>115068</x:v>
      </x:c>
      <x:c r="M51" s="16" t="n">
        <x:f>SUMIFS('Monthly_Data'!$F$6:$F$797,'Monthly_Data'!$B$6:$B$797,"&gt;="&amp;J51,'Monthly_Data'!$B$6:$B$797,"&lt;="&amp;K51,'Monthly_Data'!$C$6:$C$797,D51,'Monthly_Data'!$D$6:$D$797,C51,'Monthly_Data'!$I$6:$I$797,1)</x:f>
        <x:v>6788</x:v>
      </x:c>
      <x:c r="N51" s="2" t="n">
        <x:f>COUNTIFS('Monthly_Data'!$B$6:$B$797,"&gt;="&amp;J51,'Monthly_Data'!$B$6:$B$797,"&lt;="&amp;K51,'Monthly_Data'!$C$6:$C$797,D51,'Monthly_Data'!$D$6:$D$797,C51,'Monthly_Data'!$I$6:$I$797,1)</x:f>
        <x:v>3</x:v>
      </x:c>
      <x:c r="O51" s="17" t="n">
        <x:f>IF(M51&gt;0,L51/M51,"n.a.")</x:f>
        <x:v>16.951679434295816</x:v>
      </x:c>
      <x:c r="P51" s="2" t="n">
        <x:f>COUNTIFS($A$6:$A$125,A51)</x:f>
        <x:v>1</x:v>
      </x:c>
      <x:c r="Q51" s="2"/>
      <x:c r="R51" s="2"/>
      <x:c r="S51" s="2"/>
    </x:row>
    <x:row r="52" ht="23" customHeight="1">
      <x:c r="A52" s="2" t="str">
        <x:v>H1 2025|Pakistan|61091000</x:v>
      </x:c>
      <x:c r="B52" s="2" t="str">
        <x:v>H1 2025</x:v>
      </x:c>
      <x:c r="C52" s="2" t="str">
        <x:v>Pakistan</x:v>
      </x:c>
      <x:c r="D52" s="2" t="str">
        <x:v>61091000</x:v>
      </x:c>
      <x:c r="E52" s="16" t="n">
        <x:v>30121288</x:v>
      </x:c>
      <x:c r="F52" s="16" t="n">
        <x:v>7875332</x:v>
      </x:c>
      <x:c r="G52" s="2" t="n">
        <x:v>6</x:v>
      </x:c>
      <x:c r="H52" s="2" t="n">
        <x:v>3</x:v>
      </x:c>
      <x:c r="I52" s="17" t="n">
        <x:v>3.824764213115079</x:v>
      </x:c>
      <x:c r="J52" s="2" t="n">
        <x:v>202501</x:v>
      </x:c>
      <x:c r="K52" s="2" t="n">
        <x:v>202506</x:v>
      </x:c>
      <x:c r="L52" s="16" t="n">
        <x:f>SUMIFS('Monthly_Data'!$E$6:$E$797,'Monthly_Data'!$B$6:$B$797,"&gt;="&amp;J52,'Monthly_Data'!$B$6:$B$797,"&lt;="&amp;K52,'Monthly_Data'!$C$6:$C$797,D52,'Monthly_Data'!$D$6:$D$797,C52,'Monthly_Data'!$I$6:$I$797,1)</x:f>
        <x:v>14740979</x:v>
      </x:c>
      <x:c r="M52" s="16" t="n">
        <x:f>SUMIFS('Monthly_Data'!$F$6:$F$797,'Monthly_Data'!$B$6:$B$797,"&gt;="&amp;J52,'Monthly_Data'!$B$6:$B$797,"&lt;="&amp;K52,'Monthly_Data'!$C$6:$C$797,D52,'Monthly_Data'!$D$6:$D$797,C52,'Monthly_Data'!$I$6:$I$797,1)</x:f>
        <x:v>1234435</x:v>
      </x:c>
      <x:c r="N52" s="2" t="n">
        <x:f>COUNTIFS('Monthly_Data'!$B$6:$B$797,"&gt;="&amp;J52,'Monthly_Data'!$B$6:$B$797,"&lt;="&amp;K52,'Monthly_Data'!$C$6:$C$797,D52,'Monthly_Data'!$D$6:$D$797,C52,'Monthly_Data'!$I$6:$I$797,1)</x:f>
        <x:v>3</x:v>
      </x:c>
      <x:c r="O52" s="17" t="n">
        <x:f>IF(M52&gt;0,L52/M52,"n.a.")</x:f>
        <x:v>11.941478490159465</x:v>
      </x:c>
      <x:c r="P52" s="2" t="n">
        <x:f>COUNTIFS($A$6:$A$125,A52)</x:f>
        <x:v>1</x:v>
      </x:c>
      <x:c r="Q52" s="2"/>
      <x:c r="R52" s="2"/>
      <x:c r="S52" s="2"/>
    </x:row>
    <x:row r="53" ht="23" customHeight="1">
      <x:c r="A53" s="2" t="str">
        <x:v>H1 2025|Sri Lanka|61091000</x:v>
      </x:c>
      <x:c r="B53" s="2" t="str">
        <x:v>H1 2025</x:v>
      </x:c>
      <x:c r="C53" s="2" t="str">
        <x:v>Sri Lanka</x:v>
      </x:c>
      <x:c r="D53" s="2" t="str">
        <x:v>61091000</x:v>
      </x:c>
      <x:c r="E53" s="16" t="n">
        <x:v>13060146</x:v>
      </x:c>
      <x:c r="F53" s="16" t="n">
        <x:v>1195844</x:v>
      </x:c>
      <x:c r="G53" s="2" t="n">
        <x:v>6</x:v>
      </x:c>
      <x:c r="H53" s="2" t="n">
        <x:v>0</x:v>
      </x:c>
      <x:c r="I53" s="17" t="n">
        <x:v>10.921279029706216</x:v>
      </x:c>
      <x:c r="J53" s="2" t="n">
        <x:v>202501</x:v>
      </x:c>
      <x:c r="K53" s="2" t="n">
        <x:v>202506</x:v>
      </x:c>
      <x:c r="L53" s="16" t="n">
        <x:f>SUMIFS('Monthly_Data'!$E$6:$E$797,'Monthly_Data'!$B$6:$B$797,"&gt;="&amp;J53,'Monthly_Data'!$B$6:$B$797,"&lt;="&amp;K53,'Monthly_Data'!$C$6:$C$797,D53,'Monthly_Data'!$D$6:$D$797,C53,'Monthly_Data'!$I$6:$I$797,1)</x:f>
        <x:v>6557049</x:v>
      </x:c>
      <x:c r="M53" s="16" t="n">
        <x:f>SUMIFS('Monthly_Data'!$F$6:$F$797,'Monthly_Data'!$B$6:$B$797,"&gt;="&amp;J53,'Monthly_Data'!$B$6:$B$797,"&lt;="&amp;K53,'Monthly_Data'!$C$6:$C$797,D53,'Monthly_Data'!$D$6:$D$797,C53,'Monthly_Data'!$I$6:$I$797,1)</x:f>
        <x:v>591356</x:v>
      </x:c>
      <x:c r="N53" s="2" t="n">
        <x:f>COUNTIFS('Monthly_Data'!$B$6:$B$797,"&gt;="&amp;J53,'Monthly_Data'!$B$6:$B$797,"&lt;="&amp;K53,'Monthly_Data'!$C$6:$C$797,D53,'Monthly_Data'!$D$6:$D$797,C53,'Monthly_Data'!$I$6:$I$797,1)</x:f>
        <x:v>3</x:v>
      </x:c>
      <x:c r="O53" s="17" t="n">
        <x:f>IF(M53&gt;0,L53/M53,"n.a.")</x:f>
        <x:v>11.088158402045469</x:v>
      </x:c>
      <x:c r="P53" s="2" t="n">
        <x:f>COUNTIFS($A$6:$A$125,A53)</x:f>
        <x:v>1</x:v>
      </x:c>
      <x:c r="Q53" s="2"/>
      <x:c r="R53" s="2"/>
      <x:c r="S53" s="2"/>
    </x:row>
    <x:row r="54" ht="23" customHeight="1">
      <x:c r="A54" s="2" t="str">
        <x:v>H1 2025|Turkey|61091000</x:v>
      </x:c>
      <x:c r="B54" s="2" t="str">
        <x:v>H1 2025</x:v>
      </x:c>
      <x:c r="C54" s="2" t="str">
        <x:v>Turkey</x:v>
      </x:c>
      <x:c r="D54" s="2" t="str">
        <x:v>61091000</x:v>
      </x:c>
      <x:c r="E54" s="16" t="n">
        <x:v>60323637</x:v>
      </x:c>
      <x:c r="F54" s="16" t="n">
        <x:v>2604971</x:v>
      </x:c>
      <x:c r="G54" s="2" t="n">
        <x:v>6</x:v>
      </x:c>
      <x:c r="H54" s="2" t="n">
        <x:v>0</x:v>
      </x:c>
      <x:c r="I54" s="17" t="n">
        <x:v>23.15712420598924</x:v>
      </x:c>
      <x:c r="J54" s="2" t="n">
        <x:v>202501</x:v>
      </x:c>
      <x:c r="K54" s="2" t="n">
        <x:v>202506</x:v>
      </x:c>
      <x:c r="L54" s="16" t="n">
        <x:f>SUMIFS('Monthly_Data'!$E$6:$E$797,'Monthly_Data'!$B$6:$B$797,"&gt;="&amp;J54,'Monthly_Data'!$B$6:$B$797,"&lt;="&amp;K54,'Monthly_Data'!$C$6:$C$797,D54,'Monthly_Data'!$D$6:$D$797,C54,'Monthly_Data'!$I$6:$I$797,1)</x:f>
        <x:v>27360351</x:v>
      </x:c>
      <x:c r="M54" s="16" t="n">
        <x:f>SUMIFS('Monthly_Data'!$F$6:$F$797,'Monthly_Data'!$B$6:$B$797,"&gt;="&amp;J54,'Monthly_Data'!$B$6:$B$797,"&lt;="&amp;K54,'Monthly_Data'!$C$6:$C$797,D54,'Monthly_Data'!$D$6:$D$797,C54,'Monthly_Data'!$I$6:$I$797,1)</x:f>
        <x:v>1210767</x:v>
      </x:c>
      <x:c r="N54" s="2" t="n">
        <x:f>COUNTIFS('Monthly_Data'!$B$6:$B$797,"&gt;="&amp;J54,'Monthly_Data'!$B$6:$B$797,"&lt;="&amp;K54,'Monthly_Data'!$C$6:$C$797,D54,'Monthly_Data'!$D$6:$D$797,C54,'Monthly_Data'!$I$6:$I$797,1)</x:f>
        <x:v>3</x:v>
      </x:c>
      <x:c r="O54" s="17" t="n">
        <x:f>IF(M54&gt;0,L54/M54,"n.a.")</x:f>
        <x:v>22.597536107277453</x:v>
      </x:c>
      <x:c r="P54" s="2" t="n">
        <x:f>COUNTIFS($A$6:$A$125,A54)</x:f>
        <x:v>1</x:v>
      </x:c>
      <x:c r="Q54" s="2"/>
      <x:c r="R54" s="2"/>
      <x:c r="S54" s="2"/>
    </x:row>
    <x:row r="55" ht="23" customHeight="1">
      <x:c r="A55" s="2" t="str">
        <x:v>H1 2025|Vietnam|61091000</x:v>
      </x:c>
      <x:c r="B55" s="2" t="str">
        <x:v>H1 2025</x:v>
      </x:c>
      <x:c r="C55" s="2" t="str">
        <x:v>Vietnam</x:v>
      </x:c>
      <x:c r="D55" s="2" t="str">
        <x:v>61091000</x:v>
      </x:c>
      <x:c r="E55" s="16" t="n">
        <x:v>13823729</x:v>
      </x:c>
      <x:c r="F55" s="16" t="n">
        <x:v>647804</x:v>
      </x:c>
      <x:c r="G55" s="2" t="n">
        <x:v>6</x:v>
      </x:c>
      <x:c r="H55" s="2" t="n">
        <x:v>0</x:v>
      </x:c>
      <x:c r="I55" s="17" t="n">
        <x:v>21.339369624145576</x:v>
      </x:c>
      <x:c r="J55" s="2" t="n">
        <x:v>202501</x:v>
      </x:c>
      <x:c r="K55" s="2" t="n">
        <x:v>202506</x:v>
      </x:c>
      <x:c r="L55" s="16" t="n">
        <x:f>SUMIFS('Monthly_Data'!$E$6:$E$797,'Monthly_Data'!$B$6:$B$797,"&gt;="&amp;J55,'Monthly_Data'!$B$6:$B$797,"&lt;="&amp;K55,'Monthly_Data'!$C$6:$C$797,D55,'Monthly_Data'!$D$6:$D$797,C55,'Monthly_Data'!$I$6:$I$797,1)</x:f>
        <x:v>5300473</x:v>
      </x:c>
      <x:c r="M55" s="16" t="n">
        <x:f>SUMIFS('Monthly_Data'!$F$6:$F$797,'Monthly_Data'!$B$6:$B$797,"&gt;="&amp;J55,'Monthly_Data'!$B$6:$B$797,"&lt;="&amp;K55,'Monthly_Data'!$C$6:$C$797,D55,'Monthly_Data'!$D$6:$D$797,C55,'Monthly_Data'!$I$6:$I$797,1)</x:f>
        <x:v>238763</x:v>
      </x:c>
      <x:c r="N55" s="2" t="n">
        <x:f>COUNTIFS('Monthly_Data'!$B$6:$B$797,"&gt;="&amp;J55,'Monthly_Data'!$B$6:$B$797,"&lt;="&amp;K55,'Monthly_Data'!$C$6:$C$797,D55,'Monthly_Data'!$D$6:$D$797,C55,'Monthly_Data'!$I$6:$I$797,1)</x:f>
        <x:v>3</x:v>
      </x:c>
      <x:c r="O55" s="17" t="n">
        <x:f>IF(M55&gt;0,L55/M55,"n.a.")</x:f>
        <x:v>22.199725250562274</x:v>
      </x:c>
      <x:c r="P55" s="2" t="n">
        <x:f>COUNTIFS($A$6:$A$125,A55)</x:f>
        <x:v>1</x:v>
      </x:c>
      <x:c r="Q55" s="2"/>
      <x:c r="R55" s="2"/>
      <x:c r="S55" s="2"/>
    </x:row>
    <x:row r="56" ht="23" customHeight="1">
      <x:c r="A56" s="2" t="str">
        <x:v>H1 2025|Bangladesh|61103099</x:v>
      </x:c>
      <x:c r="B56" s="2" t="str">
        <x:v>H1 2025</x:v>
      </x:c>
      <x:c r="C56" s="2" t="str">
        <x:v>Bangladesh</x:v>
      </x:c>
      <x:c r="D56" s="2" t="str">
        <x:v>61103099</x:v>
      </x:c>
      <x:c r="E56" s="16" t="n">
        <x:v>43232053</x:v>
      </x:c>
      <x:c r="F56" s="16" t="n">
        <x:v>3424431</x:v>
      </x:c>
      <x:c r="G56" s="2" t="n">
        <x:v>6</x:v>
      </x:c>
      <x:c r="H56" s="2" t="n">
        <x:v>0</x:v>
      </x:c>
      <x:c r="I56" s="17" t="n">
        <x:v>12.624594567681463</x:v>
      </x:c>
      <x:c r="J56" s="2" t="n">
        <x:v>202501</x:v>
      </x:c>
      <x:c r="K56" s="2" t="n">
        <x:v>202506</x:v>
      </x:c>
      <x:c r="L56" s="16" t="n">
        <x:f>SUMIFS('Monthly_Data'!$E$6:$E$797,'Monthly_Data'!$B$6:$B$797,"&gt;="&amp;J56,'Monthly_Data'!$B$6:$B$797,"&lt;="&amp;K56,'Monthly_Data'!$C$6:$C$797,D56,'Monthly_Data'!$D$6:$D$797,C56,'Monthly_Data'!$I$6:$I$797,1)</x:f>
        <x:v>43232053</x:v>
      </x:c>
      <x:c r="M56" s="16" t="n">
        <x:f>SUMIFS('Monthly_Data'!$F$6:$F$797,'Monthly_Data'!$B$6:$B$797,"&gt;="&amp;J56,'Monthly_Data'!$B$6:$B$797,"&lt;="&amp;K56,'Monthly_Data'!$C$6:$C$797,D56,'Monthly_Data'!$D$6:$D$797,C56,'Monthly_Data'!$I$6:$I$797,1)</x:f>
        <x:v>3424431</x:v>
      </x:c>
      <x:c r="N56" s="2" t="n">
        <x:f>COUNTIFS('Monthly_Data'!$B$6:$B$797,"&gt;="&amp;J56,'Monthly_Data'!$B$6:$B$797,"&lt;="&amp;K56,'Monthly_Data'!$C$6:$C$797,D56,'Monthly_Data'!$D$6:$D$797,C56,'Monthly_Data'!$I$6:$I$797,1)</x:f>
        <x:v>6</x:v>
      </x:c>
      <x:c r="O56" s="17" t="n">
        <x:f>IF(M56&gt;0,L56/M56,"n.a.")</x:f>
        <x:v>12.624594567681463</x:v>
      </x:c>
      <x:c r="P56" s="2" t="n">
        <x:f>COUNTIFS($A$6:$A$125,A56)</x:f>
        <x:v>1</x:v>
      </x:c>
      <x:c r="Q56" s="2"/>
      <x:c r="R56" s="2"/>
      <x:c r="S56" s="2"/>
    </x:row>
    <x:row r="57" ht="23" customHeight="1">
      <x:c r="A57" s="2" t="str">
        <x:v>H1 2025|Cambodia|61103099</x:v>
      </x:c>
      <x:c r="B57" s="2" t="str">
        <x:v>H1 2025</x:v>
      </x:c>
      <x:c r="C57" s="2" t="str">
        <x:v>Cambodia</x:v>
      </x:c>
      <x:c r="D57" s="2" t="str">
        <x:v>61103099</x:v>
      </x:c>
      <x:c r="E57" s="16" t="n">
        <x:v>26147920</x:v>
      </x:c>
      <x:c r="F57" s="16" t="n">
        <x:v>2287952</x:v>
      </x:c>
      <x:c r="G57" s="2" t="n">
        <x:v>6</x:v>
      </x:c>
      <x:c r="H57" s="2" t="n">
        <x:v>0</x:v>
      </x:c>
      <x:c r="I57" s="17" t="n">
        <x:v>11.428526472583341</x:v>
      </x:c>
      <x:c r="J57" s="2" t="n">
        <x:v>202501</x:v>
      </x:c>
      <x:c r="K57" s="2" t="n">
        <x:v>202506</x:v>
      </x:c>
      <x:c r="L57" s="16" t="n">
        <x:f>SUMIFS('Monthly_Data'!$E$6:$E$797,'Monthly_Data'!$B$6:$B$797,"&gt;="&amp;J57,'Monthly_Data'!$B$6:$B$797,"&lt;="&amp;K57,'Monthly_Data'!$C$6:$C$797,D57,'Monthly_Data'!$D$6:$D$797,C57,'Monthly_Data'!$I$6:$I$797,1)</x:f>
        <x:v>26147920</x:v>
      </x:c>
      <x:c r="M57" s="16" t="n">
        <x:f>SUMIFS('Monthly_Data'!$F$6:$F$797,'Monthly_Data'!$B$6:$B$797,"&gt;="&amp;J57,'Monthly_Data'!$B$6:$B$797,"&lt;="&amp;K57,'Monthly_Data'!$C$6:$C$797,D57,'Monthly_Data'!$D$6:$D$797,C57,'Monthly_Data'!$I$6:$I$797,1)</x:f>
        <x:v>2287952</x:v>
      </x:c>
      <x:c r="N57" s="2" t="n">
        <x:f>COUNTIFS('Monthly_Data'!$B$6:$B$797,"&gt;="&amp;J57,'Monthly_Data'!$B$6:$B$797,"&lt;="&amp;K57,'Monthly_Data'!$C$6:$C$797,D57,'Monthly_Data'!$D$6:$D$797,C57,'Monthly_Data'!$I$6:$I$797,1)</x:f>
        <x:v>6</x:v>
      </x:c>
      <x:c r="O57" s="17" t="n">
        <x:f>IF(M57&gt;0,L57/M57,"n.a.")</x:f>
        <x:v>11.428526472583341</x:v>
      </x:c>
      <x:c r="P57" s="2" t="n">
        <x:f>COUNTIFS($A$6:$A$125,A57)</x:f>
        <x:v>1</x:v>
      </x:c>
      <x:c r="Q57" s="2"/>
      <x:c r="R57" s="2"/>
      <x:c r="S57" s="2"/>
    </x:row>
    <x:row r="58" ht="23" customHeight="1">
      <x:c r="A58" s="2" t="str">
        <x:v>H1 2025|China|61103099</x:v>
      </x:c>
      <x:c r="B58" s="2" t="str">
        <x:v>H1 2025</x:v>
      </x:c>
      <x:c r="C58" s="2" t="str">
        <x:v>China</x:v>
      </x:c>
      <x:c r="D58" s="2" t="str">
        <x:v>61103099</x:v>
      </x:c>
      <x:c r="E58" s="16" t="n">
        <x:v>48301351</x:v>
      </x:c>
      <x:c r="F58" s="16" t="n">
        <x:v>2829858</x:v>
      </x:c>
      <x:c r="G58" s="2" t="n">
        <x:v>6</x:v>
      </x:c>
      <x:c r="H58" s="2" t="n">
        <x:v>0</x:v>
      </x:c>
      <x:c r="I58" s="17" t="n">
        <x:v>17.068471633559</x:v>
      </x:c>
      <x:c r="J58" s="2" t="n">
        <x:v>202501</x:v>
      </x:c>
      <x:c r="K58" s="2" t="n">
        <x:v>202506</x:v>
      </x:c>
      <x:c r="L58" s="16" t="n">
        <x:f>SUMIFS('Monthly_Data'!$E$6:$E$797,'Monthly_Data'!$B$6:$B$797,"&gt;="&amp;J58,'Monthly_Data'!$B$6:$B$797,"&lt;="&amp;K58,'Monthly_Data'!$C$6:$C$797,D58,'Monthly_Data'!$D$6:$D$797,C58,'Monthly_Data'!$I$6:$I$797,1)</x:f>
        <x:v>48301351</x:v>
      </x:c>
      <x:c r="M58" s="16" t="n">
        <x:f>SUMIFS('Monthly_Data'!$F$6:$F$797,'Monthly_Data'!$B$6:$B$797,"&gt;="&amp;J58,'Monthly_Data'!$B$6:$B$797,"&lt;="&amp;K58,'Monthly_Data'!$C$6:$C$797,D58,'Monthly_Data'!$D$6:$D$797,C58,'Monthly_Data'!$I$6:$I$797,1)</x:f>
        <x:v>2829858</x:v>
      </x:c>
      <x:c r="N58" s="2" t="n">
        <x:f>COUNTIFS('Monthly_Data'!$B$6:$B$797,"&gt;="&amp;J58,'Monthly_Data'!$B$6:$B$797,"&lt;="&amp;K58,'Monthly_Data'!$C$6:$C$797,D58,'Monthly_Data'!$D$6:$D$797,C58,'Monthly_Data'!$I$6:$I$797,1)</x:f>
        <x:v>6</x:v>
      </x:c>
      <x:c r="O58" s="17" t="n">
        <x:f>IF(M58&gt;0,L58/M58,"n.a.")</x:f>
        <x:v>17.068471633559</x:v>
      </x:c>
      <x:c r="P58" s="2" t="n">
        <x:f>COUNTIFS($A$6:$A$125,A58)</x:f>
        <x:v>1</x:v>
      </x:c>
      <x:c r="Q58" s="2"/>
      <x:c r="R58" s="2"/>
      <x:c r="S58" s="2"/>
    </x:row>
    <x:row r="59" ht="23" customHeight="1">
      <x:c r="A59" s="2" t="str">
        <x:v>H1 2025|India|61103099</x:v>
      </x:c>
      <x:c r="B59" s="2" t="str">
        <x:v>H1 2025</x:v>
      </x:c>
      <x:c r="C59" s="2" t="str">
        <x:v>India</x:v>
      </x:c>
      <x:c r="D59" s="2" t="str">
        <x:v>61103099</x:v>
      </x:c>
      <x:c r="E59" s="16" t="n">
        <x:v>932801</x:v>
      </x:c>
      <x:c r="F59" s="16" t="n">
        <x:v>64901</x:v>
      </x:c>
      <x:c r="G59" s="2" t="n">
        <x:v>6</x:v>
      </x:c>
      <x:c r="H59" s="2" t="n">
        <x:v>0</x:v>
      </x:c>
      <x:c r="I59" s="17" t="n">
        <x:v>14.372675305465247</x:v>
      </x:c>
      <x:c r="J59" s="2" t="n">
        <x:v>202501</x:v>
      </x:c>
      <x:c r="K59" s="2" t="n">
        <x:v>202506</x:v>
      </x:c>
      <x:c r="L59" s="16" t="n">
        <x:f>SUMIFS('Monthly_Data'!$E$6:$E$797,'Monthly_Data'!$B$6:$B$797,"&gt;="&amp;J59,'Monthly_Data'!$B$6:$B$797,"&lt;="&amp;K59,'Monthly_Data'!$C$6:$C$797,D59,'Monthly_Data'!$D$6:$D$797,C59,'Monthly_Data'!$I$6:$I$797,1)</x:f>
        <x:v>932801</x:v>
      </x:c>
      <x:c r="M59" s="16" t="n">
        <x:f>SUMIFS('Monthly_Data'!$F$6:$F$797,'Monthly_Data'!$B$6:$B$797,"&gt;="&amp;J59,'Monthly_Data'!$B$6:$B$797,"&lt;="&amp;K59,'Monthly_Data'!$C$6:$C$797,D59,'Monthly_Data'!$D$6:$D$797,C59,'Monthly_Data'!$I$6:$I$797,1)</x:f>
        <x:v>64901</x:v>
      </x:c>
      <x:c r="N59" s="2" t="n">
        <x:f>COUNTIFS('Monthly_Data'!$B$6:$B$797,"&gt;="&amp;J59,'Monthly_Data'!$B$6:$B$797,"&lt;="&amp;K59,'Monthly_Data'!$C$6:$C$797,D59,'Monthly_Data'!$D$6:$D$797,C59,'Monthly_Data'!$I$6:$I$797,1)</x:f>
        <x:v>6</x:v>
      </x:c>
      <x:c r="O59" s="17" t="n">
        <x:f>IF(M59&gt;0,L59/M59,"n.a.")</x:f>
        <x:v>14.372675305465247</x:v>
      </x:c>
      <x:c r="P59" s="2" t="n">
        <x:f>COUNTIFS($A$6:$A$125,A59)</x:f>
        <x:v>1</x:v>
      </x:c>
      <x:c r="Q59" s="2"/>
      <x:c r="R59" s="2"/>
      <x:c r="S59" s="2"/>
    </x:row>
    <x:row r="60" ht="23" customHeight="1">
      <x:c r="A60" s="2" t="str">
        <x:v>H1 2025|Morocco|61103099</x:v>
      </x:c>
      <x:c r="B60" s="2" t="str">
        <x:v>H1 2025</x:v>
      </x:c>
      <x:c r="C60" s="2" t="str">
        <x:v>Morocco</x:v>
      </x:c>
      <x:c r="D60" s="2" t="str">
        <x:v>61103099</x:v>
      </x:c>
      <x:c r="E60" s="16" t="n">
        <x:v>177153</x:v>
      </x:c>
      <x:c r="F60" s="16" t="n">
        <x:v>12853</x:v>
      </x:c>
      <x:c r="G60" s="2" t="n">
        <x:v>6</x:v>
      </x:c>
      <x:c r="H60" s="2" t="n">
        <x:v>0</x:v>
      </x:c>
      <x:c r="I60" s="17" t="n">
        <x:v>13.783007858087606</x:v>
      </x:c>
      <x:c r="J60" s="2" t="n">
        <x:v>202501</x:v>
      </x:c>
      <x:c r="K60" s="2" t="n">
        <x:v>202506</x:v>
      </x:c>
      <x:c r="L60" s="16" t="n">
        <x:f>SUMIFS('Monthly_Data'!$E$6:$E$797,'Monthly_Data'!$B$6:$B$797,"&gt;="&amp;J60,'Monthly_Data'!$B$6:$B$797,"&lt;="&amp;K60,'Monthly_Data'!$C$6:$C$797,D60,'Monthly_Data'!$D$6:$D$797,C60,'Monthly_Data'!$I$6:$I$797,1)</x:f>
        <x:v>177153</x:v>
      </x:c>
      <x:c r="M60" s="16" t="n">
        <x:f>SUMIFS('Monthly_Data'!$F$6:$F$797,'Monthly_Data'!$B$6:$B$797,"&gt;="&amp;J60,'Monthly_Data'!$B$6:$B$797,"&lt;="&amp;K60,'Monthly_Data'!$C$6:$C$797,D60,'Monthly_Data'!$D$6:$D$797,C60,'Monthly_Data'!$I$6:$I$797,1)</x:f>
        <x:v>12853</x:v>
      </x:c>
      <x:c r="N60" s="2" t="n">
        <x:f>COUNTIFS('Monthly_Data'!$B$6:$B$797,"&gt;="&amp;J60,'Monthly_Data'!$B$6:$B$797,"&lt;="&amp;K60,'Monthly_Data'!$C$6:$C$797,D60,'Monthly_Data'!$D$6:$D$797,C60,'Monthly_Data'!$I$6:$I$797,1)</x:f>
        <x:v>6</x:v>
      </x:c>
      <x:c r="O60" s="17" t="n">
        <x:f>IF(M60&gt;0,L60/M60,"n.a.")</x:f>
        <x:v>13.783007858087606</x:v>
      </x:c>
      <x:c r="P60" s="2" t="n">
        <x:f>COUNTIFS($A$6:$A$125,A60)</x:f>
        <x:v>1</x:v>
      </x:c>
      <x:c r="Q60" s="2"/>
      <x:c r="R60" s="2"/>
      <x:c r="S60" s="2"/>
    </x:row>
    <x:row r="61" ht="23" customHeight="1">
      <x:c r="A61" s="2" t="str">
        <x:v>H1 2025|Myanmar|61103099</x:v>
      </x:c>
      <x:c r="B61" s="2" t="str">
        <x:v>H1 2025</x:v>
      </x:c>
      <x:c r="C61" s="2" t="str">
        <x:v>Myanmar</x:v>
      </x:c>
      <x:c r="D61" s="2" t="str">
        <x:v>61103099</x:v>
      </x:c>
      <x:c r="E61" s="16" t="n">
        <x:v>1277975</x:v>
      </x:c>
      <x:c r="F61" s="16" t="n">
        <x:v>75072</x:v>
      </x:c>
      <x:c r="G61" s="2" t="n">
        <x:v>6</x:v>
      </x:c>
      <x:c r="H61" s="2" t="n">
        <x:v>0</x:v>
      </x:c>
      <x:c r="I61" s="17" t="n">
        <x:v>17.02332427536232</x:v>
      </x:c>
      <x:c r="J61" s="2" t="n">
        <x:v>202501</x:v>
      </x:c>
      <x:c r="K61" s="2" t="n">
        <x:v>202506</x:v>
      </x:c>
      <x:c r="L61" s="16" t="n">
        <x:f>SUMIFS('Monthly_Data'!$E$6:$E$797,'Monthly_Data'!$B$6:$B$797,"&gt;="&amp;J61,'Monthly_Data'!$B$6:$B$797,"&lt;="&amp;K61,'Monthly_Data'!$C$6:$C$797,D61,'Monthly_Data'!$D$6:$D$797,C61,'Monthly_Data'!$I$6:$I$797,1)</x:f>
        <x:v>1277975</x:v>
      </x:c>
      <x:c r="M61" s="16" t="n">
        <x:f>SUMIFS('Monthly_Data'!$F$6:$F$797,'Monthly_Data'!$B$6:$B$797,"&gt;="&amp;J61,'Monthly_Data'!$B$6:$B$797,"&lt;="&amp;K61,'Monthly_Data'!$C$6:$C$797,D61,'Monthly_Data'!$D$6:$D$797,C61,'Monthly_Data'!$I$6:$I$797,1)</x:f>
        <x:v>75072</x:v>
      </x:c>
      <x:c r="N61" s="2" t="n">
        <x:f>COUNTIFS('Monthly_Data'!$B$6:$B$797,"&gt;="&amp;J61,'Monthly_Data'!$B$6:$B$797,"&lt;="&amp;K61,'Monthly_Data'!$C$6:$C$797,D61,'Monthly_Data'!$D$6:$D$797,C61,'Monthly_Data'!$I$6:$I$797,1)</x:f>
        <x:v>6</x:v>
      </x:c>
      <x:c r="O61" s="17" t="n">
        <x:f>IF(M61&gt;0,L61/M61,"n.a.")</x:f>
        <x:v>17.02332427536232</x:v>
      </x:c>
      <x:c r="P61" s="2" t="n">
        <x:f>COUNTIFS($A$6:$A$125,A61)</x:f>
        <x:v>1</x:v>
      </x:c>
      <x:c r="Q61" s="2"/>
      <x:c r="R61" s="2"/>
      <x:c r="S61" s="2"/>
    </x:row>
    <x:row r="62" ht="23" customHeight="1">
      <x:c r="A62" s="2" t="str">
        <x:v>H1 2025|Pakistan|61103099</x:v>
      </x:c>
      <x:c r="B62" s="2" t="str">
        <x:v>H1 2025</x:v>
      </x:c>
      <x:c r="C62" s="2" t="str">
        <x:v>Pakistan</x:v>
      </x:c>
      <x:c r="D62" s="2" t="str">
        <x:v>61103099</x:v>
      </x:c>
      <x:c r="E62" s="16" t="n">
        <x:v>2863632</x:v>
      </x:c>
      <x:c r="F62" s="16" t="n">
        <x:v>208997</x:v>
      </x:c>
      <x:c r="G62" s="2" t="n">
        <x:v>6</x:v>
      </x:c>
      <x:c r="H62" s="2" t="n">
        <x:v>0</x:v>
      </x:c>
      <x:c r="I62" s="17" t="n">
        <x:v>13.701785193088895</x:v>
      </x:c>
      <x:c r="J62" s="2" t="n">
        <x:v>202501</x:v>
      </x:c>
      <x:c r="K62" s="2" t="n">
        <x:v>202506</x:v>
      </x:c>
      <x:c r="L62" s="16" t="n">
        <x:f>SUMIFS('Monthly_Data'!$E$6:$E$797,'Monthly_Data'!$B$6:$B$797,"&gt;="&amp;J62,'Monthly_Data'!$B$6:$B$797,"&lt;="&amp;K62,'Monthly_Data'!$C$6:$C$797,D62,'Monthly_Data'!$D$6:$D$797,C62,'Monthly_Data'!$I$6:$I$797,1)</x:f>
        <x:v>2863632</x:v>
      </x:c>
      <x:c r="M62" s="16" t="n">
        <x:f>SUMIFS('Monthly_Data'!$F$6:$F$797,'Monthly_Data'!$B$6:$B$797,"&gt;="&amp;J62,'Monthly_Data'!$B$6:$B$797,"&lt;="&amp;K62,'Monthly_Data'!$C$6:$C$797,D62,'Monthly_Data'!$D$6:$D$797,C62,'Monthly_Data'!$I$6:$I$797,1)</x:f>
        <x:v>208997</x:v>
      </x:c>
      <x:c r="N62" s="2" t="n">
        <x:f>COUNTIFS('Monthly_Data'!$B$6:$B$797,"&gt;="&amp;J62,'Monthly_Data'!$B$6:$B$797,"&lt;="&amp;K62,'Monthly_Data'!$C$6:$C$797,D62,'Monthly_Data'!$D$6:$D$797,C62,'Monthly_Data'!$I$6:$I$797,1)</x:f>
        <x:v>6</x:v>
      </x:c>
      <x:c r="O62" s="17" t="n">
        <x:f>IF(M62&gt;0,L62/M62,"n.a.")</x:f>
        <x:v>13.701785193088895</x:v>
      </x:c>
      <x:c r="P62" s="2" t="n">
        <x:f>COUNTIFS($A$6:$A$125,A62)</x:f>
        <x:v>1</x:v>
      </x:c>
      <x:c r="Q62" s="2"/>
      <x:c r="R62" s="2"/>
      <x:c r="S62" s="2"/>
    </x:row>
    <x:row r="63" ht="23" customHeight="1">
      <x:c r="A63" s="2" t="str">
        <x:v>H1 2025|Sri Lanka|61103099</x:v>
      </x:c>
      <x:c r="B63" s="2" t="str">
        <x:v>H1 2025</x:v>
      </x:c>
      <x:c r="C63" s="2" t="str">
        <x:v>Sri Lanka</x:v>
      </x:c>
      <x:c r="D63" s="2" t="str">
        <x:v>61103099</x:v>
      </x:c>
      <x:c r="E63" s="16" t="n">
        <x:v>707193</x:v>
      </x:c>
      <x:c r="F63" s="16" t="n">
        <x:v>37952</x:v>
      </x:c>
      <x:c r="G63" s="2" t="n">
        <x:v>6</x:v>
      </x:c>
      <x:c r="H63" s="2" t="n">
        <x:v>0</x:v>
      </x:c>
      <x:c r="I63" s="17" t="n">
        <x:v>18.633879637436763</x:v>
      </x:c>
      <x:c r="J63" s="2" t="n">
        <x:v>202501</x:v>
      </x:c>
      <x:c r="K63" s="2" t="n">
        <x:v>202506</x:v>
      </x:c>
      <x:c r="L63" s="16" t="n">
        <x:f>SUMIFS('Monthly_Data'!$E$6:$E$797,'Monthly_Data'!$B$6:$B$797,"&gt;="&amp;J63,'Monthly_Data'!$B$6:$B$797,"&lt;="&amp;K63,'Monthly_Data'!$C$6:$C$797,D63,'Monthly_Data'!$D$6:$D$797,C63,'Monthly_Data'!$I$6:$I$797,1)</x:f>
        <x:v>707193</x:v>
      </x:c>
      <x:c r="M63" s="16" t="n">
        <x:f>SUMIFS('Monthly_Data'!$F$6:$F$797,'Monthly_Data'!$B$6:$B$797,"&gt;="&amp;J63,'Monthly_Data'!$B$6:$B$797,"&lt;="&amp;K63,'Monthly_Data'!$C$6:$C$797,D63,'Monthly_Data'!$D$6:$D$797,C63,'Monthly_Data'!$I$6:$I$797,1)</x:f>
        <x:v>37952</x:v>
      </x:c>
      <x:c r="N63" s="2" t="n">
        <x:f>COUNTIFS('Monthly_Data'!$B$6:$B$797,"&gt;="&amp;J63,'Monthly_Data'!$B$6:$B$797,"&lt;="&amp;K63,'Monthly_Data'!$C$6:$C$797,D63,'Monthly_Data'!$D$6:$D$797,C63,'Monthly_Data'!$I$6:$I$797,1)</x:f>
        <x:v>6</x:v>
      </x:c>
      <x:c r="O63" s="17" t="n">
        <x:f>IF(M63&gt;0,L63/M63,"n.a.")</x:f>
        <x:v>18.633879637436763</x:v>
      </x:c>
      <x:c r="P63" s="2" t="n">
        <x:f>COUNTIFS($A$6:$A$125,A63)</x:f>
        <x:v>1</x:v>
      </x:c>
      <x:c r="Q63" s="2"/>
      <x:c r="R63" s="2"/>
      <x:c r="S63" s="2"/>
    </x:row>
    <x:row r="64" ht="23" customHeight="1">
      <x:c r="A64" s="2" t="str">
        <x:v>H1 2025|Turkey|61103099</x:v>
      </x:c>
      <x:c r="B64" s="2" t="str">
        <x:v>H1 2025</x:v>
      </x:c>
      <x:c r="C64" s="2" t="str">
        <x:v>Turkey</x:v>
      </x:c>
      <x:c r="D64" s="2" t="str">
        <x:v>61103099</x:v>
      </x:c>
      <x:c r="E64" s="16" t="n">
        <x:v>19881485</x:v>
      </x:c>
      <x:c r="F64" s="16" t="n">
        <x:v>1087527</x:v>
      </x:c>
      <x:c r="G64" s="2" t="n">
        <x:v>6</x:v>
      </x:c>
      <x:c r="H64" s="2" t="n">
        <x:v>0</x:v>
      </x:c>
      <x:c r="I64" s="17" t="n">
        <x:v>18.281371405031784</x:v>
      </x:c>
      <x:c r="J64" s="2" t="n">
        <x:v>202501</x:v>
      </x:c>
      <x:c r="K64" s="2" t="n">
        <x:v>202506</x:v>
      </x:c>
      <x:c r="L64" s="16" t="n">
        <x:f>SUMIFS('Monthly_Data'!$E$6:$E$797,'Monthly_Data'!$B$6:$B$797,"&gt;="&amp;J64,'Monthly_Data'!$B$6:$B$797,"&lt;="&amp;K64,'Monthly_Data'!$C$6:$C$797,D64,'Monthly_Data'!$D$6:$D$797,C64,'Monthly_Data'!$I$6:$I$797,1)</x:f>
        <x:v>19881485</x:v>
      </x:c>
      <x:c r="M64" s="16" t="n">
        <x:f>SUMIFS('Monthly_Data'!$F$6:$F$797,'Monthly_Data'!$B$6:$B$797,"&gt;="&amp;J64,'Monthly_Data'!$B$6:$B$797,"&lt;="&amp;K64,'Monthly_Data'!$C$6:$C$797,D64,'Monthly_Data'!$D$6:$D$797,C64,'Monthly_Data'!$I$6:$I$797,1)</x:f>
        <x:v>1087527</x:v>
      </x:c>
      <x:c r="N64" s="2" t="n">
        <x:f>COUNTIFS('Monthly_Data'!$B$6:$B$797,"&gt;="&amp;J64,'Monthly_Data'!$B$6:$B$797,"&lt;="&amp;K64,'Monthly_Data'!$C$6:$C$797,D64,'Monthly_Data'!$D$6:$D$797,C64,'Monthly_Data'!$I$6:$I$797,1)</x:f>
        <x:v>6</x:v>
      </x:c>
      <x:c r="O64" s="17" t="n">
        <x:f>IF(M64&gt;0,L64/M64,"n.a.")</x:f>
        <x:v>18.281371405031784</x:v>
      </x:c>
      <x:c r="P64" s="2" t="n">
        <x:f>COUNTIFS($A$6:$A$125,A64)</x:f>
        <x:v>1</x:v>
      </x:c>
      <x:c r="Q64" s="2"/>
      <x:c r="R64" s="2"/>
      <x:c r="S64" s="2"/>
    </x:row>
    <x:row r="65" ht="23" customHeight="1">
      <x:c r="A65" s="2" t="str">
        <x:v>H1 2025|Vietnam|61103099</x:v>
      </x:c>
      <x:c r="B65" s="2" t="str">
        <x:v>H1 2025</x:v>
      </x:c>
      <x:c r="C65" s="2" t="str">
        <x:v>Vietnam</x:v>
      </x:c>
      <x:c r="D65" s="2" t="str">
        <x:v>61103099</x:v>
      </x:c>
      <x:c r="E65" s="16" t="n">
        <x:v>4270297</x:v>
      </x:c>
      <x:c r="F65" s="16" t="n">
        <x:v>151487</x:v>
      </x:c>
      <x:c r="G65" s="2" t="n">
        <x:v>6</x:v>
      </x:c>
      <x:c r="H65" s="2" t="n">
        <x:v>0</x:v>
      </x:c>
      <x:c r="I65" s="17" t="n">
        <x:v>28.189197752942498</x:v>
      </x:c>
      <x:c r="J65" s="2" t="n">
        <x:v>202501</x:v>
      </x:c>
      <x:c r="K65" s="2" t="n">
        <x:v>202506</x:v>
      </x:c>
      <x:c r="L65" s="16" t="n">
        <x:f>SUMIFS('Monthly_Data'!$E$6:$E$797,'Monthly_Data'!$B$6:$B$797,"&gt;="&amp;J65,'Monthly_Data'!$B$6:$B$797,"&lt;="&amp;K65,'Monthly_Data'!$C$6:$C$797,D65,'Monthly_Data'!$D$6:$D$797,C65,'Monthly_Data'!$I$6:$I$797,1)</x:f>
        <x:v>4270297</x:v>
      </x:c>
      <x:c r="M65" s="16" t="n">
        <x:f>SUMIFS('Monthly_Data'!$F$6:$F$797,'Monthly_Data'!$B$6:$B$797,"&gt;="&amp;J65,'Monthly_Data'!$B$6:$B$797,"&lt;="&amp;K65,'Monthly_Data'!$C$6:$C$797,D65,'Monthly_Data'!$D$6:$D$797,C65,'Monthly_Data'!$I$6:$I$797,1)</x:f>
        <x:v>151487</x:v>
      </x:c>
      <x:c r="N65" s="2" t="n">
        <x:f>COUNTIFS('Monthly_Data'!$B$6:$B$797,"&gt;="&amp;J65,'Monthly_Data'!$B$6:$B$797,"&lt;="&amp;K65,'Monthly_Data'!$C$6:$C$797,D65,'Monthly_Data'!$D$6:$D$797,C65,'Monthly_Data'!$I$6:$I$797,1)</x:f>
        <x:v>6</x:v>
      </x:c>
      <x:c r="O65" s="17" t="n">
        <x:f>IF(M65&gt;0,L65/M65,"n.a.")</x:f>
        <x:v>28.189197752942498</x:v>
      </x:c>
      <x:c r="P65" s="2" t="n">
        <x:f>COUNTIFS($A$6:$A$125,A65)</x:f>
        <x:v>1</x:v>
      </x:c>
      <x:c r="Q65" s="2"/>
      <x:c r="R65" s="2"/>
      <x:c r="S65" s="2"/>
    </x:row>
    <x:row r="66" ht="23" customHeight="1">
      <x:c r="A66" s="2" t="str">
        <x:v>H1 2025|Bangladesh|62044300</x:v>
      </x:c>
      <x:c r="B66" s="2" t="str">
        <x:v>H1 2025</x:v>
      </x:c>
      <x:c r="C66" s="2" t="str">
        <x:v>Bangladesh</x:v>
      </x:c>
      <x:c r="D66" s="2" t="str">
        <x:v>62044300</x:v>
      </x:c>
      <x:c r="E66" s="16" t="n">
        <x:v>6638434</x:v>
      </x:c>
      <x:c r="F66" s="16" t="n">
        <x:v>395583</x:v>
      </x:c>
      <x:c r="G66" s="2" t="n">
        <x:v>6</x:v>
      </x:c>
      <x:c r="H66" s="2" t="n">
        <x:v>0</x:v>
      </x:c>
      <x:c r="I66" s="17" t="n">
        <x:v>16.781393538144965</x:v>
      </x:c>
      <x:c r="J66" s="2" t="n">
        <x:v>202501</x:v>
      </x:c>
      <x:c r="K66" s="2" t="n">
        <x:v>202506</x:v>
      </x:c>
      <x:c r="L66" s="16" t="n">
        <x:f>SUMIFS('Monthly_Data'!$E$6:$E$797,'Monthly_Data'!$B$6:$B$797,"&gt;="&amp;J66,'Monthly_Data'!$B$6:$B$797,"&lt;="&amp;K66,'Monthly_Data'!$C$6:$C$797,D66,'Monthly_Data'!$D$6:$D$797,C66,'Monthly_Data'!$I$6:$I$797,1)</x:f>
        <x:v>6638434</x:v>
      </x:c>
      <x:c r="M66" s="16" t="n">
        <x:f>SUMIFS('Monthly_Data'!$F$6:$F$797,'Monthly_Data'!$B$6:$B$797,"&gt;="&amp;J66,'Monthly_Data'!$B$6:$B$797,"&lt;="&amp;K66,'Monthly_Data'!$C$6:$C$797,D66,'Monthly_Data'!$D$6:$D$797,C66,'Monthly_Data'!$I$6:$I$797,1)</x:f>
        <x:v>395583</x:v>
      </x:c>
      <x:c r="N66" s="2" t="n">
        <x:f>COUNTIFS('Monthly_Data'!$B$6:$B$797,"&gt;="&amp;J66,'Monthly_Data'!$B$6:$B$797,"&lt;="&amp;K66,'Monthly_Data'!$C$6:$C$797,D66,'Monthly_Data'!$D$6:$D$797,C66,'Monthly_Data'!$I$6:$I$797,1)</x:f>
        <x:v>6</x:v>
      </x:c>
      <x:c r="O66" s="17" t="n">
        <x:f>IF(M66&gt;0,L66/M66,"n.a.")</x:f>
        <x:v>16.781393538144965</x:v>
      </x:c>
      <x:c r="P66" s="2" t="n">
        <x:f>COUNTIFS($A$6:$A$125,A66)</x:f>
        <x:v>1</x:v>
      </x:c>
      <x:c r="Q66" s="2"/>
      <x:c r="R66" s="2"/>
      <x:c r="S66" s="2"/>
    </x:row>
    <x:row r="67" ht="23" customHeight="1">
      <x:c r="A67" s="2" t="str">
        <x:v>H1 2025|Cambodia|62044300</x:v>
      </x:c>
      <x:c r="B67" s="2" t="str">
        <x:v>H1 2025</x:v>
      </x:c>
      <x:c r="C67" s="2" t="str">
        <x:v>Cambodia</x:v>
      </x:c>
      <x:c r="D67" s="2" t="str">
        <x:v>62044300</x:v>
      </x:c>
      <x:c r="E67" s="16" t="n">
        <x:v>1967492</x:v>
      </x:c>
      <x:c r="F67" s="16" t="n">
        <x:v>114785</x:v>
      </x:c>
      <x:c r="G67" s="2" t="n">
        <x:v>6</x:v>
      </x:c>
      <x:c r="H67" s="2" t="n">
        <x:v>0</x:v>
      </x:c>
      <x:c r="I67" s="17" t="n">
        <x:v>17.1406716905519</x:v>
      </x:c>
      <x:c r="J67" s="2" t="n">
        <x:v>202501</x:v>
      </x:c>
      <x:c r="K67" s="2" t="n">
        <x:v>202506</x:v>
      </x:c>
      <x:c r="L67" s="16" t="n">
        <x:f>SUMIFS('Monthly_Data'!$E$6:$E$797,'Monthly_Data'!$B$6:$B$797,"&gt;="&amp;J67,'Monthly_Data'!$B$6:$B$797,"&lt;="&amp;K67,'Monthly_Data'!$C$6:$C$797,D67,'Monthly_Data'!$D$6:$D$797,C67,'Monthly_Data'!$I$6:$I$797,1)</x:f>
        <x:v>1967492</x:v>
      </x:c>
      <x:c r="M67" s="16" t="n">
        <x:f>SUMIFS('Monthly_Data'!$F$6:$F$797,'Monthly_Data'!$B$6:$B$797,"&gt;="&amp;J67,'Monthly_Data'!$B$6:$B$797,"&lt;="&amp;K67,'Monthly_Data'!$C$6:$C$797,D67,'Monthly_Data'!$D$6:$D$797,C67,'Monthly_Data'!$I$6:$I$797,1)</x:f>
        <x:v>114785</x:v>
      </x:c>
      <x:c r="N67" s="2" t="n">
        <x:f>COUNTIFS('Monthly_Data'!$B$6:$B$797,"&gt;="&amp;J67,'Monthly_Data'!$B$6:$B$797,"&lt;="&amp;K67,'Monthly_Data'!$C$6:$C$797,D67,'Monthly_Data'!$D$6:$D$797,C67,'Monthly_Data'!$I$6:$I$797,1)</x:f>
        <x:v>6</x:v>
      </x:c>
      <x:c r="O67" s="17" t="n">
        <x:f>IF(M67&gt;0,L67/M67,"n.a.")</x:f>
        <x:v>17.1406716905519</x:v>
      </x:c>
      <x:c r="P67" s="2" t="n">
        <x:f>COUNTIFS($A$6:$A$125,A67)</x:f>
        <x:v>1</x:v>
      </x:c>
      <x:c r="Q67" s="2"/>
      <x:c r="R67" s="2"/>
      <x:c r="S67" s="2"/>
    </x:row>
    <x:row r="68" ht="23" customHeight="1">
      <x:c r="A68" s="2" t="str">
        <x:v>H1 2025|China|62044300</x:v>
      </x:c>
      <x:c r="B68" s="2" t="str">
        <x:v>H1 2025</x:v>
      </x:c>
      <x:c r="C68" s="2" t="str">
        <x:v>China</x:v>
      </x:c>
      <x:c r="D68" s="2" t="str">
        <x:v>62044300</x:v>
      </x:c>
      <x:c r="E68" s="16" t="n">
        <x:v>49523896</x:v>
      </x:c>
      <x:c r="F68" s="16" t="n">
        <x:v>1751053</x:v>
      </x:c>
      <x:c r="G68" s="2" t="n">
        <x:v>6</x:v>
      </x:c>
      <x:c r="H68" s="2" t="n">
        <x:v>0</x:v>
      </x:c>
      <x:c r="I68" s="17" t="n">
        <x:v>28.282351248077585</x:v>
      </x:c>
      <x:c r="J68" s="2" t="n">
        <x:v>202501</x:v>
      </x:c>
      <x:c r="K68" s="2" t="n">
        <x:v>202506</x:v>
      </x:c>
      <x:c r="L68" s="16" t="n">
        <x:f>SUMIFS('Monthly_Data'!$E$6:$E$797,'Monthly_Data'!$B$6:$B$797,"&gt;="&amp;J68,'Monthly_Data'!$B$6:$B$797,"&lt;="&amp;K68,'Monthly_Data'!$C$6:$C$797,D68,'Monthly_Data'!$D$6:$D$797,C68,'Monthly_Data'!$I$6:$I$797,1)</x:f>
        <x:v>49523896</x:v>
      </x:c>
      <x:c r="M68" s="16" t="n">
        <x:f>SUMIFS('Monthly_Data'!$F$6:$F$797,'Monthly_Data'!$B$6:$B$797,"&gt;="&amp;J68,'Monthly_Data'!$B$6:$B$797,"&lt;="&amp;K68,'Monthly_Data'!$C$6:$C$797,D68,'Monthly_Data'!$D$6:$D$797,C68,'Monthly_Data'!$I$6:$I$797,1)</x:f>
        <x:v>1751053</x:v>
      </x:c>
      <x:c r="N68" s="2" t="n">
        <x:f>COUNTIFS('Monthly_Data'!$B$6:$B$797,"&gt;="&amp;J68,'Monthly_Data'!$B$6:$B$797,"&lt;="&amp;K68,'Monthly_Data'!$C$6:$C$797,D68,'Monthly_Data'!$D$6:$D$797,C68,'Monthly_Data'!$I$6:$I$797,1)</x:f>
        <x:v>6</x:v>
      </x:c>
      <x:c r="O68" s="17" t="n">
        <x:f>IF(M68&gt;0,L68/M68,"n.a.")</x:f>
        <x:v>28.282351248077585</x:v>
      </x:c>
      <x:c r="P68" s="2" t="n">
        <x:f>COUNTIFS($A$6:$A$125,A68)</x:f>
        <x:v>1</x:v>
      </x:c>
      <x:c r="Q68" s="2"/>
      <x:c r="R68" s="2"/>
      <x:c r="S68" s="2"/>
    </x:row>
    <x:row r="69" ht="23" customHeight="1">
      <x:c r="A69" s="2" t="str">
        <x:v>H1 2025|India|62044300</x:v>
      </x:c>
      <x:c r="B69" s="2" t="str">
        <x:v>H1 2025</x:v>
      </x:c>
      <x:c r="C69" s="2" t="str">
        <x:v>India</x:v>
      </x:c>
      <x:c r="D69" s="2" t="str">
        <x:v>62044300</x:v>
      </x:c>
      <x:c r="E69" s="16" t="n">
        <x:v>20894616</x:v>
      </x:c>
      <x:c r="F69" s="16" t="n">
        <x:v>746374</x:v>
      </x:c>
      <x:c r="G69" s="2" t="n">
        <x:v>6</x:v>
      </x:c>
      <x:c r="H69" s="2" t="n">
        <x:v>0</x:v>
      </x:c>
      <x:c r="I69" s="17" t="n">
        <x:v>27.994833689276422</x:v>
      </x:c>
      <x:c r="J69" s="2" t="n">
        <x:v>202501</x:v>
      </x:c>
      <x:c r="K69" s="2" t="n">
        <x:v>202506</x:v>
      </x:c>
      <x:c r="L69" s="16" t="n">
        <x:f>SUMIFS('Monthly_Data'!$E$6:$E$797,'Monthly_Data'!$B$6:$B$797,"&gt;="&amp;J69,'Monthly_Data'!$B$6:$B$797,"&lt;="&amp;K69,'Monthly_Data'!$C$6:$C$797,D69,'Monthly_Data'!$D$6:$D$797,C69,'Monthly_Data'!$I$6:$I$797,1)</x:f>
        <x:v>20894616</x:v>
      </x:c>
      <x:c r="M69" s="16" t="n">
        <x:f>SUMIFS('Monthly_Data'!$F$6:$F$797,'Monthly_Data'!$B$6:$B$797,"&gt;="&amp;J69,'Monthly_Data'!$B$6:$B$797,"&lt;="&amp;K69,'Monthly_Data'!$C$6:$C$797,D69,'Monthly_Data'!$D$6:$D$797,C69,'Monthly_Data'!$I$6:$I$797,1)</x:f>
        <x:v>746374</x:v>
      </x:c>
      <x:c r="N69" s="2" t="n">
        <x:f>COUNTIFS('Monthly_Data'!$B$6:$B$797,"&gt;="&amp;J69,'Monthly_Data'!$B$6:$B$797,"&lt;="&amp;K69,'Monthly_Data'!$C$6:$C$797,D69,'Monthly_Data'!$D$6:$D$797,C69,'Monthly_Data'!$I$6:$I$797,1)</x:f>
        <x:v>6</x:v>
      </x:c>
      <x:c r="O69" s="17" t="n">
        <x:f>IF(M69&gt;0,L69/M69,"n.a.")</x:f>
        <x:v>27.994833689276422</x:v>
      </x:c>
      <x:c r="P69" s="2" t="n">
        <x:f>COUNTIFS($A$6:$A$125,A69)</x:f>
        <x:v>1</x:v>
      </x:c>
      <x:c r="Q69" s="2"/>
      <x:c r="R69" s="2"/>
      <x:c r="S69" s="2"/>
    </x:row>
    <x:row r="70" ht="23" customHeight="1">
      <x:c r="A70" s="2" t="str">
        <x:v>H1 2025|Morocco|62044300</x:v>
      </x:c>
      <x:c r="B70" s="2" t="str">
        <x:v>H1 2025</x:v>
      </x:c>
      <x:c r="C70" s="2" t="str">
        <x:v>Morocco</x:v>
      </x:c>
      <x:c r="D70" s="2" t="str">
        <x:v>62044300</x:v>
      </x:c>
      <x:c r="E70" s="16" t="n">
        <x:v>6596648</x:v>
      </x:c>
      <x:c r="F70" s="16" t="n">
        <x:v>313649</x:v>
      </x:c>
      <x:c r="G70" s="2" t="n">
        <x:v>6</x:v>
      </x:c>
      <x:c r="H70" s="2" t="n">
        <x:v>0</x:v>
      </x:c>
      <x:c r="I70" s="17" t="n">
        <x:v>21.03194335068819</x:v>
      </x:c>
      <x:c r="J70" s="2" t="n">
        <x:v>202501</x:v>
      </x:c>
      <x:c r="K70" s="2" t="n">
        <x:v>202506</x:v>
      </x:c>
      <x:c r="L70" s="16" t="n">
        <x:f>SUMIFS('Monthly_Data'!$E$6:$E$797,'Monthly_Data'!$B$6:$B$797,"&gt;="&amp;J70,'Monthly_Data'!$B$6:$B$797,"&lt;="&amp;K70,'Monthly_Data'!$C$6:$C$797,D70,'Monthly_Data'!$D$6:$D$797,C70,'Monthly_Data'!$I$6:$I$797,1)</x:f>
        <x:v>6596648</x:v>
      </x:c>
      <x:c r="M70" s="16" t="n">
        <x:f>SUMIFS('Monthly_Data'!$F$6:$F$797,'Monthly_Data'!$B$6:$B$797,"&gt;="&amp;J70,'Monthly_Data'!$B$6:$B$797,"&lt;="&amp;K70,'Monthly_Data'!$C$6:$C$797,D70,'Monthly_Data'!$D$6:$D$797,C70,'Monthly_Data'!$I$6:$I$797,1)</x:f>
        <x:v>313649</x:v>
      </x:c>
      <x:c r="N70" s="2" t="n">
        <x:f>COUNTIFS('Monthly_Data'!$B$6:$B$797,"&gt;="&amp;J70,'Monthly_Data'!$B$6:$B$797,"&lt;="&amp;K70,'Monthly_Data'!$C$6:$C$797,D70,'Monthly_Data'!$D$6:$D$797,C70,'Monthly_Data'!$I$6:$I$797,1)</x:f>
        <x:v>6</x:v>
      </x:c>
      <x:c r="O70" s="17" t="n">
        <x:f>IF(M70&gt;0,L70/M70,"n.a.")</x:f>
        <x:v>21.03194335068819</x:v>
      </x:c>
      <x:c r="P70" s="2" t="n">
        <x:f>COUNTIFS($A$6:$A$125,A70)</x:f>
        <x:v>1</x:v>
      </x:c>
      <x:c r="Q70" s="2"/>
      <x:c r="R70" s="2"/>
      <x:c r="S70" s="2"/>
    </x:row>
    <x:row r="71" ht="23" customHeight="1">
      <x:c r="A71" s="2" t="str">
        <x:v>H1 2025|Myanmar|62044300</x:v>
      </x:c>
      <x:c r="B71" s="2" t="str">
        <x:v>H1 2025</x:v>
      </x:c>
      <x:c r="C71" s="2" t="str">
        <x:v>Myanmar</x:v>
      </x:c>
      <x:c r="D71" s="2" t="str">
        <x:v>62044300</x:v>
      </x:c>
      <x:c r="E71" s="16" t="n">
        <x:v>2158407</x:v>
      </x:c>
      <x:c r="F71" s="16" t="n">
        <x:v>48030</x:v>
      </x:c>
      <x:c r="G71" s="2" t="n">
        <x:v>6</x:v>
      </x:c>
      <x:c r="H71" s="2" t="n">
        <x:v>0</x:v>
      </x:c>
      <x:c r="I71" s="17" t="n">
        <x:v>44.93872579637726</x:v>
      </x:c>
      <x:c r="J71" s="2" t="n">
        <x:v>202501</x:v>
      </x:c>
      <x:c r="K71" s="2" t="n">
        <x:v>202506</x:v>
      </x:c>
      <x:c r="L71" s="16" t="n">
        <x:f>SUMIFS('Monthly_Data'!$E$6:$E$797,'Monthly_Data'!$B$6:$B$797,"&gt;="&amp;J71,'Monthly_Data'!$B$6:$B$797,"&lt;="&amp;K71,'Monthly_Data'!$C$6:$C$797,D71,'Monthly_Data'!$D$6:$D$797,C71,'Monthly_Data'!$I$6:$I$797,1)</x:f>
        <x:v>2158407</x:v>
      </x:c>
      <x:c r="M71" s="16" t="n">
        <x:f>SUMIFS('Monthly_Data'!$F$6:$F$797,'Monthly_Data'!$B$6:$B$797,"&gt;="&amp;J71,'Monthly_Data'!$B$6:$B$797,"&lt;="&amp;K71,'Monthly_Data'!$C$6:$C$797,D71,'Monthly_Data'!$D$6:$D$797,C71,'Monthly_Data'!$I$6:$I$797,1)</x:f>
        <x:v>48030</x:v>
      </x:c>
      <x:c r="N71" s="2" t="n">
        <x:f>COUNTIFS('Monthly_Data'!$B$6:$B$797,"&gt;="&amp;J71,'Monthly_Data'!$B$6:$B$797,"&lt;="&amp;K71,'Monthly_Data'!$C$6:$C$797,D71,'Monthly_Data'!$D$6:$D$797,C71,'Monthly_Data'!$I$6:$I$797,1)</x:f>
        <x:v>6</x:v>
      </x:c>
      <x:c r="O71" s="17" t="n">
        <x:f>IF(M71&gt;0,L71/M71,"n.a.")</x:f>
        <x:v>44.93872579637726</x:v>
      </x:c>
      <x:c r="P71" s="2" t="n">
        <x:f>COUNTIFS($A$6:$A$125,A71)</x:f>
        <x:v>1</x:v>
      </x:c>
      <x:c r="Q71" s="2"/>
      <x:c r="R71" s="2"/>
      <x:c r="S71" s="2"/>
    </x:row>
    <x:row r="72" ht="23" customHeight="1">
      <x:c r="A72" s="2" t="str">
        <x:v>H1 2025|Pakistan|62044300</x:v>
      </x:c>
      <x:c r="B72" s="2" t="str">
        <x:v>H1 2025</x:v>
      </x:c>
      <x:c r="C72" s="2" t="str">
        <x:v>Pakistan</x:v>
      </x:c>
      <x:c r="D72" s="2" t="str">
        <x:v>62044300</x:v>
      </x:c>
      <x:c r="E72" s="16" t="n">
        <x:v>993215</x:v>
      </x:c>
      <x:c r="F72" s="16" t="n">
        <x:v>48507</x:v>
      </x:c>
      <x:c r="G72" s="2" t="n">
        <x:v>6</x:v>
      </x:c>
      <x:c r="H72" s="2" t="n">
        <x:v>0</x:v>
      </x:c>
      <x:c r="I72" s="17" t="n">
        <x:v>20.475704537489435</x:v>
      </x:c>
      <x:c r="J72" s="2" t="n">
        <x:v>202501</x:v>
      </x:c>
      <x:c r="K72" s="2" t="n">
        <x:v>202506</x:v>
      </x:c>
      <x:c r="L72" s="16" t="n">
        <x:f>SUMIFS('Monthly_Data'!$E$6:$E$797,'Monthly_Data'!$B$6:$B$797,"&gt;="&amp;J72,'Monthly_Data'!$B$6:$B$797,"&lt;="&amp;K72,'Monthly_Data'!$C$6:$C$797,D72,'Monthly_Data'!$D$6:$D$797,C72,'Monthly_Data'!$I$6:$I$797,1)</x:f>
        <x:v>993215</x:v>
      </x:c>
      <x:c r="M72" s="16" t="n">
        <x:f>SUMIFS('Monthly_Data'!$F$6:$F$797,'Monthly_Data'!$B$6:$B$797,"&gt;="&amp;J72,'Monthly_Data'!$B$6:$B$797,"&lt;="&amp;K72,'Monthly_Data'!$C$6:$C$797,D72,'Monthly_Data'!$D$6:$D$797,C72,'Monthly_Data'!$I$6:$I$797,1)</x:f>
        <x:v>48507</x:v>
      </x:c>
      <x:c r="N72" s="2" t="n">
        <x:f>COUNTIFS('Monthly_Data'!$B$6:$B$797,"&gt;="&amp;J72,'Monthly_Data'!$B$6:$B$797,"&lt;="&amp;K72,'Monthly_Data'!$C$6:$C$797,D72,'Monthly_Data'!$D$6:$D$797,C72,'Monthly_Data'!$I$6:$I$797,1)</x:f>
        <x:v>6</x:v>
      </x:c>
      <x:c r="O72" s="17" t="n">
        <x:f>IF(M72&gt;0,L72/M72,"n.a.")</x:f>
        <x:v>20.475704537489435</x:v>
      </x:c>
      <x:c r="P72" s="2" t="n">
        <x:f>COUNTIFS($A$6:$A$125,A72)</x:f>
        <x:v>1</x:v>
      </x:c>
      <x:c r="Q72" s="2"/>
      <x:c r="R72" s="2"/>
      <x:c r="S72" s="2"/>
    </x:row>
    <x:row r="73" ht="23" customHeight="1">
      <x:c r="A73" s="2" t="str">
        <x:v>H1 2025|Sri Lanka|62044300</x:v>
      </x:c>
      <x:c r="B73" s="2" t="str">
        <x:v>H1 2025</x:v>
      </x:c>
      <x:c r="C73" s="2" t="str">
        <x:v>Sri Lanka</x:v>
      </x:c>
      <x:c r="D73" s="2" t="str">
        <x:v>62044300</x:v>
      </x:c>
      <x:c r="E73" s="16" t="n">
        <x:v>7265946</x:v>
      </x:c>
      <x:c r="F73" s="16" t="n">
        <x:v>419671</x:v>
      </x:c>
      <x:c r="G73" s="2" t="n">
        <x:v>6</x:v>
      </x:c>
      <x:c r="H73" s="2" t="n">
        <x:v>0</x:v>
      </x:c>
      <x:c r="I73" s="17" t="n">
        <x:v>17.31343361823905</x:v>
      </x:c>
      <x:c r="J73" s="2" t="n">
        <x:v>202501</x:v>
      </x:c>
      <x:c r="K73" s="2" t="n">
        <x:v>202506</x:v>
      </x:c>
      <x:c r="L73" s="16" t="n">
        <x:f>SUMIFS('Monthly_Data'!$E$6:$E$797,'Monthly_Data'!$B$6:$B$797,"&gt;="&amp;J73,'Monthly_Data'!$B$6:$B$797,"&lt;="&amp;K73,'Monthly_Data'!$C$6:$C$797,D73,'Monthly_Data'!$D$6:$D$797,C73,'Monthly_Data'!$I$6:$I$797,1)</x:f>
        <x:v>7265946</x:v>
      </x:c>
      <x:c r="M73" s="16" t="n">
        <x:f>SUMIFS('Monthly_Data'!$F$6:$F$797,'Monthly_Data'!$B$6:$B$797,"&gt;="&amp;J73,'Monthly_Data'!$B$6:$B$797,"&lt;="&amp;K73,'Monthly_Data'!$C$6:$C$797,D73,'Monthly_Data'!$D$6:$D$797,C73,'Monthly_Data'!$I$6:$I$797,1)</x:f>
        <x:v>419671</x:v>
      </x:c>
      <x:c r="N73" s="2" t="n">
        <x:f>COUNTIFS('Monthly_Data'!$B$6:$B$797,"&gt;="&amp;J73,'Monthly_Data'!$B$6:$B$797,"&lt;="&amp;K73,'Monthly_Data'!$C$6:$C$797,D73,'Monthly_Data'!$D$6:$D$797,C73,'Monthly_Data'!$I$6:$I$797,1)</x:f>
        <x:v>6</x:v>
      </x:c>
      <x:c r="O73" s="17" t="n">
        <x:f>IF(M73&gt;0,L73/M73,"n.a.")</x:f>
        <x:v>17.31343361823905</x:v>
      </x:c>
      <x:c r="P73" s="2" t="n">
        <x:f>COUNTIFS($A$6:$A$125,A73)</x:f>
        <x:v>1</x:v>
      </x:c>
      <x:c r="Q73" s="2"/>
      <x:c r="R73" s="2"/>
      <x:c r="S73" s="2"/>
    </x:row>
    <x:row r="74" ht="23" customHeight="1">
      <x:c r="A74" s="2" t="str">
        <x:v>H1 2025|Turkey|62044300</x:v>
      </x:c>
      <x:c r="B74" s="2" t="str">
        <x:v>H1 2025</x:v>
      </x:c>
      <x:c r="C74" s="2" t="str">
        <x:v>Turkey</x:v>
      </x:c>
      <x:c r="D74" s="2" t="str">
        <x:v>62044300</x:v>
      </x:c>
      <x:c r="E74" s="16" t="n">
        <x:v>5868992</x:v>
      </x:c>
      <x:c r="F74" s="16" t="n">
        <x:v>158653</x:v>
      </x:c>
      <x:c r="G74" s="2" t="n">
        <x:v>6</x:v>
      </x:c>
      <x:c r="H74" s="2" t="n">
        <x:v>0</x:v>
      </x:c>
      <x:c r="I74" s="17" t="n">
        <x:v>36.992631718278254</x:v>
      </x:c>
      <x:c r="J74" s="2" t="n">
        <x:v>202501</x:v>
      </x:c>
      <x:c r="K74" s="2" t="n">
        <x:v>202506</x:v>
      </x:c>
      <x:c r="L74" s="16" t="n">
        <x:f>SUMIFS('Monthly_Data'!$E$6:$E$797,'Monthly_Data'!$B$6:$B$797,"&gt;="&amp;J74,'Monthly_Data'!$B$6:$B$797,"&lt;="&amp;K74,'Monthly_Data'!$C$6:$C$797,D74,'Monthly_Data'!$D$6:$D$797,C74,'Monthly_Data'!$I$6:$I$797,1)</x:f>
        <x:v>5868992</x:v>
      </x:c>
      <x:c r="M74" s="16" t="n">
        <x:f>SUMIFS('Monthly_Data'!$F$6:$F$797,'Monthly_Data'!$B$6:$B$797,"&gt;="&amp;J74,'Monthly_Data'!$B$6:$B$797,"&lt;="&amp;K74,'Monthly_Data'!$C$6:$C$797,D74,'Monthly_Data'!$D$6:$D$797,C74,'Monthly_Data'!$I$6:$I$797,1)</x:f>
        <x:v>158653</x:v>
      </x:c>
      <x:c r="N74" s="2" t="n">
        <x:f>COUNTIFS('Monthly_Data'!$B$6:$B$797,"&gt;="&amp;J74,'Monthly_Data'!$B$6:$B$797,"&lt;="&amp;K74,'Monthly_Data'!$C$6:$C$797,D74,'Monthly_Data'!$D$6:$D$797,C74,'Monthly_Data'!$I$6:$I$797,1)</x:f>
        <x:v>6</x:v>
      </x:c>
      <x:c r="O74" s="17" t="n">
        <x:f>IF(M74&gt;0,L74/M74,"n.a.")</x:f>
        <x:v>36.992631718278254</x:v>
      </x:c>
      <x:c r="P74" s="2" t="n">
        <x:f>COUNTIFS($A$6:$A$125,A74)</x:f>
        <x:v>1</x:v>
      </x:c>
      <x:c r="Q74" s="2"/>
      <x:c r="R74" s="2"/>
      <x:c r="S74" s="2"/>
    </x:row>
    <x:row r="75" ht="23" customHeight="1">
      <x:c r="A75" s="2" t="str">
        <x:v>H1 2025|Vietnam|62044300</x:v>
      </x:c>
      <x:c r="B75" s="2" t="str">
        <x:v>H1 2025</x:v>
      </x:c>
      <x:c r="C75" s="2" t="str">
        <x:v>Vietnam</x:v>
      </x:c>
      <x:c r="D75" s="2" t="str">
        <x:v>62044300</x:v>
      </x:c>
      <x:c r="E75" s="16" t="n">
        <x:v>4155142</x:v>
      </x:c>
      <x:c r="F75" s="16" t="n">
        <x:v>170600</x:v>
      </x:c>
      <x:c r="G75" s="2" t="n">
        <x:v>6</x:v>
      </x:c>
      <x:c r="H75" s="2" t="n">
        <x:v>0</x:v>
      </x:c>
      <x:c r="I75" s="17" t="n">
        <x:v>24.356049237983587</x:v>
      </x:c>
      <x:c r="J75" s="2" t="n">
        <x:v>202501</x:v>
      </x:c>
      <x:c r="K75" s="2" t="n">
        <x:v>202506</x:v>
      </x:c>
      <x:c r="L75" s="16" t="n">
        <x:f>SUMIFS('Monthly_Data'!$E$6:$E$797,'Monthly_Data'!$B$6:$B$797,"&gt;="&amp;J75,'Monthly_Data'!$B$6:$B$797,"&lt;="&amp;K75,'Monthly_Data'!$C$6:$C$797,D75,'Monthly_Data'!$D$6:$D$797,C75,'Monthly_Data'!$I$6:$I$797,1)</x:f>
        <x:v>4155142</x:v>
      </x:c>
      <x:c r="M75" s="16" t="n">
        <x:f>SUMIFS('Monthly_Data'!$F$6:$F$797,'Monthly_Data'!$B$6:$B$797,"&gt;="&amp;J75,'Monthly_Data'!$B$6:$B$797,"&lt;="&amp;K75,'Monthly_Data'!$C$6:$C$797,D75,'Monthly_Data'!$D$6:$D$797,C75,'Monthly_Data'!$I$6:$I$797,1)</x:f>
        <x:v>170600</x:v>
      </x:c>
      <x:c r="N75" s="2" t="n">
        <x:f>COUNTIFS('Monthly_Data'!$B$6:$B$797,"&gt;="&amp;J75,'Monthly_Data'!$B$6:$B$797,"&lt;="&amp;K75,'Monthly_Data'!$C$6:$C$797,D75,'Monthly_Data'!$D$6:$D$797,C75,'Monthly_Data'!$I$6:$I$797,1)</x:f>
        <x:v>6</x:v>
      </x:c>
      <x:c r="O75" s="17" t="n">
        <x:f>IF(M75&gt;0,L75/M75,"n.a.")</x:f>
        <x:v>24.356049237983587</x:v>
      </x:c>
      <x:c r="P75" s="2" t="n">
        <x:f>COUNTIFS($A$6:$A$125,A75)</x:f>
        <x:v>1</x:v>
      </x:c>
      <x:c r="Q75" s="2"/>
      <x:c r="R75" s="2"/>
      <x:c r="S75" s="2"/>
    </x:row>
    <x:row r="76" ht="23" customHeight="1">
      <x:c r="A76" s="2" t="str">
        <x:v>H1 2025|Bangladesh|62052000</x:v>
      </x:c>
      <x:c r="B76" s="2" t="str">
        <x:v>H1 2025</x:v>
      </x:c>
      <x:c r="C76" s="2" t="str">
        <x:v>Bangladesh</x:v>
      </x:c>
      <x:c r="D76" s="2" t="str">
        <x:v>62052000</x:v>
      </x:c>
      <x:c r="E76" s="16" t="n">
        <x:v>41153034</x:v>
      </x:c>
      <x:c r="F76" s="16" t="n">
        <x:v>2170454</x:v>
      </x:c>
      <x:c r="G76" s="2" t="n">
        <x:v>6</x:v>
      </x:c>
      <x:c r="H76" s="2" t="n">
        <x:v>0</x:v>
      </x:c>
      <x:c r="I76" s="17" t="n">
        <x:v>18.960564932497995</x:v>
      </x:c>
      <x:c r="J76" s="2" t="n">
        <x:v>202501</x:v>
      </x:c>
      <x:c r="K76" s="2" t="n">
        <x:v>202506</x:v>
      </x:c>
      <x:c r="L76" s="16" t="n">
        <x:f>SUMIFS('Monthly_Data'!$E$6:$E$797,'Monthly_Data'!$B$6:$B$797,"&gt;="&amp;J76,'Monthly_Data'!$B$6:$B$797,"&lt;="&amp;K76,'Monthly_Data'!$C$6:$C$797,D76,'Monthly_Data'!$D$6:$D$797,C76,'Monthly_Data'!$I$6:$I$797,1)</x:f>
        <x:v>41153034</x:v>
      </x:c>
      <x:c r="M76" s="16" t="n">
        <x:f>SUMIFS('Monthly_Data'!$F$6:$F$797,'Monthly_Data'!$B$6:$B$797,"&gt;="&amp;J76,'Monthly_Data'!$B$6:$B$797,"&lt;="&amp;K76,'Monthly_Data'!$C$6:$C$797,D76,'Monthly_Data'!$D$6:$D$797,C76,'Monthly_Data'!$I$6:$I$797,1)</x:f>
        <x:v>2170454</x:v>
      </x:c>
      <x:c r="N76" s="2" t="n">
        <x:f>COUNTIFS('Monthly_Data'!$B$6:$B$797,"&gt;="&amp;J76,'Monthly_Data'!$B$6:$B$797,"&lt;="&amp;K76,'Monthly_Data'!$C$6:$C$797,D76,'Monthly_Data'!$D$6:$D$797,C76,'Monthly_Data'!$I$6:$I$797,1)</x:f>
        <x:v>6</x:v>
      </x:c>
      <x:c r="O76" s="17" t="n">
        <x:f>IF(M76&gt;0,L76/M76,"n.a.")</x:f>
        <x:v>18.960564932497995</x:v>
      </x:c>
      <x:c r="P76" s="2" t="n">
        <x:f>COUNTIFS($A$6:$A$125,A76)</x:f>
        <x:v>1</x:v>
      </x:c>
      <x:c r="Q76" s="2"/>
      <x:c r="R76" s="2"/>
      <x:c r="S76" s="2"/>
    </x:row>
    <x:row r="77" ht="23" customHeight="1">
      <x:c r="A77" s="2" t="str">
        <x:v>H1 2025|Cambodia|62052000</x:v>
      </x:c>
      <x:c r="B77" s="2" t="str">
        <x:v>H1 2025</x:v>
      </x:c>
      <x:c r="C77" s="2" t="str">
        <x:v>Cambodia</x:v>
      </x:c>
      <x:c r="D77" s="2" t="str">
        <x:v>62052000</x:v>
      </x:c>
      <x:c r="E77" s="16" t="n">
        <x:v>6687232</x:v>
      </x:c>
      <x:c r="F77" s="16" t="n">
        <x:v>272970</x:v>
      </x:c>
      <x:c r="G77" s="2" t="n">
        <x:v>6</x:v>
      </x:c>
      <x:c r="H77" s="2" t="n">
        <x:v>0</x:v>
      </x:c>
      <x:c r="I77" s="17" t="n">
        <x:v>24.498047404476683</x:v>
      </x:c>
      <x:c r="J77" s="2" t="n">
        <x:v>202501</x:v>
      </x:c>
      <x:c r="K77" s="2" t="n">
        <x:v>202506</x:v>
      </x:c>
      <x:c r="L77" s="16" t="n">
        <x:f>SUMIFS('Monthly_Data'!$E$6:$E$797,'Monthly_Data'!$B$6:$B$797,"&gt;="&amp;J77,'Monthly_Data'!$B$6:$B$797,"&lt;="&amp;K77,'Monthly_Data'!$C$6:$C$797,D77,'Monthly_Data'!$D$6:$D$797,C77,'Monthly_Data'!$I$6:$I$797,1)</x:f>
        <x:v>6687232</x:v>
      </x:c>
      <x:c r="M77" s="16" t="n">
        <x:f>SUMIFS('Monthly_Data'!$F$6:$F$797,'Monthly_Data'!$B$6:$B$797,"&gt;="&amp;J77,'Monthly_Data'!$B$6:$B$797,"&lt;="&amp;K77,'Monthly_Data'!$C$6:$C$797,D77,'Monthly_Data'!$D$6:$D$797,C77,'Monthly_Data'!$I$6:$I$797,1)</x:f>
        <x:v>272970</x:v>
      </x:c>
      <x:c r="N77" s="2" t="n">
        <x:f>COUNTIFS('Monthly_Data'!$B$6:$B$797,"&gt;="&amp;J77,'Monthly_Data'!$B$6:$B$797,"&lt;="&amp;K77,'Monthly_Data'!$C$6:$C$797,D77,'Monthly_Data'!$D$6:$D$797,C77,'Monthly_Data'!$I$6:$I$797,1)</x:f>
        <x:v>6</x:v>
      </x:c>
      <x:c r="O77" s="17" t="n">
        <x:f>IF(M77&gt;0,L77/M77,"n.a.")</x:f>
        <x:v>24.498047404476683</x:v>
      </x:c>
      <x:c r="P77" s="2" t="n">
        <x:f>COUNTIFS($A$6:$A$125,A77)</x:f>
        <x:v>1</x:v>
      </x:c>
      <x:c r="Q77" s="2"/>
      <x:c r="R77" s="2"/>
      <x:c r="S77" s="2"/>
    </x:row>
    <x:row r="78" ht="23" customHeight="1">
      <x:c r="A78" s="2" t="str">
        <x:v>H1 2025|China|62052000</x:v>
      </x:c>
      <x:c r="B78" s="2" t="str">
        <x:v>H1 2025</x:v>
      </x:c>
      <x:c r="C78" s="2" t="str">
        <x:v>China</x:v>
      </x:c>
      <x:c r="D78" s="2" t="str">
        <x:v>62052000</x:v>
      </x:c>
      <x:c r="E78" s="16" t="n">
        <x:v>6741715</x:v>
      </x:c>
      <x:c r="F78" s="16" t="n">
        <x:v>310092</x:v>
      </x:c>
      <x:c r="G78" s="2" t="n">
        <x:v>6</x:v>
      </x:c>
      <x:c r="H78" s="2" t="n">
        <x:v>0</x:v>
      </x:c>
      <x:c r="I78" s="17" t="n">
        <x:v>21.7410155695729</x:v>
      </x:c>
      <x:c r="J78" s="2" t="n">
        <x:v>202501</x:v>
      </x:c>
      <x:c r="K78" s="2" t="n">
        <x:v>202506</x:v>
      </x:c>
      <x:c r="L78" s="16" t="n">
        <x:f>SUMIFS('Monthly_Data'!$E$6:$E$797,'Monthly_Data'!$B$6:$B$797,"&gt;="&amp;J78,'Monthly_Data'!$B$6:$B$797,"&lt;="&amp;K78,'Monthly_Data'!$C$6:$C$797,D78,'Monthly_Data'!$D$6:$D$797,C78,'Monthly_Data'!$I$6:$I$797,1)</x:f>
        <x:v>6741715</x:v>
      </x:c>
      <x:c r="M78" s="16" t="n">
        <x:f>SUMIFS('Monthly_Data'!$F$6:$F$797,'Monthly_Data'!$B$6:$B$797,"&gt;="&amp;J78,'Monthly_Data'!$B$6:$B$797,"&lt;="&amp;K78,'Monthly_Data'!$C$6:$C$797,D78,'Monthly_Data'!$D$6:$D$797,C78,'Monthly_Data'!$I$6:$I$797,1)</x:f>
        <x:v>310092</x:v>
      </x:c>
      <x:c r="N78" s="2" t="n">
        <x:f>COUNTIFS('Monthly_Data'!$B$6:$B$797,"&gt;="&amp;J78,'Monthly_Data'!$B$6:$B$797,"&lt;="&amp;K78,'Monthly_Data'!$C$6:$C$797,D78,'Monthly_Data'!$D$6:$D$797,C78,'Monthly_Data'!$I$6:$I$797,1)</x:f>
        <x:v>6</x:v>
      </x:c>
      <x:c r="O78" s="17" t="n">
        <x:f>IF(M78&gt;0,L78/M78,"n.a.")</x:f>
        <x:v>21.7410155695729</x:v>
      </x:c>
      <x:c r="P78" s="2" t="n">
        <x:f>COUNTIFS($A$6:$A$125,A78)</x:f>
        <x:v>1</x:v>
      </x:c>
      <x:c r="Q78" s="2"/>
      <x:c r="R78" s="2"/>
      <x:c r="S78" s="2"/>
    </x:row>
    <x:row r="79" ht="23" customHeight="1">
      <x:c r="A79" s="2" t="str">
        <x:v>H1 2025|India|62052000</x:v>
      </x:c>
      <x:c r="B79" s="2" t="str">
        <x:v>H1 2025</x:v>
      </x:c>
      <x:c r="C79" s="2" t="str">
        <x:v>India</x:v>
      </x:c>
      <x:c r="D79" s="2" t="str">
        <x:v>62052000</x:v>
      </x:c>
      <x:c r="E79" s="16" t="n">
        <x:v>16956630</x:v>
      </x:c>
      <x:c r="F79" s="16" t="n">
        <x:v>741612</x:v>
      </x:c>
      <x:c r="G79" s="2" t="n">
        <x:v>6</x:v>
      </x:c>
      <x:c r="H79" s="2" t="n">
        <x:v>0</x:v>
      </x:c>
      <x:c r="I79" s="17" t="n">
        <x:v>22.864557207812172</x:v>
      </x:c>
      <x:c r="J79" s="2" t="n">
        <x:v>202501</x:v>
      </x:c>
      <x:c r="K79" s="2" t="n">
        <x:v>202506</x:v>
      </x:c>
      <x:c r="L79" s="16" t="n">
        <x:f>SUMIFS('Monthly_Data'!$E$6:$E$797,'Monthly_Data'!$B$6:$B$797,"&gt;="&amp;J79,'Monthly_Data'!$B$6:$B$797,"&lt;="&amp;K79,'Monthly_Data'!$C$6:$C$797,D79,'Monthly_Data'!$D$6:$D$797,C79,'Monthly_Data'!$I$6:$I$797,1)</x:f>
        <x:v>16956630</x:v>
      </x:c>
      <x:c r="M79" s="16" t="n">
        <x:f>SUMIFS('Monthly_Data'!$F$6:$F$797,'Monthly_Data'!$B$6:$B$797,"&gt;="&amp;J79,'Monthly_Data'!$B$6:$B$797,"&lt;="&amp;K79,'Monthly_Data'!$C$6:$C$797,D79,'Monthly_Data'!$D$6:$D$797,C79,'Monthly_Data'!$I$6:$I$797,1)</x:f>
        <x:v>741612</x:v>
      </x:c>
      <x:c r="N79" s="2" t="n">
        <x:f>COUNTIFS('Monthly_Data'!$B$6:$B$797,"&gt;="&amp;J79,'Monthly_Data'!$B$6:$B$797,"&lt;="&amp;K79,'Monthly_Data'!$C$6:$C$797,D79,'Monthly_Data'!$D$6:$D$797,C79,'Monthly_Data'!$I$6:$I$797,1)</x:f>
        <x:v>6</x:v>
      </x:c>
      <x:c r="O79" s="17" t="n">
        <x:f>IF(M79&gt;0,L79/M79,"n.a.")</x:f>
        <x:v>22.864557207812172</x:v>
      </x:c>
      <x:c r="P79" s="2" t="n">
        <x:f>COUNTIFS($A$6:$A$125,A79)</x:f>
        <x:v>1</x:v>
      </x:c>
      <x:c r="Q79" s="2"/>
      <x:c r="R79" s="2"/>
      <x:c r="S79" s="2"/>
    </x:row>
    <x:row r="80" ht="23" customHeight="1">
      <x:c r="A80" s="2" t="str">
        <x:v>H1 2025|Morocco|62052000</x:v>
      </x:c>
      <x:c r="B80" s="2" t="str">
        <x:v>H1 2025</x:v>
      </x:c>
      <x:c r="C80" s="2" t="str">
        <x:v>Morocco</x:v>
      </x:c>
      <x:c r="D80" s="2" t="str">
        <x:v>62052000</x:v>
      </x:c>
      <x:c r="E80" s="16" t="n">
        <x:v>698186</x:v>
      </x:c>
      <x:c r="F80" s="16" t="n">
        <x:v>15659</x:v>
      </x:c>
      <x:c r="G80" s="2" t="n">
        <x:v>6</x:v>
      </x:c>
      <x:c r="H80" s="2" t="n">
        <x:v>0</x:v>
      </x:c>
      <x:c r="I80" s="17" t="n">
        <x:v>44.58688294271665</x:v>
      </x:c>
      <x:c r="J80" s="2" t="n">
        <x:v>202501</x:v>
      </x:c>
      <x:c r="K80" s="2" t="n">
        <x:v>202506</x:v>
      </x:c>
      <x:c r="L80" s="16" t="n">
        <x:f>SUMIFS('Monthly_Data'!$E$6:$E$797,'Monthly_Data'!$B$6:$B$797,"&gt;="&amp;J80,'Monthly_Data'!$B$6:$B$797,"&lt;="&amp;K80,'Monthly_Data'!$C$6:$C$797,D80,'Monthly_Data'!$D$6:$D$797,C80,'Monthly_Data'!$I$6:$I$797,1)</x:f>
        <x:v>698186</x:v>
      </x:c>
      <x:c r="M80" s="16" t="n">
        <x:f>SUMIFS('Monthly_Data'!$F$6:$F$797,'Monthly_Data'!$B$6:$B$797,"&gt;="&amp;J80,'Monthly_Data'!$B$6:$B$797,"&lt;="&amp;K80,'Monthly_Data'!$C$6:$C$797,D80,'Monthly_Data'!$D$6:$D$797,C80,'Monthly_Data'!$I$6:$I$797,1)</x:f>
        <x:v>15659</x:v>
      </x:c>
      <x:c r="N80" s="2" t="n">
        <x:f>COUNTIFS('Monthly_Data'!$B$6:$B$797,"&gt;="&amp;J80,'Monthly_Data'!$B$6:$B$797,"&lt;="&amp;K80,'Monthly_Data'!$C$6:$C$797,D80,'Monthly_Data'!$D$6:$D$797,C80,'Monthly_Data'!$I$6:$I$797,1)</x:f>
        <x:v>6</x:v>
      </x:c>
      <x:c r="O80" s="17" t="n">
        <x:f>IF(M80&gt;0,L80/M80,"n.a.")</x:f>
        <x:v>44.58688294271665</x:v>
      </x:c>
      <x:c r="P80" s="2" t="n">
        <x:f>COUNTIFS($A$6:$A$125,A80)</x:f>
        <x:v>1</x:v>
      </x:c>
      <x:c r="Q80" s="2"/>
      <x:c r="R80" s="2"/>
      <x:c r="S80" s="2"/>
    </x:row>
    <x:row r="81" ht="23" customHeight="1">
      <x:c r="A81" s="2" t="str">
        <x:v>H1 2025|Myanmar|62052000</x:v>
      </x:c>
      <x:c r="B81" s="2" t="str">
        <x:v>H1 2025</x:v>
      </x:c>
      <x:c r="C81" s="2" t="str">
        <x:v>Myanmar</x:v>
      </x:c>
      <x:c r="D81" s="2" t="str">
        <x:v>62052000</x:v>
      </x:c>
      <x:c r="E81" s="16" t="n">
        <x:v>549871</x:v>
      </x:c>
      <x:c r="F81" s="16" t="n">
        <x:v>31192</x:v>
      </x:c>
      <x:c r="G81" s="2" t="n">
        <x:v>6</x:v>
      </x:c>
      <x:c r="H81" s="2" t="n">
        <x:v>0</x:v>
      </x:c>
      <x:c r="I81" s="17" t="n">
        <x:v>17.628590664272892</x:v>
      </x:c>
      <x:c r="J81" s="2" t="n">
        <x:v>202501</x:v>
      </x:c>
      <x:c r="K81" s="2" t="n">
        <x:v>202506</x:v>
      </x:c>
      <x:c r="L81" s="16" t="n">
        <x:f>SUMIFS('Monthly_Data'!$E$6:$E$797,'Monthly_Data'!$B$6:$B$797,"&gt;="&amp;J81,'Monthly_Data'!$B$6:$B$797,"&lt;="&amp;K81,'Monthly_Data'!$C$6:$C$797,D81,'Monthly_Data'!$D$6:$D$797,C81,'Monthly_Data'!$I$6:$I$797,1)</x:f>
        <x:v>549871</x:v>
      </x:c>
      <x:c r="M81" s="16" t="n">
        <x:f>SUMIFS('Monthly_Data'!$F$6:$F$797,'Monthly_Data'!$B$6:$B$797,"&gt;="&amp;J81,'Monthly_Data'!$B$6:$B$797,"&lt;="&amp;K81,'Monthly_Data'!$C$6:$C$797,D81,'Monthly_Data'!$D$6:$D$797,C81,'Monthly_Data'!$I$6:$I$797,1)</x:f>
        <x:v>31192</x:v>
      </x:c>
      <x:c r="N81" s="2" t="n">
        <x:f>COUNTIFS('Monthly_Data'!$B$6:$B$797,"&gt;="&amp;J81,'Monthly_Data'!$B$6:$B$797,"&lt;="&amp;K81,'Monthly_Data'!$C$6:$C$797,D81,'Monthly_Data'!$D$6:$D$797,C81,'Monthly_Data'!$I$6:$I$797,1)</x:f>
        <x:v>6</x:v>
      </x:c>
      <x:c r="O81" s="17" t="n">
        <x:f>IF(M81&gt;0,L81/M81,"n.a.")</x:f>
        <x:v>17.628590664272892</x:v>
      </x:c>
      <x:c r="P81" s="2" t="n">
        <x:f>COUNTIFS($A$6:$A$125,A81)</x:f>
        <x:v>1</x:v>
      </x:c>
      <x:c r="Q81" s="2"/>
      <x:c r="R81" s="2"/>
      <x:c r="S81" s="2"/>
    </x:row>
    <x:row r="82" ht="23" customHeight="1">
      <x:c r="A82" s="2" t="str">
        <x:v>H1 2025|Pakistan|62052000</x:v>
      </x:c>
      <x:c r="B82" s="2" t="str">
        <x:v>H1 2025</x:v>
      </x:c>
      <x:c r="C82" s="2" t="str">
        <x:v>Pakistan</x:v>
      </x:c>
      <x:c r="D82" s="2" t="str">
        <x:v>62052000</x:v>
      </x:c>
      <x:c r="E82" s="16" t="n">
        <x:v>457665</x:v>
      </x:c>
      <x:c r="F82" s="16" t="n">
        <x:v>36660</x:v>
      </x:c>
      <x:c r="G82" s="2" t="n">
        <x:v>6</x:v>
      </x:c>
      <x:c r="H82" s="2" t="n">
        <x:v>0</x:v>
      </x:c>
      <x:c r="I82" s="17" t="n">
        <x:v>12.48404255319149</x:v>
      </x:c>
      <x:c r="J82" s="2" t="n">
        <x:v>202501</x:v>
      </x:c>
      <x:c r="K82" s="2" t="n">
        <x:v>202506</x:v>
      </x:c>
      <x:c r="L82" s="16" t="n">
        <x:f>SUMIFS('Monthly_Data'!$E$6:$E$797,'Monthly_Data'!$B$6:$B$797,"&gt;="&amp;J82,'Monthly_Data'!$B$6:$B$797,"&lt;="&amp;K82,'Monthly_Data'!$C$6:$C$797,D82,'Monthly_Data'!$D$6:$D$797,C82,'Monthly_Data'!$I$6:$I$797,1)</x:f>
        <x:v>457665</x:v>
      </x:c>
      <x:c r="M82" s="16" t="n">
        <x:f>SUMIFS('Monthly_Data'!$F$6:$F$797,'Monthly_Data'!$B$6:$B$797,"&gt;="&amp;J82,'Monthly_Data'!$B$6:$B$797,"&lt;="&amp;K82,'Monthly_Data'!$C$6:$C$797,D82,'Monthly_Data'!$D$6:$D$797,C82,'Monthly_Data'!$I$6:$I$797,1)</x:f>
        <x:v>36660</x:v>
      </x:c>
      <x:c r="N82" s="2" t="n">
        <x:f>COUNTIFS('Monthly_Data'!$B$6:$B$797,"&gt;="&amp;J82,'Monthly_Data'!$B$6:$B$797,"&lt;="&amp;K82,'Monthly_Data'!$C$6:$C$797,D82,'Monthly_Data'!$D$6:$D$797,C82,'Monthly_Data'!$I$6:$I$797,1)</x:f>
        <x:v>6</x:v>
      </x:c>
      <x:c r="O82" s="17" t="n">
        <x:f>IF(M82&gt;0,L82/M82,"n.a.")</x:f>
        <x:v>12.48404255319149</x:v>
      </x:c>
      <x:c r="P82" s="2" t="n">
        <x:f>COUNTIFS($A$6:$A$125,A82)</x:f>
        <x:v>1</x:v>
      </x:c>
      <x:c r="Q82" s="2"/>
      <x:c r="R82" s="2"/>
      <x:c r="S82" s="2"/>
    </x:row>
    <x:row r="83" ht="23" customHeight="1">
      <x:c r="A83" s="2" t="str">
        <x:v>H1 2025|Sri Lanka|62052000</x:v>
      </x:c>
      <x:c r="B83" s="2" t="str">
        <x:v>H1 2025</x:v>
      </x:c>
      <x:c r="C83" s="2" t="str">
        <x:v>Sri Lanka</x:v>
      </x:c>
      <x:c r="D83" s="2" t="str">
        <x:v>62052000</x:v>
      </x:c>
      <x:c r="E83" s="16" t="n">
        <x:v>1900906</x:v>
      </x:c>
      <x:c r="F83" s="16" t="n">
        <x:v>87885</x:v>
      </x:c>
      <x:c r="G83" s="2" t="n">
        <x:v>6</x:v>
      </x:c>
      <x:c r="H83" s="2" t="n">
        <x:v>0</x:v>
      </x:c>
      <x:c r="I83" s="17" t="n">
        <x:v>21.6294703305456</x:v>
      </x:c>
      <x:c r="J83" s="2" t="n">
        <x:v>202501</x:v>
      </x:c>
      <x:c r="K83" s="2" t="n">
        <x:v>202506</x:v>
      </x:c>
      <x:c r="L83" s="16" t="n">
        <x:f>SUMIFS('Monthly_Data'!$E$6:$E$797,'Monthly_Data'!$B$6:$B$797,"&gt;="&amp;J83,'Monthly_Data'!$B$6:$B$797,"&lt;="&amp;K83,'Monthly_Data'!$C$6:$C$797,D83,'Monthly_Data'!$D$6:$D$797,C83,'Monthly_Data'!$I$6:$I$797,1)</x:f>
        <x:v>1900906</x:v>
      </x:c>
      <x:c r="M83" s="16" t="n">
        <x:f>SUMIFS('Monthly_Data'!$F$6:$F$797,'Monthly_Data'!$B$6:$B$797,"&gt;="&amp;J83,'Monthly_Data'!$B$6:$B$797,"&lt;="&amp;K83,'Monthly_Data'!$C$6:$C$797,D83,'Monthly_Data'!$D$6:$D$797,C83,'Monthly_Data'!$I$6:$I$797,1)</x:f>
        <x:v>87885</x:v>
      </x:c>
      <x:c r="N83" s="2" t="n">
        <x:f>COUNTIFS('Monthly_Data'!$B$6:$B$797,"&gt;="&amp;J83,'Monthly_Data'!$B$6:$B$797,"&lt;="&amp;K83,'Monthly_Data'!$C$6:$C$797,D83,'Monthly_Data'!$D$6:$D$797,C83,'Monthly_Data'!$I$6:$I$797,1)</x:f>
        <x:v>6</x:v>
      </x:c>
      <x:c r="O83" s="17" t="n">
        <x:f>IF(M83&gt;0,L83/M83,"n.a.")</x:f>
        <x:v>21.6294703305456</x:v>
      </x:c>
      <x:c r="P83" s="2" t="n">
        <x:f>COUNTIFS($A$6:$A$125,A83)</x:f>
        <x:v>1</x:v>
      </x:c>
      <x:c r="Q83" s="2"/>
      <x:c r="R83" s="2"/>
      <x:c r="S83" s="2"/>
    </x:row>
    <x:row r="84" ht="23" customHeight="1">
      <x:c r="A84" s="2" t="str">
        <x:v>H1 2025|Turkey|62052000</x:v>
      </x:c>
      <x:c r="B84" s="2" t="str">
        <x:v>H1 2025</x:v>
      </x:c>
      <x:c r="C84" s="2" t="str">
        <x:v>Turkey</x:v>
      </x:c>
      <x:c r="D84" s="2" t="str">
        <x:v>62052000</x:v>
      </x:c>
      <x:c r="E84" s="16" t="n">
        <x:v>6632162</x:v>
      </x:c>
      <x:c r="F84" s="16" t="n">
        <x:v>176092</x:v>
      </x:c>
      <x:c r="G84" s="2" t="n">
        <x:v>6</x:v>
      </x:c>
      <x:c r="H84" s="2" t="n">
        <x:v>0</x:v>
      </x:c>
      <x:c r="I84" s="17" t="n">
        <x:v>37.663051132362625</x:v>
      </x:c>
      <x:c r="J84" s="2" t="n">
        <x:v>202501</x:v>
      </x:c>
      <x:c r="K84" s="2" t="n">
        <x:v>202506</x:v>
      </x:c>
      <x:c r="L84" s="16" t="n">
        <x:f>SUMIFS('Monthly_Data'!$E$6:$E$797,'Monthly_Data'!$B$6:$B$797,"&gt;="&amp;J84,'Monthly_Data'!$B$6:$B$797,"&lt;="&amp;K84,'Monthly_Data'!$C$6:$C$797,D84,'Monthly_Data'!$D$6:$D$797,C84,'Monthly_Data'!$I$6:$I$797,1)</x:f>
        <x:v>6632162</x:v>
      </x:c>
      <x:c r="M84" s="16" t="n">
        <x:f>SUMIFS('Monthly_Data'!$F$6:$F$797,'Monthly_Data'!$B$6:$B$797,"&gt;="&amp;J84,'Monthly_Data'!$B$6:$B$797,"&lt;="&amp;K84,'Monthly_Data'!$C$6:$C$797,D84,'Monthly_Data'!$D$6:$D$797,C84,'Monthly_Data'!$I$6:$I$797,1)</x:f>
        <x:v>176092</x:v>
      </x:c>
      <x:c r="N84" s="2" t="n">
        <x:f>COUNTIFS('Monthly_Data'!$B$6:$B$797,"&gt;="&amp;J84,'Monthly_Data'!$B$6:$B$797,"&lt;="&amp;K84,'Monthly_Data'!$C$6:$C$797,D84,'Monthly_Data'!$D$6:$D$797,C84,'Monthly_Data'!$I$6:$I$797,1)</x:f>
        <x:v>6</x:v>
      </x:c>
      <x:c r="O84" s="17" t="n">
        <x:f>IF(M84&gt;0,L84/M84,"n.a.")</x:f>
        <x:v>37.663051132362625</x:v>
      </x:c>
      <x:c r="P84" s="2" t="n">
        <x:f>COUNTIFS($A$6:$A$125,A84)</x:f>
        <x:v>1</x:v>
      </x:c>
      <x:c r="Q84" s="2"/>
      <x:c r="R84" s="2"/>
      <x:c r="S84" s="2"/>
    </x:row>
    <x:row r="85" ht="23" customHeight="1">
      <x:c r="A85" s="2" t="str">
        <x:v>H1 2025|Vietnam|62052000</x:v>
      </x:c>
      <x:c r="B85" s="2" t="str">
        <x:v>H1 2025</x:v>
      </x:c>
      <x:c r="C85" s="2" t="str">
        <x:v>Vietnam</x:v>
      </x:c>
      <x:c r="D85" s="2" t="str">
        <x:v>62052000</x:v>
      </x:c>
      <x:c r="E85" s="16" t="n">
        <x:v>4754680</x:v>
      </x:c>
      <x:c r="F85" s="16" t="n">
        <x:v>154077</x:v>
      </x:c>
      <x:c r="G85" s="2" t="n">
        <x:v>6</x:v>
      </x:c>
      <x:c r="H85" s="2" t="n">
        <x:v>0</x:v>
      </x:c>
      <x:c r="I85" s="17" t="n">
        <x:v>30.859115896597157</x:v>
      </x:c>
      <x:c r="J85" s="2" t="n">
        <x:v>202501</x:v>
      </x:c>
      <x:c r="K85" s="2" t="n">
        <x:v>202506</x:v>
      </x:c>
      <x:c r="L85" s="16" t="n">
        <x:f>SUMIFS('Monthly_Data'!$E$6:$E$797,'Monthly_Data'!$B$6:$B$797,"&gt;="&amp;J85,'Monthly_Data'!$B$6:$B$797,"&lt;="&amp;K85,'Monthly_Data'!$C$6:$C$797,D85,'Monthly_Data'!$D$6:$D$797,C85,'Monthly_Data'!$I$6:$I$797,1)</x:f>
        <x:v>4754680</x:v>
      </x:c>
      <x:c r="M85" s="16" t="n">
        <x:f>SUMIFS('Monthly_Data'!$F$6:$F$797,'Monthly_Data'!$B$6:$B$797,"&gt;="&amp;J85,'Monthly_Data'!$B$6:$B$797,"&lt;="&amp;K85,'Monthly_Data'!$C$6:$C$797,D85,'Monthly_Data'!$D$6:$D$797,C85,'Monthly_Data'!$I$6:$I$797,1)</x:f>
        <x:v>154077</x:v>
      </x:c>
      <x:c r="N85" s="2" t="n">
        <x:f>COUNTIFS('Monthly_Data'!$B$6:$B$797,"&gt;="&amp;J85,'Monthly_Data'!$B$6:$B$797,"&lt;="&amp;K85,'Monthly_Data'!$C$6:$C$797,D85,'Monthly_Data'!$D$6:$D$797,C85,'Monthly_Data'!$I$6:$I$797,1)</x:f>
        <x:v>6</x:v>
      </x:c>
      <x:c r="O85" s="17" t="n">
        <x:f>IF(M85&gt;0,L85/M85,"n.a.")</x:f>
        <x:v>30.859115896597157</x:v>
      </x:c>
      <x:c r="P85" s="2" t="n">
        <x:f>COUNTIFS($A$6:$A$125,A85)</x:f>
        <x:v>1</x:v>
      </x:c>
      <x:c r="Q85" s="2"/>
      <x:c r="R85" s="2"/>
      <x:c r="S85" s="2"/>
    </x:row>
    <x:row r="86" ht="23" customHeight="1">
      <x:c r="A86" s="2" t="str">
        <x:v>H1 2026|Bangladesh|61091000</x:v>
      </x:c>
      <x:c r="B86" s="2" t="str">
        <x:v>H1 2026</x:v>
      </x:c>
      <x:c r="C86" s="2" t="str">
        <x:v>Bangladesh</x:v>
      </x:c>
      <x:c r="D86" s="2" t="str">
        <x:v>61091000</x:v>
      </x:c>
      <x:c r="E86" s="16" t="n">
        <x:v>254631302</x:v>
      </x:c>
      <x:c r="F86" s="16" t="n">
        <x:v>24484056</x:v>
      </x:c>
      <x:c r="G86" s="2" t="n">
        <x:v>6</x:v>
      </x:c>
      <x:c r="H86" s="2" t="n">
        <x:v>0</x:v>
      </x:c>
      <x:c r="I86" s="17" t="n">
        <x:v>10.399882356093288</x:v>
      </x:c>
      <x:c r="J86" s="2" t="n">
        <x:v>202601</x:v>
      </x:c>
      <x:c r="K86" s="2" t="n">
        <x:v>202606</x:v>
      </x:c>
      <x:c r="L86" s="16" t="n">
        <x:f>SUMIFS('Monthly_Data'!$E$6:$E$797,'Monthly_Data'!$B$6:$B$797,"&gt;="&amp;J86,'Monthly_Data'!$B$6:$B$797,"&lt;="&amp;K86,'Monthly_Data'!$C$6:$C$797,D86,'Monthly_Data'!$D$6:$D$797,C86,'Monthly_Data'!$I$6:$I$797,1)</x:f>
        <x:v>254631302</x:v>
      </x:c>
      <x:c r="M86" s="16" t="n">
        <x:f>SUMIFS('Monthly_Data'!$F$6:$F$797,'Monthly_Data'!$B$6:$B$797,"&gt;="&amp;J86,'Monthly_Data'!$B$6:$B$797,"&lt;="&amp;K86,'Monthly_Data'!$C$6:$C$797,D86,'Monthly_Data'!$D$6:$D$797,C86,'Monthly_Data'!$I$6:$I$797,1)</x:f>
        <x:v>24484056</x:v>
      </x:c>
      <x:c r="N86" s="2" t="n">
        <x:f>COUNTIFS('Monthly_Data'!$B$6:$B$797,"&gt;="&amp;J86,'Monthly_Data'!$B$6:$B$797,"&lt;="&amp;K86,'Monthly_Data'!$C$6:$C$797,D86,'Monthly_Data'!$D$6:$D$797,C86,'Monthly_Data'!$I$6:$I$797,1)</x:f>
        <x:v>6</x:v>
      </x:c>
      <x:c r="O86" s="17" t="n">
        <x:f>IF(M86&gt;0,L86/M86,"n.a.")</x:f>
        <x:v>10.399882356093288</x:v>
      </x:c>
      <x:c r="P86" s="2" t="n">
        <x:f>COUNTIFS($A$6:$A$125,A86)</x:f>
        <x:v>1</x:v>
      </x:c>
      <x:c r="Q86" s="2"/>
      <x:c r="R86" s="2"/>
      <x:c r="S86" s="2"/>
    </x:row>
    <x:row r="87" ht="23" customHeight="1">
      <x:c r="A87" s="2" t="str">
        <x:v>H1 2026|Cambodia|61091000</x:v>
      </x:c>
      <x:c r="B87" s="2" t="str">
        <x:v>H1 2026</x:v>
      </x:c>
      <x:c r="C87" s="2" t="str">
        <x:v>Cambodia</x:v>
      </x:c>
      <x:c r="D87" s="2" t="str">
        <x:v>61091000</x:v>
      </x:c>
      <x:c r="E87" s="16" t="n">
        <x:v>5968533</x:v>
      </x:c>
      <x:c r="F87" s="16" t="n">
        <x:v>334694</x:v>
      </x:c>
      <x:c r="G87" s="2" t="n">
        <x:v>6</x:v>
      </x:c>
      <x:c r="H87" s="2" t="n">
        <x:v>0</x:v>
      </x:c>
      <x:c r="I87" s="17" t="n">
        <x:v>17.83280548799799</x:v>
      </x:c>
      <x:c r="J87" s="2" t="n">
        <x:v>202601</x:v>
      </x:c>
      <x:c r="K87" s="2" t="n">
        <x:v>202606</x:v>
      </x:c>
      <x:c r="L87" s="16" t="n">
        <x:f>SUMIFS('Monthly_Data'!$E$6:$E$797,'Monthly_Data'!$B$6:$B$797,"&gt;="&amp;J87,'Monthly_Data'!$B$6:$B$797,"&lt;="&amp;K87,'Monthly_Data'!$C$6:$C$797,D87,'Monthly_Data'!$D$6:$D$797,C87,'Monthly_Data'!$I$6:$I$797,1)</x:f>
        <x:v>5968533</x:v>
      </x:c>
      <x:c r="M87" s="16" t="n">
        <x:f>SUMIFS('Monthly_Data'!$F$6:$F$797,'Monthly_Data'!$B$6:$B$797,"&gt;="&amp;J87,'Monthly_Data'!$B$6:$B$797,"&lt;="&amp;K87,'Monthly_Data'!$C$6:$C$797,D87,'Monthly_Data'!$D$6:$D$797,C87,'Monthly_Data'!$I$6:$I$797,1)</x:f>
        <x:v>334694</x:v>
      </x:c>
      <x:c r="N87" s="2" t="n">
        <x:f>COUNTIFS('Monthly_Data'!$B$6:$B$797,"&gt;="&amp;J87,'Monthly_Data'!$B$6:$B$797,"&lt;="&amp;K87,'Monthly_Data'!$C$6:$C$797,D87,'Monthly_Data'!$D$6:$D$797,C87,'Monthly_Data'!$I$6:$I$797,1)</x:f>
        <x:v>6</x:v>
      </x:c>
      <x:c r="O87" s="17" t="n">
        <x:f>IF(M87&gt;0,L87/M87,"n.a.")</x:f>
        <x:v>17.83280548799799</x:v>
      </x:c>
      <x:c r="P87" s="2" t="n">
        <x:f>COUNTIFS($A$6:$A$125,A87)</x:f>
        <x:v>1</x:v>
      </x:c>
      <x:c r="Q87" s="2"/>
      <x:c r="R87" s="2"/>
      <x:c r="S87" s="2"/>
    </x:row>
    <x:row r="88" ht="23" customHeight="1">
      <x:c r="A88" s="2" t="str">
        <x:v>H1 2026|China|61091000</x:v>
      </x:c>
      <x:c r="B88" s="2" t="str">
        <x:v>H1 2026</x:v>
      </x:c>
      <x:c r="C88" s="2" t="str">
        <x:v>China</x:v>
      </x:c>
      <x:c r="D88" s="2" t="str">
        <x:v>61091000</x:v>
      </x:c>
      <x:c r="E88" s="16" t="n">
        <x:v>27268063</x:v>
      </x:c>
      <x:c r="F88" s="16" t="n">
        <x:v>1611661</x:v>
      </x:c>
      <x:c r="G88" s="2" t="n">
        <x:v>6</x:v>
      </x:c>
      <x:c r="H88" s="2" t="n">
        <x:v>0</x:v>
      </x:c>
      <x:c r="I88" s="17" t="n">
        <x:v>16.919229912494004</x:v>
      </x:c>
      <x:c r="J88" s="2" t="n">
        <x:v>202601</x:v>
      </x:c>
      <x:c r="K88" s="2" t="n">
        <x:v>202606</x:v>
      </x:c>
      <x:c r="L88" s="16" t="n">
        <x:f>SUMIFS('Monthly_Data'!$E$6:$E$797,'Monthly_Data'!$B$6:$B$797,"&gt;="&amp;J88,'Monthly_Data'!$B$6:$B$797,"&lt;="&amp;K88,'Monthly_Data'!$C$6:$C$797,D88,'Monthly_Data'!$D$6:$D$797,C88,'Monthly_Data'!$I$6:$I$797,1)</x:f>
        <x:v>27268063</x:v>
      </x:c>
      <x:c r="M88" s="16" t="n">
        <x:f>SUMIFS('Monthly_Data'!$F$6:$F$797,'Monthly_Data'!$B$6:$B$797,"&gt;="&amp;J88,'Monthly_Data'!$B$6:$B$797,"&lt;="&amp;K88,'Monthly_Data'!$C$6:$C$797,D88,'Monthly_Data'!$D$6:$D$797,C88,'Monthly_Data'!$I$6:$I$797,1)</x:f>
        <x:v>1611661</x:v>
      </x:c>
      <x:c r="N88" s="2" t="n">
        <x:f>COUNTIFS('Monthly_Data'!$B$6:$B$797,"&gt;="&amp;J88,'Monthly_Data'!$B$6:$B$797,"&lt;="&amp;K88,'Monthly_Data'!$C$6:$C$797,D88,'Monthly_Data'!$D$6:$D$797,C88,'Monthly_Data'!$I$6:$I$797,1)</x:f>
        <x:v>6</x:v>
      </x:c>
      <x:c r="O88" s="17" t="n">
        <x:f>IF(M88&gt;0,L88/M88,"n.a.")</x:f>
        <x:v>16.919229912494004</x:v>
      </x:c>
      <x:c r="P88" s="2" t="n">
        <x:f>COUNTIFS($A$6:$A$125,A88)</x:f>
        <x:v>1</x:v>
      </x:c>
      <x:c r="Q88" s="2"/>
      <x:c r="R88" s="2"/>
      <x:c r="S88" s="2"/>
    </x:row>
    <x:row r="89" ht="23" customHeight="1">
      <x:c r="A89" s="2" t="str">
        <x:v>H1 2026|India|61091000</x:v>
      </x:c>
      <x:c r="B89" s="2" t="str">
        <x:v>H1 2026</x:v>
      </x:c>
      <x:c r="C89" s="2" t="str">
        <x:v>India</x:v>
      </x:c>
      <x:c r="D89" s="2" t="str">
        <x:v>61091000</x:v>
      </x:c>
      <x:c r="E89" s="16" t="n">
        <x:v>54416583</x:v>
      </x:c>
      <x:c r="F89" s="16" t="n">
        <x:v>4347817</x:v>
      </x:c>
      <x:c r="G89" s="2" t="n">
        <x:v>6</x:v>
      </x:c>
      <x:c r="H89" s="2" t="n">
        <x:v>0</x:v>
      </x:c>
      <x:c r="I89" s="17" t="n">
        <x:v>12.515840248106118</x:v>
      </x:c>
      <x:c r="J89" s="2" t="n">
        <x:v>202601</x:v>
      </x:c>
      <x:c r="K89" s="2" t="n">
        <x:v>202606</x:v>
      </x:c>
      <x:c r="L89" s="16" t="n">
        <x:f>SUMIFS('Monthly_Data'!$E$6:$E$797,'Monthly_Data'!$B$6:$B$797,"&gt;="&amp;J89,'Monthly_Data'!$B$6:$B$797,"&lt;="&amp;K89,'Monthly_Data'!$C$6:$C$797,D89,'Monthly_Data'!$D$6:$D$797,C89,'Monthly_Data'!$I$6:$I$797,1)</x:f>
        <x:v>54416583</x:v>
      </x:c>
      <x:c r="M89" s="16" t="n">
        <x:f>SUMIFS('Monthly_Data'!$F$6:$F$797,'Monthly_Data'!$B$6:$B$797,"&gt;="&amp;J89,'Monthly_Data'!$B$6:$B$797,"&lt;="&amp;K89,'Monthly_Data'!$C$6:$C$797,D89,'Monthly_Data'!$D$6:$D$797,C89,'Monthly_Data'!$I$6:$I$797,1)</x:f>
        <x:v>4347817</x:v>
      </x:c>
      <x:c r="N89" s="2" t="n">
        <x:f>COUNTIFS('Monthly_Data'!$B$6:$B$797,"&gt;="&amp;J89,'Monthly_Data'!$B$6:$B$797,"&lt;="&amp;K89,'Monthly_Data'!$C$6:$C$797,D89,'Monthly_Data'!$D$6:$D$797,C89,'Monthly_Data'!$I$6:$I$797,1)</x:f>
        <x:v>6</x:v>
      </x:c>
      <x:c r="O89" s="17" t="n">
        <x:f>IF(M89&gt;0,L89/M89,"n.a.")</x:f>
        <x:v>12.515840248106118</x:v>
      </x:c>
      <x:c r="P89" s="2" t="n">
        <x:f>COUNTIFS($A$6:$A$125,A89)</x:f>
        <x:v>1</x:v>
      </x:c>
      <x:c r="Q89" s="2"/>
      <x:c r="R89" s="2"/>
      <x:c r="S89" s="2"/>
    </x:row>
    <x:row r="90" ht="23" customHeight="1">
      <x:c r="A90" s="2" t="str">
        <x:v>H1 2026|Morocco|61091000</x:v>
      </x:c>
      <x:c r="B90" s="2" t="str">
        <x:v>H1 2026</x:v>
      </x:c>
      <x:c r="C90" s="2" t="str">
        <x:v>Morocco</x:v>
      </x:c>
      <x:c r="D90" s="2" t="str">
        <x:v>61091000</x:v>
      </x:c>
      <x:c r="E90" s="16" t="n">
        <x:v>4957179</x:v>
      </x:c>
      <x:c r="F90" s="16" t="n">
        <x:v>526732</x:v>
      </x:c>
      <x:c r="G90" s="2" t="n">
        <x:v>6</x:v>
      </x:c>
      <x:c r="H90" s="2" t="n">
        <x:v>0</x:v>
      </x:c>
      <x:c r="I90" s="17" t="n">
        <x:v>9.411197724839198</x:v>
      </x:c>
      <x:c r="J90" s="2" t="n">
        <x:v>202601</x:v>
      </x:c>
      <x:c r="K90" s="2" t="n">
        <x:v>202606</x:v>
      </x:c>
      <x:c r="L90" s="16" t="n">
        <x:f>SUMIFS('Monthly_Data'!$E$6:$E$797,'Monthly_Data'!$B$6:$B$797,"&gt;="&amp;J90,'Monthly_Data'!$B$6:$B$797,"&lt;="&amp;K90,'Monthly_Data'!$C$6:$C$797,D90,'Monthly_Data'!$D$6:$D$797,C90,'Monthly_Data'!$I$6:$I$797,1)</x:f>
        <x:v>4957179</x:v>
      </x:c>
      <x:c r="M90" s="16" t="n">
        <x:f>SUMIFS('Monthly_Data'!$F$6:$F$797,'Monthly_Data'!$B$6:$B$797,"&gt;="&amp;J90,'Monthly_Data'!$B$6:$B$797,"&lt;="&amp;K90,'Monthly_Data'!$C$6:$C$797,D90,'Monthly_Data'!$D$6:$D$797,C90,'Monthly_Data'!$I$6:$I$797,1)</x:f>
        <x:v>526732</x:v>
      </x:c>
      <x:c r="N90" s="2" t="n">
        <x:f>COUNTIFS('Monthly_Data'!$B$6:$B$797,"&gt;="&amp;J90,'Monthly_Data'!$B$6:$B$797,"&lt;="&amp;K90,'Monthly_Data'!$C$6:$C$797,D90,'Monthly_Data'!$D$6:$D$797,C90,'Monthly_Data'!$I$6:$I$797,1)</x:f>
        <x:v>6</x:v>
      </x:c>
      <x:c r="O90" s="17" t="n">
        <x:f>IF(M90&gt;0,L90/M90,"n.a.")</x:f>
        <x:v>9.411197724839198</x:v>
      </x:c>
      <x:c r="P90" s="2" t="n">
        <x:f>COUNTIFS($A$6:$A$125,A90)</x:f>
        <x:v>1</x:v>
      </x:c>
      <x:c r="Q90" s="2"/>
      <x:c r="R90" s="2"/>
      <x:c r="S90" s="2"/>
    </x:row>
    <x:row r="91" ht="23" customHeight="1">
      <x:c r="A91" s="2" t="str">
        <x:v>H1 2026|Myanmar|61091000</x:v>
      </x:c>
      <x:c r="B91" s="2" t="str">
        <x:v>H1 2026</x:v>
      </x:c>
      <x:c r="C91" s="2" t="str">
        <x:v>Myanmar</x:v>
      </x:c>
      <x:c r="D91" s="2" t="str">
        <x:v>61091000</x:v>
      </x:c>
      <x:c r="E91" s="16" t="n">
        <x:v>619607</x:v>
      </x:c>
      <x:c r="F91" s="16" t="n">
        <x:v>58361</x:v>
      </x:c>
      <x:c r="G91" s="2" t="n">
        <x:v>6</x:v>
      </x:c>
      <x:c r="H91" s="2" t="n">
        <x:v>0</x:v>
      </x:c>
      <x:c r="I91" s="17" t="n">
        <x:v>10.616798889669472</x:v>
      </x:c>
      <x:c r="J91" s="2" t="n">
        <x:v>202601</x:v>
      </x:c>
      <x:c r="K91" s="2" t="n">
        <x:v>202606</x:v>
      </x:c>
      <x:c r="L91" s="16" t="n">
        <x:f>SUMIFS('Monthly_Data'!$E$6:$E$797,'Monthly_Data'!$B$6:$B$797,"&gt;="&amp;J91,'Monthly_Data'!$B$6:$B$797,"&lt;="&amp;K91,'Monthly_Data'!$C$6:$C$797,D91,'Monthly_Data'!$D$6:$D$797,C91,'Monthly_Data'!$I$6:$I$797,1)</x:f>
        <x:v>619607</x:v>
      </x:c>
      <x:c r="M91" s="16" t="n">
        <x:f>SUMIFS('Monthly_Data'!$F$6:$F$797,'Monthly_Data'!$B$6:$B$797,"&gt;="&amp;J91,'Monthly_Data'!$B$6:$B$797,"&lt;="&amp;K91,'Monthly_Data'!$C$6:$C$797,D91,'Monthly_Data'!$D$6:$D$797,C91,'Monthly_Data'!$I$6:$I$797,1)</x:f>
        <x:v>58361</x:v>
      </x:c>
      <x:c r="N91" s="2" t="n">
        <x:f>COUNTIFS('Monthly_Data'!$B$6:$B$797,"&gt;="&amp;J91,'Monthly_Data'!$B$6:$B$797,"&lt;="&amp;K91,'Monthly_Data'!$C$6:$C$797,D91,'Monthly_Data'!$D$6:$D$797,C91,'Monthly_Data'!$I$6:$I$797,1)</x:f>
        <x:v>6</x:v>
      </x:c>
      <x:c r="O91" s="17" t="n">
        <x:f>IF(M91&gt;0,L91/M91,"n.a.")</x:f>
        <x:v>10.616798889669472</x:v>
      </x:c>
      <x:c r="P91" s="2" t="n">
        <x:f>COUNTIFS($A$6:$A$125,A91)</x:f>
        <x:v>1</x:v>
      </x:c>
      <x:c r="Q91" s="2"/>
      <x:c r="R91" s="2"/>
      <x:c r="S91" s="2"/>
    </x:row>
    <x:row r="92" ht="23" customHeight="1">
      <x:c r="A92" s="2" t="str">
        <x:v>H1 2026|Pakistan|61091000</x:v>
      </x:c>
      <x:c r="B92" s="2" t="str">
        <x:v>H1 2026</x:v>
      </x:c>
      <x:c r="C92" s="2" t="str">
        <x:v>Pakistan</x:v>
      </x:c>
      <x:c r="D92" s="2" t="str">
        <x:v>61091000</x:v>
      </x:c>
      <x:c r="E92" s="16" t="n">
        <x:v>20868271</x:v>
      </x:c>
      <x:c r="F92" s="16" t="n">
        <x:v>1714193</x:v>
      </x:c>
      <x:c r="G92" s="2" t="n">
        <x:v>6</x:v>
      </x:c>
      <x:c r="H92" s="2" t="n">
        <x:v>0</x:v>
      </x:c>
      <x:c r="I92" s="17" t="n">
        <x:v>12.17381648390817</x:v>
      </x:c>
      <x:c r="J92" s="2" t="n">
        <x:v>202601</x:v>
      </x:c>
      <x:c r="K92" s="2" t="n">
        <x:v>202606</x:v>
      </x:c>
      <x:c r="L92" s="16" t="n">
        <x:f>SUMIFS('Monthly_Data'!$E$6:$E$797,'Monthly_Data'!$B$6:$B$797,"&gt;="&amp;J92,'Monthly_Data'!$B$6:$B$797,"&lt;="&amp;K92,'Monthly_Data'!$C$6:$C$797,D92,'Monthly_Data'!$D$6:$D$797,C92,'Monthly_Data'!$I$6:$I$797,1)</x:f>
        <x:v>20868271</x:v>
      </x:c>
      <x:c r="M92" s="16" t="n">
        <x:f>SUMIFS('Monthly_Data'!$F$6:$F$797,'Monthly_Data'!$B$6:$B$797,"&gt;="&amp;J92,'Monthly_Data'!$B$6:$B$797,"&lt;="&amp;K92,'Monthly_Data'!$C$6:$C$797,D92,'Monthly_Data'!$D$6:$D$797,C92,'Monthly_Data'!$I$6:$I$797,1)</x:f>
        <x:v>1714193</x:v>
      </x:c>
      <x:c r="N92" s="2" t="n">
        <x:f>COUNTIFS('Monthly_Data'!$B$6:$B$797,"&gt;="&amp;J92,'Monthly_Data'!$B$6:$B$797,"&lt;="&amp;K92,'Monthly_Data'!$C$6:$C$797,D92,'Monthly_Data'!$D$6:$D$797,C92,'Monthly_Data'!$I$6:$I$797,1)</x:f>
        <x:v>6</x:v>
      </x:c>
      <x:c r="O92" s="17" t="n">
        <x:f>IF(M92&gt;0,L92/M92,"n.a.")</x:f>
        <x:v>12.17381648390817</x:v>
      </x:c>
      <x:c r="P92" s="2" t="n">
        <x:f>COUNTIFS($A$6:$A$125,A92)</x:f>
        <x:v>1</x:v>
      </x:c>
      <x:c r="Q92" s="2"/>
      <x:c r="R92" s="2"/>
      <x:c r="S92" s="2"/>
    </x:row>
    <x:row r="93" ht="23" customHeight="1">
      <x:c r="A93" s="2" t="str">
        <x:v>H1 2026|Sri Lanka|61091000</x:v>
      </x:c>
      <x:c r="B93" s="2" t="str">
        <x:v>H1 2026</x:v>
      </x:c>
      <x:c r="C93" s="2" t="str">
        <x:v>Sri Lanka</x:v>
      </x:c>
      <x:c r="D93" s="2" t="str">
        <x:v>61091000</x:v>
      </x:c>
      <x:c r="E93" s="16" t="n">
        <x:v>8791535</x:v>
      </x:c>
      <x:c r="F93" s="16" t="n">
        <x:v>729136</x:v>
      </x:c>
      <x:c r="G93" s="2" t="n">
        <x:v>6</x:v>
      </x:c>
      <x:c r="H93" s="2" t="n">
        <x:v>0</x:v>
      </x:c>
      <x:c r="I93" s="17" t="n">
        <x:v>12.057469388426851</x:v>
      </x:c>
      <x:c r="J93" s="2" t="n">
        <x:v>202601</x:v>
      </x:c>
      <x:c r="K93" s="2" t="n">
        <x:v>202606</x:v>
      </x:c>
      <x:c r="L93" s="16" t="n">
        <x:f>SUMIFS('Monthly_Data'!$E$6:$E$797,'Monthly_Data'!$B$6:$B$797,"&gt;="&amp;J93,'Monthly_Data'!$B$6:$B$797,"&lt;="&amp;K93,'Monthly_Data'!$C$6:$C$797,D93,'Monthly_Data'!$D$6:$D$797,C93,'Monthly_Data'!$I$6:$I$797,1)</x:f>
        <x:v>8791535</x:v>
      </x:c>
      <x:c r="M93" s="16" t="n">
        <x:f>SUMIFS('Monthly_Data'!$F$6:$F$797,'Monthly_Data'!$B$6:$B$797,"&gt;="&amp;J93,'Monthly_Data'!$B$6:$B$797,"&lt;="&amp;K93,'Monthly_Data'!$C$6:$C$797,D93,'Monthly_Data'!$D$6:$D$797,C93,'Monthly_Data'!$I$6:$I$797,1)</x:f>
        <x:v>729136</x:v>
      </x:c>
      <x:c r="N93" s="2" t="n">
        <x:f>COUNTIFS('Monthly_Data'!$B$6:$B$797,"&gt;="&amp;J93,'Monthly_Data'!$B$6:$B$797,"&lt;="&amp;K93,'Monthly_Data'!$C$6:$C$797,D93,'Monthly_Data'!$D$6:$D$797,C93,'Monthly_Data'!$I$6:$I$797,1)</x:f>
        <x:v>6</x:v>
      </x:c>
      <x:c r="O93" s="17" t="n">
        <x:f>IF(M93&gt;0,L93/M93,"n.a.")</x:f>
        <x:v>12.057469388426851</x:v>
      </x:c>
      <x:c r="P93" s="2" t="n">
        <x:f>COUNTIFS($A$6:$A$125,A93)</x:f>
        <x:v>1</x:v>
      </x:c>
      <x:c r="Q93" s="2"/>
      <x:c r="R93" s="2"/>
      <x:c r="S93" s="2"/>
    </x:row>
    <x:row r="94" ht="23" customHeight="1">
      <x:c r="A94" s="2" t="str">
        <x:v>H1 2026|Turkey|61091000</x:v>
      </x:c>
      <x:c r="B94" s="2" t="str">
        <x:v>H1 2026</x:v>
      </x:c>
      <x:c r="C94" s="2" t="str">
        <x:v>Turkey</x:v>
      </x:c>
      <x:c r="D94" s="2" t="str">
        <x:v>61091000</x:v>
      </x:c>
      <x:c r="E94" s="16" t="n">
        <x:v>58384062</x:v>
      </x:c>
      <x:c r="F94" s="16" t="n">
        <x:v>2450042</x:v>
      </x:c>
      <x:c r="G94" s="2" t="n">
        <x:v>6</x:v>
      </x:c>
      <x:c r="H94" s="2" t="n">
        <x:v>0</x:v>
      </x:c>
      <x:c r="I94" s="17" t="n">
        <x:v>23.829820876540076</x:v>
      </x:c>
      <x:c r="J94" s="2" t="n">
        <x:v>202601</x:v>
      </x:c>
      <x:c r="K94" s="2" t="n">
        <x:v>202606</x:v>
      </x:c>
      <x:c r="L94" s="16" t="n">
        <x:f>SUMIFS('Monthly_Data'!$E$6:$E$797,'Monthly_Data'!$B$6:$B$797,"&gt;="&amp;J94,'Monthly_Data'!$B$6:$B$797,"&lt;="&amp;K94,'Monthly_Data'!$C$6:$C$797,D94,'Monthly_Data'!$D$6:$D$797,C94,'Monthly_Data'!$I$6:$I$797,1)</x:f>
        <x:v>58384062</x:v>
      </x:c>
      <x:c r="M94" s="16" t="n">
        <x:f>SUMIFS('Monthly_Data'!$F$6:$F$797,'Monthly_Data'!$B$6:$B$797,"&gt;="&amp;J94,'Monthly_Data'!$B$6:$B$797,"&lt;="&amp;K94,'Monthly_Data'!$C$6:$C$797,D94,'Monthly_Data'!$D$6:$D$797,C94,'Monthly_Data'!$I$6:$I$797,1)</x:f>
        <x:v>2450042</x:v>
      </x:c>
      <x:c r="N94" s="2" t="n">
        <x:f>COUNTIFS('Monthly_Data'!$B$6:$B$797,"&gt;="&amp;J94,'Monthly_Data'!$B$6:$B$797,"&lt;="&amp;K94,'Monthly_Data'!$C$6:$C$797,D94,'Monthly_Data'!$D$6:$D$797,C94,'Monthly_Data'!$I$6:$I$797,1)</x:f>
        <x:v>6</x:v>
      </x:c>
      <x:c r="O94" s="17" t="n">
        <x:f>IF(M94&gt;0,L94/M94,"n.a.")</x:f>
        <x:v>23.829820876540076</x:v>
      </x:c>
      <x:c r="P94" s="2" t="n">
        <x:f>COUNTIFS($A$6:$A$125,A94)</x:f>
        <x:v>1</x:v>
      </x:c>
      <x:c r="Q94" s="2"/>
      <x:c r="R94" s="2"/>
      <x:c r="S94" s="2"/>
    </x:row>
    <x:row r="95" ht="23" customHeight="1">
      <x:c r="A95" s="2" t="str">
        <x:v>H1 2026|Vietnam|61091000</x:v>
      </x:c>
      <x:c r="B95" s="2" t="str">
        <x:v>H1 2026</x:v>
      </x:c>
      <x:c r="C95" s="2" t="str">
        <x:v>Vietnam</x:v>
      </x:c>
      <x:c r="D95" s="2" t="str">
        <x:v>61091000</x:v>
      </x:c>
      <x:c r="E95" s="16" t="n">
        <x:v>13656174</x:v>
      </x:c>
      <x:c r="F95" s="16" t="n">
        <x:v>532624</x:v>
      </x:c>
      <x:c r="G95" s="2" t="n">
        <x:v>6</x:v>
      </x:c>
      <x:c r="H95" s="2" t="n">
        <x:v>0</x:v>
      </x:c>
      <x:c r="I95" s="17" t="n">
        <x:v>25.639426687494367</x:v>
      </x:c>
      <x:c r="J95" s="2" t="n">
        <x:v>202601</x:v>
      </x:c>
      <x:c r="K95" s="2" t="n">
        <x:v>202606</x:v>
      </x:c>
      <x:c r="L95" s="16" t="n">
        <x:f>SUMIFS('Monthly_Data'!$E$6:$E$797,'Monthly_Data'!$B$6:$B$797,"&gt;="&amp;J95,'Monthly_Data'!$B$6:$B$797,"&lt;="&amp;K95,'Monthly_Data'!$C$6:$C$797,D95,'Monthly_Data'!$D$6:$D$797,C95,'Monthly_Data'!$I$6:$I$797,1)</x:f>
        <x:v>13656174</x:v>
      </x:c>
      <x:c r="M95" s="16" t="n">
        <x:f>SUMIFS('Monthly_Data'!$F$6:$F$797,'Monthly_Data'!$B$6:$B$797,"&gt;="&amp;J95,'Monthly_Data'!$B$6:$B$797,"&lt;="&amp;K95,'Monthly_Data'!$C$6:$C$797,D95,'Monthly_Data'!$D$6:$D$797,C95,'Monthly_Data'!$I$6:$I$797,1)</x:f>
        <x:v>532624</x:v>
      </x:c>
      <x:c r="N95" s="2" t="n">
        <x:f>COUNTIFS('Monthly_Data'!$B$6:$B$797,"&gt;="&amp;J95,'Monthly_Data'!$B$6:$B$797,"&lt;="&amp;K95,'Monthly_Data'!$C$6:$C$797,D95,'Monthly_Data'!$D$6:$D$797,C95,'Monthly_Data'!$I$6:$I$797,1)</x:f>
        <x:v>6</x:v>
      </x:c>
      <x:c r="O95" s="17" t="n">
        <x:f>IF(M95&gt;0,L95/M95,"n.a.")</x:f>
        <x:v>25.639426687494367</x:v>
      </x:c>
      <x:c r="P95" s="2" t="n">
        <x:f>COUNTIFS($A$6:$A$125,A95)</x:f>
        <x:v>1</x:v>
      </x:c>
      <x:c r="Q95" s="2"/>
      <x:c r="R95" s="2"/>
      <x:c r="S95" s="2"/>
    </x:row>
    <x:row r="96" ht="23" customHeight="1">
      <x:c r="A96" s="2" t="str">
        <x:v>H1 2026|Bangladesh|61103099</x:v>
      </x:c>
      <x:c r="B96" s="2" t="str">
        <x:v>H1 2026</x:v>
      </x:c>
      <x:c r="C96" s="2" t="str">
        <x:v>Bangladesh</x:v>
      </x:c>
      <x:c r="D96" s="2" t="str">
        <x:v>61103099</x:v>
      </x:c>
      <x:c r="E96" s="16" t="n">
        <x:v>41106466</x:v>
      </x:c>
      <x:c r="F96" s="16" t="n">
        <x:v>3340374</x:v>
      </x:c>
      <x:c r="G96" s="2" t="n">
        <x:v>6</x:v>
      </x:c>
      <x:c r="H96" s="2" t="n">
        <x:v>0</x:v>
      </x:c>
      <x:c r="I96" s="17" t="n">
        <x:v>12.305947178369847</x:v>
      </x:c>
      <x:c r="J96" s="2" t="n">
        <x:v>202601</x:v>
      </x:c>
      <x:c r="K96" s="2" t="n">
        <x:v>202606</x:v>
      </x:c>
      <x:c r="L96" s="16" t="n">
        <x:f>SUMIFS('Monthly_Data'!$E$6:$E$797,'Monthly_Data'!$B$6:$B$797,"&gt;="&amp;J96,'Monthly_Data'!$B$6:$B$797,"&lt;="&amp;K96,'Monthly_Data'!$C$6:$C$797,D96,'Monthly_Data'!$D$6:$D$797,C96,'Monthly_Data'!$I$6:$I$797,1)</x:f>
        <x:v>25038881</x:v>
      </x:c>
      <x:c r="M96" s="16" t="n">
        <x:f>SUMIFS('Monthly_Data'!$F$6:$F$797,'Monthly_Data'!$B$6:$B$797,"&gt;="&amp;J96,'Monthly_Data'!$B$6:$B$797,"&lt;="&amp;K96,'Monthly_Data'!$C$6:$C$797,D96,'Monthly_Data'!$D$6:$D$797,C96,'Monthly_Data'!$I$6:$I$797,1)</x:f>
        <x:v>2031795</x:v>
      </x:c>
      <x:c r="N96" s="2" t="n">
        <x:f>COUNTIFS('Monthly_Data'!$B$6:$B$797,"&gt;="&amp;J96,'Monthly_Data'!$B$6:$B$797,"&lt;="&amp;K96,'Monthly_Data'!$C$6:$C$797,D96,'Monthly_Data'!$D$6:$D$797,C96,'Monthly_Data'!$I$6:$I$797,1)</x:f>
        <x:v>3</x:v>
      </x:c>
      <x:c r="O96" s="17" t="n">
        <x:f>IF(M96&gt;0,L96/M96,"n.a.")</x:f>
        <x:v>12.323527225925844</x:v>
      </x:c>
      <x:c r="P96" s="2" t="n">
        <x:f>COUNTIFS($A$6:$A$125,A96)</x:f>
        <x:v>1</x:v>
      </x:c>
      <x:c r="Q96" s="2"/>
      <x:c r="R96" s="2"/>
      <x:c r="S96" s="2"/>
    </x:row>
    <x:row r="97" ht="23" customHeight="1">
      <x:c r="A97" s="2" t="str">
        <x:v>H1 2026|Cambodia|61103099</x:v>
      </x:c>
      <x:c r="B97" s="2" t="str">
        <x:v>H1 2026</x:v>
      </x:c>
      <x:c r="C97" s="2" t="str">
        <x:v>Cambodia</x:v>
      </x:c>
      <x:c r="D97" s="2" t="str">
        <x:v>61103099</x:v>
      </x:c>
      <x:c r="E97" s="16" t="n">
        <x:v>20275618</x:v>
      </x:c>
      <x:c r="F97" s="16" t="n">
        <x:v>1804538</x:v>
      </x:c>
      <x:c r="G97" s="2" t="n">
        <x:v>6</x:v>
      </x:c>
      <x:c r="H97" s="2" t="n">
        <x:v>0</x:v>
      </x:c>
      <x:c r="I97" s="17" t="n">
        <x:v>11.235905256636325</x:v>
      </x:c>
      <x:c r="J97" s="2" t="n">
        <x:v>202601</x:v>
      </x:c>
      <x:c r="K97" s="2" t="n">
        <x:v>202606</x:v>
      </x:c>
      <x:c r="L97" s="16" t="n">
        <x:f>SUMIFS('Monthly_Data'!$E$6:$E$797,'Monthly_Data'!$B$6:$B$797,"&gt;="&amp;J97,'Monthly_Data'!$B$6:$B$797,"&lt;="&amp;K97,'Monthly_Data'!$C$6:$C$797,D97,'Monthly_Data'!$D$6:$D$797,C97,'Monthly_Data'!$I$6:$I$797,1)</x:f>
        <x:v>13269420</x:v>
      </x:c>
      <x:c r="M97" s="16" t="n">
        <x:f>SUMIFS('Monthly_Data'!$F$6:$F$797,'Monthly_Data'!$B$6:$B$797,"&gt;="&amp;J97,'Monthly_Data'!$B$6:$B$797,"&lt;="&amp;K97,'Monthly_Data'!$C$6:$C$797,D97,'Monthly_Data'!$D$6:$D$797,C97,'Monthly_Data'!$I$6:$I$797,1)</x:f>
        <x:v>1232292</x:v>
      </x:c>
      <x:c r="N97" s="2" t="n">
        <x:f>COUNTIFS('Monthly_Data'!$B$6:$B$797,"&gt;="&amp;J97,'Monthly_Data'!$B$6:$B$797,"&lt;="&amp;K97,'Monthly_Data'!$C$6:$C$797,D97,'Monthly_Data'!$D$6:$D$797,C97,'Monthly_Data'!$I$6:$I$797,1)</x:f>
        <x:v>3</x:v>
      </x:c>
      <x:c r="O97" s="17" t="n">
        <x:f>IF(M97&gt;0,L97/M97,"n.a.")</x:f>
        <x:v>10.76808094185469</x:v>
      </x:c>
      <x:c r="P97" s="2" t="n">
        <x:f>COUNTIFS($A$6:$A$125,A97)</x:f>
        <x:v>1</x:v>
      </x:c>
      <x:c r="Q97" s="2"/>
      <x:c r="R97" s="2"/>
      <x:c r="S97" s="2"/>
    </x:row>
    <x:row r="98" ht="23" customHeight="1">
      <x:c r="A98" s="2" t="str">
        <x:v>H1 2026|China|61103099</x:v>
      </x:c>
      <x:c r="B98" s="2" t="str">
        <x:v>H1 2026</x:v>
      </x:c>
      <x:c r="C98" s="2" t="str">
        <x:v>China</x:v>
      </x:c>
      <x:c r="D98" s="2" t="str">
        <x:v>61103099</x:v>
      </x:c>
      <x:c r="E98" s="16" t="n">
        <x:v>44515052</x:v>
      </x:c>
      <x:c r="F98" s="16" t="n">
        <x:v>2608798</x:v>
      </x:c>
      <x:c r="G98" s="2" t="n">
        <x:v>6</x:v>
      </x:c>
      <x:c r="H98" s="2" t="n">
        <x:v>0</x:v>
      </x:c>
      <x:c r="I98" s="17" t="n">
        <x:v>17.063433811280138</x:v>
      </x:c>
      <x:c r="J98" s="2" t="n">
        <x:v>202601</x:v>
      </x:c>
      <x:c r="K98" s="2" t="n">
        <x:v>202606</x:v>
      </x:c>
      <x:c r="L98" s="16" t="n">
        <x:f>SUMIFS('Monthly_Data'!$E$6:$E$797,'Monthly_Data'!$B$6:$B$797,"&gt;="&amp;J98,'Monthly_Data'!$B$6:$B$797,"&lt;="&amp;K98,'Monthly_Data'!$C$6:$C$797,D98,'Monthly_Data'!$D$6:$D$797,C98,'Monthly_Data'!$I$6:$I$797,1)</x:f>
        <x:v>27014460</x:v>
      </x:c>
      <x:c r="M98" s="16" t="n">
        <x:f>SUMIFS('Monthly_Data'!$F$6:$F$797,'Monthly_Data'!$B$6:$B$797,"&gt;="&amp;J98,'Monthly_Data'!$B$6:$B$797,"&lt;="&amp;K98,'Monthly_Data'!$C$6:$C$797,D98,'Monthly_Data'!$D$6:$D$797,C98,'Monthly_Data'!$I$6:$I$797,1)</x:f>
        <x:v>1632364</x:v>
      </x:c>
      <x:c r="N98" s="2" t="n">
        <x:f>COUNTIFS('Monthly_Data'!$B$6:$B$797,"&gt;="&amp;J98,'Monthly_Data'!$B$6:$B$797,"&lt;="&amp;K98,'Monthly_Data'!$C$6:$C$797,D98,'Monthly_Data'!$D$6:$D$797,C98,'Monthly_Data'!$I$6:$I$797,1)</x:f>
        <x:v>3</x:v>
      </x:c>
      <x:c r="O98" s="17" t="n">
        <x:f>IF(M98&gt;0,L98/M98,"n.a.")</x:f>
        <x:v>16.549286801228156</x:v>
      </x:c>
      <x:c r="P98" s="2" t="n">
        <x:f>COUNTIFS($A$6:$A$125,A98)</x:f>
        <x:v>1</x:v>
      </x:c>
      <x:c r="Q98" s="2"/>
      <x:c r="R98" s="2"/>
      <x:c r="S98" s="2"/>
    </x:row>
    <x:row r="99" ht="23" customHeight="1">
      <x:c r="A99" s="2" t="str">
        <x:v>H1 2026|India|61103099</x:v>
      </x:c>
      <x:c r="B99" s="2" t="str">
        <x:v>H1 2026</x:v>
      </x:c>
      <x:c r="C99" s="2" t="str">
        <x:v>India</x:v>
      </x:c>
      <x:c r="D99" s="2" t="str">
        <x:v>61103099</x:v>
      </x:c>
      <x:c r="E99" s="16" t="n">
        <x:v>709744</x:v>
      </x:c>
      <x:c r="F99" s="16" t="n">
        <x:v>46899</x:v>
      </x:c>
      <x:c r="G99" s="2" t="n">
        <x:v>6</x:v>
      </x:c>
      <x:c r="H99" s="2" t="n">
        <x:v>0</x:v>
      </x:c>
      <x:c r="I99" s="17" t="n">
        <x:v>15.133457003347619</x:v>
      </x:c>
      <x:c r="J99" s="2" t="n">
        <x:v>202601</x:v>
      </x:c>
      <x:c r="K99" s="2" t="n">
        <x:v>202606</x:v>
      </x:c>
      <x:c r="L99" s="16" t="n">
        <x:f>SUMIFS('Monthly_Data'!$E$6:$E$797,'Monthly_Data'!$B$6:$B$797,"&gt;="&amp;J99,'Monthly_Data'!$B$6:$B$797,"&lt;="&amp;K99,'Monthly_Data'!$C$6:$C$797,D99,'Monthly_Data'!$D$6:$D$797,C99,'Monthly_Data'!$I$6:$I$797,1)</x:f>
        <x:v>404614</x:v>
      </x:c>
      <x:c r="M99" s="16" t="n">
        <x:f>SUMIFS('Monthly_Data'!$F$6:$F$797,'Monthly_Data'!$B$6:$B$797,"&gt;="&amp;J99,'Monthly_Data'!$B$6:$B$797,"&lt;="&amp;K99,'Monthly_Data'!$C$6:$C$797,D99,'Monthly_Data'!$D$6:$D$797,C99,'Monthly_Data'!$I$6:$I$797,1)</x:f>
        <x:v>27619</x:v>
      </x:c>
      <x:c r="N99" s="2" t="n">
        <x:f>COUNTIFS('Monthly_Data'!$B$6:$B$797,"&gt;="&amp;J99,'Monthly_Data'!$B$6:$B$797,"&lt;="&amp;K99,'Monthly_Data'!$C$6:$C$797,D99,'Monthly_Data'!$D$6:$D$797,C99,'Monthly_Data'!$I$6:$I$797,1)</x:f>
        <x:v>3</x:v>
      </x:c>
      <x:c r="O99" s="17" t="n">
        <x:f>IF(M99&gt;0,L99/M99,"n.a.")</x:f>
        <x:v>14.649842499728448</x:v>
      </x:c>
      <x:c r="P99" s="2" t="n">
        <x:f>COUNTIFS($A$6:$A$125,A99)</x:f>
        <x:v>1</x:v>
      </x:c>
      <x:c r="Q99" s="2"/>
      <x:c r="R99" s="2"/>
      <x:c r="S99" s="2"/>
    </x:row>
    <x:row r="100" ht="23" customHeight="1">
      <x:c r="A100" s="2" t="str">
        <x:v>H1 2026|Morocco|61103099</x:v>
      </x:c>
      <x:c r="B100" s="2" t="str">
        <x:v>H1 2026</x:v>
      </x:c>
      <x:c r="C100" s="2" t="str">
        <x:v>Morocco</x:v>
      </x:c>
      <x:c r="D100" s="2" t="str">
        <x:v>61103099</x:v>
      </x:c>
      <x:c r="E100" s="16" t="n">
        <x:v>94543</x:v>
      </x:c>
      <x:c r="F100" s="16" t="n">
        <x:v>3440</x:v>
      </x:c>
      <x:c r="G100" s="2" t="n">
        <x:v>6</x:v>
      </x:c>
      <x:c r="H100" s="2" t="n">
        <x:v>0</x:v>
      </x:c>
      <x:c r="I100" s="17" t="n">
        <x:v>27.48343023255814</x:v>
      </x:c>
      <x:c r="J100" s="2" t="n">
        <x:v>202601</x:v>
      </x:c>
      <x:c r="K100" s="2" t="n">
        <x:v>202606</x:v>
      </x:c>
      <x:c r="L100" s="16" t="n">
        <x:f>SUMIFS('Monthly_Data'!$E$6:$E$797,'Monthly_Data'!$B$6:$B$797,"&gt;="&amp;J100,'Monthly_Data'!$B$6:$B$797,"&lt;="&amp;K100,'Monthly_Data'!$C$6:$C$797,D100,'Monthly_Data'!$D$6:$D$797,C100,'Monthly_Data'!$I$6:$I$797,1)</x:f>
        <x:v>77048</x:v>
      </x:c>
      <x:c r="M100" s="16" t="n">
        <x:f>SUMIFS('Monthly_Data'!$F$6:$F$797,'Monthly_Data'!$B$6:$B$797,"&gt;="&amp;J100,'Monthly_Data'!$B$6:$B$797,"&lt;="&amp;K100,'Monthly_Data'!$C$6:$C$797,D100,'Monthly_Data'!$D$6:$D$797,C100,'Monthly_Data'!$I$6:$I$797,1)</x:f>
        <x:v>2804</x:v>
      </x:c>
      <x:c r="N100" s="2" t="n">
        <x:f>COUNTIFS('Monthly_Data'!$B$6:$B$797,"&gt;="&amp;J100,'Monthly_Data'!$B$6:$B$797,"&lt;="&amp;K100,'Monthly_Data'!$C$6:$C$797,D100,'Monthly_Data'!$D$6:$D$797,C100,'Monthly_Data'!$I$6:$I$797,1)</x:f>
        <x:v>3</x:v>
      </x:c>
      <x:c r="O100" s="17" t="n">
        <x:f>IF(M100&gt;0,L100/M100,"n.a.")</x:f>
        <x:v>27.477888730385164</x:v>
      </x:c>
      <x:c r="P100" s="2" t="n">
        <x:f>COUNTIFS($A$6:$A$125,A100)</x:f>
        <x:v>1</x:v>
      </x:c>
      <x:c r="Q100" s="2"/>
      <x:c r="R100" s="2"/>
      <x:c r="S100" s="2"/>
    </x:row>
    <x:row r="101" ht="23" customHeight="1">
      <x:c r="A101" s="2" t="str">
        <x:v>H1 2026|Myanmar|61103099</x:v>
      </x:c>
      <x:c r="B101" s="2" t="str">
        <x:v>H1 2026</x:v>
      </x:c>
      <x:c r="C101" s="2" t="str">
        <x:v>Myanmar</x:v>
      </x:c>
      <x:c r="D101" s="2" t="str">
        <x:v>61103099</x:v>
      </x:c>
      <x:c r="E101" s="16" t="n">
        <x:v>1019595</x:v>
      </x:c>
      <x:c r="F101" s="16" t="n">
        <x:v>72000</x:v>
      </x:c>
      <x:c r="G101" s="2" t="n">
        <x:v>6</x:v>
      </x:c>
      <x:c r="H101" s="2" t="n">
        <x:v>0</x:v>
      </x:c>
      <x:c r="I101" s="17" t="n">
        <x:v>14.161041666666666</x:v>
      </x:c>
      <x:c r="J101" s="2" t="n">
        <x:v>202601</x:v>
      </x:c>
      <x:c r="K101" s="2" t="n">
        <x:v>202606</x:v>
      </x:c>
      <x:c r="L101" s="16" t="n">
        <x:f>SUMIFS('Monthly_Data'!$E$6:$E$797,'Monthly_Data'!$B$6:$B$797,"&gt;="&amp;J101,'Monthly_Data'!$B$6:$B$797,"&lt;="&amp;K101,'Monthly_Data'!$C$6:$C$797,D101,'Monthly_Data'!$D$6:$D$797,C101,'Monthly_Data'!$I$6:$I$797,1)</x:f>
        <x:v>550135</x:v>
      </x:c>
      <x:c r="M101" s="16" t="n">
        <x:f>SUMIFS('Monthly_Data'!$F$6:$F$797,'Monthly_Data'!$B$6:$B$797,"&gt;="&amp;J101,'Monthly_Data'!$B$6:$B$797,"&lt;="&amp;K101,'Monthly_Data'!$C$6:$C$797,D101,'Monthly_Data'!$D$6:$D$797,C101,'Monthly_Data'!$I$6:$I$797,1)</x:f>
        <x:v>36826</x:v>
      </x:c>
      <x:c r="N101" s="2" t="n">
        <x:f>COUNTIFS('Monthly_Data'!$B$6:$B$797,"&gt;="&amp;J101,'Monthly_Data'!$B$6:$B$797,"&lt;="&amp;K101,'Monthly_Data'!$C$6:$C$797,D101,'Monthly_Data'!$D$6:$D$797,C101,'Monthly_Data'!$I$6:$I$797,1)</x:f>
        <x:v>3</x:v>
      </x:c>
      <x:c r="O101" s="17" t="n">
        <x:f>IF(M101&gt;0,L101/M101,"n.a.")</x:f>
        <x:v>14.938766089176125</x:v>
      </x:c>
      <x:c r="P101" s="2" t="n">
        <x:f>COUNTIFS($A$6:$A$125,A101)</x:f>
        <x:v>1</x:v>
      </x:c>
      <x:c r="Q101" s="2"/>
      <x:c r="R101" s="2"/>
      <x:c r="S101" s="2"/>
    </x:row>
    <x:row r="102" ht="23" customHeight="1">
      <x:c r="A102" s="2" t="str">
        <x:v>H1 2026|Pakistan|61103099</x:v>
      </x:c>
      <x:c r="B102" s="2" t="str">
        <x:v>H1 2026</x:v>
      </x:c>
      <x:c r="C102" s="2" t="str">
        <x:v>Pakistan</x:v>
      </x:c>
      <x:c r="D102" s="2" t="str">
        <x:v>61103099</x:v>
      </x:c>
      <x:c r="E102" s="16" t="n">
        <x:v>2797761</x:v>
      </x:c>
      <x:c r="F102" s="16" t="n">
        <x:v>189105</x:v>
      </x:c>
      <x:c r="G102" s="2" t="n">
        <x:v>6</x:v>
      </x:c>
      <x:c r="H102" s="2" t="n">
        <x:v>0</x:v>
      </x:c>
      <x:c r="I102" s="17" t="n">
        <x:v>14.79474894899659</x:v>
      </x:c>
      <x:c r="J102" s="2" t="n">
        <x:v>202601</x:v>
      </x:c>
      <x:c r="K102" s="2" t="n">
        <x:v>202606</x:v>
      </x:c>
      <x:c r="L102" s="16" t="n">
        <x:f>SUMIFS('Monthly_Data'!$E$6:$E$797,'Monthly_Data'!$B$6:$B$797,"&gt;="&amp;J102,'Monthly_Data'!$B$6:$B$797,"&lt;="&amp;K102,'Monthly_Data'!$C$6:$C$797,D102,'Monthly_Data'!$D$6:$D$797,C102,'Monthly_Data'!$I$6:$I$797,1)</x:f>
        <x:v>1564498</x:v>
      </x:c>
      <x:c r="M102" s="16" t="n">
        <x:f>SUMIFS('Monthly_Data'!$F$6:$F$797,'Monthly_Data'!$B$6:$B$797,"&gt;="&amp;J102,'Monthly_Data'!$B$6:$B$797,"&lt;="&amp;K102,'Monthly_Data'!$C$6:$C$797,D102,'Monthly_Data'!$D$6:$D$797,C102,'Monthly_Data'!$I$6:$I$797,1)</x:f>
        <x:v>111136</x:v>
      </x:c>
      <x:c r="N102" s="2" t="n">
        <x:f>COUNTIFS('Monthly_Data'!$B$6:$B$797,"&gt;="&amp;J102,'Monthly_Data'!$B$6:$B$797,"&lt;="&amp;K102,'Monthly_Data'!$C$6:$C$797,D102,'Monthly_Data'!$D$6:$D$797,C102,'Monthly_Data'!$I$6:$I$797,1)</x:f>
        <x:v>3</x:v>
      </x:c>
      <x:c r="O102" s="17" t="n">
        <x:f>IF(M102&gt;0,L102/M102,"n.a.")</x:f>
        <x:v>14.077328678376043</x:v>
      </x:c>
      <x:c r="P102" s="2" t="n">
        <x:f>COUNTIFS($A$6:$A$125,A102)</x:f>
        <x:v>1</x:v>
      </x:c>
      <x:c r="Q102" s="2"/>
      <x:c r="R102" s="2"/>
      <x:c r="S102" s="2"/>
    </x:row>
    <x:row r="103" ht="23" customHeight="1">
      <x:c r="A103" s="2" t="str">
        <x:v>H1 2026|Sri Lanka|61103099</x:v>
      </x:c>
      <x:c r="B103" s="2" t="str">
        <x:v>H1 2026</x:v>
      </x:c>
      <x:c r="C103" s="2" t="str">
        <x:v>Sri Lanka</x:v>
      </x:c>
      <x:c r="D103" s="2" t="str">
        <x:v>61103099</x:v>
      </x:c>
      <x:c r="E103" s="16" t="n">
        <x:v>732589</x:v>
      </x:c>
      <x:c r="F103" s="16" t="n">
        <x:v>34757</x:v>
      </x:c>
      <x:c r="G103" s="2" t="n">
        <x:v>6</x:v>
      </x:c>
      <x:c r="H103" s="2" t="n">
        <x:v>0</x:v>
      </x:c>
      <x:c r="I103" s="17" t="n">
        <x:v>21.077452024052707</x:v>
      </x:c>
      <x:c r="J103" s="2" t="n">
        <x:v>202601</x:v>
      </x:c>
      <x:c r="K103" s="2" t="n">
        <x:v>202606</x:v>
      </x:c>
      <x:c r="L103" s="16" t="n">
        <x:f>SUMIFS('Monthly_Data'!$E$6:$E$797,'Monthly_Data'!$B$6:$B$797,"&gt;="&amp;J103,'Monthly_Data'!$B$6:$B$797,"&lt;="&amp;K103,'Monthly_Data'!$C$6:$C$797,D103,'Monthly_Data'!$D$6:$D$797,C103,'Monthly_Data'!$I$6:$I$797,1)</x:f>
        <x:v>326827</x:v>
      </x:c>
      <x:c r="M103" s="16" t="n">
        <x:f>SUMIFS('Monthly_Data'!$F$6:$F$797,'Monthly_Data'!$B$6:$B$797,"&gt;="&amp;J103,'Monthly_Data'!$B$6:$B$797,"&lt;="&amp;K103,'Monthly_Data'!$C$6:$C$797,D103,'Monthly_Data'!$D$6:$D$797,C103,'Monthly_Data'!$I$6:$I$797,1)</x:f>
        <x:v>14080</x:v>
      </x:c>
      <x:c r="N103" s="2" t="n">
        <x:f>COUNTIFS('Monthly_Data'!$B$6:$B$797,"&gt;="&amp;J103,'Monthly_Data'!$B$6:$B$797,"&lt;="&amp;K103,'Monthly_Data'!$C$6:$C$797,D103,'Monthly_Data'!$D$6:$D$797,C103,'Monthly_Data'!$I$6:$I$797,1)</x:f>
        <x:v>3</x:v>
      </x:c>
      <x:c r="O103" s="17" t="n">
        <x:f>IF(M103&gt;0,L103/M103,"n.a.")</x:f>
        <x:v>23.212144886363635</x:v>
      </x:c>
      <x:c r="P103" s="2" t="n">
        <x:f>COUNTIFS($A$6:$A$125,A103)</x:f>
        <x:v>1</x:v>
      </x:c>
      <x:c r="Q103" s="2"/>
      <x:c r="R103" s="2"/>
      <x:c r="S103" s="2"/>
    </x:row>
    <x:row r="104" ht="23" customHeight="1">
      <x:c r="A104" s="2" t="str">
        <x:v>H1 2026|Turkey|61103099</x:v>
      </x:c>
      <x:c r="B104" s="2" t="str">
        <x:v>H1 2026</x:v>
      </x:c>
      <x:c r="C104" s="2" t="str">
        <x:v>Turkey</x:v>
      </x:c>
      <x:c r="D104" s="2" t="str">
        <x:v>61103099</x:v>
      </x:c>
      <x:c r="E104" s="16" t="n">
        <x:v>15949155</x:v>
      </x:c>
      <x:c r="F104" s="16" t="n">
        <x:v>2413703</x:v>
      </x:c>
      <x:c r="G104" s="2" t="n">
        <x:v>6</x:v>
      </x:c>
      <x:c r="H104" s="2" t="n">
        <x:v>3</x:v>
      </x:c>
      <x:c r="I104" s="17" t="n">
        <x:v>6.607753729435643</x:v>
      </x:c>
      <x:c r="J104" s="2" t="n">
        <x:v>202601</x:v>
      </x:c>
      <x:c r="K104" s="2" t="n">
        <x:v>202606</x:v>
      </x:c>
      <x:c r="L104" s="16" t="n">
        <x:f>SUMIFS('Monthly_Data'!$E$6:$E$797,'Monthly_Data'!$B$6:$B$797,"&gt;="&amp;J104,'Monthly_Data'!$B$6:$B$797,"&lt;="&amp;K104,'Monthly_Data'!$C$6:$C$797,D104,'Monthly_Data'!$D$6:$D$797,C104,'Monthly_Data'!$I$6:$I$797,1)</x:f>
        <x:v>8996246</x:v>
      </x:c>
      <x:c r="M104" s="16" t="n">
        <x:f>SUMIFS('Monthly_Data'!$F$6:$F$797,'Monthly_Data'!$B$6:$B$797,"&gt;="&amp;J104,'Monthly_Data'!$B$6:$B$797,"&lt;="&amp;K104,'Monthly_Data'!$C$6:$C$797,D104,'Monthly_Data'!$D$6:$D$797,C104,'Monthly_Data'!$I$6:$I$797,1)</x:f>
        <x:v>835360</x:v>
      </x:c>
      <x:c r="N104" s="2" t="n">
        <x:f>COUNTIFS('Monthly_Data'!$B$6:$B$797,"&gt;="&amp;J104,'Monthly_Data'!$B$6:$B$797,"&lt;="&amp;K104,'Monthly_Data'!$C$6:$C$797,D104,'Monthly_Data'!$D$6:$D$797,C104,'Monthly_Data'!$I$6:$I$797,1)</x:f>
        <x:v>3</x:v>
      </x:c>
      <x:c r="O104" s="17" t="n">
        <x:f>IF(M104&gt;0,L104/M104,"n.a.")</x:f>
        <x:v>10.769304252058992</x:v>
      </x:c>
      <x:c r="P104" s="2" t="n">
        <x:f>COUNTIFS($A$6:$A$125,A104)</x:f>
        <x:v>1</x:v>
      </x:c>
      <x:c r="Q104" s="2"/>
      <x:c r="R104" s="2"/>
      <x:c r="S104" s="2"/>
    </x:row>
    <x:row r="105" ht="23" customHeight="1">
      <x:c r="A105" s="2" t="str">
        <x:v>H1 2026|Vietnam|61103099</x:v>
      </x:c>
      <x:c r="B105" s="2" t="str">
        <x:v>H1 2026</x:v>
      </x:c>
      <x:c r="C105" s="2" t="str">
        <x:v>Vietnam</x:v>
      </x:c>
      <x:c r="D105" s="2" t="str">
        <x:v>61103099</x:v>
      </x:c>
      <x:c r="E105" s="16" t="n">
        <x:v>6261277</x:v>
      </x:c>
      <x:c r="F105" s="16" t="n">
        <x:v>292287</x:v>
      </x:c>
      <x:c r="G105" s="2" t="n">
        <x:v>6</x:v>
      </x:c>
      <x:c r="H105" s="2" t="n">
        <x:v>1</x:v>
      </x:c>
      <x:c r="I105" s="17" t="n">
        <x:v>21.421674586964183</x:v>
      </x:c>
      <x:c r="J105" s="2" t="n">
        <x:v>202601</x:v>
      </x:c>
      <x:c r="K105" s="2" t="n">
        <x:v>202606</x:v>
      </x:c>
      <x:c r="L105" s="16" t="n">
        <x:f>SUMIFS('Monthly_Data'!$E$6:$E$797,'Monthly_Data'!$B$6:$B$797,"&gt;="&amp;J105,'Monthly_Data'!$B$6:$B$797,"&lt;="&amp;K105,'Monthly_Data'!$C$6:$C$797,D105,'Monthly_Data'!$D$6:$D$797,C105,'Monthly_Data'!$I$6:$I$797,1)</x:f>
        <x:v>3494621</x:v>
      </x:c>
      <x:c r="M105" s="16" t="n">
        <x:f>SUMIFS('Monthly_Data'!$F$6:$F$797,'Monthly_Data'!$B$6:$B$797,"&gt;="&amp;J105,'Monthly_Data'!$B$6:$B$797,"&lt;="&amp;K105,'Monthly_Data'!$C$6:$C$797,D105,'Monthly_Data'!$D$6:$D$797,C105,'Monthly_Data'!$I$6:$I$797,1)</x:f>
        <x:v>99649</x:v>
      </x:c>
      <x:c r="N105" s="2" t="n">
        <x:f>COUNTIFS('Monthly_Data'!$B$6:$B$797,"&gt;="&amp;J105,'Monthly_Data'!$B$6:$B$797,"&lt;="&amp;K105,'Monthly_Data'!$C$6:$C$797,D105,'Monthly_Data'!$D$6:$D$797,C105,'Monthly_Data'!$I$6:$I$797,1)</x:f>
        <x:v>3</x:v>
      </x:c>
      <x:c r="O105" s="17" t="n">
        <x:f>IF(M105&gt;0,L105/M105,"n.a.")</x:f>
        <x:v>35.069303254423026</x:v>
      </x:c>
      <x:c r="P105" s="2" t="n">
        <x:f>COUNTIFS($A$6:$A$125,A105)</x:f>
        <x:v>1</x:v>
      </x:c>
      <x:c r="Q105" s="2"/>
      <x:c r="R105" s="2"/>
      <x:c r="S105" s="2"/>
    </x:row>
    <x:row r="106" ht="23" customHeight="1">
      <x:c r="A106" s="2" t="str">
        <x:v>H1 2026|Bangladesh|62044300</x:v>
      </x:c>
      <x:c r="B106" s="2" t="str">
        <x:v>H1 2026</x:v>
      </x:c>
      <x:c r="C106" s="2" t="str">
        <x:v>Bangladesh</x:v>
      </x:c>
      <x:c r="D106" s="2" t="str">
        <x:v>62044300</x:v>
      </x:c>
      <x:c r="E106" s="16" t="n">
        <x:v>6924029</x:v>
      </x:c>
      <x:c r="F106" s="16" t="n">
        <x:v>450236</x:v>
      </x:c>
      <x:c r="G106" s="2" t="n">
        <x:v>6</x:v>
      </x:c>
      <x:c r="H106" s="2" t="n">
        <x:v>0</x:v>
      </x:c>
      <x:c r="I106" s="17" t="n">
        <x:v>15.378665855240364</x:v>
      </x:c>
      <x:c r="J106" s="2" t="n">
        <x:v>202601</x:v>
      </x:c>
      <x:c r="K106" s="2" t="n">
        <x:v>202606</x:v>
      </x:c>
      <x:c r="L106" s="16" t="n">
        <x:f>SUMIFS('Monthly_Data'!$E$6:$E$797,'Monthly_Data'!$B$6:$B$797,"&gt;="&amp;J106,'Monthly_Data'!$B$6:$B$797,"&lt;="&amp;K106,'Monthly_Data'!$C$6:$C$797,D106,'Monthly_Data'!$D$6:$D$797,C106,'Monthly_Data'!$I$6:$I$797,1)</x:f>
        <x:v>6924029</x:v>
      </x:c>
      <x:c r="M106" s="16" t="n">
        <x:f>SUMIFS('Monthly_Data'!$F$6:$F$797,'Monthly_Data'!$B$6:$B$797,"&gt;="&amp;J106,'Monthly_Data'!$B$6:$B$797,"&lt;="&amp;K106,'Monthly_Data'!$C$6:$C$797,D106,'Monthly_Data'!$D$6:$D$797,C106,'Monthly_Data'!$I$6:$I$797,1)</x:f>
        <x:v>450236</x:v>
      </x:c>
      <x:c r="N106" s="2" t="n">
        <x:f>COUNTIFS('Monthly_Data'!$B$6:$B$797,"&gt;="&amp;J106,'Monthly_Data'!$B$6:$B$797,"&lt;="&amp;K106,'Monthly_Data'!$C$6:$C$797,D106,'Monthly_Data'!$D$6:$D$797,C106,'Monthly_Data'!$I$6:$I$797,1)</x:f>
        <x:v>6</x:v>
      </x:c>
      <x:c r="O106" s="17" t="n">
        <x:f>IF(M106&gt;0,L106/M106,"n.a.")</x:f>
        <x:v>15.378665855240364</x:v>
      </x:c>
      <x:c r="P106" s="2" t="n">
        <x:f>COUNTIFS($A$6:$A$125,A106)</x:f>
        <x:v>1</x:v>
      </x:c>
      <x:c r="Q106" s="2"/>
      <x:c r="R106" s="2"/>
      <x:c r="S106" s="2"/>
    </x:row>
    <x:row r="107" ht="23" customHeight="1">
      <x:c r="A107" s="2" t="str">
        <x:v>H1 2026|Cambodia|62044300</x:v>
      </x:c>
      <x:c r="B107" s="2" t="str">
        <x:v>H1 2026</x:v>
      </x:c>
      <x:c r="C107" s="2" t="str">
        <x:v>Cambodia</x:v>
      </x:c>
      <x:c r="D107" s="2" t="str">
        <x:v>62044300</x:v>
      </x:c>
      <x:c r="E107" s="16" t="n">
        <x:v>2808404</x:v>
      </x:c>
      <x:c r="F107" s="16" t="n">
        <x:v>150870</x:v>
      </x:c>
      <x:c r="G107" s="2" t="n">
        <x:v>6</x:v>
      </x:c>
      <x:c r="H107" s="2" t="n">
        <x:v>0</x:v>
      </x:c>
      <x:c r="I107" s="17" t="n">
        <x:v>18.61472791144694</x:v>
      </x:c>
      <x:c r="J107" s="2" t="n">
        <x:v>202601</x:v>
      </x:c>
      <x:c r="K107" s="2" t="n">
        <x:v>202606</x:v>
      </x:c>
      <x:c r="L107" s="16" t="n">
        <x:f>SUMIFS('Monthly_Data'!$E$6:$E$797,'Monthly_Data'!$B$6:$B$797,"&gt;="&amp;J107,'Monthly_Data'!$B$6:$B$797,"&lt;="&amp;K107,'Monthly_Data'!$C$6:$C$797,D107,'Monthly_Data'!$D$6:$D$797,C107,'Monthly_Data'!$I$6:$I$797,1)</x:f>
        <x:v>2808404</x:v>
      </x:c>
      <x:c r="M107" s="16" t="n">
        <x:f>SUMIFS('Monthly_Data'!$F$6:$F$797,'Monthly_Data'!$B$6:$B$797,"&gt;="&amp;J107,'Monthly_Data'!$B$6:$B$797,"&lt;="&amp;K107,'Monthly_Data'!$C$6:$C$797,D107,'Monthly_Data'!$D$6:$D$797,C107,'Monthly_Data'!$I$6:$I$797,1)</x:f>
        <x:v>150870</x:v>
      </x:c>
      <x:c r="N107" s="2" t="n">
        <x:f>COUNTIFS('Monthly_Data'!$B$6:$B$797,"&gt;="&amp;J107,'Monthly_Data'!$B$6:$B$797,"&lt;="&amp;K107,'Monthly_Data'!$C$6:$C$797,D107,'Monthly_Data'!$D$6:$D$797,C107,'Monthly_Data'!$I$6:$I$797,1)</x:f>
        <x:v>6</x:v>
      </x:c>
      <x:c r="O107" s="17" t="n">
        <x:f>IF(M107&gt;0,L107/M107,"n.a.")</x:f>
        <x:v>18.61472791144694</x:v>
      </x:c>
      <x:c r="P107" s="2" t="n">
        <x:f>COUNTIFS($A$6:$A$125,A107)</x:f>
        <x:v>1</x:v>
      </x:c>
      <x:c r="Q107" s="2"/>
      <x:c r="R107" s="2"/>
      <x:c r="S107" s="2"/>
    </x:row>
    <x:row r="108" ht="23" customHeight="1">
      <x:c r="A108" s="2" t="str">
        <x:v>H1 2026|China|62044300</x:v>
      </x:c>
      <x:c r="B108" s="2" t="str">
        <x:v>H1 2026</x:v>
      </x:c>
      <x:c r="C108" s="2" t="str">
        <x:v>China</x:v>
      </x:c>
      <x:c r="D108" s="2" t="str">
        <x:v>62044300</x:v>
      </x:c>
      <x:c r="E108" s="16" t="n">
        <x:v>52333750</x:v>
      </x:c>
      <x:c r="F108" s="16" t="n">
        <x:v>1892903</x:v>
      </x:c>
      <x:c r="G108" s="2" t="n">
        <x:v>6</x:v>
      </x:c>
      <x:c r="H108" s="2" t="n">
        <x:v>0</x:v>
      </x:c>
      <x:c r="I108" s="17" t="n">
        <x:v>27.647349071769657</x:v>
      </x:c>
      <x:c r="J108" s="2" t="n">
        <x:v>202601</x:v>
      </x:c>
      <x:c r="K108" s="2" t="n">
        <x:v>202606</x:v>
      </x:c>
      <x:c r="L108" s="16" t="n">
        <x:f>SUMIFS('Monthly_Data'!$E$6:$E$797,'Monthly_Data'!$B$6:$B$797,"&gt;="&amp;J108,'Monthly_Data'!$B$6:$B$797,"&lt;="&amp;K108,'Monthly_Data'!$C$6:$C$797,D108,'Monthly_Data'!$D$6:$D$797,C108,'Monthly_Data'!$I$6:$I$797,1)</x:f>
        <x:v>52333750</x:v>
      </x:c>
      <x:c r="M108" s="16" t="n">
        <x:f>SUMIFS('Monthly_Data'!$F$6:$F$797,'Monthly_Data'!$B$6:$B$797,"&gt;="&amp;J108,'Monthly_Data'!$B$6:$B$797,"&lt;="&amp;K108,'Monthly_Data'!$C$6:$C$797,D108,'Monthly_Data'!$D$6:$D$797,C108,'Monthly_Data'!$I$6:$I$797,1)</x:f>
        <x:v>1892903</x:v>
      </x:c>
      <x:c r="N108" s="2" t="n">
        <x:f>COUNTIFS('Monthly_Data'!$B$6:$B$797,"&gt;="&amp;J108,'Monthly_Data'!$B$6:$B$797,"&lt;="&amp;K108,'Monthly_Data'!$C$6:$C$797,D108,'Monthly_Data'!$D$6:$D$797,C108,'Monthly_Data'!$I$6:$I$797,1)</x:f>
        <x:v>6</x:v>
      </x:c>
      <x:c r="O108" s="17" t="n">
        <x:f>IF(M108&gt;0,L108/M108,"n.a.")</x:f>
        <x:v>27.647349071769657</x:v>
      </x:c>
      <x:c r="P108" s="2" t="n">
        <x:f>COUNTIFS($A$6:$A$125,A108)</x:f>
        <x:v>1</x:v>
      </x:c>
      <x:c r="Q108" s="2"/>
      <x:c r="R108" s="2"/>
      <x:c r="S108" s="2"/>
    </x:row>
    <x:row r="109" ht="23" customHeight="1">
      <x:c r="A109" s="2" t="str">
        <x:v>H1 2026|India|62044300</x:v>
      </x:c>
      <x:c r="B109" s="2" t="str">
        <x:v>H1 2026</x:v>
      </x:c>
      <x:c r="C109" s="2" t="str">
        <x:v>India</x:v>
      </x:c>
      <x:c r="D109" s="2" t="str">
        <x:v>62044300</x:v>
      </x:c>
      <x:c r="E109" s="16" t="n">
        <x:v>20258876</x:v>
      </x:c>
      <x:c r="F109" s="16" t="n">
        <x:v>721170</x:v>
      </x:c>
      <x:c r="G109" s="2" t="n">
        <x:v>6</x:v>
      </x:c>
      <x:c r="H109" s="2" t="n">
        <x:v>0</x:v>
      </x:c>
      <x:c r="I109" s="17" t="n">
        <x:v>28.091678799728218</x:v>
      </x:c>
      <x:c r="J109" s="2" t="n">
        <x:v>202601</x:v>
      </x:c>
      <x:c r="K109" s="2" t="n">
        <x:v>202606</x:v>
      </x:c>
      <x:c r="L109" s="16" t="n">
        <x:f>SUMIFS('Monthly_Data'!$E$6:$E$797,'Monthly_Data'!$B$6:$B$797,"&gt;="&amp;J109,'Monthly_Data'!$B$6:$B$797,"&lt;="&amp;K109,'Monthly_Data'!$C$6:$C$797,D109,'Monthly_Data'!$D$6:$D$797,C109,'Monthly_Data'!$I$6:$I$797,1)</x:f>
        <x:v>20258876</x:v>
      </x:c>
      <x:c r="M109" s="16" t="n">
        <x:f>SUMIFS('Monthly_Data'!$F$6:$F$797,'Monthly_Data'!$B$6:$B$797,"&gt;="&amp;J109,'Monthly_Data'!$B$6:$B$797,"&lt;="&amp;K109,'Monthly_Data'!$C$6:$C$797,D109,'Monthly_Data'!$D$6:$D$797,C109,'Monthly_Data'!$I$6:$I$797,1)</x:f>
        <x:v>721170</x:v>
      </x:c>
      <x:c r="N109" s="2" t="n">
        <x:f>COUNTIFS('Monthly_Data'!$B$6:$B$797,"&gt;="&amp;J109,'Monthly_Data'!$B$6:$B$797,"&lt;="&amp;K109,'Monthly_Data'!$C$6:$C$797,D109,'Monthly_Data'!$D$6:$D$797,C109,'Monthly_Data'!$I$6:$I$797,1)</x:f>
        <x:v>6</x:v>
      </x:c>
      <x:c r="O109" s="17" t="n">
        <x:f>IF(M109&gt;0,L109/M109,"n.a.")</x:f>
        <x:v>28.091678799728218</x:v>
      </x:c>
      <x:c r="P109" s="2" t="n">
        <x:f>COUNTIFS($A$6:$A$125,A109)</x:f>
        <x:v>1</x:v>
      </x:c>
      <x:c r="Q109" s="2"/>
      <x:c r="R109" s="2"/>
      <x:c r="S109" s="2"/>
    </x:row>
    <x:row r="110" ht="23" customHeight="1">
      <x:c r="A110" s="2" t="str">
        <x:v>H1 2026|Morocco|62044300</x:v>
      </x:c>
      <x:c r="B110" s="2" t="str">
        <x:v>H1 2026</x:v>
      </x:c>
      <x:c r="C110" s="2" t="str">
        <x:v>Morocco</x:v>
      </x:c>
      <x:c r="D110" s="2" t="str">
        <x:v>62044300</x:v>
      </x:c>
      <x:c r="E110" s="16" t="n">
        <x:v>5511176</x:v>
      </x:c>
      <x:c r="F110" s="16" t="n">
        <x:v>218537</x:v>
      </x:c>
      <x:c r="G110" s="2" t="n">
        <x:v>6</x:v>
      </x:c>
      <x:c r="H110" s="2" t="n">
        <x:v>0</x:v>
      </x:c>
      <x:c r="I110" s="17" t="n">
        <x:v>25.21850304525092</x:v>
      </x:c>
      <x:c r="J110" s="2" t="n">
        <x:v>202601</x:v>
      </x:c>
      <x:c r="K110" s="2" t="n">
        <x:v>202606</x:v>
      </x:c>
      <x:c r="L110" s="16" t="n">
        <x:f>SUMIFS('Monthly_Data'!$E$6:$E$797,'Monthly_Data'!$B$6:$B$797,"&gt;="&amp;J110,'Monthly_Data'!$B$6:$B$797,"&lt;="&amp;K110,'Monthly_Data'!$C$6:$C$797,D110,'Monthly_Data'!$D$6:$D$797,C110,'Monthly_Data'!$I$6:$I$797,1)</x:f>
        <x:v>5511176</x:v>
      </x:c>
      <x:c r="M110" s="16" t="n">
        <x:f>SUMIFS('Monthly_Data'!$F$6:$F$797,'Monthly_Data'!$B$6:$B$797,"&gt;="&amp;J110,'Monthly_Data'!$B$6:$B$797,"&lt;="&amp;K110,'Monthly_Data'!$C$6:$C$797,D110,'Monthly_Data'!$D$6:$D$797,C110,'Monthly_Data'!$I$6:$I$797,1)</x:f>
        <x:v>218537</x:v>
      </x:c>
      <x:c r="N110" s="2" t="n">
        <x:f>COUNTIFS('Monthly_Data'!$B$6:$B$797,"&gt;="&amp;J110,'Monthly_Data'!$B$6:$B$797,"&lt;="&amp;K110,'Monthly_Data'!$C$6:$C$797,D110,'Monthly_Data'!$D$6:$D$797,C110,'Monthly_Data'!$I$6:$I$797,1)</x:f>
        <x:v>6</x:v>
      </x:c>
      <x:c r="O110" s="17" t="n">
        <x:f>IF(M110&gt;0,L110/M110,"n.a.")</x:f>
        <x:v>25.21850304525092</x:v>
      </x:c>
      <x:c r="P110" s="2" t="n">
        <x:f>COUNTIFS($A$6:$A$125,A110)</x:f>
        <x:v>1</x:v>
      </x:c>
      <x:c r="Q110" s="2"/>
      <x:c r="R110" s="2"/>
      <x:c r="S110" s="2"/>
    </x:row>
    <x:row r="111" ht="23" customHeight="1">
      <x:c r="A111" s="2" t="str">
        <x:v>H1 2026|Myanmar|62044300</x:v>
      </x:c>
      <x:c r="B111" s="2" t="str">
        <x:v>H1 2026</x:v>
      </x:c>
      <x:c r="C111" s="2" t="str">
        <x:v>Myanmar</x:v>
      </x:c>
      <x:c r="D111" s="2" t="str">
        <x:v>62044300</x:v>
      </x:c>
      <x:c r="E111" s="16" t="n">
        <x:v>2412796</x:v>
      </x:c>
      <x:c r="F111" s="16" t="n">
        <x:v>37986</x:v>
      </x:c>
      <x:c r="G111" s="2" t="n">
        <x:v>6</x:v>
      </x:c>
      <x:c r="H111" s="2" t="n">
        <x:v>0</x:v>
      </x:c>
      <x:c r="I111" s="17" t="n">
        <x:v>63.5180329595114</x:v>
      </x:c>
      <x:c r="J111" s="2" t="n">
        <x:v>202601</x:v>
      </x:c>
      <x:c r="K111" s="2" t="n">
        <x:v>202606</x:v>
      </x:c>
      <x:c r="L111" s="16" t="n">
        <x:f>SUMIFS('Monthly_Data'!$E$6:$E$797,'Monthly_Data'!$B$6:$B$797,"&gt;="&amp;J111,'Monthly_Data'!$B$6:$B$797,"&lt;="&amp;K111,'Monthly_Data'!$C$6:$C$797,D111,'Monthly_Data'!$D$6:$D$797,C111,'Monthly_Data'!$I$6:$I$797,1)</x:f>
        <x:v>2412796</x:v>
      </x:c>
      <x:c r="M111" s="16" t="n">
        <x:f>SUMIFS('Monthly_Data'!$F$6:$F$797,'Monthly_Data'!$B$6:$B$797,"&gt;="&amp;J111,'Monthly_Data'!$B$6:$B$797,"&lt;="&amp;K111,'Monthly_Data'!$C$6:$C$797,D111,'Monthly_Data'!$D$6:$D$797,C111,'Monthly_Data'!$I$6:$I$797,1)</x:f>
        <x:v>37986</x:v>
      </x:c>
      <x:c r="N111" s="2" t="n">
        <x:f>COUNTIFS('Monthly_Data'!$B$6:$B$797,"&gt;="&amp;J111,'Monthly_Data'!$B$6:$B$797,"&lt;="&amp;K111,'Monthly_Data'!$C$6:$C$797,D111,'Monthly_Data'!$D$6:$D$797,C111,'Monthly_Data'!$I$6:$I$797,1)</x:f>
        <x:v>6</x:v>
      </x:c>
      <x:c r="O111" s="17" t="n">
        <x:f>IF(M111&gt;0,L111/M111,"n.a.")</x:f>
        <x:v>63.5180329595114</x:v>
      </x:c>
      <x:c r="P111" s="2" t="n">
        <x:f>COUNTIFS($A$6:$A$125,A111)</x:f>
        <x:v>1</x:v>
      </x:c>
      <x:c r="Q111" s="2"/>
      <x:c r="R111" s="2"/>
      <x:c r="S111" s="2"/>
    </x:row>
    <x:row r="112" ht="23" customHeight="1">
      <x:c r="A112" s="2" t="str">
        <x:v>H1 2026|Pakistan|62044300</x:v>
      </x:c>
      <x:c r="B112" s="2" t="str">
        <x:v>H1 2026</x:v>
      </x:c>
      <x:c r="C112" s="2" t="str">
        <x:v>Pakistan</x:v>
      </x:c>
      <x:c r="D112" s="2" t="str">
        <x:v>62044300</x:v>
      </x:c>
      <x:c r="E112" s="16" t="n">
        <x:v>496523</x:v>
      </x:c>
      <x:c r="F112" s="16" t="n">
        <x:v>26975</x:v>
      </x:c>
      <x:c r="G112" s="2" t="n">
        <x:v>6</x:v>
      </x:c>
      <x:c r="H112" s="2" t="n">
        <x:v>0</x:v>
      </x:c>
      <x:c r="I112" s="17" t="n">
        <x:v>18.40678405931418</x:v>
      </x:c>
      <x:c r="J112" s="2" t="n">
        <x:v>202601</x:v>
      </x:c>
      <x:c r="K112" s="2" t="n">
        <x:v>202606</x:v>
      </x:c>
      <x:c r="L112" s="16" t="n">
        <x:f>SUMIFS('Monthly_Data'!$E$6:$E$797,'Monthly_Data'!$B$6:$B$797,"&gt;="&amp;J112,'Monthly_Data'!$B$6:$B$797,"&lt;="&amp;K112,'Monthly_Data'!$C$6:$C$797,D112,'Monthly_Data'!$D$6:$D$797,C112,'Monthly_Data'!$I$6:$I$797,1)</x:f>
        <x:v>496523</x:v>
      </x:c>
      <x:c r="M112" s="16" t="n">
        <x:f>SUMIFS('Monthly_Data'!$F$6:$F$797,'Monthly_Data'!$B$6:$B$797,"&gt;="&amp;J112,'Monthly_Data'!$B$6:$B$797,"&lt;="&amp;K112,'Monthly_Data'!$C$6:$C$797,D112,'Monthly_Data'!$D$6:$D$797,C112,'Monthly_Data'!$I$6:$I$797,1)</x:f>
        <x:v>26975</x:v>
      </x:c>
      <x:c r="N112" s="2" t="n">
        <x:f>COUNTIFS('Monthly_Data'!$B$6:$B$797,"&gt;="&amp;J112,'Monthly_Data'!$B$6:$B$797,"&lt;="&amp;K112,'Monthly_Data'!$C$6:$C$797,D112,'Monthly_Data'!$D$6:$D$797,C112,'Monthly_Data'!$I$6:$I$797,1)</x:f>
        <x:v>6</x:v>
      </x:c>
      <x:c r="O112" s="17" t="n">
        <x:f>IF(M112&gt;0,L112/M112,"n.a.")</x:f>
        <x:v>18.40678405931418</x:v>
      </x:c>
      <x:c r="P112" s="2" t="n">
        <x:f>COUNTIFS($A$6:$A$125,A112)</x:f>
        <x:v>1</x:v>
      </x:c>
      <x:c r="Q112" s="2"/>
      <x:c r="R112" s="2"/>
      <x:c r="S112" s="2"/>
    </x:row>
    <x:row r="113" ht="23" customHeight="1">
      <x:c r="A113" s="2" t="str">
        <x:v>H1 2026|Sri Lanka|62044300</x:v>
      </x:c>
      <x:c r="B113" s="2" t="str">
        <x:v>H1 2026</x:v>
      </x:c>
      <x:c r="C113" s="2" t="str">
        <x:v>Sri Lanka</x:v>
      </x:c>
      <x:c r="D113" s="2" t="str">
        <x:v>62044300</x:v>
      </x:c>
      <x:c r="E113" s="16" t="n">
        <x:v>7697741</x:v>
      </x:c>
      <x:c r="F113" s="16" t="n">
        <x:v>462849</x:v>
      </x:c>
      <x:c r="G113" s="2" t="n">
        <x:v>6</x:v>
      </x:c>
      <x:c r="H113" s="2" t="n">
        <x:v>0</x:v>
      </x:c>
      <x:c r="I113" s="17" t="n">
        <x:v>16.63121449976126</x:v>
      </x:c>
      <x:c r="J113" s="2" t="n">
        <x:v>202601</x:v>
      </x:c>
      <x:c r="K113" s="2" t="n">
        <x:v>202606</x:v>
      </x:c>
      <x:c r="L113" s="16" t="n">
        <x:f>SUMIFS('Monthly_Data'!$E$6:$E$797,'Monthly_Data'!$B$6:$B$797,"&gt;="&amp;J113,'Monthly_Data'!$B$6:$B$797,"&lt;="&amp;K113,'Monthly_Data'!$C$6:$C$797,D113,'Monthly_Data'!$D$6:$D$797,C113,'Monthly_Data'!$I$6:$I$797,1)</x:f>
        <x:v>7697741</x:v>
      </x:c>
      <x:c r="M113" s="16" t="n">
        <x:f>SUMIFS('Monthly_Data'!$F$6:$F$797,'Monthly_Data'!$B$6:$B$797,"&gt;="&amp;J113,'Monthly_Data'!$B$6:$B$797,"&lt;="&amp;K113,'Monthly_Data'!$C$6:$C$797,D113,'Monthly_Data'!$D$6:$D$797,C113,'Monthly_Data'!$I$6:$I$797,1)</x:f>
        <x:v>462849</x:v>
      </x:c>
      <x:c r="N113" s="2" t="n">
        <x:f>COUNTIFS('Monthly_Data'!$B$6:$B$797,"&gt;="&amp;J113,'Monthly_Data'!$B$6:$B$797,"&lt;="&amp;K113,'Monthly_Data'!$C$6:$C$797,D113,'Monthly_Data'!$D$6:$D$797,C113,'Monthly_Data'!$I$6:$I$797,1)</x:f>
        <x:v>6</x:v>
      </x:c>
      <x:c r="O113" s="17" t="n">
        <x:f>IF(M113&gt;0,L113/M113,"n.a.")</x:f>
        <x:v>16.63121449976126</x:v>
      </x:c>
      <x:c r="P113" s="2" t="n">
        <x:f>COUNTIFS($A$6:$A$125,A113)</x:f>
        <x:v>1</x:v>
      </x:c>
      <x:c r="Q113" s="2"/>
      <x:c r="R113" s="2"/>
      <x:c r="S113" s="2"/>
    </x:row>
    <x:row r="114" ht="23" customHeight="1">
      <x:c r="A114" s="2" t="str">
        <x:v>H1 2026|Turkey|62044300</x:v>
      </x:c>
      <x:c r="B114" s="2" t="str">
        <x:v>H1 2026</x:v>
      </x:c>
      <x:c r="C114" s="2" t="str">
        <x:v>Turkey</x:v>
      </x:c>
      <x:c r="D114" s="2" t="str">
        <x:v>62044300</x:v>
      </x:c>
      <x:c r="E114" s="16" t="n">
        <x:v>2652697</x:v>
      </x:c>
      <x:c r="F114" s="16" t="n">
        <x:v>68957</x:v>
      </x:c>
      <x:c r="G114" s="2" t="n">
        <x:v>6</x:v>
      </x:c>
      <x:c r="H114" s="2" t="n">
        <x:v>0</x:v>
      </x:c>
      <x:c r="I114" s="17" t="n">
        <x:v>38.46885740388938</x:v>
      </x:c>
      <x:c r="J114" s="2" t="n">
        <x:v>202601</x:v>
      </x:c>
      <x:c r="K114" s="2" t="n">
        <x:v>202606</x:v>
      </x:c>
      <x:c r="L114" s="16" t="n">
        <x:f>SUMIFS('Monthly_Data'!$E$6:$E$797,'Monthly_Data'!$B$6:$B$797,"&gt;="&amp;J114,'Monthly_Data'!$B$6:$B$797,"&lt;="&amp;K114,'Monthly_Data'!$C$6:$C$797,D114,'Monthly_Data'!$D$6:$D$797,C114,'Monthly_Data'!$I$6:$I$797,1)</x:f>
        <x:v>2652697</x:v>
      </x:c>
      <x:c r="M114" s="16" t="n">
        <x:f>SUMIFS('Monthly_Data'!$F$6:$F$797,'Monthly_Data'!$B$6:$B$797,"&gt;="&amp;J114,'Monthly_Data'!$B$6:$B$797,"&lt;="&amp;K114,'Monthly_Data'!$C$6:$C$797,D114,'Monthly_Data'!$D$6:$D$797,C114,'Monthly_Data'!$I$6:$I$797,1)</x:f>
        <x:v>68957</x:v>
      </x:c>
      <x:c r="N114" s="2" t="n">
        <x:f>COUNTIFS('Monthly_Data'!$B$6:$B$797,"&gt;="&amp;J114,'Monthly_Data'!$B$6:$B$797,"&lt;="&amp;K114,'Monthly_Data'!$C$6:$C$797,D114,'Monthly_Data'!$D$6:$D$797,C114,'Monthly_Data'!$I$6:$I$797,1)</x:f>
        <x:v>6</x:v>
      </x:c>
      <x:c r="O114" s="17" t="n">
        <x:f>IF(M114&gt;0,L114/M114,"n.a.")</x:f>
        <x:v>38.46885740388938</x:v>
      </x:c>
      <x:c r="P114" s="2" t="n">
        <x:f>COUNTIFS($A$6:$A$125,A114)</x:f>
        <x:v>1</x:v>
      </x:c>
      <x:c r="Q114" s="2"/>
      <x:c r="R114" s="2"/>
      <x:c r="S114" s="2"/>
    </x:row>
    <x:row r="115" ht="23" customHeight="1">
      <x:c r="A115" s="2" t="str">
        <x:v>H1 2026|Vietnam|62044300</x:v>
      </x:c>
      <x:c r="B115" s="2" t="str">
        <x:v>H1 2026</x:v>
      </x:c>
      <x:c r="C115" s="2" t="str">
        <x:v>Vietnam</x:v>
      </x:c>
      <x:c r="D115" s="2" t="str">
        <x:v>62044300</x:v>
      </x:c>
      <x:c r="E115" s="16" t="n">
        <x:v>4252865</x:v>
      </x:c>
      <x:c r="F115" s="16" t="n">
        <x:v>181343</x:v>
      </x:c>
      <x:c r="G115" s="2" t="n">
        <x:v>6</x:v>
      </x:c>
      <x:c r="H115" s="2" t="n">
        <x:v>0</x:v>
      </x:c>
      <x:c r="I115" s="17" t="n">
        <x:v>23.45204943118841</x:v>
      </x:c>
      <x:c r="J115" s="2" t="n">
        <x:v>202601</x:v>
      </x:c>
      <x:c r="K115" s="2" t="n">
        <x:v>202606</x:v>
      </x:c>
      <x:c r="L115" s="16" t="n">
        <x:f>SUMIFS('Monthly_Data'!$E$6:$E$797,'Monthly_Data'!$B$6:$B$797,"&gt;="&amp;J115,'Monthly_Data'!$B$6:$B$797,"&lt;="&amp;K115,'Monthly_Data'!$C$6:$C$797,D115,'Monthly_Data'!$D$6:$D$797,C115,'Monthly_Data'!$I$6:$I$797,1)</x:f>
        <x:v>4252865</x:v>
      </x:c>
      <x:c r="M115" s="16" t="n">
        <x:f>SUMIFS('Monthly_Data'!$F$6:$F$797,'Monthly_Data'!$B$6:$B$797,"&gt;="&amp;J115,'Monthly_Data'!$B$6:$B$797,"&lt;="&amp;K115,'Monthly_Data'!$C$6:$C$797,D115,'Monthly_Data'!$D$6:$D$797,C115,'Monthly_Data'!$I$6:$I$797,1)</x:f>
        <x:v>181343</x:v>
      </x:c>
      <x:c r="N115" s="2" t="n">
        <x:f>COUNTIFS('Monthly_Data'!$B$6:$B$797,"&gt;="&amp;J115,'Monthly_Data'!$B$6:$B$797,"&lt;="&amp;K115,'Monthly_Data'!$C$6:$C$797,D115,'Monthly_Data'!$D$6:$D$797,C115,'Monthly_Data'!$I$6:$I$797,1)</x:f>
        <x:v>6</x:v>
      </x:c>
      <x:c r="O115" s="17" t="n">
        <x:f>IF(M115&gt;0,L115/M115,"n.a.")</x:f>
        <x:v>23.45204943118841</x:v>
      </x:c>
      <x:c r="P115" s="2" t="n">
        <x:f>COUNTIFS($A$6:$A$125,A115)</x:f>
        <x:v>1</x:v>
      </x:c>
      <x:c r="Q115" s="2"/>
      <x:c r="R115" s="2"/>
      <x:c r="S115" s="2"/>
    </x:row>
    <x:row r="116" ht="23" customHeight="1">
      <x:c r="A116" s="2" t="str">
        <x:v>H1 2026|Bangladesh|62052000</x:v>
      </x:c>
      <x:c r="B116" s="2" t="str">
        <x:v>H1 2026</x:v>
      </x:c>
      <x:c r="C116" s="2" t="str">
        <x:v>Bangladesh</x:v>
      </x:c>
      <x:c r="D116" s="2" t="str">
        <x:v>62052000</x:v>
      </x:c>
      <x:c r="E116" s="16" t="n">
        <x:v>36256449</x:v>
      </x:c>
      <x:c r="F116" s="16" t="n">
        <x:v>2116872</x:v>
      </x:c>
      <x:c r="G116" s="2" t="n">
        <x:v>6</x:v>
      </x:c>
      <x:c r="H116" s="2" t="n">
        <x:v>0</x:v>
      </x:c>
      <x:c r="I116" s="17" t="n">
        <x:v>17.12736953391608</x:v>
      </x:c>
      <x:c r="J116" s="2" t="n">
        <x:v>202601</x:v>
      </x:c>
      <x:c r="K116" s="2" t="n">
        <x:v>202606</x:v>
      </x:c>
      <x:c r="L116" s="16" t="n">
        <x:f>SUMIFS('Monthly_Data'!$E$6:$E$797,'Monthly_Data'!$B$6:$B$797,"&gt;="&amp;J116,'Monthly_Data'!$B$6:$B$797,"&lt;="&amp;K116,'Monthly_Data'!$C$6:$C$797,D116,'Monthly_Data'!$D$6:$D$797,C116,'Monthly_Data'!$I$6:$I$797,1)</x:f>
        <x:v>32094245</x:v>
      </x:c>
      <x:c r="M116" s="16" t="n">
        <x:f>SUMIFS('Monthly_Data'!$F$6:$F$797,'Monthly_Data'!$B$6:$B$797,"&gt;="&amp;J116,'Monthly_Data'!$B$6:$B$797,"&lt;="&amp;K116,'Monthly_Data'!$C$6:$C$797,D116,'Monthly_Data'!$D$6:$D$797,C116,'Monthly_Data'!$I$6:$I$797,1)</x:f>
        <x:v>1866070</x:v>
      </x:c>
      <x:c r="N116" s="2" t="n">
        <x:f>COUNTIFS('Monthly_Data'!$B$6:$B$797,"&gt;="&amp;J116,'Monthly_Data'!$B$6:$B$797,"&lt;="&amp;K116,'Monthly_Data'!$C$6:$C$797,D116,'Monthly_Data'!$D$6:$D$797,C116,'Monthly_Data'!$I$6:$I$797,1)</x:f>
        <x:v>5</x:v>
      </x:c>
      <x:c r="O116" s="17" t="n">
        <x:f>IF(M116&gt;0,L116/M116,"n.a.")</x:f>
        <x:v>17.19884302303772</x:v>
      </x:c>
      <x:c r="P116" s="2" t="n">
        <x:f>COUNTIFS($A$6:$A$125,A116)</x:f>
        <x:v>1</x:v>
      </x:c>
      <x:c r="Q116" s="2"/>
      <x:c r="R116" s="2"/>
      <x:c r="S116" s="2"/>
    </x:row>
    <x:row r="117" ht="23" customHeight="1">
      <x:c r="A117" s="2" t="str">
        <x:v>H1 2026|Cambodia|62052000</x:v>
      </x:c>
      <x:c r="B117" s="2" t="str">
        <x:v>H1 2026</x:v>
      </x:c>
      <x:c r="C117" s="2" t="str">
        <x:v>Cambodia</x:v>
      </x:c>
      <x:c r="D117" s="2" t="str">
        <x:v>62052000</x:v>
      </x:c>
      <x:c r="E117" s="16" t="n">
        <x:v>6216726</x:v>
      </x:c>
      <x:c r="F117" s="16" t="n">
        <x:v>285166</x:v>
      </x:c>
      <x:c r="G117" s="2" t="n">
        <x:v>6</x:v>
      </x:c>
      <x:c r="H117" s="2" t="n">
        <x:v>0</x:v>
      </x:c>
      <x:c r="I117" s="17" t="n">
        <x:v>21.800375921393154</x:v>
      </x:c>
      <x:c r="J117" s="2" t="n">
        <x:v>202601</x:v>
      </x:c>
      <x:c r="K117" s="2" t="n">
        <x:v>202606</x:v>
      </x:c>
      <x:c r="L117" s="16" t="n">
        <x:f>SUMIFS('Monthly_Data'!$E$6:$E$797,'Monthly_Data'!$B$6:$B$797,"&gt;="&amp;J117,'Monthly_Data'!$B$6:$B$797,"&lt;="&amp;K117,'Monthly_Data'!$C$6:$C$797,D117,'Monthly_Data'!$D$6:$D$797,C117,'Monthly_Data'!$I$6:$I$797,1)</x:f>
        <x:v>5141198</x:v>
      </x:c>
      <x:c r="M117" s="16" t="n">
        <x:f>SUMIFS('Monthly_Data'!$F$6:$F$797,'Monthly_Data'!$B$6:$B$797,"&gt;="&amp;J117,'Monthly_Data'!$B$6:$B$797,"&lt;="&amp;K117,'Monthly_Data'!$C$6:$C$797,D117,'Monthly_Data'!$D$6:$D$797,C117,'Monthly_Data'!$I$6:$I$797,1)</x:f>
        <x:v>231959</x:v>
      </x:c>
      <x:c r="N117" s="2" t="n">
        <x:f>COUNTIFS('Monthly_Data'!$B$6:$B$797,"&gt;="&amp;J117,'Monthly_Data'!$B$6:$B$797,"&lt;="&amp;K117,'Monthly_Data'!$C$6:$C$797,D117,'Monthly_Data'!$D$6:$D$797,C117,'Monthly_Data'!$I$6:$I$797,1)</x:f>
        <x:v>5</x:v>
      </x:c>
      <x:c r="O117" s="17" t="n">
        <x:f>IF(M117&gt;0,L117/M117,"n.a.")</x:f>
        <x:v>22.164253165430097</x:v>
      </x:c>
      <x:c r="P117" s="2" t="n">
        <x:f>COUNTIFS($A$6:$A$125,A117)</x:f>
        <x:v>1</x:v>
      </x:c>
      <x:c r="Q117" s="2"/>
      <x:c r="R117" s="2"/>
      <x:c r="S117" s="2"/>
    </x:row>
    <x:row r="118" ht="23" customHeight="1">
      <x:c r="A118" s="2" t="str">
        <x:v>H1 2026|China|62052000</x:v>
      </x:c>
      <x:c r="B118" s="2" t="str">
        <x:v>H1 2026</x:v>
      </x:c>
      <x:c r="C118" s="2" t="str">
        <x:v>China</x:v>
      </x:c>
      <x:c r="D118" s="2" t="str">
        <x:v>62052000</x:v>
      </x:c>
      <x:c r="E118" s="16" t="n">
        <x:v>5317772</x:v>
      </x:c>
      <x:c r="F118" s="16" t="n">
        <x:v>245226</x:v>
      </x:c>
      <x:c r="G118" s="2" t="n">
        <x:v>6</x:v>
      </x:c>
      <x:c r="H118" s="2" t="n">
        <x:v>0</x:v>
      </x:c>
      <x:c r="I118" s="17" t="n">
        <x:v>21.68518835686265</x:v>
      </x:c>
      <x:c r="J118" s="2" t="n">
        <x:v>202601</x:v>
      </x:c>
      <x:c r="K118" s="2" t="n">
        <x:v>202606</x:v>
      </x:c>
      <x:c r="L118" s="16" t="n">
        <x:f>SUMIFS('Monthly_Data'!$E$6:$E$797,'Monthly_Data'!$B$6:$B$797,"&gt;="&amp;J118,'Monthly_Data'!$B$6:$B$797,"&lt;="&amp;K118,'Monthly_Data'!$C$6:$C$797,D118,'Monthly_Data'!$D$6:$D$797,C118,'Monthly_Data'!$I$6:$I$797,1)</x:f>
        <x:v>4551362</x:v>
      </x:c>
      <x:c r="M118" s="16" t="n">
        <x:f>SUMIFS('Monthly_Data'!$F$6:$F$797,'Monthly_Data'!$B$6:$B$797,"&gt;="&amp;J118,'Monthly_Data'!$B$6:$B$797,"&lt;="&amp;K118,'Monthly_Data'!$C$6:$C$797,D118,'Monthly_Data'!$D$6:$D$797,C118,'Monthly_Data'!$I$6:$I$797,1)</x:f>
        <x:v>211429</x:v>
      </x:c>
      <x:c r="N118" s="2" t="n">
        <x:f>COUNTIFS('Monthly_Data'!$B$6:$B$797,"&gt;="&amp;J118,'Monthly_Data'!$B$6:$B$797,"&lt;="&amp;K118,'Monthly_Data'!$C$6:$C$797,D118,'Monthly_Data'!$D$6:$D$797,C118,'Monthly_Data'!$I$6:$I$797,1)</x:f>
        <x:v>5</x:v>
      </x:c>
      <x:c r="O118" s="17" t="n">
        <x:f>IF(M118&gt;0,L118/M118,"n.a.")</x:f>
        <x:v>21.526668527023254</x:v>
      </x:c>
      <x:c r="P118" s="2" t="n">
        <x:f>COUNTIFS($A$6:$A$125,A118)</x:f>
        <x:v>1</x:v>
      </x:c>
      <x:c r="Q118" s="2"/>
      <x:c r="R118" s="2"/>
      <x:c r="S118" s="2"/>
    </x:row>
    <x:row r="119" ht="23" customHeight="1">
      <x:c r="A119" s="2" t="str">
        <x:v>H1 2026|India|62052000</x:v>
      </x:c>
      <x:c r="B119" s="2" t="str">
        <x:v>H1 2026</x:v>
      </x:c>
      <x:c r="C119" s="2" t="str">
        <x:v>India</x:v>
      </x:c>
      <x:c r="D119" s="2" t="str">
        <x:v>62052000</x:v>
      </x:c>
      <x:c r="E119" s="16" t="n">
        <x:v>16147727</x:v>
      </x:c>
      <x:c r="F119" s="16" t="n">
        <x:v>737427</x:v>
      </x:c>
      <x:c r="G119" s="2" t="n">
        <x:v>6</x:v>
      </x:c>
      <x:c r="H119" s="2" t="n">
        <x:v>0</x:v>
      </x:c>
      <x:c r="I119" s="17" t="n">
        <x:v>21.897390521366862</x:v>
      </x:c>
      <x:c r="J119" s="2" t="n">
        <x:v>202601</x:v>
      </x:c>
      <x:c r="K119" s="2" t="n">
        <x:v>202606</x:v>
      </x:c>
      <x:c r="L119" s="16" t="n">
        <x:f>SUMIFS('Monthly_Data'!$E$6:$E$797,'Monthly_Data'!$B$6:$B$797,"&gt;="&amp;J119,'Monthly_Data'!$B$6:$B$797,"&lt;="&amp;K119,'Monthly_Data'!$C$6:$C$797,D119,'Monthly_Data'!$D$6:$D$797,C119,'Monthly_Data'!$I$6:$I$797,1)</x:f>
        <x:v>12912313</x:v>
      </x:c>
      <x:c r="M119" s="16" t="n">
        <x:f>SUMIFS('Monthly_Data'!$F$6:$F$797,'Monthly_Data'!$B$6:$B$797,"&gt;="&amp;J119,'Monthly_Data'!$B$6:$B$797,"&lt;="&amp;K119,'Monthly_Data'!$C$6:$C$797,D119,'Monthly_Data'!$D$6:$D$797,C119,'Monthly_Data'!$I$6:$I$797,1)</x:f>
        <x:v>607034</x:v>
      </x:c>
      <x:c r="N119" s="2" t="n">
        <x:f>COUNTIFS('Monthly_Data'!$B$6:$B$797,"&gt;="&amp;J119,'Monthly_Data'!$B$6:$B$797,"&lt;="&amp;K119,'Monthly_Data'!$C$6:$C$797,D119,'Monthly_Data'!$D$6:$D$797,C119,'Monthly_Data'!$I$6:$I$797,1)</x:f>
        <x:v>5</x:v>
      </x:c>
      <x:c r="O119" s="17" t="n">
        <x:f>IF(M119&gt;0,L119/M119,"n.a.")</x:f>
        <x:v>21.271152851405358</x:v>
      </x:c>
      <x:c r="P119" s="2" t="n">
        <x:f>COUNTIFS($A$6:$A$125,A119)</x:f>
        <x:v>1</x:v>
      </x:c>
      <x:c r="Q119" s="2"/>
      <x:c r="R119" s="2"/>
      <x:c r="S119" s="2"/>
    </x:row>
    <x:row r="120" ht="23" customHeight="1">
      <x:c r="A120" s="2" t="str">
        <x:v>H1 2026|Morocco|62052000</x:v>
      </x:c>
      <x:c r="B120" s="2" t="str">
        <x:v>H1 2026</x:v>
      </x:c>
      <x:c r="C120" s="2" t="str">
        <x:v>Morocco</x:v>
      </x:c>
      <x:c r="D120" s="2" t="str">
        <x:v>62052000</x:v>
      </x:c>
      <x:c r="E120" s="16" t="n">
        <x:v>561115</x:v>
      </x:c>
      <x:c r="F120" s="16" t="n">
        <x:v>15750</x:v>
      </x:c>
      <x:c r="G120" s="2" t="n">
        <x:v>6</x:v>
      </x:c>
      <x:c r="H120" s="2" t="n">
        <x:v>0</x:v>
      </x:c>
      <x:c r="I120" s="17" t="n">
        <x:v>35.626349206349204</x:v>
      </x:c>
      <x:c r="J120" s="2" t="n">
        <x:v>202601</x:v>
      </x:c>
      <x:c r="K120" s="2" t="n">
        <x:v>202606</x:v>
      </x:c>
      <x:c r="L120" s="16" t="n">
        <x:f>SUMIFS('Monthly_Data'!$E$6:$E$797,'Monthly_Data'!$B$6:$B$797,"&gt;="&amp;J120,'Monthly_Data'!$B$6:$B$797,"&lt;="&amp;K120,'Monthly_Data'!$C$6:$C$797,D120,'Monthly_Data'!$D$6:$D$797,C120,'Monthly_Data'!$I$6:$I$797,1)</x:f>
        <x:v>470879</x:v>
      </x:c>
      <x:c r="M120" s="16" t="n">
        <x:f>SUMIFS('Monthly_Data'!$F$6:$F$797,'Monthly_Data'!$B$6:$B$797,"&gt;="&amp;J120,'Monthly_Data'!$B$6:$B$797,"&lt;="&amp;K120,'Monthly_Data'!$C$6:$C$797,D120,'Monthly_Data'!$D$6:$D$797,C120,'Monthly_Data'!$I$6:$I$797,1)</x:f>
        <x:v>13295</x:v>
      </x:c>
      <x:c r="N120" s="2" t="n">
        <x:f>COUNTIFS('Monthly_Data'!$B$6:$B$797,"&gt;="&amp;J120,'Monthly_Data'!$B$6:$B$797,"&lt;="&amp;K120,'Monthly_Data'!$C$6:$C$797,D120,'Monthly_Data'!$D$6:$D$797,C120,'Monthly_Data'!$I$6:$I$797,1)</x:f>
        <x:v>5</x:v>
      </x:c>
      <x:c r="O120" s="17" t="n">
        <x:f>IF(M120&gt;0,L120/M120,"n.a.")</x:f>
        <x:v>35.41775103422339</x:v>
      </x:c>
      <x:c r="P120" s="2" t="n">
        <x:f>COUNTIFS($A$6:$A$125,A120)</x:f>
        <x:v>1</x:v>
      </x:c>
      <x:c r="Q120" s="2"/>
      <x:c r="R120" s="2"/>
      <x:c r="S120" s="2"/>
    </x:row>
    <x:row r="121" ht="23" customHeight="1">
      <x:c r="A121" s="2" t="str">
        <x:v>H1 2026|Myanmar|62052000</x:v>
      </x:c>
      <x:c r="B121" s="2" t="str">
        <x:v>H1 2026</x:v>
      </x:c>
      <x:c r="C121" s="2" t="str">
        <x:v>Myanmar</x:v>
      </x:c>
      <x:c r="D121" s="2" t="str">
        <x:v>62052000</x:v>
      </x:c>
      <x:c r="E121" s="16" t="n">
        <x:v>438060</x:v>
      </x:c>
      <x:c r="F121" s="16" t="n">
        <x:v>30188</x:v>
      </x:c>
      <x:c r="G121" s="2" t="n">
        <x:v>6</x:v>
      </x:c>
      <x:c r="H121" s="2" t="n">
        <x:v>1</x:v>
      </x:c>
      <x:c r="I121" s="17" t="n">
        <x:v>14.511063998939976</x:v>
      </x:c>
      <x:c r="J121" s="2" t="n">
        <x:v>202601</x:v>
      </x:c>
      <x:c r="K121" s="2" t="n">
        <x:v>202606</x:v>
      </x:c>
      <x:c r="L121" s="16" t="n">
        <x:f>SUMIFS('Monthly_Data'!$E$6:$E$797,'Monthly_Data'!$B$6:$B$797,"&gt;="&amp;J121,'Monthly_Data'!$B$6:$B$797,"&lt;="&amp;K121,'Monthly_Data'!$C$6:$C$797,D121,'Monthly_Data'!$D$6:$D$797,C121,'Monthly_Data'!$I$6:$I$797,1)</x:f>
        <x:v>429586</x:v>
      </x:c>
      <x:c r="M121" s="16" t="n">
        <x:f>SUMIFS('Monthly_Data'!$F$6:$F$797,'Monthly_Data'!$B$6:$B$797,"&gt;="&amp;J121,'Monthly_Data'!$B$6:$B$797,"&lt;="&amp;K121,'Monthly_Data'!$C$6:$C$797,D121,'Monthly_Data'!$D$6:$D$797,C121,'Monthly_Data'!$I$6:$I$797,1)</x:f>
        <x:v>29172</x:v>
      </x:c>
      <x:c r="N121" s="2" t="n">
        <x:f>COUNTIFS('Monthly_Data'!$B$6:$B$797,"&gt;="&amp;J121,'Monthly_Data'!$B$6:$B$797,"&lt;="&amp;K121,'Monthly_Data'!$C$6:$C$797,D121,'Monthly_Data'!$D$6:$D$797,C121,'Monthly_Data'!$I$6:$I$797,1)</x:f>
        <x:v>5</x:v>
      </x:c>
      <x:c r="O121" s="17" t="n">
        <x:f>IF(M121&gt;0,L121/M121,"n.a.")</x:f>
        <x:v>14.72597010832305</x:v>
      </x:c>
      <x:c r="P121" s="2" t="n">
        <x:f>COUNTIFS($A$6:$A$125,A121)</x:f>
        <x:v>1</x:v>
      </x:c>
      <x:c r="Q121" s="2"/>
      <x:c r="R121" s="2"/>
      <x:c r="S121" s="2"/>
    </x:row>
    <x:row r="122" ht="23" customHeight="1">
      <x:c r="A122" s="2" t="str">
        <x:v>H1 2026|Pakistan|62052000</x:v>
      </x:c>
      <x:c r="B122" s="2" t="str">
        <x:v>H1 2026</x:v>
      </x:c>
      <x:c r="C122" s="2" t="str">
        <x:v>Pakistan</x:v>
      </x:c>
      <x:c r="D122" s="2" t="str">
        <x:v>62052000</x:v>
      </x:c>
      <x:c r="E122" s="16" t="n">
        <x:v>358538</x:v>
      </x:c>
      <x:c r="F122" s="16" t="n">
        <x:v>25923</x:v>
      </x:c>
      <x:c r="G122" s="2" t="n">
        <x:v>6</x:v>
      </x:c>
      <x:c r="H122" s="2" t="n">
        <x:v>0</x:v>
      </x:c>
      <x:c r="I122" s="17" t="n">
        <x:v>13.83088377116846</x:v>
      </x:c>
      <x:c r="J122" s="2" t="n">
        <x:v>202601</x:v>
      </x:c>
      <x:c r="K122" s="2" t="n">
        <x:v>202606</x:v>
      </x:c>
      <x:c r="L122" s="16" t="n">
        <x:f>SUMIFS('Monthly_Data'!$E$6:$E$797,'Monthly_Data'!$B$6:$B$797,"&gt;="&amp;J122,'Monthly_Data'!$B$6:$B$797,"&lt;="&amp;K122,'Monthly_Data'!$C$6:$C$797,D122,'Monthly_Data'!$D$6:$D$797,C122,'Monthly_Data'!$I$6:$I$797,1)</x:f>
        <x:v>239651</x:v>
      </x:c>
      <x:c r="M122" s="16" t="n">
        <x:f>SUMIFS('Monthly_Data'!$F$6:$F$797,'Monthly_Data'!$B$6:$B$797,"&gt;="&amp;J122,'Monthly_Data'!$B$6:$B$797,"&lt;="&amp;K122,'Monthly_Data'!$C$6:$C$797,D122,'Monthly_Data'!$D$6:$D$797,C122,'Monthly_Data'!$I$6:$I$797,1)</x:f>
        <x:v>17412</x:v>
      </x:c>
      <x:c r="N122" s="2" t="n">
        <x:f>COUNTIFS('Monthly_Data'!$B$6:$B$797,"&gt;="&amp;J122,'Monthly_Data'!$B$6:$B$797,"&lt;="&amp;K122,'Monthly_Data'!$C$6:$C$797,D122,'Monthly_Data'!$D$6:$D$797,C122,'Monthly_Data'!$I$6:$I$797,1)</x:f>
        <x:v>5</x:v>
      </x:c>
      <x:c r="O122" s="17" t="n">
        <x:f>IF(M122&gt;0,L122/M122,"n.a.")</x:f>
        <x:v>13.763553870893636</x:v>
      </x:c>
      <x:c r="P122" s="2" t="n">
        <x:f>COUNTIFS($A$6:$A$125,A122)</x:f>
        <x:v>1</x:v>
      </x:c>
      <x:c r="Q122" s="2"/>
      <x:c r="R122" s="2"/>
      <x:c r="S122" s="2"/>
    </x:row>
    <x:row r="123" ht="23" customHeight="1">
      <x:c r="A123" s="2" t="str">
        <x:v>H1 2026|Sri Lanka|62052000</x:v>
      </x:c>
      <x:c r="B123" s="2" t="str">
        <x:v>H1 2026</x:v>
      </x:c>
      <x:c r="C123" s="2" t="str">
        <x:v>Sri Lanka</x:v>
      </x:c>
      <x:c r="D123" s="2" t="str">
        <x:v>62052000</x:v>
      </x:c>
      <x:c r="E123" s="16" t="n">
        <x:v>1556820</x:v>
      </x:c>
      <x:c r="F123" s="16" t="n">
        <x:v>79138</x:v>
      </x:c>
      <x:c r="G123" s="2" t="n">
        <x:v>6</x:v>
      </x:c>
      <x:c r="H123" s="2" t="n">
        <x:v>0</x:v>
      </x:c>
      <x:c r="I123" s="17" t="n">
        <x:v>19.67221815057242</x:v>
      </x:c>
      <x:c r="J123" s="2" t="n">
        <x:v>202601</x:v>
      </x:c>
      <x:c r="K123" s="2" t="n">
        <x:v>202606</x:v>
      </x:c>
      <x:c r="L123" s="16" t="n">
        <x:f>SUMIFS('Monthly_Data'!$E$6:$E$797,'Monthly_Data'!$B$6:$B$797,"&gt;="&amp;J123,'Monthly_Data'!$B$6:$B$797,"&lt;="&amp;K123,'Monthly_Data'!$C$6:$C$797,D123,'Monthly_Data'!$D$6:$D$797,C123,'Monthly_Data'!$I$6:$I$797,1)</x:f>
        <x:v>1293061</x:v>
      </x:c>
      <x:c r="M123" s="16" t="n">
        <x:f>SUMIFS('Monthly_Data'!$F$6:$F$797,'Monthly_Data'!$B$6:$B$797,"&gt;="&amp;J123,'Monthly_Data'!$B$6:$B$797,"&lt;="&amp;K123,'Monthly_Data'!$C$6:$C$797,D123,'Monthly_Data'!$D$6:$D$797,C123,'Monthly_Data'!$I$6:$I$797,1)</x:f>
        <x:v>65575</x:v>
      </x:c>
      <x:c r="N123" s="2" t="n">
        <x:f>COUNTIFS('Monthly_Data'!$B$6:$B$797,"&gt;="&amp;J123,'Monthly_Data'!$B$6:$B$797,"&lt;="&amp;K123,'Monthly_Data'!$C$6:$C$797,D123,'Monthly_Data'!$D$6:$D$797,C123,'Monthly_Data'!$I$6:$I$797,1)</x:f>
        <x:v>5</x:v>
      </x:c>
      <x:c r="O123" s="17" t="n">
        <x:f>IF(M123&gt;0,L123/M123,"n.a.")</x:f>
        <x:v>19.718810522302707</x:v>
      </x:c>
      <x:c r="P123" s="2" t="n">
        <x:f>COUNTIFS($A$6:$A$125,A123)</x:f>
        <x:v>1</x:v>
      </x:c>
      <x:c r="Q123" s="2"/>
      <x:c r="R123" s="2"/>
      <x:c r="S123" s="2"/>
    </x:row>
    <x:row r="124" ht="23" customHeight="1">
      <x:c r="A124" s="2" t="str">
        <x:v>H1 2026|Turkey|62052000</x:v>
      </x:c>
      <x:c r="B124" s="2" t="str">
        <x:v>H1 2026</x:v>
      </x:c>
      <x:c r="C124" s="2" t="str">
        <x:v>Turkey</x:v>
      </x:c>
      <x:c r="D124" s="2" t="str">
        <x:v>62052000</x:v>
      </x:c>
      <x:c r="E124" s="16" t="n">
        <x:v>5825379</x:v>
      </x:c>
      <x:c r="F124" s="16" t="n">
        <x:v>147992</x:v>
      </x:c>
      <x:c r="G124" s="2" t="n">
        <x:v>6</x:v>
      </x:c>
      <x:c r="H124" s="2" t="n">
        <x:v>0</x:v>
      </x:c>
      <x:c r="I124" s="17" t="n">
        <x:v>39.36279663765609</x:v>
      </x:c>
      <x:c r="J124" s="2" t="n">
        <x:v>202601</x:v>
      </x:c>
      <x:c r="K124" s="2" t="n">
        <x:v>202606</x:v>
      </x:c>
      <x:c r="L124" s="16" t="n">
        <x:f>SUMIFS('Monthly_Data'!$E$6:$E$797,'Monthly_Data'!$B$6:$B$797,"&gt;="&amp;J124,'Monthly_Data'!$B$6:$B$797,"&lt;="&amp;K124,'Monthly_Data'!$C$6:$C$797,D124,'Monthly_Data'!$D$6:$D$797,C124,'Monthly_Data'!$I$6:$I$797,1)</x:f>
        <x:v>4707773</x:v>
      </x:c>
      <x:c r="M124" s="16" t="n">
        <x:f>SUMIFS('Monthly_Data'!$F$6:$F$797,'Monthly_Data'!$B$6:$B$797,"&gt;="&amp;J124,'Monthly_Data'!$B$6:$B$797,"&lt;="&amp;K124,'Monthly_Data'!$C$6:$C$797,D124,'Monthly_Data'!$D$6:$D$797,C124,'Monthly_Data'!$I$6:$I$797,1)</x:f>
        <x:v>119701</x:v>
      </x:c>
      <x:c r="N124" s="2" t="n">
        <x:f>COUNTIFS('Monthly_Data'!$B$6:$B$797,"&gt;="&amp;J124,'Monthly_Data'!$B$6:$B$797,"&lt;="&amp;K124,'Monthly_Data'!$C$6:$C$797,D124,'Monthly_Data'!$D$6:$D$797,C124,'Monthly_Data'!$I$6:$I$797,1)</x:f>
        <x:v>5</x:v>
      </x:c>
      <x:c r="O124" s="17" t="n">
        <x:f>IF(M124&gt;0,L124/M124,"n.a.")</x:f>
        <x:v>39.3294375151419</x:v>
      </x:c>
      <x:c r="P124" s="2" t="n">
        <x:f>COUNTIFS($A$6:$A$125,A124)</x:f>
        <x:v>1</x:v>
      </x:c>
      <x:c r="Q124" s="2"/>
      <x:c r="R124" s="2"/>
      <x:c r="S124" s="2"/>
    </x:row>
    <x:row r="125" ht="23" customHeight="1">
      <x:c r="A125" s="2" t="str">
        <x:v>H1 2026|Vietnam|62052000</x:v>
      </x:c>
      <x:c r="B125" s="2" t="str">
        <x:v>H1 2026</x:v>
      </x:c>
      <x:c r="C125" s="2" t="str">
        <x:v>Vietnam</x:v>
      </x:c>
      <x:c r="D125" s="2" t="str">
        <x:v>62052000</x:v>
      </x:c>
      <x:c r="E125" s="16" t="n">
        <x:v>5885338</x:v>
      </x:c>
      <x:c r="F125" s="16" t="n">
        <x:v>196825</x:v>
      </x:c>
      <x:c r="G125" s="2" t="n">
        <x:v>6</x:v>
      </x:c>
      <x:c r="H125" s="2" t="n">
        <x:v>0</x:v>
      </x:c>
      <x:c r="I125" s="17" t="n">
        <x:v>29.90137431728693</x:v>
      </x:c>
      <x:c r="J125" s="2" t="n">
        <x:v>202601</x:v>
      </x:c>
      <x:c r="K125" s="2" t="n">
        <x:v>202606</x:v>
      </x:c>
      <x:c r="L125" s="16" t="n">
        <x:f>SUMIFS('Monthly_Data'!$E$6:$E$797,'Monthly_Data'!$B$6:$B$797,"&gt;="&amp;J125,'Monthly_Data'!$B$6:$B$797,"&lt;="&amp;K125,'Monthly_Data'!$C$6:$C$797,D125,'Monthly_Data'!$D$6:$D$797,C125,'Monthly_Data'!$I$6:$I$797,1)</x:f>
        <x:v>4696585</x:v>
      </x:c>
      <x:c r="M125" s="16" t="n">
        <x:f>SUMIFS('Monthly_Data'!$F$6:$F$797,'Monthly_Data'!$B$6:$B$797,"&gt;="&amp;J125,'Monthly_Data'!$B$6:$B$797,"&lt;="&amp;K125,'Monthly_Data'!$C$6:$C$797,D125,'Monthly_Data'!$D$6:$D$797,C125,'Monthly_Data'!$I$6:$I$797,1)</x:f>
        <x:v>156499</x:v>
      </x:c>
      <x:c r="N125" s="2" t="n">
        <x:f>COUNTIFS('Monthly_Data'!$B$6:$B$797,"&gt;="&amp;J125,'Monthly_Data'!$B$6:$B$797,"&lt;="&amp;K125,'Monthly_Data'!$C$6:$C$797,D125,'Monthly_Data'!$D$6:$D$797,C125,'Monthly_Data'!$I$6:$I$797,1)</x:f>
        <x:v>5</x:v>
      </x:c>
      <x:c r="O125" s="17" t="n">
        <x:f>IF(M125&gt;0,L125/M125,"n.a.")</x:f>
        <x:v>30.010319554757537</x:v>
      </x:c>
      <x:c r="P125" s="2" t="n">
        <x:f>COUNTIFS($A$6:$A$125,A125)</x:f>
        <x:v>1</x:v>
      </x:c>
      <x:c r="Q125" s="2"/>
      <x:c r="R125" s="2"/>
      <x:c r="S125" s="2"/>
    </x:row>
    <x:row r="126" ht="23" customHeight="1">
      <x:c r="A126" s="2"/>
      <x:c r="B126" s="2"/>
      <x:c r="C126" s="2"/>
      <x:c r="D126" s="2"/>
      <x:c r="E126" s="2"/>
      <x:c r="F126" s="2"/>
      <x:c r="G126" s="2"/>
      <x:c r="H126" s="2"/>
      <x:c r="I126" s="2"/>
      <x:c r="J126" s="2"/>
      <x:c r="K126" s="2"/>
      <x:c r="L126" s="2"/>
      <x:c r="M126" s="2"/>
      <x:c r="N126" s="2"/>
      <x:c r="O126" s="2"/>
      <x:c r="P126" s="2"/>
      <x:c r="Q126" s="2"/>
      <x:c r="R126" s="2"/>
      <x:c r="S126" s="2"/>
    </x:row>
    <x:row r="127" ht="23" customHeight="1">
      <x:c r="A127" s="2"/>
      <x:c r="B127" s="2"/>
      <x:c r="C127" s="2"/>
      <x:c r="D127" s="2"/>
      <x:c r="E127" s="2"/>
      <x:c r="F127" s="2"/>
      <x:c r="G127" s="2"/>
      <x:c r="H127" s="2"/>
      <x:c r="I127" s="2"/>
      <x:c r="J127" s="2"/>
      <x:c r="K127" s="2"/>
      <x:c r="L127" s="2"/>
      <x:c r="M127" s="2"/>
      <x:c r="N127" s="2"/>
      <x:c r="O127" s="2"/>
      <x:c r="P127" s="2"/>
      <x:c r="Q127" s="2"/>
      <x:c r="R127" s="2"/>
      <x:c r="S127" s="2"/>
    </x:row>
    <x:row r="128" ht="23" customHeight="1">
      <x:c r="A128" s="2"/>
      <x:c r="B128" s="2"/>
      <x:c r="C128" s="2"/>
      <x:c r="D128" s="2"/>
      <x:c r="E128" s="2"/>
      <x:c r="F128" s="2"/>
      <x:c r="G128" s="2"/>
      <x:c r="H128" s="2"/>
      <x:c r="I128" s="2"/>
      <x:c r="J128" s="2"/>
      <x:c r="K128" s="2"/>
      <x:c r="L128" s="2"/>
      <x:c r="M128" s="2"/>
      <x:c r="N128" s="2"/>
      <x:c r="O128" s="2"/>
      <x:c r="P128" s="2"/>
      <x:c r="Q128" s="2"/>
      <x:c r="R128" s="2"/>
      <x:c r="S128" s="2"/>
    </x:row>
    <x:row r="129" ht="23" customHeight="1">
      <x:c r="A129" s="2"/>
      <x:c r="B129" s="2"/>
      <x:c r="C129" s="2"/>
      <x:c r="D129" s="2"/>
      <x:c r="E129" s="2"/>
      <x:c r="F129" s="2"/>
      <x:c r="G129" s="2"/>
      <x:c r="H129" s="2"/>
      <x:c r="I129" s="2"/>
      <x:c r="J129" s="2"/>
      <x:c r="K129" s="2"/>
      <x:c r="L129" s="2"/>
      <x:c r="M129" s="2"/>
      <x:c r="N129" s="2"/>
      <x:c r="O129" s="2"/>
      <x:c r="P129" s="2"/>
      <x:c r="Q129" s="2"/>
      <x:c r="R129" s="2"/>
      <x:c r="S129" s="2"/>
    </x:row>
    <x:row r="130" ht="42" customHeight="1">
      <x:c r="A130" s="11" t="str">
        <x:v>Key</x:v>
      </x:c>
      <x:c r="B130" s="11" t="str">
        <x:v>Country</x:v>
      </x:c>
      <x:c r="C130" s="11" t="str">
        <x:v>CN8</x:v>
      </x:c>
      <x:c r="D130" s="11" t="str">
        <x:v>2025 eligible</x:v>
      </x:c>
      <x:c r="E130" s="11" t="str">
        <x:v>Pre-15 July 2026</x:v>
      </x:c>
      <x:c r="F130" s="11" t="str">
        <x:v>From 15 July 2026</x:v>
      </x:c>
      <x:c r="G130" s="11" t="str">
        <x:v>MFN fallback</x:v>
      </x:c>
      <x:c r="H130" s="11" t="str">
        <x:v>Conditional</x:v>
      </x:c>
      <x:c r="I130" s="11" t="str">
        <x:v>Source IDs</x:v>
      </x:c>
      <x:c r="J130" s="11" t="str">
        <x:v>Evidence queries</x:v>
      </x:c>
      <x:c r="K130" s="11" t="str">
        <x:v>WP004 location</x:v>
      </x:c>
      <x:c r="L130" s="11" t="str">
        <x:v>Key count</x:v>
      </x:c>
      <x:c r="M130" s="2"/>
      <x:c r="N130" s="2"/>
      <x:c r="O130" s="2"/>
      <x:c r="P130" s="2"/>
      <x:c r="Q130" s="2"/>
      <x:c r="R130" s="2"/>
      <x:c r="S130" s="2"/>
    </x:row>
    <x:row r="131" ht="23" customHeight="1">
      <x:c r="A131" s="2" t="str">
        <x:v>Bangladesh|61091000</x:v>
      </x:c>
      <x:c r="B131" s="2" t="str">
        <x:v>Bangladesh</x:v>
      </x:c>
      <x:c r="C131" s="2" t="str">
        <x:v>61091000</x:v>
      </x:c>
      <x:c r="D131" s="7" t="n">
        <x:v>0</x:v>
      </x:c>
      <x:c r="E131" s="7" t="n">
        <x:v>0</x:v>
      </x:c>
      <x:c r="F131" s="7" t="n">
        <x:v>0</x:v>
      </x:c>
      <x:c r="G131" s="7" t="n">
        <x:v>0.12</x:v>
      </x:c>
      <x:c r="H131" s="2" t="str">
        <x:v>Yes</x:v>
      </x:c>
      <x:c r="I131" s="2" t="str">
        <x:v>EXT_UKGT; EXT_DCTS_2026; EXT_DCTS_ROO; EXT_UN_LDC_BGD</x:v>
      </x:c>
      <x:c r="J131" s="2" t="str">
        <x:v>T01; T02</x:v>
      </x:c>
      <x:c r="K131" s="2" t="str">
        <x:v>Tariff_Matrix!A2:N2</x:v>
      </x:c>
      <x:c r="L131" s="2" t="n">
        <x:f>COUNTIFS($A$131:$A$170,A131)</x:f>
        <x:v>1</x:v>
      </x:c>
      <x:c r="M131" s="2"/>
      <x:c r="N131" s="2"/>
      <x:c r="O131" s="2"/>
      <x:c r="P131" s="2"/>
      <x:c r="Q131" s="2"/>
      <x:c r="R131" s="2"/>
      <x:c r="S131" s="2"/>
    </x:row>
    <x:row r="132" ht="23" customHeight="1">
      <x:c r="A132" s="2" t="str">
        <x:v>Cambodia|61091000</x:v>
      </x:c>
      <x:c r="B132" s="2" t="str">
        <x:v>Cambodia</x:v>
      </x:c>
      <x:c r="C132" s="2" t="str">
        <x:v>61091000</x:v>
      </x:c>
      <x:c r="D132" s="7" t="n">
        <x:v>0</x:v>
      </x:c>
      <x:c r="E132" s="7" t="n">
        <x:v>0</x:v>
      </x:c>
      <x:c r="F132" s="7" t="n">
        <x:v>0</x:v>
      </x:c>
      <x:c r="G132" s="7" t="n">
        <x:v>0.12</x:v>
      </x:c>
      <x:c r="H132" s="2" t="str">
        <x:v>Yes</x:v>
      </x:c>
      <x:c r="I132" s="2" t="str">
        <x:v>EXT_UKGT; EXT_DCTS_2026</x:v>
      </x:c>
      <x:c r="J132" s="2" t="str">
        <x:v>T01; T02</x:v>
      </x:c>
      <x:c r="K132" s="2" t="str">
        <x:v>Tariff_Matrix!A6:N6</x:v>
      </x:c>
      <x:c r="L132" s="2" t="n">
        <x:f>COUNTIFS($A$131:$A$170,A132)</x:f>
        <x:v>1</x:v>
      </x:c>
      <x:c r="M132" s="2"/>
      <x:c r="N132" s="2"/>
      <x:c r="O132" s="2"/>
      <x:c r="P132" s="2"/>
      <x:c r="Q132" s="2"/>
      <x:c r="R132" s="2"/>
      <x:c r="S132" s="2"/>
    </x:row>
    <x:row r="133" ht="23" customHeight="1">
      <x:c r="A133" s="2" t="str">
        <x:v>China|61091000</x:v>
      </x:c>
      <x:c r="B133" s="2" t="str">
        <x:v>China</x:v>
      </x:c>
      <x:c r="C133" s="2" t="str">
        <x:v>61091000</x:v>
      </x:c>
      <x:c r="D133" s="7" t="n">
        <x:v>0.12</x:v>
      </x:c>
      <x:c r="E133" s="7" t="n">
        <x:v>0.12</x:v>
      </x:c>
      <x:c r="F133" s="7" t="n">
        <x:v>0.12</x:v>
      </x:c>
      <x:c r="G133" s="7" t="n">
        <x:v>0.12</x:v>
      </x:c>
      <x:c r="H133" s="2" t="str">
        <x:v>No</x:v>
      </x:c>
      <x:c r="I133" s="2" t="str">
        <x:v>EXT_UKGT</x:v>
      </x:c>
      <x:c r="J133" s="2" t="str">
        <x:v>T01; T02</x:v>
      </x:c>
      <x:c r="K133" s="2" t="str">
        <x:v>Tariff_Matrix!A10:N10</x:v>
      </x:c>
      <x:c r="L133" s="2" t="n">
        <x:f>COUNTIFS($A$131:$A$170,A133)</x:f>
        <x:v>1</x:v>
      </x:c>
      <x:c r="M133" s="2"/>
      <x:c r="N133" s="2"/>
      <x:c r="O133" s="2"/>
      <x:c r="P133" s="2"/>
      <x:c r="Q133" s="2"/>
      <x:c r="R133" s="2"/>
      <x:c r="S133" s="2"/>
    </x:row>
    <x:row r="134" ht="23" customHeight="1">
      <x:c r="A134" s="2" t="str">
        <x:v>India|61091000</x:v>
      </x:c>
      <x:c r="B134" s="2" t="str">
        <x:v>India</x:v>
      </x:c>
      <x:c r="C134" s="2" t="str">
        <x:v>61091000</x:v>
      </x:c>
      <x:c r="D134" s="7" t="n">
        <x:v>0.096</x:v>
      </x:c>
      <x:c r="E134" s="7" t="n">
        <x:v>0.096</x:v>
      </x:c>
      <x:c r="F134" s="7" t="n">
        <x:v>0</x:v>
      </x:c>
      <x:c r="G134" s="7" t="n">
        <x:v>0.12</x:v>
      </x:c>
      <x:c r="H134" s="2" t="str">
        <x:v>Yes</x:v>
      </x:c>
      <x:c r="I134" s="2" t="str">
        <x:v>EXT_UKGT; EXT_DCTS_GRAD; EXT_CETA_ANNEX2A; EXT_CETA_TARIFF; EXT_CETA_PSR</x:v>
      </x:c>
      <x:c r="J134" s="2" t="str">
        <x:v>T01; T02</x:v>
      </x:c>
      <x:c r="K134" s="2" t="str">
        <x:v>Tariff_Matrix!A14:N14</x:v>
      </x:c>
      <x:c r="L134" s="2" t="n">
        <x:f>COUNTIFS($A$131:$A$170,A134)</x:f>
        <x:v>1</x:v>
      </x:c>
      <x:c r="M134" s="2"/>
      <x:c r="N134" s="2"/>
      <x:c r="O134" s="2"/>
      <x:c r="P134" s="2"/>
      <x:c r="Q134" s="2"/>
      <x:c r="R134" s="2"/>
      <x:c r="S134" s="2"/>
    </x:row>
    <x:row r="135" ht="23" customHeight="1">
      <x:c r="A135" s="2" t="str">
        <x:v>Morocco|61091000</x:v>
      </x:c>
      <x:c r="B135" s="2" t="str">
        <x:v>Morocco</x:v>
      </x:c>
      <x:c r="C135" s="2" t="str">
        <x:v>61091000</x:v>
      </x:c>
      <x:c r="D135" s="7" t="n">
        <x:v>0</x:v>
      </x:c>
      <x:c r="E135" s="7" t="n">
        <x:v>0</x:v>
      </x:c>
      <x:c r="F135" s="7" t="n">
        <x:v>0</x:v>
      </x:c>
      <x:c r="G135" s="7" t="n">
        <x:v>0.12</x:v>
      </x:c>
      <x:c r="H135" s="2" t="str">
        <x:v>Yes</x:v>
      </x:c>
      <x:c r="I135" s="2" t="str">
        <x:v>EXT_UKGT; EXT_UK_MOROCCO</x:v>
      </x:c>
      <x:c r="J135" s="2" t="str">
        <x:v>T01; T02</x:v>
      </x:c>
      <x:c r="K135" s="2" t="str">
        <x:v>Tariff_Matrix!A18:N18</x:v>
      </x:c>
      <x:c r="L135" s="2" t="n">
        <x:f>COUNTIFS($A$131:$A$170,A135)</x:f>
        <x:v>1</x:v>
      </x:c>
      <x:c r="M135" s="2"/>
      <x:c r="N135" s="2"/>
      <x:c r="O135" s="2"/>
      <x:c r="P135" s="2"/>
      <x:c r="Q135" s="2"/>
      <x:c r="R135" s="2"/>
      <x:c r="S135" s="2"/>
    </x:row>
    <x:row r="136" ht="23" customHeight="1">
      <x:c r="A136" s="2" t="str">
        <x:v>Myanmar|61091000</x:v>
      </x:c>
      <x:c r="B136" s="2" t="str">
        <x:v>Myanmar</x:v>
      </x:c>
      <x:c r="C136" s="2" t="str">
        <x:v>61091000</x:v>
      </x:c>
      <x:c r="D136" s="7" t="n">
        <x:v>0</x:v>
      </x:c>
      <x:c r="E136" s="7" t="n">
        <x:v>0</x:v>
      </x:c>
      <x:c r="F136" s="7" t="n">
        <x:v>0</x:v>
      </x:c>
      <x:c r="G136" s="7" t="n">
        <x:v>0.12</x:v>
      </x:c>
      <x:c r="H136" s="2" t="str">
        <x:v>Yes</x:v>
      </x:c>
      <x:c r="I136" s="2" t="str">
        <x:v>EXT_UKGT; EXT_DCTS_2026</x:v>
      </x:c>
      <x:c r="J136" s="2" t="str">
        <x:v>T01; T02</x:v>
      </x:c>
      <x:c r="K136" s="2" t="str">
        <x:v>Tariff_Matrix!A22:N22</x:v>
      </x:c>
      <x:c r="L136" s="2" t="n">
        <x:f>COUNTIFS($A$131:$A$170,A136)</x:f>
        <x:v>1</x:v>
      </x:c>
      <x:c r="M136" s="2"/>
      <x:c r="N136" s="2"/>
      <x:c r="O136" s="2"/>
      <x:c r="P136" s="2"/>
      <x:c r="Q136" s="2"/>
      <x:c r="R136" s="2"/>
      <x:c r="S136" s="2"/>
    </x:row>
    <x:row r="137" ht="23" customHeight="1">
      <x:c r="A137" s="2" t="str">
        <x:v>Pakistan|61091000</x:v>
      </x:c>
      <x:c r="B137" s="2" t="str">
        <x:v>Pakistan</x:v>
      </x:c>
      <x:c r="C137" s="2" t="str">
        <x:v>61091000</x:v>
      </x:c>
      <x:c r="D137" s="7" t="n">
        <x:v>0</x:v>
      </x:c>
      <x:c r="E137" s="7" t="n">
        <x:v>0</x:v>
      </x:c>
      <x:c r="F137" s="7" t="n">
        <x:v>0</x:v>
      </x:c>
      <x:c r="G137" s="7" t="n">
        <x:v>0.12</x:v>
      </x:c>
      <x:c r="H137" s="2" t="str">
        <x:v>Yes</x:v>
      </x:c>
      <x:c r="I137" s="2" t="str">
        <x:v>EXT_UKGT; EXT_DCTS_2026</x:v>
      </x:c>
      <x:c r="J137" s="2" t="str">
        <x:v>T01; T02</x:v>
      </x:c>
      <x:c r="K137" s="2" t="str">
        <x:v>Tariff_Matrix!A26:N26</x:v>
      </x:c>
      <x:c r="L137" s="2" t="n">
        <x:f>COUNTIFS($A$131:$A$170,A137)</x:f>
        <x:v>1</x:v>
      </x:c>
      <x:c r="M137" s="2"/>
      <x:c r="N137" s="2"/>
      <x:c r="O137" s="2"/>
      <x:c r="P137" s="2"/>
      <x:c r="Q137" s="2"/>
      <x:c r="R137" s="2"/>
      <x:c r="S137" s="2"/>
    </x:row>
    <x:row r="138" ht="23" customHeight="1">
      <x:c r="A138" s="2" t="str">
        <x:v>Sri Lanka|61091000</x:v>
      </x:c>
      <x:c r="B138" s="2" t="str">
        <x:v>Sri Lanka</x:v>
      </x:c>
      <x:c r="C138" s="2" t="str">
        <x:v>61091000</x:v>
      </x:c>
      <x:c r="D138" s="7" t="n">
        <x:v>0</x:v>
      </x:c>
      <x:c r="E138" s="7" t="n">
        <x:v>0</x:v>
      </x:c>
      <x:c r="F138" s="7" t="n">
        <x:v>0</x:v>
      </x:c>
      <x:c r="G138" s="7" t="n">
        <x:v>0.12</x:v>
      </x:c>
      <x:c r="H138" s="2" t="str">
        <x:v>Yes</x:v>
      </x:c>
      <x:c r="I138" s="2" t="str">
        <x:v>EXT_UKGT; EXT_DCTS_2026</x:v>
      </x:c>
      <x:c r="J138" s="2" t="str">
        <x:v>T01; T02</x:v>
      </x:c>
      <x:c r="K138" s="2" t="str">
        <x:v>Tariff_Matrix!A30:N30</x:v>
      </x:c>
      <x:c r="L138" s="2" t="n">
        <x:f>COUNTIFS($A$131:$A$170,A138)</x:f>
        <x:v>1</x:v>
      </x:c>
      <x:c r="M138" s="2"/>
      <x:c r="N138" s="2"/>
      <x:c r="O138" s="2"/>
      <x:c r="P138" s="2"/>
      <x:c r="Q138" s="2"/>
      <x:c r="R138" s="2"/>
      <x:c r="S138" s="2"/>
    </x:row>
    <x:row r="139" ht="23" customHeight="1">
      <x:c r="A139" s="2" t="str">
        <x:v>Turkey|61091000</x:v>
      </x:c>
      <x:c r="B139" s="2" t="str">
        <x:v>Turkey</x:v>
      </x:c>
      <x:c r="C139" s="2" t="str">
        <x:v>61091000</x:v>
      </x:c>
      <x:c r="D139" s="7" t="n">
        <x:v>0</x:v>
      </x:c>
      <x:c r="E139" s="7" t="n">
        <x:v>0</x:v>
      </x:c>
      <x:c r="F139" s="7" t="n">
        <x:v>0</x:v>
      </x:c>
      <x:c r="G139" s="7" t="n">
        <x:v>0.12</x:v>
      </x:c>
      <x:c r="H139" s="2" t="str">
        <x:v>Yes</x:v>
      </x:c>
      <x:c r="I139" s="2" t="str">
        <x:v>EXT_UKGT; EXT_UK_TURKEY</x:v>
      </x:c>
      <x:c r="J139" s="2" t="str">
        <x:v>T01; T02</x:v>
      </x:c>
      <x:c r="K139" s="2" t="str">
        <x:v>Tariff_Matrix!A34:N34</x:v>
      </x:c>
      <x:c r="L139" s="2" t="n">
        <x:f>COUNTIFS($A$131:$A$170,A139)</x:f>
        <x:v>1</x:v>
      </x:c>
      <x:c r="M139" s="2"/>
      <x:c r="N139" s="2"/>
      <x:c r="O139" s="2"/>
      <x:c r="P139" s="2"/>
      <x:c r="Q139" s="2"/>
      <x:c r="R139" s="2"/>
      <x:c r="S139" s="2"/>
    </x:row>
    <x:row r="140" ht="23" customHeight="1">
      <x:c r="A140" s="2" t="str">
        <x:v>Vietnam|61091000</x:v>
      </x:c>
      <x:c r="B140" s="2" t="str">
        <x:v>Vietnam</x:v>
      </x:c>
      <x:c r="C140" s="2" t="str">
        <x:v>61091000</x:v>
      </x:c>
      <x:c r="D140" s="7" t="n">
        <x:v>0</x:v>
      </x:c>
      <x:c r="E140" s="7" t="n">
        <x:v>0</x:v>
      </x:c>
      <x:c r="F140" s="7" t="n">
        <x:v>0</x:v>
      </x:c>
      <x:c r="G140" s="7" t="n">
        <x:v>0.12</x:v>
      </x:c>
      <x:c r="H140" s="2" t="str">
        <x:v>Yes</x:v>
      </x:c>
      <x:c r="I140" s="2" t="str">
        <x:v>EXT_UKGT; EXT_UK_VIETNAM</x:v>
      </x:c>
      <x:c r="J140" s="2" t="str">
        <x:v>T01; T02</x:v>
      </x:c>
      <x:c r="K140" s="2" t="str">
        <x:v>Tariff_Matrix!A38:N38</x:v>
      </x:c>
      <x:c r="L140" s="2" t="n">
        <x:f>COUNTIFS($A$131:$A$170,A140)</x:f>
        <x:v>1</x:v>
      </x:c>
      <x:c r="M140" s="2"/>
      <x:c r="N140" s="2"/>
      <x:c r="O140" s="2"/>
      <x:c r="P140" s="2"/>
      <x:c r="Q140" s="2"/>
      <x:c r="R140" s="2"/>
      <x:c r="S140" s="2"/>
    </x:row>
    <x:row r="141" ht="23" customHeight="1">
      <x:c r="A141" s="2" t="str">
        <x:v>Bangladesh|61103099</x:v>
      </x:c>
      <x:c r="B141" s="2" t="str">
        <x:v>Bangladesh</x:v>
      </x:c>
      <x:c r="C141" s="2" t="str">
        <x:v>61103099</x:v>
      </x:c>
      <x:c r="D141" s="7" t="n">
        <x:v>0</x:v>
      </x:c>
      <x:c r="E141" s="7" t="n">
        <x:v>0</x:v>
      </x:c>
      <x:c r="F141" s="7" t="n">
        <x:v>0</x:v>
      </x:c>
      <x:c r="G141" s="7" t="n">
        <x:v>0.12</x:v>
      </x:c>
      <x:c r="H141" s="2" t="str">
        <x:v>Yes</x:v>
      </x:c>
      <x:c r="I141" s="2" t="str">
        <x:v>EXT_UKGT; EXT_DCTS_2026; EXT_DCTS_ROO; EXT_UN_LDC_BGD</x:v>
      </x:c>
      <x:c r="J141" s="2" t="str">
        <x:v>T03</x:v>
      </x:c>
      <x:c r="K141" s="2" t="str">
        <x:v>Tariff_Matrix!A3:N3</x:v>
      </x:c>
      <x:c r="L141" s="2" t="n">
        <x:f>COUNTIFS($A$131:$A$170,A141)</x:f>
        <x:v>1</x:v>
      </x:c>
      <x:c r="M141" s="2"/>
      <x:c r="N141" s="2"/>
      <x:c r="O141" s="2"/>
      <x:c r="P141" s="2"/>
      <x:c r="Q141" s="2"/>
      <x:c r="R141" s="2"/>
      <x:c r="S141" s="2"/>
    </x:row>
    <x:row r="142" ht="23" customHeight="1">
      <x:c r="A142" s="2" t="str">
        <x:v>Cambodia|61103099</x:v>
      </x:c>
      <x:c r="B142" s="2" t="str">
        <x:v>Cambodia</x:v>
      </x:c>
      <x:c r="C142" s="2" t="str">
        <x:v>61103099</x:v>
      </x:c>
      <x:c r="D142" s="7" t="n">
        <x:v>0</x:v>
      </x:c>
      <x:c r="E142" s="7" t="n">
        <x:v>0</x:v>
      </x:c>
      <x:c r="F142" s="7" t="n">
        <x:v>0</x:v>
      </x:c>
      <x:c r="G142" s="7" t="n">
        <x:v>0.12</x:v>
      </x:c>
      <x:c r="H142" s="2" t="str">
        <x:v>Yes</x:v>
      </x:c>
      <x:c r="I142" s="2" t="str">
        <x:v>EXT_UKGT; EXT_DCTS_2026</x:v>
      </x:c>
      <x:c r="J142" s="2" t="str">
        <x:v>T03</x:v>
      </x:c>
      <x:c r="K142" s="2" t="str">
        <x:v>Tariff_Matrix!A7:N7</x:v>
      </x:c>
      <x:c r="L142" s="2" t="n">
        <x:f>COUNTIFS($A$131:$A$170,A142)</x:f>
        <x:v>1</x:v>
      </x:c>
      <x:c r="M142" s="2"/>
      <x:c r="N142" s="2"/>
      <x:c r="O142" s="2"/>
      <x:c r="P142" s="2"/>
      <x:c r="Q142" s="2"/>
      <x:c r="R142" s="2"/>
      <x:c r="S142" s="2"/>
    </x:row>
    <x:row r="143" ht="23" customHeight="1">
      <x:c r="A143" s="2" t="str">
        <x:v>China|61103099</x:v>
      </x:c>
      <x:c r="B143" s="2" t="str">
        <x:v>China</x:v>
      </x:c>
      <x:c r="C143" s="2" t="str">
        <x:v>61103099</x:v>
      </x:c>
      <x:c r="D143" s="7" t="n">
        <x:v>0.12</x:v>
      </x:c>
      <x:c r="E143" s="7" t="n">
        <x:v>0.12</x:v>
      </x:c>
      <x:c r="F143" s="7" t="n">
        <x:v>0.12</x:v>
      </x:c>
      <x:c r="G143" s="7" t="n">
        <x:v>0.12</x:v>
      </x:c>
      <x:c r="H143" s="2" t="str">
        <x:v>No</x:v>
      </x:c>
      <x:c r="I143" s="2" t="str">
        <x:v>EXT_UKGT</x:v>
      </x:c>
      <x:c r="J143" s="2" t="str">
        <x:v>T03</x:v>
      </x:c>
      <x:c r="K143" s="2" t="str">
        <x:v>Tariff_Matrix!A11:N11</x:v>
      </x:c>
      <x:c r="L143" s="2" t="n">
        <x:f>COUNTIFS($A$131:$A$170,A143)</x:f>
        <x:v>1</x:v>
      </x:c>
      <x:c r="M143" s="2"/>
      <x:c r="N143" s="2"/>
      <x:c r="O143" s="2"/>
      <x:c r="P143" s="2"/>
      <x:c r="Q143" s="2"/>
      <x:c r="R143" s="2"/>
      <x:c r="S143" s="2"/>
    </x:row>
    <x:row r="144" ht="23" customHeight="1">
      <x:c r="A144" s="2" t="str">
        <x:v>India|61103099</x:v>
      </x:c>
      <x:c r="B144" s="2" t="str">
        <x:v>India</x:v>
      </x:c>
      <x:c r="C144" s="2" t="str">
        <x:v>61103099</x:v>
      </x:c>
      <x:c r="D144" s="7" t="n">
        <x:v>0.096</x:v>
      </x:c>
      <x:c r="E144" s="7" t="n">
        <x:v>0.096</x:v>
      </x:c>
      <x:c r="F144" s="7" t="n">
        <x:v>0</x:v>
      </x:c>
      <x:c r="G144" s="7" t="n">
        <x:v>0.12</x:v>
      </x:c>
      <x:c r="H144" s="2" t="str">
        <x:v>Yes</x:v>
      </x:c>
      <x:c r="I144" s="2" t="str">
        <x:v>EXT_UKGT; EXT_DCTS_GRAD; EXT_CETA_ANNEX2A; EXT_CETA_TARIFF; EXT_CETA_PSR</x:v>
      </x:c>
      <x:c r="J144" s="2" t="str">
        <x:v>T03</x:v>
      </x:c>
      <x:c r="K144" s="2" t="str">
        <x:v>Tariff_Matrix!A15:N15</x:v>
      </x:c>
      <x:c r="L144" s="2" t="n">
        <x:f>COUNTIFS($A$131:$A$170,A144)</x:f>
        <x:v>1</x:v>
      </x:c>
      <x:c r="M144" s="2"/>
      <x:c r="N144" s="2"/>
      <x:c r="O144" s="2"/>
      <x:c r="P144" s="2"/>
      <x:c r="Q144" s="2"/>
      <x:c r="R144" s="2"/>
      <x:c r="S144" s="2"/>
    </x:row>
    <x:row r="145" ht="23" customHeight="1">
      <x:c r="A145" s="2" t="str">
        <x:v>Morocco|61103099</x:v>
      </x:c>
      <x:c r="B145" s="2" t="str">
        <x:v>Morocco</x:v>
      </x:c>
      <x:c r="C145" s="2" t="str">
        <x:v>61103099</x:v>
      </x:c>
      <x:c r="D145" s="7" t="n">
        <x:v>0</x:v>
      </x:c>
      <x:c r="E145" s="7" t="n">
        <x:v>0</x:v>
      </x:c>
      <x:c r="F145" s="7" t="n">
        <x:v>0</x:v>
      </x:c>
      <x:c r="G145" s="7" t="n">
        <x:v>0.12</x:v>
      </x:c>
      <x:c r="H145" s="2" t="str">
        <x:v>Yes</x:v>
      </x:c>
      <x:c r="I145" s="2" t="str">
        <x:v>EXT_UKGT; EXT_UK_MOROCCO</x:v>
      </x:c>
      <x:c r="J145" s="2" t="str">
        <x:v>T03</x:v>
      </x:c>
      <x:c r="K145" s="2" t="str">
        <x:v>Tariff_Matrix!A19:N19</x:v>
      </x:c>
      <x:c r="L145" s="2" t="n">
        <x:f>COUNTIFS($A$131:$A$170,A145)</x:f>
        <x:v>1</x:v>
      </x:c>
      <x:c r="M145" s="2"/>
      <x:c r="N145" s="2"/>
      <x:c r="O145" s="2"/>
      <x:c r="P145" s="2"/>
      <x:c r="Q145" s="2"/>
      <x:c r="R145" s="2"/>
      <x:c r="S145" s="2"/>
    </x:row>
    <x:row r="146" ht="23" customHeight="1">
      <x:c r="A146" s="2" t="str">
        <x:v>Myanmar|61103099</x:v>
      </x:c>
      <x:c r="B146" s="2" t="str">
        <x:v>Myanmar</x:v>
      </x:c>
      <x:c r="C146" s="2" t="str">
        <x:v>61103099</x:v>
      </x:c>
      <x:c r="D146" s="7" t="n">
        <x:v>0</x:v>
      </x:c>
      <x:c r="E146" s="7" t="n">
        <x:v>0</x:v>
      </x:c>
      <x:c r="F146" s="7" t="n">
        <x:v>0</x:v>
      </x:c>
      <x:c r="G146" s="7" t="n">
        <x:v>0.12</x:v>
      </x:c>
      <x:c r="H146" s="2" t="str">
        <x:v>Yes</x:v>
      </x:c>
      <x:c r="I146" s="2" t="str">
        <x:v>EXT_UKGT; EXT_DCTS_2026</x:v>
      </x:c>
      <x:c r="J146" s="2" t="str">
        <x:v>T03</x:v>
      </x:c>
      <x:c r="K146" s="2" t="str">
        <x:v>Tariff_Matrix!A23:N23</x:v>
      </x:c>
      <x:c r="L146" s="2" t="n">
        <x:f>COUNTIFS($A$131:$A$170,A146)</x:f>
        <x:v>1</x:v>
      </x:c>
      <x:c r="M146" s="2"/>
      <x:c r="N146" s="2"/>
      <x:c r="O146" s="2"/>
      <x:c r="P146" s="2"/>
      <x:c r="Q146" s="2"/>
      <x:c r="R146" s="2"/>
      <x:c r="S146" s="2"/>
    </x:row>
    <x:row r="147" ht="23" customHeight="1">
      <x:c r="A147" s="2" t="str">
        <x:v>Pakistan|61103099</x:v>
      </x:c>
      <x:c r="B147" s="2" t="str">
        <x:v>Pakistan</x:v>
      </x:c>
      <x:c r="C147" s="2" t="str">
        <x:v>61103099</x:v>
      </x:c>
      <x:c r="D147" s="7" t="n">
        <x:v>0</x:v>
      </x:c>
      <x:c r="E147" s="7" t="n">
        <x:v>0</x:v>
      </x:c>
      <x:c r="F147" s="7" t="n">
        <x:v>0</x:v>
      </x:c>
      <x:c r="G147" s="7" t="n">
        <x:v>0.12</x:v>
      </x:c>
      <x:c r="H147" s="2" t="str">
        <x:v>Yes</x:v>
      </x:c>
      <x:c r="I147" s="2" t="str">
        <x:v>EXT_UKGT; EXT_DCTS_2026</x:v>
      </x:c>
      <x:c r="J147" s="2" t="str">
        <x:v>T03</x:v>
      </x:c>
      <x:c r="K147" s="2" t="str">
        <x:v>Tariff_Matrix!A27:N27</x:v>
      </x:c>
      <x:c r="L147" s="2" t="n">
        <x:f>COUNTIFS($A$131:$A$170,A147)</x:f>
        <x:v>1</x:v>
      </x:c>
      <x:c r="M147" s="2"/>
      <x:c r="N147" s="2"/>
      <x:c r="O147" s="2"/>
      <x:c r="P147" s="2"/>
      <x:c r="Q147" s="2"/>
      <x:c r="R147" s="2"/>
      <x:c r="S147" s="2"/>
    </x:row>
    <x:row r="148" ht="23" customHeight="1">
      <x:c r="A148" s="2" t="str">
        <x:v>Sri Lanka|61103099</x:v>
      </x:c>
      <x:c r="B148" s="2" t="str">
        <x:v>Sri Lanka</x:v>
      </x:c>
      <x:c r="C148" s="2" t="str">
        <x:v>61103099</x:v>
      </x:c>
      <x:c r="D148" s="7" t="n">
        <x:v>0</x:v>
      </x:c>
      <x:c r="E148" s="7" t="n">
        <x:v>0</x:v>
      </x:c>
      <x:c r="F148" s="7" t="n">
        <x:v>0</x:v>
      </x:c>
      <x:c r="G148" s="7" t="n">
        <x:v>0.12</x:v>
      </x:c>
      <x:c r="H148" s="2" t="str">
        <x:v>Yes</x:v>
      </x:c>
      <x:c r="I148" s="2" t="str">
        <x:v>EXT_UKGT; EXT_DCTS_2026</x:v>
      </x:c>
      <x:c r="J148" s="2" t="str">
        <x:v>T03</x:v>
      </x:c>
      <x:c r="K148" s="2" t="str">
        <x:v>Tariff_Matrix!A31:N31</x:v>
      </x:c>
      <x:c r="L148" s="2" t="n">
        <x:f>COUNTIFS($A$131:$A$170,A148)</x:f>
        <x:v>1</x:v>
      </x:c>
      <x:c r="M148" s="2"/>
      <x:c r="N148" s="2"/>
      <x:c r="O148" s="2"/>
      <x:c r="P148" s="2"/>
      <x:c r="Q148" s="2"/>
      <x:c r="R148" s="2"/>
      <x:c r="S148" s="2"/>
    </x:row>
    <x:row r="149" ht="23" customHeight="1">
      <x:c r="A149" s="2" t="str">
        <x:v>Turkey|61103099</x:v>
      </x:c>
      <x:c r="B149" s="2" t="str">
        <x:v>Turkey</x:v>
      </x:c>
      <x:c r="C149" s="2" t="str">
        <x:v>61103099</x:v>
      </x:c>
      <x:c r="D149" s="7" t="n">
        <x:v>0</x:v>
      </x:c>
      <x:c r="E149" s="7" t="n">
        <x:v>0</x:v>
      </x:c>
      <x:c r="F149" s="7" t="n">
        <x:v>0</x:v>
      </x:c>
      <x:c r="G149" s="7" t="n">
        <x:v>0.12</x:v>
      </x:c>
      <x:c r="H149" s="2" t="str">
        <x:v>Yes</x:v>
      </x:c>
      <x:c r="I149" s="2" t="str">
        <x:v>EXT_UKGT; EXT_UK_TURKEY</x:v>
      </x:c>
      <x:c r="J149" s="2" t="str">
        <x:v>T03</x:v>
      </x:c>
      <x:c r="K149" s="2" t="str">
        <x:v>Tariff_Matrix!A35:N35</x:v>
      </x:c>
      <x:c r="L149" s="2" t="n">
        <x:f>COUNTIFS($A$131:$A$170,A149)</x:f>
        <x:v>1</x:v>
      </x:c>
      <x:c r="M149" s="2"/>
      <x:c r="N149" s="2"/>
      <x:c r="O149" s="2"/>
      <x:c r="P149" s="2"/>
      <x:c r="Q149" s="2"/>
      <x:c r="R149" s="2"/>
      <x:c r="S149" s="2"/>
    </x:row>
    <x:row r="150" ht="23" customHeight="1">
      <x:c r="A150" s="2" t="str">
        <x:v>Vietnam|61103099</x:v>
      </x:c>
      <x:c r="B150" s="2" t="str">
        <x:v>Vietnam</x:v>
      </x:c>
      <x:c r="C150" s="2" t="str">
        <x:v>61103099</x:v>
      </x:c>
      <x:c r="D150" s="7" t="n">
        <x:v>0</x:v>
      </x:c>
      <x:c r="E150" s="7" t="n">
        <x:v>0</x:v>
      </x:c>
      <x:c r="F150" s="7" t="n">
        <x:v>0</x:v>
      </x:c>
      <x:c r="G150" s="7" t="n">
        <x:v>0.12</x:v>
      </x:c>
      <x:c r="H150" s="2" t="str">
        <x:v>Yes</x:v>
      </x:c>
      <x:c r="I150" s="2" t="str">
        <x:v>EXT_UKGT; EXT_UK_VIETNAM</x:v>
      </x:c>
      <x:c r="J150" s="2" t="str">
        <x:v>T03</x:v>
      </x:c>
      <x:c r="K150" s="2" t="str">
        <x:v>Tariff_Matrix!A39:N39</x:v>
      </x:c>
      <x:c r="L150" s="2" t="n">
        <x:f>COUNTIFS($A$131:$A$170,A150)</x:f>
        <x:v>1</x:v>
      </x:c>
      <x:c r="M150" s="2"/>
      <x:c r="N150" s="2"/>
      <x:c r="O150" s="2"/>
      <x:c r="P150" s="2"/>
      <x:c r="Q150" s="2"/>
      <x:c r="R150" s="2"/>
      <x:c r="S150" s="2"/>
    </x:row>
    <x:row r="151" ht="23" customHeight="1">
      <x:c r="A151" s="2" t="str">
        <x:v>Bangladesh|62044300</x:v>
      </x:c>
      <x:c r="B151" s="2" t="str">
        <x:v>Bangladesh</x:v>
      </x:c>
      <x:c r="C151" s="2" t="str">
        <x:v>62044300</x:v>
      </x:c>
      <x:c r="D151" s="7" t="n">
        <x:v>0</x:v>
      </x:c>
      <x:c r="E151" s="7" t="n">
        <x:v>0</x:v>
      </x:c>
      <x:c r="F151" s="7" t="n">
        <x:v>0</x:v>
      </x:c>
      <x:c r="G151" s="7" t="n">
        <x:v>0.12</x:v>
      </x:c>
      <x:c r="H151" s="2" t="str">
        <x:v>Yes</x:v>
      </x:c>
      <x:c r="I151" s="2" t="str">
        <x:v>EXT_UKGT; EXT_DCTS_2026; EXT_DCTS_ROO; EXT_UN_LDC_BGD</x:v>
      </x:c>
      <x:c r="J151" s="2" t="str">
        <x:v>T04; T09; T11</x:v>
      </x:c>
      <x:c r="K151" s="2" t="str">
        <x:v>Tariff_Matrix!A4:N4</x:v>
      </x:c>
      <x:c r="L151" s="2" t="n">
        <x:f>COUNTIFS($A$131:$A$170,A151)</x:f>
        <x:v>1</x:v>
      </x:c>
      <x:c r="M151" s="2"/>
      <x:c r="N151" s="2"/>
      <x:c r="O151" s="2"/>
      <x:c r="P151" s="2"/>
      <x:c r="Q151" s="2"/>
      <x:c r="R151" s="2"/>
      <x:c r="S151" s="2"/>
    </x:row>
    <x:row r="152" ht="23" customHeight="1">
      <x:c r="A152" s="2" t="str">
        <x:v>Cambodia|62044300</x:v>
      </x:c>
      <x:c r="B152" s="2" t="str">
        <x:v>Cambodia</x:v>
      </x:c>
      <x:c r="C152" s="2" t="str">
        <x:v>62044300</x:v>
      </x:c>
      <x:c r="D152" s="7" t="n">
        <x:v>0</x:v>
      </x:c>
      <x:c r="E152" s="7" t="n">
        <x:v>0</x:v>
      </x:c>
      <x:c r="F152" s="7" t="n">
        <x:v>0</x:v>
      </x:c>
      <x:c r="G152" s="7" t="n">
        <x:v>0.12</x:v>
      </x:c>
      <x:c r="H152" s="2" t="str">
        <x:v>Yes</x:v>
      </x:c>
      <x:c r="I152" s="2" t="str">
        <x:v>EXT_UKGT; EXT_DCTS_2026</x:v>
      </x:c>
      <x:c r="J152" s="2" t="str">
        <x:v>T04; T09; T11</x:v>
      </x:c>
      <x:c r="K152" s="2" t="str">
        <x:v>Tariff_Matrix!A8:N8</x:v>
      </x:c>
      <x:c r="L152" s="2" t="n">
        <x:f>COUNTIFS($A$131:$A$170,A152)</x:f>
        <x:v>1</x:v>
      </x:c>
      <x:c r="M152" s="2"/>
      <x:c r="N152" s="2"/>
      <x:c r="O152" s="2"/>
      <x:c r="P152" s="2"/>
      <x:c r="Q152" s="2"/>
      <x:c r="R152" s="2"/>
      <x:c r="S152" s="2"/>
    </x:row>
    <x:row r="153" ht="23" customHeight="1">
      <x:c r="A153" s="2" t="str">
        <x:v>China|62044300</x:v>
      </x:c>
      <x:c r="B153" s="2" t="str">
        <x:v>China</x:v>
      </x:c>
      <x:c r="C153" s="2" t="str">
        <x:v>62044300</x:v>
      </x:c>
      <x:c r="D153" s="7" t="n">
        <x:v>0.12</x:v>
      </x:c>
      <x:c r="E153" s="7" t="n">
        <x:v>0.12</x:v>
      </x:c>
      <x:c r="F153" s="7" t="n">
        <x:v>0.12</x:v>
      </x:c>
      <x:c r="G153" s="7" t="n">
        <x:v>0.12</x:v>
      </x:c>
      <x:c r="H153" s="2" t="str">
        <x:v>No</x:v>
      </x:c>
      <x:c r="I153" s="2" t="str">
        <x:v>EXT_UKGT</x:v>
      </x:c>
      <x:c r="J153" s="2" t="str">
        <x:v>T04; T09; T11</x:v>
      </x:c>
      <x:c r="K153" s="2" t="str">
        <x:v>Tariff_Matrix!A12:N12</x:v>
      </x:c>
      <x:c r="L153" s="2" t="n">
        <x:f>COUNTIFS($A$131:$A$170,A153)</x:f>
        <x:v>1</x:v>
      </x:c>
      <x:c r="M153" s="2"/>
      <x:c r="N153" s="2"/>
      <x:c r="O153" s="2"/>
      <x:c r="P153" s="2"/>
      <x:c r="Q153" s="2"/>
      <x:c r="R153" s="2"/>
      <x:c r="S153" s="2"/>
    </x:row>
    <x:row r="154" ht="23" customHeight="1">
      <x:c r="A154" s="2" t="str">
        <x:v>India|62044300</x:v>
      </x:c>
      <x:c r="B154" s="2" t="str">
        <x:v>India</x:v>
      </x:c>
      <x:c r="C154" s="2" t="str">
        <x:v>62044300</x:v>
      </x:c>
      <x:c r="D154" s="7" t="n">
        <x:v>0.096</x:v>
      </x:c>
      <x:c r="E154" s="7" t="n">
        <x:v>0.12</x:v>
      </x:c>
      <x:c r="F154" s="7" t="n">
        <x:v>0</x:v>
      </x:c>
      <x:c r="G154" s="7" t="n">
        <x:v>0.12</x:v>
      </x:c>
      <x:c r="H154" s="2" t="str">
        <x:v>Yes</x:v>
      </x:c>
      <x:c r="I154" s="2" t="str">
        <x:v>EXT_UKGT; EXT_DCTS_GRAD; EXT_CETA_ANNEX2A; EXT_CETA_TARIFF; EXT_CETA_PSR</x:v>
      </x:c>
      <x:c r="J154" s="2" t="str">
        <x:v>T04; T09; T11</x:v>
      </x:c>
      <x:c r="K154" s="2" t="str">
        <x:v>Tariff_Matrix!A16:N16</x:v>
      </x:c>
      <x:c r="L154" s="2" t="n">
        <x:f>COUNTIFS($A$131:$A$170,A154)</x:f>
        <x:v>1</x:v>
      </x:c>
      <x:c r="M154" s="2"/>
      <x:c r="N154" s="2"/>
      <x:c r="O154" s="2"/>
      <x:c r="P154" s="2"/>
      <x:c r="Q154" s="2"/>
      <x:c r="R154" s="2"/>
      <x:c r="S154" s="2"/>
    </x:row>
    <x:row r="155" ht="23" customHeight="1">
      <x:c r="A155" s="2" t="str">
        <x:v>Morocco|62044300</x:v>
      </x:c>
      <x:c r="B155" s="2" t="str">
        <x:v>Morocco</x:v>
      </x:c>
      <x:c r="C155" s="2" t="str">
        <x:v>62044300</x:v>
      </x:c>
      <x:c r="D155" s="7" t="n">
        <x:v>0</x:v>
      </x:c>
      <x:c r="E155" s="7" t="n">
        <x:v>0</x:v>
      </x:c>
      <x:c r="F155" s="7" t="n">
        <x:v>0</x:v>
      </x:c>
      <x:c r="G155" s="7" t="n">
        <x:v>0.12</x:v>
      </x:c>
      <x:c r="H155" s="2" t="str">
        <x:v>Yes</x:v>
      </x:c>
      <x:c r="I155" s="2" t="str">
        <x:v>EXT_UKGT; EXT_UK_MOROCCO</x:v>
      </x:c>
      <x:c r="J155" s="2" t="str">
        <x:v>T04; T09; T11</x:v>
      </x:c>
      <x:c r="K155" s="2" t="str">
        <x:v>Tariff_Matrix!A20:N20</x:v>
      </x:c>
      <x:c r="L155" s="2" t="n">
        <x:f>COUNTIFS($A$131:$A$170,A155)</x:f>
        <x:v>1</x:v>
      </x:c>
      <x:c r="M155" s="2"/>
      <x:c r="N155" s="2"/>
      <x:c r="O155" s="2"/>
      <x:c r="P155" s="2"/>
      <x:c r="Q155" s="2"/>
      <x:c r="R155" s="2"/>
      <x:c r="S155" s="2"/>
    </x:row>
    <x:row r="156" ht="23" customHeight="1">
      <x:c r="A156" s="2" t="str">
        <x:v>Myanmar|62044300</x:v>
      </x:c>
      <x:c r="B156" s="2" t="str">
        <x:v>Myanmar</x:v>
      </x:c>
      <x:c r="C156" s="2" t="str">
        <x:v>62044300</x:v>
      </x:c>
      <x:c r="D156" s="7" t="n">
        <x:v>0</x:v>
      </x:c>
      <x:c r="E156" s="7" t="n">
        <x:v>0</x:v>
      </x:c>
      <x:c r="F156" s="7" t="n">
        <x:v>0</x:v>
      </x:c>
      <x:c r="G156" s="7" t="n">
        <x:v>0.12</x:v>
      </x:c>
      <x:c r="H156" s="2" t="str">
        <x:v>Yes</x:v>
      </x:c>
      <x:c r="I156" s="2" t="str">
        <x:v>EXT_UKGT; EXT_DCTS_2026</x:v>
      </x:c>
      <x:c r="J156" s="2" t="str">
        <x:v>T04; T09; T11</x:v>
      </x:c>
      <x:c r="K156" s="2" t="str">
        <x:v>Tariff_Matrix!A24:N24</x:v>
      </x:c>
      <x:c r="L156" s="2" t="n">
        <x:f>COUNTIFS($A$131:$A$170,A156)</x:f>
        <x:v>1</x:v>
      </x:c>
      <x:c r="M156" s="2"/>
      <x:c r="N156" s="2"/>
      <x:c r="O156" s="2"/>
      <x:c r="P156" s="2"/>
      <x:c r="Q156" s="2"/>
      <x:c r="R156" s="2"/>
      <x:c r="S156" s="2"/>
    </x:row>
    <x:row r="157" ht="23" customHeight="1">
      <x:c r="A157" s="2" t="str">
        <x:v>Pakistan|62044300</x:v>
      </x:c>
      <x:c r="B157" s="2" t="str">
        <x:v>Pakistan</x:v>
      </x:c>
      <x:c r="C157" s="2" t="str">
        <x:v>62044300</x:v>
      </x:c>
      <x:c r="D157" s="7" t="n">
        <x:v>0</x:v>
      </x:c>
      <x:c r="E157" s="7" t="n">
        <x:v>0</x:v>
      </x:c>
      <x:c r="F157" s="7" t="n">
        <x:v>0</x:v>
      </x:c>
      <x:c r="G157" s="7" t="n">
        <x:v>0.12</x:v>
      </x:c>
      <x:c r="H157" s="2" t="str">
        <x:v>Yes</x:v>
      </x:c>
      <x:c r="I157" s="2" t="str">
        <x:v>EXT_UKGT; EXT_DCTS_2026</x:v>
      </x:c>
      <x:c r="J157" s="2" t="str">
        <x:v>T04; T09; T11</x:v>
      </x:c>
      <x:c r="K157" s="2" t="str">
        <x:v>Tariff_Matrix!A28:N28</x:v>
      </x:c>
      <x:c r="L157" s="2" t="n">
        <x:f>COUNTIFS($A$131:$A$170,A157)</x:f>
        <x:v>1</x:v>
      </x:c>
      <x:c r="M157" s="2"/>
      <x:c r="N157" s="2"/>
      <x:c r="O157" s="2"/>
      <x:c r="P157" s="2"/>
      <x:c r="Q157" s="2"/>
      <x:c r="R157" s="2"/>
      <x:c r="S157" s="2"/>
    </x:row>
    <x:row r="158" ht="23" customHeight="1">
      <x:c r="A158" s="2" t="str">
        <x:v>Sri Lanka|62044300</x:v>
      </x:c>
      <x:c r="B158" s="2" t="str">
        <x:v>Sri Lanka</x:v>
      </x:c>
      <x:c r="C158" s="2" t="str">
        <x:v>62044300</x:v>
      </x:c>
      <x:c r="D158" s="7" t="n">
        <x:v>0</x:v>
      </x:c>
      <x:c r="E158" s="7" t="n">
        <x:v>0</x:v>
      </x:c>
      <x:c r="F158" s="7" t="n">
        <x:v>0</x:v>
      </x:c>
      <x:c r="G158" s="7" t="n">
        <x:v>0.12</x:v>
      </x:c>
      <x:c r="H158" s="2" t="str">
        <x:v>Yes</x:v>
      </x:c>
      <x:c r="I158" s="2" t="str">
        <x:v>EXT_UKGT; EXT_DCTS_2026</x:v>
      </x:c>
      <x:c r="J158" s="2" t="str">
        <x:v>T04; T09; T11</x:v>
      </x:c>
      <x:c r="K158" s="2" t="str">
        <x:v>Tariff_Matrix!A32:N32</x:v>
      </x:c>
      <x:c r="L158" s="2" t="n">
        <x:f>COUNTIFS($A$131:$A$170,A158)</x:f>
        <x:v>1</x:v>
      </x:c>
      <x:c r="M158" s="2"/>
      <x:c r="N158" s="2"/>
      <x:c r="O158" s="2"/>
      <x:c r="P158" s="2"/>
      <x:c r="Q158" s="2"/>
      <x:c r="R158" s="2"/>
      <x:c r="S158" s="2"/>
    </x:row>
    <x:row r="159" ht="23" customHeight="1">
      <x:c r="A159" s="2" t="str">
        <x:v>Turkey|62044300</x:v>
      </x:c>
      <x:c r="B159" s="2" t="str">
        <x:v>Turkey</x:v>
      </x:c>
      <x:c r="C159" s="2" t="str">
        <x:v>62044300</x:v>
      </x:c>
      <x:c r="D159" s="7" t="n">
        <x:v>0</x:v>
      </x:c>
      <x:c r="E159" s="7" t="n">
        <x:v>0</x:v>
      </x:c>
      <x:c r="F159" s="7" t="n">
        <x:v>0</x:v>
      </x:c>
      <x:c r="G159" s="7" t="n">
        <x:v>0.12</x:v>
      </x:c>
      <x:c r="H159" s="2" t="str">
        <x:v>Yes</x:v>
      </x:c>
      <x:c r="I159" s="2" t="str">
        <x:v>EXT_UKGT; EXT_UK_TURKEY</x:v>
      </x:c>
      <x:c r="J159" s="2" t="str">
        <x:v>T04; T09; T11</x:v>
      </x:c>
      <x:c r="K159" s="2" t="str">
        <x:v>Tariff_Matrix!A36:N36</x:v>
      </x:c>
      <x:c r="L159" s="2" t="n">
        <x:f>COUNTIFS($A$131:$A$170,A159)</x:f>
        <x:v>1</x:v>
      </x:c>
      <x:c r="M159" s="2"/>
      <x:c r="N159" s="2"/>
      <x:c r="O159" s="2"/>
      <x:c r="P159" s="2"/>
      <x:c r="Q159" s="2"/>
      <x:c r="R159" s="2"/>
      <x:c r="S159" s="2"/>
    </x:row>
    <x:row r="160" ht="23" customHeight="1">
      <x:c r="A160" s="2" t="str">
        <x:v>Vietnam|62044300</x:v>
      </x:c>
      <x:c r="B160" s="2" t="str">
        <x:v>Vietnam</x:v>
      </x:c>
      <x:c r="C160" s="2" t="str">
        <x:v>62044300</x:v>
      </x:c>
      <x:c r="D160" s="7" t="n">
        <x:v>0.03</x:v>
      </x:c>
      <x:c r="E160" s="7" t="n">
        <x:v>0.015</x:v>
      </x:c>
      <x:c r="F160" s="7" t="n">
        <x:v>0.015</x:v>
      </x:c>
      <x:c r="G160" s="7" t="n">
        <x:v>0.12</x:v>
      </x:c>
      <x:c r="H160" s="2" t="str">
        <x:v>Yes</x:v>
      </x:c>
      <x:c r="I160" s="2" t="str">
        <x:v>EXT_UKGT; EXT_UK_VIETNAM</x:v>
      </x:c>
      <x:c r="J160" s="2" t="str">
        <x:v>T04; T09; T11</x:v>
      </x:c>
      <x:c r="K160" s="2" t="str">
        <x:v>Tariff_Matrix!A40:N40</x:v>
      </x:c>
      <x:c r="L160" s="2" t="n">
        <x:f>COUNTIFS($A$131:$A$170,A160)</x:f>
        <x:v>1</x:v>
      </x:c>
      <x:c r="M160" s="2"/>
      <x:c r="N160" s="2"/>
      <x:c r="O160" s="2"/>
      <x:c r="P160" s="2"/>
      <x:c r="Q160" s="2"/>
      <x:c r="R160" s="2"/>
      <x:c r="S160" s="2"/>
    </x:row>
    <x:row r="161" ht="23" customHeight="1">
      <x:c r="A161" s="2" t="str">
        <x:v>Bangladesh|62052000</x:v>
      </x:c>
      <x:c r="B161" s="2" t="str">
        <x:v>Bangladesh</x:v>
      </x:c>
      <x:c r="C161" s="2" t="str">
        <x:v>62052000</x:v>
      </x:c>
      <x:c r="D161" s="7" t="n">
        <x:v>0</x:v>
      </x:c>
      <x:c r="E161" s="7" t="n">
        <x:v>0</x:v>
      </x:c>
      <x:c r="F161" s="7" t="n">
        <x:v>0</x:v>
      </x:c>
      <x:c r="G161" s="7" t="n">
        <x:v>0.12</x:v>
      </x:c>
      <x:c r="H161" s="2" t="str">
        <x:v>Yes</x:v>
      </x:c>
      <x:c r="I161" s="2" t="str">
        <x:v>EXT_UKGT; EXT_DCTS_2026; EXT_DCTS_ROO; EXT_UN_LDC_BGD</x:v>
      </x:c>
      <x:c r="J161" s="2" t="str">
        <x:v>T05; T06</x:v>
      </x:c>
      <x:c r="K161" s="2" t="str">
        <x:v>Tariff_Matrix!A5:N5</x:v>
      </x:c>
      <x:c r="L161" s="2" t="n">
        <x:f>COUNTIFS($A$131:$A$170,A161)</x:f>
        <x:v>1</x:v>
      </x:c>
      <x:c r="M161" s="2"/>
      <x:c r="N161" s="2"/>
      <x:c r="O161" s="2"/>
      <x:c r="P161" s="2"/>
      <x:c r="Q161" s="2"/>
      <x:c r="R161" s="2"/>
      <x:c r="S161" s="2"/>
    </x:row>
    <x:row r="162" ht="23" customHeight="1">
      <x:c r="A162" s="2" t="str">
        <x:v>Cambodia|62052000</x:v>
      </x:c>
      <x:c r="B162" s="2" t="str">
        <x:v>Cambodia</x:v>
      </x:c>
      <x:c r="C162" s="2" t="str">
        <x:v>62052000</x:v>
      </x:c>
      <x:c r="D162" s="7" t="n">
        <x:v>0</x:v>
      </x:c>
      <x:c r="E162" s="7" t="n">
        <x:v>0</x:v>
      </x:c>
      <x:c r="F162" s="7" t="n">
        <x:v>0</x:v>
      </x:c>
      <x:c r="G162" s="7" t="n">
        <x:v>0.12</x:v>
      </x:c>
      <x:c r="H162" s="2" t="str">
        <x:v>Yes</x:v>
      </x:c>
      <x:c r="I162" s="2" t="str">
        <x:v>EXT_UKGT; EXT_DCTS_2026</x:v>
      </x:c>
      <x:c r="J162" s="2" t="str">
        <x:v>T05; T06</x:v>
      </x:c>
      <x:c r="K162" s="2" t="str">
        <x:v>Tariff_Matrix!A9:N9</x:v>
      </x:c>
      <x:c r="L162" s="2" t="n">
        <x:f>COUNTIFS($A$131:$A$170,A162)</x:f>
        <x:v>1</x:v>
      </x:c>
      <x:c r="M162" s="2"/>
      <x:c r="N162" s="2"/>
      <x:c r="O162" s="2"/>
      <x:c r="P162" s="2"/>
      <x:c r="Q162" s="2"/>
      <x:c r="R162" s="2"/>
      <x:c r="S162" s="2"/>
    </x:row>
    <x:row r="163" ht="23" customHeight="1">
      <x:c r="A163" s="2" t="str">
        <x:v>China|62052000</x:v>
      </x:c>
      <x:c r="B163" s="2" t="str">
        <x:v>China</x:v>
      </x:c>
      <x:c r="C163" s="2" t="str">
        <x:v>62052000</x:v>
      </x:c>
      <x:c r="D163" s="7" t="n">
        <x:v>0.12</x:v>
      </x:c>
      <x:c r="E163" s="7" t="n">
        <x:v>0.12</x:v>
      </x:c>
      <x:c r="F163" s="7" t="n">
        <x:v>0.12</x:v>
      </x:c>
      <x:c r="G163" s="7" t="n">
        <x:v>0.12</x:v>
      </x:c>
      <x:c r="H163" s="2" t="str">
        <x:v>No</x:v>
      </x:c>
      <x:c r="I163" s="2" t="str">
        <x:v>EXT_UKGT</x:v>
      </x:c>
      <x:c r="J163" s="2" t="str">
        <x:v>T05; T06</x:v>
      </x:c>
      <x:c r="K163" s="2" t="str">
        <x:v>Tariff_Matrix!A13:N13</x:v>
      </x:c>
      <x:c r="L163" s="2" t="n">
        <x:f>COUNTIFS($A$131:$A$170,A163)</x:f>
        <x:v>1</x:v>
      </x:c>
      <x:c r="M163" s="2"/>
      <x:c r="N163" s="2"/>
      <x:c r="O163" s="2"/>
      <x:c r="P163" s="2"/>
      <x:c r="Q163" s="2"/>
      <x:c r="R163" s="2"/>
      <x:c r="S163" s="2"/>
    </x:row>
    <x:row r="164" ht="23" customHeight="1">
      <x:c r="A164" s="2" t="str">
        <x:v>India|62052000</x:v>
      </x:c>
      <x:c r="B164" s="2" t="str">
        <x:v>India</x:v>
      </x:c>
      <x:c r="C164" s="2" t="str">
        <x:v>62052000</x:v>
      </x:c>
      <x:c r="D164" s="7" t="n">
        <x:v>0.096</x:v>
      </x:c>
      <x:c r="E164" s="7" t="n">
        <x:v>0.12</x:v>
      </x:c>
      <x:c r="F164" s="7" t="n">
        <x:v>0</x:v>
      </x:c>
      <x:c r="G164" s="7" t="n">
        <x:v>0.12</x:v>
      </x:c>
      <x:c r="H164" s="2" t="str">
        <x:v>Yes</x:v>
      </x:c>
      <x:c r="I164" s="2" t="str">
        <x:v>EXT_UKGT; EXT_DCTS_GRAD; EXT_CETA_ANNEX2A; EXT_CETA_TARIFF; EXT_CETA_PSR</x:v>
      </x:c>
      <x:c r="J164" s="2" t="str">
        <x:v>T05; T06</x:v>
      </x:c>
      <x:c r="K164" s="2" t="str">
        <x:v>Tariff_Matrix!A17:N17</x:v>
      </x:c>
      <x:c r="L164" s="2" t="n">
        <x:f>COUNTIFS($A$131:$A$170,A164)</x:f>
        <x:v>1</x:v>
      </x:c>
      <x:c r="M164" s="2"/>
      <x:c r="N164" s="2"/>
      <x:c r="O164" s="2"/>
      <x:c r="P164" s="2"/>
      <x:c r="Q164" s="2"/>
      <x:c r="R164" s="2"/>
      <x:c r="S164" s="2"/>
    </x:row>
    <x:row r="165" ht="23" customHeight="1">
      <x:c r="A165" s="2" t="str">
        <x:v>Morocco|62052000</x:v>
      </x:c>
      <x:c r="B165" s="2" t="str">
        <x:v>Morocco</x:v>
      </x:c>
      <x:c r="C165" s="2" t="str">
        <x:v>62052000</x:v>
      </x:c>
      <x:c r="D165" s="7" t="n">
        <x:v>0</x:v>
      </x:c>
      <x:c r="E165" s="7" t="n">
        <x:v>0</x:v>
      </x:c>
      <x:c r="F165" s="7" t="n">
        <x:v>0</x:v>
      </x:c>
      <x:c r="G165" s="7" t="n">
        <x:v>0.12</x:v>
      </x:c>
      <x:c r="H165" s="2" t="str">
        <x:v>Yes</x:v>
      </x:c>
      <x:c r="I165" s="2" t="str">
        <x:v>EXT_UKGT; EXT_UK_MOROCCO</x:v>
      </x:c>
      <x:c r="J165" s="2" t="str">
        <x:v>T05; T06</x:v>
      </x:c>
      <x:c r="K165" s="2" t="str">
        <x:v>Tariff_Matrix!A21:N21</x:v>
      </x:c>
      <x:c r="L165" s="2" t="n">
        <x:f>COUNTIFS($A$131:$A$170,A165)</x:f>
        <x:v>1</x:v>
      </x:c>
      <x:c r="M165" s="2"/>
      <x:c r="N165" s="2"/>
      <x:c r="O165" s="2"/>
      <x:c r="P165" s="2"/>
      <x:c r="Q165" s="2"/>
      <x:c r="R165" s="2"/>
      <x:c r="S165" s="2"/>
    </x:row>
    <x:row r="166" ht="23" customHeight="1">
      <x:c r="A166" s="2" t="str">
        <x:v>Myanmar|62052000</x:v>
      </x:c>
      <x:c r="B166" s="2" t="str">
        <x:v>Myanmar</x:v>
      </x:c>
      <x:c r="C166" s="2" t="str">
        <x:v>62052000</x:v>
      </x:c>
      <x:c r="D166" s="7" t="n">
        <x:v>0</x:v>
      </x:c>
      <x:c r="E166" s="7" t="n">
        <x:v>0</x:v>
      </x:c>
      <x:c r="F166" s="7" t="n">
        <x:v>0</x:v>
      </x:c>
      <x:c r="G166" s="7" t="n">
        <x:v>0.12</x:v>
      </x:c>
      <x:c r="H166" s="2" t="str">
        <x:v>Yes</x:v>
      </x:c>
      <x:c r="I166" s="2" t="str">
        <x:v>EXT_UKGT; EXT_DCTS_2026</x:v>
      </x:c>
      <x:c r="J166" s="2" t="str">
        <x:v>T05; T06</x:v>
      </x:c>
      <x:c r="K166" s="2" t="str">
        <x:v>Tariff_Matrix!A25:N25</x:v>
      </x:c>
      <x:c r="L166" s="2" t="n">
        <x:f>COUNTIFS($A$131:$A$170,A166)</x:f>
        <x:v>1</x:v>
      </x:c>
      <x:c r="M166" s="2"/>
      <x:c r="N166" s="2"/>
      <x:c r="O166" s="2"/>
      <x:c r="P166" s="2"/>
      <x:c r="Q166" s="2"/>
      <x:c r="R166" s="2"/>
      <x:c r="S166" s="2"/>
    </x:row>
    <x:row r="167" ht="23" customHeight="1">
      <x:c r="A167" s="2" t="str">
        <x:v>Pakistan|62052000</x:v>
      </x:c>
      <x:c r="B167" s="2" t="str">
        <x:v>Pakistan</x:v>
      </x:c>
      <x:c r="C167" s="2" t="str">
        <x:v>62052000</x:v>
      </x:c>
      <x:c r="D167" s="7" t="n">
        <x:v>0</x:v>
      </x:c>
      <x:c r="E167" s="7" t="n">
        <x:v>0</x:v>
      </x:c>
      <x:c r="F167" s="7" t="n">
        <x:v>0</x:v>
      </x:c>
      <x:c r="G167" s="7" t="n">
        <x:v>0.12</x:v>
      </x:c>
      <x:c r="H167" s="2" t="str">
        <x:v>Yes</x:v>
      </x:c>
      <x:c r="I167" s="2" t="str">
        <x:v>EXT_UKGT; EXT_DCTS_2026</x:v>
      </x:c>
      <x:c r="J167" s="2" t="str">
        <x:v>T05; T06</x:v>
      </x:c>
      <x:c r="K167" s="2" t="str">
        <x:v>Tariff_Matrix!A29:N29</x:v>
      </x:c>
      <x:c r="L167" s="2" t="n">
        <x:f>COUNTIFS($A$131:$A$170,A167)</x:f>
        <x:v>1</x:v>
      </x:c>
      <x:c r="M167" s="2"/>
      <x:c r="N167" s="2"/>
      <x:c r="O167" s="2"/>
      <x:c r="P167" s="2"/>
      <x:c r="Q167" s="2"/>
      <x:c r="R167" s="2"/>
      <x:c r="S167" s="2"/>
    </x:row>
    <x:row r="168" ht="23" customHeight="1">
      <x:c r="A168" s="2" t="str">
        <x:v>Sri Lanka|62052000</x:v>
      </x:c>
      <x:c r="B168" s="2" t="str">
        <x:v>Sri Lanka</x:v>
      </x:c>
      <x:c r="C168" s="2" t="str">
        <x:v>62052000</x:v>
      </x:c>
      <x:c r="D168" s="7" t="n">
        <x:v>0</x:v>
      </x:c>
      <x:c r="E168" s="7" t="n">
        <x:v>0</x:v>
      </x:c>
      <x:c r="F168" s="7" t="n">
        <x:v>0</x:v>
      </x:c>
      <x:c r="G168" s="7" t="n">
        <x:v>0.12</x:v>
      </x:c>
      <x:c r="H168" s="2" t="str">
        <x:v>Yes</x:v>
      </x:c>
      <x:c r="I168" s="2" t="str">
        <x:v>EXT_UKGT; EXT_DCTS_2026</x:v>
      </x:c>
      <x:c r="J168" s="2" t="str">
        <x:v>T05; T06</x:v>
      </x:c>
      <x:c r="K168" s="2" t="str">
        <x:v>Tariff_Matrix!A33:N33</x:v>
      </x:c>
      <x:c r="L168" s="2" t="n">
        <x:f>COUNTIFS($A$131:$A$170,A168)</x:f>
        <x:v>1</x:v>
      </x:c>
      <x:c r="M168" s="2"/>
      <x:c r="N168" s="2"/>
      <x:c r="O168" s="2"/>
      <x:c r="P168" s="2"/>
      <x:c r="Q168" s="2"/>
      <x:c r="R168" s="2"/>
      <x:c r="S168" s="2"/>
    </x:row>
    <x:row r="169" ht="23" customHeight="1">
      <x:c r="A169" s="2" t="str">
        <x:v>Turkey|62052000</x:v>
      </x:c>
      <x:c r="B169" s="2" t="str">
        <x:v>Turkey</x:v>
      </x:c>
      <x:c r="C169" s="2" t="str">
        <x:v>62052000</x:v>
      </x:c>
      <x:c r="D169" s="7" t="n">
        <x:v>0</x:v>
      </x:c>
      <x:c r="E169" s="7" t="n">
        <x:v>0</x:v>
      </x:c>
      <x:c r="F169" s="7" t="n">
        <x:v>0</x:v>
      </x:c>
      <x:c r="G169" s="7" t="n">
        <x:v>0.12</x:v>
      </x:c>
      <x:c r="H169" s="2" t="str">
        <x:v>Yes</x:v>
      </x:c>
      <x:c r="I169" s="2" t="str">
        <x:v>EXT_UKGT; EXT_UK_TURKEY</x:v>
      </x:c>
      <x:c r="J169" s="2" t="str">
        <x:v>T05; T06</x:v>
      </x:c>
      <x:c r="K169" s="2" t="str">
        <x:v>Tariff_Matrix!A37:N37</x:v>
      </x:c>
      <x:c r="L169" s="2" t="n">
        <x:f>COUNTIFS($A$131:$A$170,A169)</x:f>
        <x:v>1</x:v>
      </x:c>
      <x:c r="M169" s="2"/>
      <x:c r="N169" s="2"/>
      <x:c r="O169" s="2"/>
      <x:c r="P169" s="2"/>
      <x:c r="Q169" s="2"/>
      <x:c r="R169" s="2"/>
      <x:c r="S169" s="2"/>
    </x:row>
    <x:row r="170" ht="23" customHeight="1">
      <x:c r="A170" s="2" t="str">
        <x:v>Vietnam|62052000</x:v>
      </x:c>
      <x:c r="B170" s="2" t="str">
        <x:v>Vietnam</x:v>
      </x:c>
      <x:c r="C170" s="2" t="str">
        <x:v>62052000</x:v>
      </x:c>
      <x:c r="D170" s="7" t="n">
        <x:v>0</x:v>
      </x:c>
      <x:c r="E170" s="7" t="n">
        <x:v>0</x:v>
      </x:c>
      <x:c r="F170" s="7" t="n">
        <x:v>0</x:v>
      </x:c>
      <x:c r="G170" s="7" t="n">
        <x:v>0.12</x:v>
      </x:c>
      <x:c r="H170" s="2" t="str">
        <x:v>Yes</x:v>
      </x:c>
      <x:c r="I170" s="2" t="str">
        <x:v>EXT_UKGT; EXT_UK_VIETNAM</x:v>
      </x:c>
      <x:c r="J170" s="2" t="str">
        <x:v>T05; T06</x:v>
      </x:c>
      <x:c r="K170" s="2" t="str">
        <x:v>Tariff_Matrix!A41:N41</x:v>
      </x:c>
      <x:c r="L170" s="2" t="n">
        <x:f>COUNTIFS($A$131:$A$170,A170)</x:f>
        <x:v>1</x:v>
      </x:c>
      <x:c r="M170" s="2"/>
      <x:c r="N170" s="2"/>
      <x:c r="O170" s="2"/>
      <x:c r="P170" s="2"/>
      <x:c r="Q170" s="2"/>
      <x:c r="R170" s="2"/>
      <x:c r="S170" s="2"/>
    </x:row>
    <x:row r="171" ht="23" customHeight="1">
      <x:c r="A171" s="2"/>
      <x:c r="B171" s="2"/>
      <x:c r="C171" s="2"/>
      <x:c r="D171" s="2"/>
      <x:c r="E171" s="2"/>
      <x:c r="F171" s="2"/>
      <x:c r="G171" s="2"/>
      <x:c r="H171" s="2"/>
      <x:c r="I171" s="2"/>
      <x:c r="J171" s="2"/>
      <x:c r="K171" s="2"/>
      <x:c r="L171" s="2"/>
      <x:c r="M171" s="2"/>
      <x:c r="N171" s="2"/>
      <x:c r="O171" s="2"/>
      <x:c r="P171" s="2"/>
      <x:c r="Q171" s="2"/>
      <x:c r="R171" s="2"/>
      <x:c r="S171" s="2"/>
    </x:row>
    <x:row r="172" ht="23" customHeight="1">
      <x:c r="A172" s="2"/>
      <x:c r="B172" s="2"/>
      <x:c r="C172" s="2"/>
      <x:c r="D172" s="2"/>
      <x:c r="E172" s="2"/>
      <x:c r="F172" s="2"/>
      <x:c r="G172" s="2"/>
      <x:c r="H172" s="2"/>
      <x:c r="I172" s="2"/>
      <x:c r="J172" s="2"/>
      <x:c r="K172" s="2"/>
      <x:c r="L172" s="2"/>
      <x:c r="M172" s="2"/>
      <x:c r="N172" s="2"/>
      <x:c r="O172" s="2"/>
      <x:c r="P172" s="2"/>
      <x:c r="Q172" s="2"/>
      <x:c r="R172" s="2"/>
      <x:c r="S172" s="2"/>
    </x:row>
    <x:row r="173" ht="23" customHeight="1">
      <x:c r="A173" s="2"/>
      <x:c r="B173" s="2"/>
      <x:c r="C173" s="2"/>
      <x:c r="D173" s="2"/>
      <x:c r="E173" s="2"/>
      <x:c r="F173" s="2"/>
      <x:c r="G173" s="2"/>
      <x:c r="H173" s="2"/>
      <x:c r="I173" s="2"/>
      <x:c r="J173" s="2"/>
      <x:c r="K173" s="2"/>
      <x:c r="L173" s="2"/>
      <x:c r="M173" s="2"/>
      <x:c r="N173" s="2"/>
      <x:c r="O173" s="2"/>
      <x:c r="P173" s="2"/>
      <x:c r="Q173" s="2"/>
      <x:c r="R173" s="2"/>
      <x:c r="S173" s="2"/>
    </x:row>
    <x:row r="174" ht="23" customHeight="1">
      <x:c r="A174" s="2"/>
      <x:c r="B174" s="2"/>
      <x:c r="C174" s="2"/>
      <x:c r="D174" s="2"/>
      <x:c r="E174" s="2"/>
      <x:c r="F174" s="2"/>
      <x:c r="G174" s="2"/>
      <x:c r="H174" s="2"/>
      <x:c r="I174" s="2"/>
      <x:c r="J174" s="2"/>
      <x:c r="K174" s="2"/>
      <x:c r="L174" s="2"/>
      <x:c r="M174" s="2"/>
      <x:c r="N174" s="2"/>
      <x:c r="O174" s="2"/>
      <x:c r="P174" s="2"/>
      <x:c r="Q174" s="2"/>
      <x:c r="R174" s="2"/>
      <x:c r="S174" s="2"/>
    </x:row>
    <x:row r="175" ht="42" customHeight="1">
      <x:c r="A175" s="11" t="str">
        <x:v>CN8</x:v>
      </x:c>
      <x:c r="B175" s="11" t="str">
        <x:v>Product</x:v>
      </x:c>
      <x:c r="C175" s="11" t="str">
        <x:v>Equal weight</x:v>
      </x:c>
      <x:c r="D175" s="11" t="str">
        <x:v>FY2025 UK value £</x:v>
      </x:c>
      <x:c r="E175" s="11" t="str">
        <x:v>UK value weight</x:v>
      </x:c>
      <x:c r="F175" s="2"/>
      <x:c r="G175" s="2"/>
      <x:c r="H175" s="2"/>
      <x:c r="I175" s="2"/>
      <x:c r="J175" s="2"/>
      <x:c r="K175" s="2"/>
      <x:c r="L175" s="2"/>
      <x:c r="M175" s="2"/>
      <x:c r="N175" s="2"/>
      <x:c r="O175" s="2"/>
      <x:c r="P175" s="2"/>
      <x:c r="Q175" s="2"/>
      <x:c r="R175" s="2"/>
      <x:c r="S175" s="2"/>
    </x:row>
    <x:row r="176" ht="23" customHeight="1">
      <x:c r="A176" s="2" t="str">
        <x:v>61091000</x:v>
      </x:c>
      <x:c r="B176" s="2" t="str">
        <x:v>Cotton T-shirts</x:v>
      </x:c>
      <x:c r="C176" s="7" t="n">
        <x:v>0.25</x:v>
      </x:c>
      <x:c r="D176" s="16" t="n">
        <x:v>1223299784</x:v>
      </x:c>
      <x:c r="E176" s="7" t="n">
        <x:f>D176/SUM($D$176:$D$179)</x:f>
        <x:v>0.4787875215696204</x:v>
      </x:c>
      <x:c r="F176" s="2"/>
      <x:c r="G176" s="2"/>
      <x:c r="H176" s="2"/>
      <x:c r="I176" s="2"/>
      <x:c r="J176" s="2"/>
      <x:c r="K176" s="2"/>
      <x:c r="L176" s="2"/>
      <x:c r="M176" s="2"/>
      <x:c r="N176" s="2"/>
      <x:c r="O176" s="2"/>
      <x:c r="P176" s="2"/>
      <x:c r="Q176" s="2"/>
      <x:c r="R176" s="2"/>
      <x:c r="S176" s="2"/>
    </x:row>
    <x:row r="177" ht="23" customHeight="1">
      <x:c r="A177" s="2" t="str">
        <x:v>61103099</x:v>
      </x:c>
      <x:c r="B177" s="2" t="str">
        <x:v>MMF knitwear</x:v>
      </x:c>
      <x:c r="C177" s="7" t="n">
        <x:v>0.25</x:v>
      </x:c>
      <x:c r="D177" s="16" t="n">
        <x:v>719371758</x:v>
      </x:c>
      <x:c r="E177" s="7" t="n">
        <x:f>D177/SUM($D$176:$D$179)</x:f>
        <x:v>0.2815550412130219</x:v>
      </x:c>
      <x:c r="F177" s="2"/>
      <x:c r="G177" s="2"/>
      <x:c r="H177" s="2"/>
      <x:c r="I177" s="2"/>
      <x:c r="J177" s="2"/>
      <x:c r="K177" s="2"/>
      <x:c r="L177" s="2"/>
      <x:c r="M177" s="2"/>
      <x:c r="N177" s="2"/>
      <x:c r="O177" s="2"/>
      <x:c r="P177" s="2"/>
      <x:c r="Q177" s="2"/>
      <x:c r="R177" s="2"/>
      <x:c r="S177" s="2"/>
    </x:row>
    <x:row r="178" ht="23" customHeight="1">
      <x:c r="A178" s="2" t="str">
        <x:v>62044300</x:v>
      </x:c>
      <x:c r="B178" s="2" t="str">
        <x:v>Synthetic dresses</x:v>
      </x:c>
      <x:c r="C178" s="7" t="n">
        <x:v>0.25</x:v>
      </x:c>
      <x:c r="D178" s="16" t="n">
        <x:v>349077816</x:v>
      </x:c>
      <x:c r="E178" s="7" t="n">
        <x:f>D178/SUM($D$176:$D$179)</x:f>
        <x:v>0.13662562892889057</x:v>
      </x:c>
      <x:c r="F178" s="2"/>
      <x:c r="G178" s="2"/>
      <x:c r="H178" s="2"/>
      <x:c r="I178" s="2"/>
      <x:c r="J178" s="2"/>
      <x:c r="K178" s="2"/>
      <x:c r="L178" s="2"/>
      <x:c r="M178" s="2"/>
      <x:c r="N178" s="2"/>
      <x:c r="O178" s="2"/>
      <x:c r="P178" s="2"/>
      <x:c r="Q178" s="2"/>
      <x:c r="R178" s="2"/>
      <x:c r="S178" s="2"/>
    </x:row>
    <x:row r="179" ht="23" customHeight="1">
      <x:c r="A179" s="2" t="str">
        <x:v>62052000</x:v>
      </x:c>
      <x:c r="B179" s="2" t="str">
        <x:v>Cotton shirts</x:v>
      </x:c>
      <x:c r="C179" s="7" t="n">
        <x:v>0.25</x:v>
      </x:c>
      <x:c r="D179" s="16" t="n">
        <x:v>263245768</x:v>
      </x:c>
      <x:c r="E179" s="7" t="n">
        <x:f>D179/SUM($D$176:$D$179)</x:f>
        <x:v>0.10303180828846716</x:v>
      </x:c>
      <x:c r="F179" s="2"/>
      <x:c r="G179" s="2"/>
      <x:c r="H179" s="2"/>
      <x:c r="I179" s="2"/>
      <x:c r="J179" s="2"/>
      <x:c r="K179" s="2"/>
      <x:c r="L179" s="2"/>
      <x:c r="M179" s="2"/>
      <x:c r="N179" s="2"/>
      <x:c r="O179" s="2"/>
      <x:c r="P179" s="2"/>
      <x:c r="Q179" s="2"/>
      <x:c r="R179" s="2"/>
      <x:c r="S179" s="2"/>
    </x:row>
    <x:row r="180" ht="23" customHeight="1">
      <x:c r="A180" s="2"/>
      <x:c r="B180" s="2"/>
      <x:c r="C180" s="2"/>
      <x:c r="D180" s="2"/>
      <x:c r="E180" s="2"/>
      <x:c r="F180" s="2"/>
      <x:c r="G180" s="2"/>
      <x:c r="H180" s="2"/>
      <x:c r="I180" s="2"/>
      <x:c r="J180" s="2"/>
      <x:c r="K180" s="2"/>
      <x:c r="L180" s="2"/>
      <x:c r="M180" s="2"/>
      <x:c r="N180" s="2"/>
      <x:c r="O180" s="2"/>
      <x:c r="P180" s="2"/>
      <x:c r="Q180" s="2"/>
      <x:c r="R180" s="2"/>
      <x:c r="S180" s="2"/>
    </x:row>
    <x:row r="181" ht="23" customHeight="1">
      <x:c r="A181" s="2"/>
      <x:c r="B181" s="2"/>
      <x:c r="C181" s="2"/>
      <x:c r="D181" s="2"/>
      <x:c r="E181" s="2"/>
      <x:c r="F181" s="2"/>
      <x:c r="G181" s="2"/>
      <x:c r="H181" s="2"/>
      <x:c r="I181" s="2"/>
      <x:c r="J181" s="2"/>
      <x:c r="K181" s="2"/>
      <x:c r="L181" s="2"/>
      <x:c r="M181" s="2"/>
      <x:c r="N181" s="2"/>
      <x:c r="O181" s="2"/>
      <x:c r="P181" s="2"/>
      <x:c r="Q181" s="2"/>
      <x:c r="R181" s="2"/>
      <x:c r="S181" s="2"/>
    </x:row>
    <x:row r="182" ht="48" customHeight="1">
      <x:c r="A182" s="12" t="str">
        <x:v>Value weights use the FY2025 UK World four-code market, from WP004 Commodity_Shortlist G2:G5 and WP006 world_trade_period_reported. Neither weighting basis measures NEXT spend. Tariffs are the governed WP004 snapshot applied as a constant-price test, not a new verification of current legal rates.</x:v>
      </x:c>
      <x:c r="B182" s="12"/>
      <x:c r="C182" s="12"/>
      <x:c r="D182" s="12"/>
      <x:c r="E182" s="12"/>
      <x:c r="F182" s="12"/>
      <x:c r="G182" s="12"/>
      <x:c r="H182" s="12"/>
      <x:c r="I182" s="12"/>
      <x:c r="J182" s="12"/>
      <x:c r="K182" s="12"/>
      <x:c r="L182" s="12"/>
      <x:c r="M182" s="2"/>
      <x:c r="N182" s="2"/>
      <x:c r="O182" s="2"/>
      <x:c r="P182" s="2"/>
      <x:c r="Q182" s="2"/>
      <x:c r="R182" s="2"/>
      <x:c r="S182" s="2"/>
    </x:row>
    <x:row r="183" ht="23" customHeight="1">
      <x:c r="A183" s="2"/>
      <x:c r="B183" s="2"/>
      <x:c r="C183" s="2"/>
      <x:c r="D183" s="2"/>
      <x:c r="E183" s="2"/>
      <x:c r="F183" s="2"/>
      <x:c r="G183" s="2"/>
      <x:c r="H183" s="2"/>
      <x:c r="I183" s="2"/>
      <x:c r="J183" s="2"/>
      <x:c r="K183" s="2"/>
      <x:c r="L183" s="2"/>
      <x:c r="M183" s="2"/>
      <x:c r="N183" s="2"/>
      <x:c r="O183" s="2"/>
      <x:c r="P183" s="2"/>
      <x:c r="Q183" s="2"/>
      <x:c r="R183" s="2"/>
      <x:c r="S183" s="2"/>
    </x:row>
    <x:row r="184" ht="23" customHeight="1">
      <x:c r="A184" s="2"/>
      <x:c r="B184" s="2"/>
      <x:c r="C184" s="2"/>
      <x:c r="D184" s="2"/>
      <x:c r="E184" s="2"/>
      <x:c r="F184" s="2"/>
      <x:c r="G184" s="2"/>
      <x:c r="H184" s="2"/>
      <x:c r="I184" s="2"/>
      <x:c r="J184" s="2"/>
      <x:c r="K184" s="2"/>
      <x:c r="L184" s="2"/>
      <x:c r="M184" s="2"/>
      <x:c r="N184" s="2"/>
      <x:c r="O184" s="2"/>
      <x:c r="P184" s="2"/>
      <x:c r="Q184" s="2"/>
      <x:c r="R184" s="2"/>
      <x:c r="S184" s="2"/>
    </x:row>
    <x:row r="185" ht="28" customHeight="1">
      <x:c r="A185" s="12" t="str">
        <x:v>WP008 SHA-256: 016f8e28355a37d75a1646c284bcf982cdfa9af0786f6391e491c63d6fe49708</x:v>
      </x:c>
      <x:c r="B185" s="12"/>
      <x:c r="C185" s="12"/>
      <x:c r="D185" s="12"/>
      <x:c r="E185" s="12"/>
      <x:c r="F185" s="12"/>
      <x:c r="G185" s="12"/>
      <x:c r="H185" s="12"/>
      <x:c r="I185" s="12"/>
      <x:c r="J185" s="12"/>
      <x:c r="K185" s="12"/>
      <x:c r="L185" s="12"/>
      <x:c r="M185" s="2"/>
      <x:c r="N185" s="2"/>
      <x:c r="O185" s="2"/>
      <x:c r="P185" s="2"/>
      <x:c r="Q185" s="2"/>
      <x:c r="R185" s="2"/>
      <x:c r="S185" s="2"/>
    </x:row>
    <x:row r="186" ht="23" customHeight="1">
      <x:c r="A186" s="2"/>
      <x:c r="B186" s="2"/>
      <x:c r="C186" s="2"/>
      <x:c r="D186" s="2"/>
      <x:c r="E186" s="2"/>
      <x:c r="F186" s="2"/>
      <x:c r="G186" s="2"/>
      <x:c r="H186" s="2"/>
      <x:c r="I186" s="2"/>
      <x:c r="J186" s="2"/>
      <x:c r="K186" s="2"/>
      <x:c r="L186" s="2"/>
      <x:c r="M186" s="2"/>
      <x:c r="N186" s="2"/>
      <x:c r="O186" s="2"/>
      <x:c r="P186" s="2"/>
      <x:c r="Q186" s="2"/>
      <x:c r="R186" s="2"/>
      <x:c r="S186" s="2"/>
    </x:row>
    <x:row r="187" ht="23" customHeight="1">
      <x:c r="A187" s="2"/>
      <x:c r="B187" s="2"/>
      <x:c r="C187" s="2"/>
      <x:c r="D187" s="2"/>
      <x:c r="E187" s="2"/>
      <x:c r="F187" s="2"/>
      <x:c r="G187" s="2"/>
      <x:c r="H187" s="2"/>
      <x:c r="I187" s="2"/>
      <x:c r="J187" s="2"/>
      <x:c r="K187" s="2"/>
      <x:c r="L187" s="2"/>
      <x:c r="M187" s="2"/>
      <x:c r="N187" s="2"/>
      <x:c r="O187" s="2"/>
      <x:c r="P187" s="2"/>
      <x:c r="Q187" s="2"/>
      <x:c r="R187" s="2"/>
      <x:c r="S187" s="2"/>
    </x:row>
    <x:row r="188" ht="23" customHeight="1">
      <x:c r="A188" s="2"/>
      <x:c r="B188" s="2"/>
      <x:c r="C188" s="2"/>
      <x:c r="D188" s="2"/>
      <x:c r="E188" s="2"/>
      <x:c r="F188" s="2"/>
      <x:c r="G188" s="2"/>
      <x:c r="H188" s="2"/>
      <x:c r="I188" s="2"/>
      <x:c r="J188" s="2"/>
      <x:c r="K188" s="2"/>
      <x:c r="L188" s="2"/>
      <x:c r="M188" s="2"/>
      <x:c r="N188" s="2"/>
      <x:c r="O188" s="2"/>
      <x:c r="P188" s="2"/>
      <x:c r="Q188" s="2"/>
      <x:c r="R188" s="2"/>
      <x:c r="S188" s="2"/>
    </x:row>
    <x:row r="189" ht="23" customHeight="1">
      <x:c r="A189" s="2"/>
      <x:c r="B189" s="2"/>
      <x:c r="C189" s="2"/>
      <x:c r="D189" s="2"/>
      <x:c r="E189" s="2"/>
      <x:c r="F189" s="2"/>
      <x:c r="G189" s="2"/>
      <x:c r="H189" s="2"/>
      <x:c r="I189" s="2"/>
      <x:c r="J189" s="2"/>
      <x:c r="K189" s="2"/>
      <x:c r="L189" s="2"/>
      <x:c r="M189" s="2"/>
      <x:c r="N189" s="2"/>
      <x:c r="O189" s="2"/>
      <x:c r="P189" s="2"/>
      <x:c r="Q189" s="2"/>
      <x:c r="R189" s="2"/>
      <x:c r="S189" s="2"/>
    </x:row>
    <x:row r="190" ht="23" customHeight="1">
      <x:c r="A190" s="2"/>
      <x:c r="B190" s="2"/>
      <x:c r="C190" s="2"/>
      <x:c r="D190" s="2"/>
      <x:c r="E190" s="2"/>
      <x:c r="F190" s="2"/>
      <x:c r="G190" s="2"/>
      <x:c r="H190" s="2"/>
      <x:c r="I190" s="2"/>
      <x:c r="J190" s="2"/>
      <x:c r="K190" s="2"/>
      <x:c r="L190" s="2"/>
      <x:c r="M190" s="2"/>
      <x:c r="N190" s="2"/>
      <x:c r="O190" s="2"/>
      <x:c r="P190" s="2"/>
      <x:c r="Q190" s="2"/>
      <x:c r="R190" s="2"/>
      <x:c r="S190" s="2"/>
    </x:row>
    <x:row r="191" ht="23" customHeight="1">
      <x:c r="A191" s="2"/>
      <x:c r="B191" s="2"/>
      <x:c r="C191" s="2"/>
      <x:c r="D191" s="2"/>
      <x:c r="E191" s="2"/>
      <x:c r="F191" s="2"/>
      <x:c r="G191" s="2"/>
      <x:c r="H191" s="2"/>
      <x:c r="I191" s="2"/>
      <x:c r="J191" s="2"/>
      <x:c r="K191" s="2"/>
      <x:c r="L191" s="2"/>
      <x:c r="M191" s="2"/>
      <x:c r="N191" s="2"/>
      <x:c r="O191" s="2"/>
      <x:c r="P191" s="2"/>
      <x:c r="Q191" s="2"/>
      <x:c r="R191" s="2"/>
      <x:c r="S191" s="2"/>
    </x:row>
    <x:row r="192" ht="23" customHeight="1">
      <x:c r="A192" s="2"/>
      <x:c r="B192" s="2"/>
      <x:c r="C192" s="2"/>
      <x:c r="D192" s="2"/>
      <x:c r="E192" s="2"/>
      <x:c r="F192" s="2"/>
      <x:c r="G192" s="2"/>
      <x:c r="H192" s="2"/>
      <x:c r="I192" s="2"/>
      <x:c r="J192" s="2"/>
      <x:c r="K192" s="2"/>
      <x:c r="L192" s="2"/>
      <x:c r="M192" s="2"/>
      <x:c r="N192" s="2"/>
      <x:c r="O192" s="2"/>
      <x:c r="P192" s="2"/>
      <x:c r="Q192" s="2"/>
      <x:c r="R192" s="2"/>
      <x:c r="S192" s="2"/>
    </x:row>
    <x:row r="193" ht="23" customHeight="1">
      <x:c r="A193" s="2"/>
      <x:c r="B193" s="2"/>
      <x:c r="C193" s="2"/>
      <x:c r="D193" s="2"/>
      <x:c r="E193" s="2"/>
      <x:c r="F193" s="2"/>
      <x:c r="G193" s="2"/>
      <x:c r="H193" s="2"/>
      <x:c r="I193" s="2"/>
      <x:c r="J193" s="2"/>
      <x:c r="K193" s="2"/>
      <x:c r="L193" s="2"/>
      <x:c r="M193" s="2"/>
      <x:c r="N193" s="2"/>
      <x:c r="O193" s="2"/>
      <x:c r="P193" s="2"/>
      <x:c r="Q193" s="2"/>
      <x:c r="R193" s="2"/>
      <x:c r="S193" s="2"/>
    </x:row>
  </x:sheetData>
  <x:mergeCells>
    <x:mergeCell ref="A3:S3"/>
    <x:mergeCell ref="A182:L182"/>
    <x:mergeCell ref="A185:L185"/>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39" hidden="0" customWidth="1"/>
    <x:col min="2" max="2" width="15" hidden="0" customWidth="1"/>
    <x:col min="3" max="3" width="15" hidden="0" customWidth="1"/>
    <x:col min="4" max="4" width="15" hidden="0" customWidth="1"/>
    <x:col min="5" max="5" width="15" hidden="0" customWidth="1"/>
    <x:col min="6" max="6" width="15" hidden="0" customWidth="1"/>
    <x:col min="7" max="7" width="23" hidden="0" customWidth="1"/>
    <x:col min="8" max="8" width="15" hidden="0" customWidth="1"/>
    <x:col min="9" max="9" width="15" hidden="0" customWidth="1"/>
    <x:col min="10" max="10" width="15" hidden="0" customWidth="1"/>
  </x:cols>
  <x:sheetData>
    <x:row r="1" ht="23" customHeight="1">
      <x:c r="A1" s="2"/>
      <x:c r="B1" s="2"/>
      <x:c r="C1" s="2"/>
      <x:c r="D1" s="2"/>
      <x:c r="E1" s="2"/>
      <x:c r="F1" s="2"/>
      <x:c r="G1" s="2"/>
      <x:c r="H1" s="2"/>
      <x:c r="I1" s="2"/>
      <x:c r="J1" s="2"/>
    </x:row>
    <x:row r="2" ht="29" customHeight="1">
      <x:c r="A2" s="3" t="str">
        <x:v>Monthly observations and common-month screen</x:v>
      </x:c>
      <x:c r="B2" s="2"/>
      <x:c r="C2" s="2"/>
      <x:c r="D2" s="2"/>
      <x:c r="E2" s="2"/>
      <x:c r="F2" s="2"/>
      <x:c r="G2" s="2"/>
      <x:c r="H2" s="2"/>
      <x:c r="I2" s="2"/>
      <x:c r="J2" s="2"/>
    </x:row>
    <x:row r="3" ht="48" customHeight="1">
      <x:c r="A3" s="12" t="str">
        <x:v>Source: WP008 Monthly_Data A6:H797, drawn from the WP006 governed WP005 partner and World inputs. Keep a product-month only when all ten partners plus World have positive mass, an API observation and no REVIEW flag. Flags are diagnostic; reported data remain unchanged.</x:v>
      </x:c>
      <x:c r="B3" s="12"/>
      <x:c r="C3" s="12"/>
      <x:c r="D3" s="12"/>
      <x:c r="E3" s="12"/>
      <x:c r="F3" s="12"/>
      <x:c r="G3" s="12"/>
      <x:c r="H3" s="12"/>
      <x:c r="I3" s="12"/>
      <x:c r="J3" s="12"/>
    </x:row>
    <x:row r="4" ht="23" customHeight="1">
      <x:c r="A4" s="2"/>
      <x:c r="B4" s="2"/>
      <x:c r="C4" s="2"/>
      <x:c r="D4" s="2"/>
      <x:c r="E4" s="2"/>
      <x:c r="F4" s="2"/>
      <x:c r="G4" s="2"/>
      <x:c r="H4" s="2"/>
      <x:c r="I4" s="2"/>
      <x:c r="J4" s="2"/>
    </x:row>
    <x:row r="5" ht="42" customHeight="1">
      <x:c r="A5" s="11" t="str">
        <x:v>Observation key</x:v>
      </x:c>
      <x:c r="B5" s="11" t="str">
        <x:v>Month ID</x:v>
      </x:c>
      <x:c r="C5" s="11" t="str">
        <x:v>CN8</x:v>
      </x:c>
      <x:c r="D5" s="11" t="str">
        <x:v>Partner</x:v>
      </x:c>
      <x:c r="E5" s="11" t="str">
        <x:v>Value £</x:v>
      </x:c>
      <x:c r="F5" s="11" t="str">
        <x:v>Mass kg</x:v>
      </x:c>
      <x:c r="G5" s="11" t="str">
        <x:v>Review flag</x:v>
      </x:c>
      <x:c r="H5" s="11" t="str">
        <x:v>API present</x:v>
      </x:c>
      <x:c r="I5" s="11" t="str">
        <x:v>Common keep</x:v>
      </x:c>
      <x:c r="J5" s="11" t="str">
        <x:v>Key count</x:v>
      </x:c>
    </x:row>
    <x:row r="6" ht="23" customHeight="1">
      <x:c r="A6" s="2" t="str">
        <x:v>61091000_BD_202501_IMPORT</x:v>
      </x:c>
      <x:c r="B6" s="2" t="n">
        <x:v>202501</x:v>
      </x:c>
      <x:c r="C6" s="2" t="str">
        <x:v>61091000</x:v>
      </x:c>
      <x:c r="D6" s="2" t="str">
        <x:v>Bangladesh</x:v>
      </x:c>
      <x:c r="E6" s="16" t="n">
        <x:v>37635639</x:v>
      </x:c>
      <x:c r="F6" s="16" t="n">
        <x:v>3598131</x:v>
      </x:c>
      <x:c r="G6" s="2" t="str">
        <x:v>WITHIN_BAND</x:v>
      </x:c>
      <x:c r="H6" s="2" t="n">
        <x:v>1</x:v>
      </x:c>
      <x:c r="I6" s="2" t="n">
        <x:f>IF(AND(COUNTIFS($B$6:$B$797,B6,$C$6:$C$797,C6)=11,COUNTIFS($B$6:$B$797,B6,$C$6:$C$797,C6,$G$6:$G$797,"REVIEW")=0,COUNTIFS($B$6:$B$797,B6,$C$6:$C$797,C6,$H$6:$H$797,1)=11,COUNTIFS($B$6:$B$797,B6,$C$6:$C$797,C6,$F$6:$F$797,"&gt;0")=11),1,0)</x:f>
        <x:v>1</x:v>
      </x:c>
      <x:c r="J6" s="2" t="n">
        <x:f>COUNTIFS($A$6:$A$797,A6)</x:f>
        <x:v>1</x:v>
      </x:c>
    </x:row>
    <x:row r="7" ht="23" customHeight="1">
      <x:c r="A7" s="2" t="str">
        <x:v>61091000_KH_202501_IMPORT</x:v>
      </x:c>
      <x:c r="B7" s="2" t="n">
        <x:v>202501</x:v>
      </x:c>
      <x:c r="C7" s="2" t="str">
        <x:v>61091000</x:v>
      </x:c>
      <x:c r="D7" s="2" t="str">
        <x:v>Cambodia</x:v>
      </x:c>
      <x:c r="E7" s="16" t="n">
        <x:v>815302</x:v>
      </x:c>
      <x:c r="F7" s="16" t="n">
        <x:v>48927</x:v>
      </x:c>
      <x:c r="G7" s="2" t="str">
        <x:v>WITHIN_BAND</x:v>
      </x:c>
      <x:c r="H7" s="2" t="n">
        <x:v>1</x:v>
      </x:c>
      <x:c r="I7" s="2" t="n">
        <x:f>IF(AND(COUNTIFS($B$6:$B$797,B7,$C$6:$C$797,C7)=11,COUNTIFS($B$6:$B$797,B7,$C$6:$C$797,C7,$G$6:$G$797,"REVIEW")=0,COUNTIFS($B$6:$B$797,B7,$C$6:$C$797,C7,$H$6:$H$797,1)=11,COUNTIFS($B$6:$B$797,B7,$C$6:$C$797,C7,$F$6:$F$797,"&gt;0")=11),1,0)</x:f>
        <x:v>1</x:v>
      </x:c>
      <x:c r="J7" s="2" t="n">
        <x:f>COUNTIFS($A$6:$A$797,A7)</x:f>
        <x:v>1</x:v>
      </x:c>
    </x:row>
    <x:row r="8" ht="23" customHeight="1">
      <x:c r="A8" s="2" t="str">
        <x:v>61091000_CN_202501_IMPORT</x:v>
      </x:c>
      <x:c r="B8" s="2" t="n">
        <x:v>202501</x:v>
      </x:c>
      <x:c r="C8" s="2" t="str">
        <x:v>61091000</x:v>
      </x:c>
      <x:c r="D8" s="2" t="str">
        <x:v>China</x:v>
      </x:c>
      <x:c r="E8" s="16" t="n">
        <x:v>4906522</x:v>
      </x:c>
      <x:c r="F8" s="16" t="n">
        <x:v>287181</x:v>
      </x:c>
      <x:c r="G8" s="2" t="str">
        <x:v>WITHIN_BAND</x:v>
      </x:c>
      <x:c r="H8" s="2" t="n">
        <x:v>1</x:v>
      </x:c>
      <x:c r="I8" s="2" t="n">
        <x:f>IF(AND(COUNTIFS($B$6:$B$797,B8,$C$6:$C$797,C8)=11,COUNTIFS($B$6:$B$797,B8,$C$6:$C$797,C8,$G$6:$G$797,"REVIEW")=0,COUNTIFS($B$6:$B$797,B8,$C$6:$C$797,C8,$H$6:$H$797,1)=11,COUNTIFS($B$6:$B$797,B8,$C$6:$C$797,C8,$F$6:$F$797,"&gt;0")=11),1,0)</x:f>
        <x:v>1</x:v>
      </x:c>
      <x:c r="J8" s="2" t="n">
        <x:f>COUNTIFS($A$6:$A$797,A8)</x:f>
        <x:v>1</x:v>
      </x:c>
    </x:row>
    <x:row r="9" ht="23" customHeight="1">
      <x:c r="A9" s="2" t="str">
        <x:v>61091000_IN_202501_IMPORT</x:v>
      </x:c>
      <x:c r="B9" s="2" t="n">
        <x:v>202501</x:v>
      </x:c>
      <x:c r="C9" s="2" t="str">
        <x:v>61091000</x:v>
      </x:c>
      <x:c r="D9" s="2" t="str">
        <x:v>India</x:v>
      </x:c>
      <x:c r="E9" s="16" t="n">
        <x:v>6612624</x:v>
      </x:c>
      <x:c r="F9" s="16" t="n">
        <x:v>447550</x:v>
      </x:c>
      <x:c r="G9" s="2" t="str">
        <x:v>WITHIN_BAND</x:v>
      </x:c>
      <x:c r="H9" s="2" t="n">
        <x:v>1</x:v>
      </x:c>
      <x:c r="I9" s="2" t="n">
        <x:f>IF(AND(COUNTIFS($B$6:$B$797,B9,$C$6:$C$797,C9)=11,COUNTIFS($B$6:$B$797,B9,$C$6:$C$797,C9,$G$6:$G$797,"REVIEW")=0,COUNTIFS($B$6:$B$797,B9,$C$6:$C$797,C9,$H$6:$H$797,1)=11,COUNTIFS($B$6:$B$797,B9,$C$6:$C$797,C9,$F$6:$F$797,"&gt;0")=11),1,0)</x:f>
        <x:v>1</x:v>
      </x:c>
      <x:c r="J9" s="2" t="n">
        <x:f>COUNTIFS($A$6:$A$797,A9)</x:f>
        <x:v>1</x:v>
      </x:c>
    </x:row>
    <x:row r="10" ht="23" customHeight="1">
      <x:c r="A10" s="2" t="str">
        <x:v>61091000_MA_202501_IMPORT</x:v>
      </x:c>
      <x:c r="B10" s="2" t="n">
        <x:v>202501</x:v>
      </x:c>
      <x:c r="C10" s="2" t="str">
        <x:v>61091000</x:v>
      </x:c>
      <x:c r="D10" s="2" t="str">
        <x:v>Morocco</x:v>
      </x:c>
      <x:c r="E10" s="16" t="n">
        <x:v>595595</x:v>
      </x:c>
      <x:c r="F10" s="16" t="n">
        <x:v>58622</x:v>
      </x:c>
      <x:c r="G10" s="2" t="str">
        <x:v>WITHIN_BAND</x:v>
      </x:c>
      <x:c r="H10" s="2" t="n">
        <x:v>1</x:v>
      </x:c>
      <x:c r="I10" s="2" t="n">
        <x:f>IF(AND(COUNTIFS($B$6:$B$797,B10,$C$6:$C$797,C10)=11,COUNTIFS($B$6:$B$797,B10,$C$6:$C$797,C10,$G$6:$G$797,"REVIEW")=0,COUNTIFS($B$6:$B$797,B10,$C$6:$C$797,C10,$H$6:$H$797,1)=11,COUNTIFS($B$6:$B$797,B10,$C$6:$C$797,C10,$F$6:$F$797,"&gt;0")=11),1,0)</x:f>
        <x:v>1</x:v>
      </x:c>
      <x:c r="J10" s="2" t="n">
        <x:f>COUNTIFS($A$6:$A$797,A10)</x:f>
        <x:v>1</x:v>
      </x:c>
    </x:row>
    <x:row r="11" ht="23" customHeight="1">
      <x:c r="A11" s="2" t="str">
        <x:v>61091000_MM_202501_IMPORT</x:v>
      </x:c>
      <x:c r="B11" s="2" t="n">
        <x:v>202501</x:v>
      </x:c>
      <x:c r="C11" s="2" t="str">
        <x:v>61091000</x:v>
      </x:c>
      <x:c r="D11" s="2" t="str">
        <x:v>Myanmar</x:v>
      </x:c>
      <x:c r="E11" s="16" t="n">
        <x:v>47447</x:v>
      </x:c>
      <x:c r="F11" s="16" t="n">
        <x:v>3108</x:v>
      </x:c>
      <x:c r="G11" s="2" t="str">
        <x:v>WITHIN_BAND</x:v>
      </x:c>
      <x:c r="H11" s="2" t="n">
        <x:v>1</x:v>
      </x:c>
      <x:c r="I11" s="2" t="n">
        <x:f>IF(AND(COUNTIFS($B$6:$B$797,B11,$C$6:$C$797,C11)=11,COUNTIFS($B$6:$B$797,B11,$C$6:$C$797,C11,$G$6:$G$797,"REVIEW")=0,COUNTIFS($B$6:$B$797,B11,$C$6:$C$797,C11,$H$6:$H$797,1)=11,COUNTIFS($B$6:$B$797,B11,$C$6:$C$797,C11,$F$6:$F$797,"&gt;0")=11),1,0)</x:f>
        <x:v>1</x:v>
      </x:c>
      <x:c r="J11" s="2" t="n">
        <x:f>COUNTIFS($A$6:$A$797,A11)</x:f>
        <x:v>1</x:v>
      </x:c>
    </x:row>
    <x:row r="12" ht="23" customHeight="1">
      <x:c r="A12" s="2" t="str">
        <x:v>61091000_PK_202501_IMPORT</x:v>
      </x:c>
      <x:c r="B12" s="2" t="n">
        <x:v>202501</x:v>
      </x:c>
      <x:c r="C12" s="2" t="str">
        <x:v>61091000</x:v>
      </x:c>
      <x:c r="D12" s="2" t="str">
        <x:v>Pakistan</x:v>
      </x:c>
      <x:c r="E12" s="16" t="n">
        <x:v>4215403</x:v>
      </x:c>
      <x:c r="F12" s="16" t="n">
        <x:v>375044</x:v>
      </x:c>
      <x:c r="G12" s="2" t="str">
        <x:v>WITHIN_BAND</x:v>
      </x:c>
      <x:c r="H12" s="2" t="n">
        <x:v>1</x:v>
      </x:c>
      <x:c r="I12" s="2" t="n">
        <x:f>IF(AND(COUNTIFS($B$6:$B$797,B12,$C$6:$C$797,C12)=11,COUNTIFS($B$6:$B$797,B12,$C$6:$C$797,C12,$G$6:$G$797,"REVIEW")=0,COUNTIFS($B$6:$B$797,B12,$C$6:$C$797,C12,$H$6:$H$797,1)=11,COUNTIFS($B$6:$B$797,B12,$C$6:$C$797,C12,$F$6:$F$797,"&gt;0")=11),1,0)</x:f>
        <x:v>1</x:v>
      </x:c>
      <x:c r="J12" s="2" t="n">
        <x:f>COUNTIFS($A$6:$A$797,A12)</x:f>
        <x:v>1</x:v>
      </x:c>
    </x:row>
    <x:row r="13" ht="23" customHeight="1">
      <x:c r="A13" s="2" t="str">
        <x:v>61091000_LK_202501_IMPORT</x:v>
      </x:c>
      <x:c r="B13" s="2" t="n">
        <x:v>202501</x:v>
      </x:c>
      <x:c r="C13" s="2" t="str">
        <x:v>61091000</x:v>
      </x:c>
      <x:c r="D13" s="2" t="str">
        <x:v>Sri Lanka</x:v>
      </x:c>
      <x:c r="E13" s="16" t="n">
        <x:v>1867891</x:v>
      </x:c>
      <x:c r="F13" s="16" t="n">
        <x:v>190782</x:v>
      </x:c>
      <x:c r="G13" s="2" t="str">
        <x:v>WITHIN_BAND</x:v>
      </x:c>
      <x:c r="H13" s="2" t="n">
        <x:v>1</x:v>
      </x:c>
      <x:c r="I13" s="2" t="n">
        <x:f>IF(AND(COUNTIFS($B$6:$B$797,B13,$C$6:$C$797,C13)=11,COUNTIFS($B$6:$B$797,B13,$C$6:$C$797,C13,$G$6:$G$797,"REVIEW")=0,COUNTIFS($B$6:$B$797,B13,$C$6:$C$797,C13,$H$6:$H$797,1)=11,COUNTIFS($B$6:$B$797,B13,$C$6:$C$797,C13,$F$6:$F$797,"&gt;0")=11),1,0)</x:f>
        <x:v>1</x:v>
      </x:c>
      <x:c r="J13" s="2" t="n">
        <x:f>COUNTIFS($A$6:$A$797,A13)</x:f>
        <x:v>1</x:v>
      </x:c>
    </x:row>
    <x:row r="14" ht="23" customHeight="1">
      <x:c r="A14" s="2" t="str">
        <x:v>61091000_TR_202501_IMPORT</x:v>
      </x:c>
      <x:c r="B14" s="2" t="n">
        <x:v>202501</x:v>
      </x:c>
      <x:c r="C14" s="2" t="str">
        <x:v>61091000</x:v>
      </x:c>
      <x:c r="D14" s="2" t="str">
        <x:v>Turkey</x:v>
      </x:c>
      <x:c r="E14" s="16" t="n">
        <x:v>9498438</x:v>
      </x:c>
      <x:c r="F14" s="16" t="n">
        <x:v>427107</x:v>
      </x:c>
      <x:c r="G14" s="2" t="str">
        <x:v>WITHIN_BAND</x:v>
      </x:c>
      <x:c r="H14" s="2" t="n">
        <x:v>1</x:v>
      </x:c>
      <x:c r="I14" s="2" t="n">
        <x:f>IF(AND(COUNTIFS($B$6:$B$797,B14,$C$6:$C$797,C14)=11,COUNTIFS($B$6:$B$797,B14,$C$6:$C$797,C14,$G$6:$G$797,"REVIEW")=0,COUNTIFS($B$6:$B$797,B14,$C$6:$C$797,C14,$H$6:$H$797,1)=11,COUNTIFS($B$6:$B$797,B14,$C$6:$C$797,C14,$F$6:$F$797,"&gt;0")=11),1,0)</x:f>
        <x:v>1</x:v>
      </x:c>
      <x:c r="J14" s="2" t="n">
        <x:f>COUNTIFS($A$6:$A$797,A14)</x:f>
        <x:v>1</x:v>
      </x:c>
    </x:row>
    <x:row r="15" ht="23" customHeight="1">
      <x:c r="A15" s="2" t="str">
        <x:v>61091000_VN_202501_IMPORT</x:v>
      </x:c>
      <x:c r="B15" s="2" t="n">
        <x:v>202501</x:v>
      </x:c>
      <x:c r="C15" s="2" t="str">
        <x:v>61091000</x:v>
      </x:c>
      <x:c r="D15" s="2" t="str">
        <x:v>Vietnam</x:v>
      </x:c>
      <x:c r="E15" s="16" t="n">
        <x:v>1759203</x:v>
      </x:c>
      <x:c r="F15" s="16" t="n">
        <x:v>80140</x:v>
      </x:c>
      <x:c r="G15" s="2" t="str">
        <x:v>WITHIN_BAND</x:v>
      </x:c>
      <x:c r="H15" s="2" t="n">
        <x:v>1</x:v>
      </x:c>
      <x:c r="I15" s="2" t="n">
        <x:f>IF(AND(COUNTIFS($B$6:$B$797,B15,$C$6:$C$797,C15)=11,COUNTIFS($B$6:$B$797,B15,$C$6:$C$797,C15,$G$6:$G$797,"REVIEW")=0,COUNTIFS($B$6:$B$797,B15,$C$6:$C$797,C15,$H$6:$H$797,1)=11,COUNTIFS($B$6:$B$797,B15,$C$6:$C$797,C15,$F$6:$F$797,"&gt;0")=11),1,0)</x:f>
        <x:v>1</x:v>
      </x:c>
      <x:c r="J15" s="2" t="n">
        <x:f>COUNTIFS($A$6:$A$797,A15)</x:f>
        <x:v>1</x:v>
      </x:c>
    </x:row>
    <x:row r="16" ht="23" customHeight="1">
      <x:c r="A16" s="2" t="str">
        <x:v>61091000_WORLD_202501_IMPORT</x:v>
      </x:c>
      <x:c r="B16" s="2" t="n">
        <x:v>202501</x:v>
      </x:c>
      <x:c r="C16" s="2" t="str">
        <x:v>61091000</x:v>
      </x:c>
      <x:c r="D16" s="2" t="str">
        <x:v>World</x:v>
      </x:c>
      <x:c r="E16" s="16" t="n">
        <x:v>97780137</x:v>
      </x:c>
      <x:c r="F16" s="16" t="n">
        <x:v>6822727</x:v>
      </x:c>
      <x:c r="G16" s="2" t="str">
        <x:v>WITHIN_BAND</x:v>
      </x:c>
      <x:c r="H16" s="2" t="n">
        <x:v>1</x:v>
      </x:c>
      <x:c r="I16" s="2" t="n">
        <x:f>IF(AND(COUNTIFS($B$6:$B$797,B16,$C$6:$C$797,C16)=11,COUNTIFS($B$6:$B$797,B16,$C$6:$C$797,C16,$G$6:$G$797,"REVIEW")=0,COUNTIFS($B$6:$B$797,B16,$C$6:$C$797,C16,$H$6:$H$797,1)=11,COUNTIFS($B$6:$B$797,B16,$C$6:$C$797,C16,$F$6:$F$797,"&gt;0")=11),1,0)</x:f>
        <x:v>1</x:v>
      </x:c>
      <x:c r="J16" s="2" t="n">
        <x:f>COUNTIFS($A$6:$A$797,A16)</x:f>
        <x:v>1</x:v>
      </x:c>
    </x:row>
    <x:row r="17" ht="23" customHeight="1">
      <x:c r="A17" s="2" t="str">
        <x:v>61091000_BD_202502_IMPORT</x:v>
      </x:c>
      <x:c r="B17" s="2" t="n">
        <x:v>202502</x:v>
      </x:c>
      <x:c r="C17" s="2" t="str">
        <x:v>61091000</x:v>
      </x:c>
      <x:c r="D17" s="2" t="str">
        <x:v>Bangladesh</x:v>
      </x:c>
      <x:c r="E17" s="16" t="n">
        <x:v>34909984</x:v>
      </x:c>
      <x:c r="F17" s="16" t="n">
        <x:v>3246390</x:v>
      </x:c>
      <x:c r="G17" s="2" t="str">
        <x:v>WITHIN_BAND</x:v>
      </x:c>
      <x:c r="H17" s="2" t="n">
        <x:v>1</x:v>
      </x:c>
      <x:c r="I17" s="2" t="n">
        <x:f>IF(AND(COUNTIFS($B$6:$B$797,B17,$C$6:$C$797,C17)=11,COUNTIFS($B$6:$B$797,B17,$C$6:$C$797,C17,$G$6:$G$797,"REVIEW")=0,COUNTIFS($B$6:$B$797,B17,$C$6:$C$797,C17,$H$6:$H$797,1)=11,COUNTIFS($B$6:$B$797,B17,$C$6:$C$797,C17,$F$6:$F$797,"&gt;0")=11),1,0)</x:f>
        <x:v>1</x:v>
      </x:c>
      <x:c r="J17" s="2" t="n">
        <x:f>COUNTIFS($A$6:$A$797,A17)</x:f>
        <x:v>1</x:v>
      </x:c>
    </x:row>
    <x:row r="18" ht="23" customHeight="1">
      <x:c r="A18" s="2" t="str">
        <x:v>61091000_KH_202502_IMPORT</x:v>
      </x:c>
      <x:c r="B18" s="2" t="n">
        <x:v>202502</x:v>
      </x:c>
      <x:c r="C18" s="2" t="str">
        <x:v>61091000</x:v>
      </x:c>
      <x:c r="D18" s="2" t="str">
        <x:v>Cambodia</x:v>
      </x:c>
      <x:c r="E18" s="16" t="n">
        <x:v>795698</x:v>
      </x:c>
      <x:c r="F18" s="16" t="n">
        <x:v>47380</x:v>
      </x:c>
      <x:c r="G18" s="2" t="str">
        <x:v>WITHIN_BAND</x:v>
      </x:c>
      <x:c r="H18" s="2" t="n">
        <x:v>1</x:v>
      </x:c>
      <x:c r="I18" s="2" t="n">
        <x:f>IF(AND(COUNTIFS($B$6:$B$797,B18,$C$6:$C$797,C18)=11,COUNTIFS($B$6:$B$797,B18,$C$6:$C$797,C18,$G$6:$G$797,"REVIEW")=0,COUNTIFS($B$6:$B$797,B18,$C$6:$C$797,C18,$H$6:$H$797,1)=11,COUNTIFS($B$6:$B$797,B18,$C$6:$C$797,C18,$F$6:$F$797,"&gt;0")=11),1,0)</x:f>
        <x:v>1</x:v>
      </x:c>
      <x:c r="J18" s="2" t="n">
        <x:f>COUNTIFS($A$6:$A$797,A18)</x:f>
        <x:v>1</x:v>
      </x:c>
    </x:row>
    <x:row r="19" ht="23" customHeight="1">
      <x:c r="A19" s="2" t="str">
        <x:v>61091000_CN_202502_IMPORT</x:v>
      </x:c>
      <x:c r="B19" s="2" t="n">
        <x:v>202502</x:v>
      </x:c>
      <x:c r="C19" s="2" t="str">
        <x:v>61091000</x:v>
      </x:c>
      <x:c r="D19" s="2" t="str">
        <x:v>China</x:v>
      </x:c>
      <x:c r="E19" s="16" t="n">
        <x:v>5035781</x:v>
      </x:c>
      <x:c r="F19" s="16" t="n">
        <x:v>242269</x:v>
      </x:c>
      <x:c r="G19" s="2" t="str">
        <x:v>WITHIN_BAND</x:v>
      </x:c>
      <x:c r="H19" s="2" t="n">
        <x:v>1</x:v>
      </x:c>
      <x:c r="I19" s="2" t="n">
        <x:f>IF(AND(COUNTIFS($B$6:$B$797,B19,$C$6:$C$797,C19)=11,COUNTIFS($B$6:$B$797,B19,$C$6:$C$797,C19,$G$6:$G$797,"REVIEW")=0,COUNTIFS($B$6:$B$797,B19,$C$6:$C$797,C19,$H$6:$H$797,1)=11,COUNTIFS($B$6:$B$797,B19,$C$6:$C$797,C19,$F$6:$F$797,"&gt;0")=11),1,0)</x:f>
        <x:v>1</x:v>
      </x:c>
      <x:c r="J19" s="2" t="n">
        <x:f>COUNTIFS($A$6:$A$797,A19)</x:f>
        <x:v>1</x:v>
      </x:c>
    </x:row>
    <x:row r="20" ht="23" customHeight="1">
      <x:c r="A20" s="2" t="str">
        <x:v>61091000_IN_202502_IMPORT</x:v>
      </x:c>
      <x:c r="B20" s="2" t="n">
        <x:v>202502</x:v>
      </x:c>
      <x:c r="C20" s="2" t="str">
        <x:v>61091000</x:v>
      </x:c>
      <x:c r="D20" s="2" t="str">
        <x:v>India</x:v>
      </x:c>
      <x:c r="E20" s="16" t="n">
        <x:v>7699201</x:v>
      </x:c>
      <x:c r="F20" s="16" t="n">
        <x:v>513134</x:v>
      </x:c>
      <x:c r="G20" s="2" t="str">
        <x:v>WITHIN_BAND</x:v>
      </x:c>
      <x:c r="H20" s="2" t="n">
        <x:v>1</x:v>
      </x:c>
      <x:c r="I20" s="2" t="n">
        <x:f>IF(AND(COUNTIFS($B$6:$B$797,B20,$C$6:$C$797,C20)=11,COUNTIFS($B$6:$B$797,B20,$C$6:$C$797,C20,$G$6:$G$797,"REVIEW")=0,COUNTIFS($B$6:$B$797,B20,$C$6:$C$797,C20,$H$6:$H$797,1)=11,COUNTIFS($B$6:$B$797,B20,$C$6:$C$797,C20,$F$6:$F$797,"&gt;0")=11),1,0)</x:f>
        <x:v>1</x:v>
      </x:c>
      <x:c r="J20" s="2" t="n">
        <x:f>COUNTIFS($A$6:$A$797,A20)</x:f>
        <x:v>1</x:v>
      </x:c>
    </x:row>
    <x:row r="21" ht="23" customHeight="1">
      <x:c r="A21" s="2" t="str">
        <x:v>61091000_MA_202502_IMPORT</x:v>
      </x:c>
      <x:c r="B21" s="2" t="n">
        <x:v>202502</x:v>
      </x:c>
      <x:c r="C21" s="2" t="str">
        <x:v>61091000</x:v>
      </x:c>
      <x:c r="D21" s="2" t="str">
        <x:v>Morocco</x:v>
      </x:c>
      <x:c r="E21" s="16" t="n">
        <x:v>1166399</x:v>
      </x:c>
      <x:c r="F21" s="16" t="n">
        <x:v>130928</x:v>
      </x:c>
      <x:c r="G21" s="2" t="str">
        <x:v>WITHIN_BAND</x:v>
      </x:c>
      <x:c r="H21" s="2" t="n">
        <x:v>1</x:v>
      </x:c>
      <x:c r="I21" s="2" t="n">
        <x:f>IF(AND(COUNTIFS($B$6:$B$797,B21,$C$6:$C$797,C21)=11,COUNTIFS($B$6:$B$797,B21,$C$6:$C$797,C21,$G$6:$G$797,"REVIEW")=0,COUNTIFS($B$6:$B$797,B21,$C$6:$C$797,C21,$H$6:$H$797,1)=11,COUNTIFS($B$6:$B$797,B21,$C$6:$C$797,C21,$F$6:$F$797,"&gt;0")=11),1,0)</x:f>
        <x:v>1</x:v>
      </x:c>
      <x:c r="J21" s="2" t="n">
        <x:f>COUNTIFS($A$6:$A$797,A21)</x:f>
        <x:v>1</x:v>
      </x:c>
    </x:row>
    <x:row r="22" ht="23" customHeight="1">
      <x:c r="A22" s="2" t="str">
        <x:v>61091000_MM_202502_IMPORT</x:v>
      </x:c>
      <x:c r="B22" s="2" t="n">
        <x:v>202502</x:v>
      </x:c>
      <x:c r="C22" s="2" t="str">
        <x:v>61091000</x:v>
      </x:c>
      <x:c r="D22" s="2" t="str">
        <x:v>Myanmar</x:v>
      </x:c>
      <x:c r="E22" s="16" t="n">
        <x:v>40891</x:v>
      </x:c>
      <x:c r="F22" s="16" t="n">
        <x:v>2547</x:v>
      </x:c>
      <x:c r="G22" s="2" t="str">
        <x:v>WITHIN_BAND</x:v>
      </x:c>
      <x:c r="H22" s="2" t="n">
        <x:v>1</x:v>
      </x:c>
      <x:c r="I22" s="2" t="n">
        <x:f>IF(AND(COUNTIFS($B$6:$B$797,B22,$C$6:$C$797,C22)=11,COUNTIFS($B$6:$B$797,B22,$C$6:$C$797,C22,$G$6:$G$797,"REVIEW")=0,COUNTIFS($B$6:$B$797,B22,$C$6:$C$797,C22,$H$6:$H$797,1)=11,COUNTIFS($B$6:$B$797,B22,$C$6:$C$797,C22,$F$6:$F$797,"&gt;0")=11),1,0)</x:f>
        <x:v>1</x:v>
      </x:c>
      <x:c r="J22" s="2" t="n">
        <x:f>COUNTIFS($A$6:$A$797,A22)</x:f>
        <x:v>1</x:v>
      </x:c>
    </x:row>
    <x:row r="23" ht="23" customHeight="1">
      <x:c r="A23" s="2" t="str">
        <x:v>61091000_PK_202502_IMPORT</x:v>
      </x:c>
      <x:c r="B23" s="2" t="n">
        <x:v>202502</x:v>
      </x:c>
      <x:c r="C23" s="2" t="str">
        <x:v>61091000</x:v>
      </x:c>
      <x:c r="D23" s="2" t="str">
        <x:v>Pakistan</x:v>
      </x:c>
      <x:c r="E23" s="16" t="n">
        <x:v>4282086</x:v>
      </x:c>
      <x:c r="F23" s="16" t="n">
        <x:v>368691</x:v>
      </x:c>
      <x:c r="G23" s="2" t="str">
        <x:v>WITHIN_BAND</x:v>
      </x:c>
      <x:c r="H23" s="2" t="n">
        <x:v>1</x:v>
      </x:c>
      <x:c r="I23" s="2" t="n">
        <x:f>IF(AND(COUNTIFS($B$6:$B$797,B23,$C$6:$C$797,C23)=11,COUNTIFS($B$6:$B$797,B23,$C$6:$C$797,C23,$G$6:$G$797,"REVIEW")=0,COUNTIFS($B$6:$B$797,B23,$C$6:$C$797,C23,$H$6:$H$797,1)=11,COUNTIFS($B$6:$B$797,B23,$C$6:$C$797,C23,$F$6:$F$797,"&gt;0")=11),1,0)</x:f>
        <x:v>1</x:v>
      </x:c>
      <x:c r="J23" s="2" t="n">
        <x:f>COUNTIFS($A$6:$A$797,A23)</x:f>
        <x:v>1</x:v>
      </x:c>
    </x:row>
    <x:row r="24" ht="23" customHeight="1">
      <x:c r="A24" s="2" t="str">
        <x:v>61091000_LK_202502_IMPORT</x:v>
      </x:c>
      <x:c r="B24" s="2" t="n">
        <x:v>202502</x:v>
      </x:c>
      <x:c r="C24" s="2" t="str">
        <x:v>61091000</x:v>
      </x:c>
      <x:c r="D24" s="2" t="str">
        <x:v>Sri Lanka</x:v>
      </x:c>
      <x:c r="E24" s="16" t="n">
        <x:v>2435125</x:v>
      </x:c>
      <x:c r="F24" s="16" t="n">
        <x:v>207897</x:v>
      </x:c>
      <x:c r="G24" s="2" t="str">
        <x:v>WITHIN_BAND</x:v>
      </x:c>
      <x:c r="H24" s="2" t="n">
        <x:v>1</x:v>
      </x:c>
      <x:c r="I24" s="2" t="n">
        <x:f>IF(AND(COUNTIFS($B$6:$B$797,B24,$C$6:$C$797,C24)=11,COUNTIFS($B$6:$B$797,B24,$C$6:$C$797,C24,$G$6:$G$797,"REVIEW")=0,COUNTIFS($B$6:$B$797,B24,$C$6:$C$797,C24,$H$6:$H$797,1)=11,COUNTIFS($B$6:$B$797,B24,$C$6:$C$797,C24,$F$6:$F$797,"&gt;0")=11),1,0)</x:f>
        <x:v>1</x:v>
      </x:c>
      <x:c r="J24" s="2" t="n">
        <x:f>COUNTIFS($A$6:$A$797,A24)</x:f>
        <x:v>1</x:v>
      </x:c>
    </x:row>
    <x:row r="25" ht="23" customHeight="1">
      <x:c r="A25" s="2" t="str">
        <x:v>61091000_TR_202502_IMPORT</x:v>
      </x:c>
      <x:c r="B25" s="2" t="n">
        <x:v>202502</x:v>
      </x:c>
      <x:c r="C25" s="2" t="str">
        <x:v>61091000</x:v>
      </x:c>
      <x:c r="D25" s="2" t="str">
        <x:v>Turkey</x:v>
      </x:c>
      <x:c r="E25" s="16" t="n">
        <x:v>8168522</x:v>
      </x:c>
      <x:c r="F25" s="16" t="n">
        <x:v>358435</x:v>
      </x:c>
      <x:c r="G25" s="2" t="str">
        <x:v>WITHIN_BAND</x:v>
      </x:c>
      <x:c r="H25" s="2" t="n">
        <x:v>1</x:v>
      </x:c>
      <x:c r="I25" s="2" t="n">
        <x:f>IF(AND(COUNTIFS($B$6:$B$797,B25,$C$6:$C$797,C25)=11,COUNTIFS($B$6:$B$797,B25,$C$6:$C$797,C25,$G$6:$G$797,"REVIEW")=0,COUNTIFS($B$6:$B$797,B25,$C$6:$C$797,C25,$H$6:$H$797,1)=11,COUNTIFS($B$6:$B$797,B25,$C$6:$C$797,C25,$F$6:$F$797,"&gt;0")=11),1,0)</x:f>
        <x:v>1</x:v>
      </x:c>
      <x:c r="J25" s="2" t="n">
        <x:f>COUNTIFS($A$6:$A$797,A25)</x:f>
        <x:v>1</x:v>
      </x:c>
    </x:row>
    <x:row r="26" ht="23" customHeight="1">
      <x:c r="A26" s="2" t="str">
        <x:v>61091000_VN_202502_IMPORT</x:v>
      </x:c>
      <x:c r="B26" s="2" t="n">
        <x:v>202502</x:v>
      </x:c>
      <x:c r="C26" s="2" t="str">
        <x:v>61091000</x:v>
      </x:c>
      <x:c r="D26" s="2" t="str">
        <x:v>Vietnam</x:v>
      </x:c>
      <x:c r="E26" s="16" t="n">
        <x:v>1368679</x:v>
      </x:c>
      <x:c r="F26" s="16" t="n">
        <x:v>56859</x:v>
      </x:c>
      <x:c r="G26" s="2" t="str">
        <x:v>WITHIN_BAND</x:v>
      </x:c>
      <x:c r="H26" s="2" t="n">
        <x:v>1</x:v>
      </x:c>
      <x:c r="I26" s="2" t="n">
        <x:f>IF(AND(COUNTIFS($B$6:$B$797,B26,$C$6:$C$797,C26)=11,COUNTIFS($B$6:$B$797,B26,$C$6:$C$797,C26,$G$6:$G$797,"REVIEW")=0,COUNTIFS($B$6:$B$797,B26,$C$6:$C$797,C26,$H$6:$H$797,1)=11,COUNTIFS($B$6:$B$797,B26,$C$6:$C$797,C26,$F$6:$F$797,"&gt;0")=11),1,0)</x:f>
        <x:v>1</x:v>
      </x:c>
      <x:c r="J26" s="2" t="n">
        <x:f>COUNTIFS($A$6:$A$797,A26)</x:f>
        <x:v>1</x:v>
      </x:c>
    </x:row>
    <x:row r="27" ht="23" customHeight="1">
      <x:c r="A27" s="2" t="str">
        <x:v>61091000_WORLD_202502_IMPORT</x:v>
      </x:c>
      <x:c r="B27" s="2" t="n">
        <x:v>202502</x:v>
      </x:c>
      <x:c r="C27" s="2" t="str">
        <x:v>61091000</x:v>
      </x:c>
      <x:c r="D27" s="2" t="str">
        <x:v>World</x:v>
      </x:c>
      <x:c r="E27" s="16" t="n">
        <x:v>91782684</x:v>
      </x:c>
      <x:c r="F27" s="16" t="n">
        <x:v>6054669</x:v>
      </x:c>
      <x:c r="G27" s="2" t="str">
        <x:v>WITHIN_BAND</x:v>
      </x:c>
      <x:c r="H27" s="2" t="n">
        <x:v>1</x:v>
      </x:c>
      <x:c r="I27" s="2" t="n">
        <x:f>IF(AND(COUNTIFS($B$6:$B$797,B27,$C$6:$C$797,C27)=11,COUNTIFS($B$6:$B$797,B27,$C$6:$C$797,C27,$G$6:$G$797,"REVIEW")=0,COUNTIFS($B$6:$B$797,B27,$C$6:$C$797,C27,$H$6:$H$797,1)=11,COUNTIFS($B$6:$B$797,B27,$C$6:$C$797,C27,$F$6:$F$797,"&gt;0")=11),1,0)</x:f>
        <x:v>1</x:v>
      </x:c>
      <x:c r="J27" s="2" t="n">
        <x:f>COUNTIFS($A$6:$A$797,A27)</x:f>
        <x:v>1</x:v>
      </x:c>
    </x:row>
    <x:row r="28" ht="23" customHeight="1">
      <x:c r="A28" s="2" t="str">
        <x:v>61091000_BD_202503_IMPORT</x:v>
      </x:c>
      <x:c r="B28" s="2" t="n">
        <x:v>202503</x:v>
      </x:c>
      <x:c r="C28" s="2" t="str">
        <x:v>61091000</x:v>
      </x:c>
      <x:c r="D28" s="2" t="str">
        <x:v>Bangladesh</x:v>
      </x:c>
      <x:c r="E28" s="16" t="n">
        <x:v>49334359</x:v>
      </x:c>
      <x:c r="F28" s="16" t="n">
        <x:v>4591029</x:v>
      </x:c>
      <x:c r="G28" s="2" t="str">
        <x:v>WITHIN_BAND</x:v>
      </x:c>
      <x:c r="H28" s="2" t="n">
        <x:v>1</x:v>
      </x:c>
      <x:c r="I28" s="2" t="n">
        <x:f>IF(AND(COUNTIFS($B$6:$B$797,B28,$C$6:$C$797,C28)=11,COUNTIFS($B$6:$B$797,B28,$C$6:$C$797,C28,$G$6:$G$797,"REVIEW")=0,COUNTIFS($B$6:$B$797,B28,$C$6:$C$797,C28,$H$6:$H$797,1)=11,COUNTIFS($B$6:$B$797,B28,$C$6:$C$797,C28,$F$6:$F$797,"&gt;0")=11),1,0)</x:f>
        <x:v>1</x:v>
      </x:c>
      <x:c r="J28" s="2" t="n">
        <x:f>COUNTIFS($A$6:$A$797,A28)</x:f>
        <x:v>1</x:v>
      </x:c>
    </x:row>
    <x:row r="29" ht="23" customHeight="1">
      <x:c r="A29" s="2" t="str">
        <x:v>61091000_KH_202503_IMPORT</x:v>
      </x:c>
      <x:c r="B29" s="2" t="n">
        <x:v>202503</x:v>
      </x:c>
      <x:c r="C29" s="2" t="str">
        <x:v>61091000</x:v>
      </x:c>
      <x:c r="D29" s="2" t="str">
        <x:v>Cambodia</x:v>
      </x:c>
      <x:c r="E29" s="16" t="n">
        <x:v>1023714</x:v>
      </x:c>
      <x:c r="F29" s="16" t="n">
        <x:v>48441</x:v>
      </x:c>
      <x:c r="G29" s="2" t="str">
        <x:v>WITHIN_BAND</x:v>
      </x:c>
      <x:c r="H29" s="2" t="n">
        <x:v>1</x:v>
      </x:c>
      <x:c r="I29" s="2" t="n">
        <x:f>IF(AND(COUNTIFS($B$6:$B$797,B29,$C$6:$C$797,C29)=11,COUNTIFS($B$6:$B$797,B29,$C$6:$C$797,C29,$G$6:$G$797,"REVIEW")=0,COUNTIFS($B$6:$B$797,B29,$C$6:$C$797,C29,$H$6:$H$797,1)=11,COUNTIFS($B$6:$B$797,B29,$C$6:$C$797,C29,$F$6:$F$797,"&gt;0")=11),1,0)</x:f>
        <x:v>1</x:v>
      </x:c>
      <x:c r="J29" s="2" t="n">
        <x:f>COUNTIFS($A$6:$A$797,A29)</x:f>
        <x:v>1</x:v>
      </x:c>
    </x:row>
    <x:row r="30" ht="23" customHeight="1">
      <x:c r="A30" s="2" t="str">
        <x:v>61091000_CN_202503_IMPORT</x:v>
      </x:c>
      <x:c r="B30" s="2" t="n">
        <x:v>202503</x:v>
      </x:c>
      <x:c r="C30" s="2" t="str">
        <x:v>61091000</x:v>
      </x:c>
      <x:c r="D30" s="2" t="str">
        <x:v>China</x:v>
      </x:c>
      <x:c r="E30" s="16" t="n">
        <x:v>5519660</x:v>
      </x:c>
      <x:c r="F30" s="16" t="n">
        <x:v>291992</x:v>
      </x:c>
      <x:c r="G30" s="2" t="str">
        <x:v>WITHIN_BAND</x:v>
      </x:c>
      <x:c r="H30" s="2" t="n">
        <x:v>1</x:v>
      </x:c>
      <x:c r="I30" s="2" t="n">
        <x:f>IF(AND(COUNTIFS($B$6:$B$797,B30,$C$6:$C$797,C30)=11,COUNTIFS($B$6:$B$797,B30,$C$6:$C$797,C30,$G$6:$G$797,"REVIEW")=0,COUNTIFS($B$6:$B$797,B30,$C$6:$C$797,C30,$H$6:$H$797,1)=11,COUNTIFS($B$6:$B$797,B30,$C$6:$C$797,C30,$F$6:$F$797,"&gt;0")=11),1,0)</x:f>
        <x:v>1</x:v>
      </x:c>
      <x:c r="J30" s="2" t="n">
        <x:f>COUNTIFS($A$6:$A$797,A30)</x:f>
        <x:v>1</x:v>
      </x:c>
    </x:row>
    <x:row r="31" ht="23" customHeight="1">
      <x:c r="A31" s="2" t="str">
        <x:v>61091000_IN_202503_IMPORT</x:v>
      </x:c>
      <x:c r="B31" s="2" t="n">
        <x:v>202503</x:v>
      </x:c>
      <x:c r="C31" s="2" t="str">
        <x:v>61091000</x:v>
      </x:c>
      <x:c r="D31" s="2" t="str">
        <x:v>India</x:v>
      </x:c>
      <x:c r="E31" s="16" t="n">
        <x:v>10865112</x:v>
      </x:c>
      <x:c r="F31" s="16" t="n">
        <x:v>799821</x:v>
      </x:c>
      <x:c r="G31" s="2" t="str">
        <x:v>WITHIN_BAND</x:v>
      </x:c>
      <x:c r="H31" s="2" t="n">
        <x:v>1</x:v>
      </x:c>
      <x:c r="I31" s="2" t="n">
        <x:f>IF(AND(COUNTIFS($B$6:$B$797,B31,$C$6:$C$797,C31)=11,COUNTIFS($B$6:$B$797,B31,$C$6:$C$797,C31,$G$6:$G$797,"REVIEW")=0,COUNTIFS($B$6:$B$797,B31,$C$6:$C$797,C31,$H$6:$H$797,1)=11,COUNTIFS($B$6:$B$797,B31,$C$6:$C$797,C31,$F$6:$F$797,"&gt;0")=11),1,0)</x:f>
        <x:v>1</x:v>
      </x:c>
      <x:c r="J31" s="2" t="n">
        <x:f>COUNTIFS($A$6:$A$797,A31)</x:f>
        <x:v>1</x:v>
      </x:c>
    </x:row>
    <x:row r="32" ht="23" customHeight="1">
      <x:c r="A32" s="2" t="str">
        <x:v>61091000_MA_202503_IMPORT</x:v>
      </x:c>
      <x:c r="B32" s="2" t="n">
        <x:v>202503</x:v>
      </x:c>
      <x:c r="C32" s="2" t="str">
        <x:v>61091000</x:v>
      </x:c>
      <x:c r="D32" s="2" t="str">
        <x:v>Morocco</x:v>
      </x:c>
      <x:c r="E32" s="16" t="n">
        <x:v>1475455</x:v>
      </x:c>
      <x:c r="F32" s="16" t="n">
        <x:v>158709</x:v>
      </x:c>
      <x:c r="G32" s="2" t="str">
        <x:v>WITHIN_BAND</x:v>
      </x:c>
      <x:c r="H32" s="2" t="n">
        <x:v>1</x:v>
      </x:c>
      <x:c r="I32" s="2" t="n">
        <x:f>IF(AND(COUNTIFS($B$6:$B$797,B32,$C$6:$C$797,C32)=11,COUNTIFS($B$6:$B$797,B32,$C$6:$C$797,C32,$G$6:$G$797,"REVIEW")=0,COUNTIFS($B$6:$B$797,B32,$C$6:$C$797,C32,$H$6:$H$797,1)=11,COUNTIFS($B$6:$B$797,B32,$C$6:$C$797,C32,$F$6:$F$797,"&gt;0")=11),1,0)</x:f>
        <x:v>1</x:v>
      </x:c>
      <x:c r="J32" s="2" t="n">
        <x:f>COUNTIFS($A$6:$A$797,A32)</x:f>
        <x:v>1</x:v>
      </x:c>
    </x:row>
    <x:row r="33" ht="23" customHeight="1">
      <x:c r="A33" s="2" t="str">
        <x:v>61091000_MM_202503_IMPORT</x:v>
      </x:c>
      <x:c r="B33" s="2" t="n">
        <x:v>202503</x:v>
      </x:c>
      <x:c r="C33" s="2" t="str">
        <x:v>61091000</x:v>
      </x:c>
      <x:c r="D33" s="2" t="str">
        <x:v>Myanmar</x:v>
      </x:c>
      <x:c r="E33" s="16" t="n">
        <x:v>26730</x:v>
      </x:c>
      <x:c r="F33" s="16" t="n">
        <x:v>1133</x:v>
      </x:c>
      <x:c r="G33" s="2" t="str">
        <x:v>WITHIN_BAND</x:v>
      </x:c>
      <x:c r="H33" s="2" t="n">
        <x:v>1</x:v>
      </x:c>
      <x:c r="I33" s="2" t="n">
        <x:f>IF(AND(COUNTIFS($B$6:$B$797,B33,$C$6:$C$797,C33)=11,COUNTIFS($B$6:$B$797,B33,$C$6:$C$797,C33,$G$6:$G$797,"REVIEW")=0,COUNTIFS($B$6:$B$797,B33,$C$6:$C$797,C33,$H$6:$H$797,1)=11,COUNTIFS($B$6:$B$797,B33,$C$6:$C$797,C33,$F$6:$F$797,"&gt;0")=11),1,0)</x:f>
        <x:v>1</x:v>
      </x:c>
      <x:c r="J33" s="2" t="n">
        <x:f>COUNTIFS($A$6:$A$797,A33)</x:f>
        <x:v>1</x:v>
      </x:c>
    </x:row>
    <x:row r="34" ht="23" customHeight="1">
      <x:c r="A34" s="2" t="str">
        <x:v>61091000_PK_202503_IMPORT</x:v>
      </x:c>
      <x:c r="B34" s="2" t="n">
        <x:v>202503</x:v>
      </x:c>
      <x:c r="C34" s="2" t="str">
        <x:v>61091000</x:v>
      </x:c>
      <x:c r="D34" s="2" t="str">
        <x:v>Pakistan</x:v>
      </x:c>
      <x:c r="E34" s="16" t="n">
        <x:v>6243490</x:v>
      </x:c>
      <x:c r="F34" s="16" t="n">
        <x:v>490700</x:v>
      </x:c>
      <x:c r="G34" s="2" t="str">
        <x:v>WITHIN_BAND</x:v>
      </x:c>
      <x:c r="H34" s="2" t="n">
        <x:v>1</x:v>
      </x:c>
      <x:c r="I34" s="2" t="n">
        <x:f>IF(AND(COUNTIFS($B$6:$B$797,B34,$C$6:$C$797,C34)=11,COUNTIFS($B$6:$B$797,B34,$C$6:$C$797,C34,$G$6:$G$797,"REVIEW")=0,COUNTIFS($B$6:$B$797,B34,$C$6:$C$797,C34,$H$6:$H$797,1)=11,COUNTIFS($B$6:$B$797,B34,$C$6:$C$797,C34,$F$6:$F$797,"&gt;0")=11),1,0)</x:f>
        <x:v>1</x:v>
      </x:c>
      <x:c r="J34" s="2" t="n">
        <x:f>COUNTIFS($A$6:$A$797,A34)</x:f>
        <x:v>1</x:v>
      </x:c>
    </x:row>
    <x:row r="35" ht="23" customHeight="1">
      <x:c r="A35" s="2" t="str">
        <x:v>61091000_LK_202503_IMPORT</x:v>
      </x:c>
      <x:c r="B35" s="2" t="n">
        <x:v>202503</x:v>
      </x:c>
      <x:c r="C35" s="2" t="str">
        <x:v>61091000</x:v>
      </x:c>
      <x:c r="D35" s="2" t="str">
        <x:v>Sri Lanka</x:v>
      </x:c>
      <x:c r="E35" s="16" t="n">
        <x:v>2254033</x:v>
      </x:c>
      <x:c r="F35" s="16" t="n">
        <x:v>192677</x:v>
      </x:c>
      <x:c r="G35" s="2" t="str">
        <x:v>WITHIN_BAND</x:v>
      </x:c>
      <x:c r="H35" s="2" t="n">
        <x:v>1</x:v>
      </x:c>
      <x:c r="I35" s="2" t="n">
        <x:f>IF(AND(COUNTIFS($B$6:$B$797,B35,$C$6:$C$797,C35)=11,COUNTIFS($B$6:$B$797,B35,$C$6:$C$797,C35,$G$6:$G$797,"REVIEW")=0,COUNTIFS($B$6:$B$797,B35,$C$6:$C$797,C35,$H$6:$H$797,1)=11,COUNTIFS($B$6:$B$797,B35,$C$6:$C$797,C35,$F$6:$F$797,"&gt;0")=11),1,0)</x:f>
        <x:v>1</x:v>
      </x:c>
      <x:c r="J35" s="2" t="n">
        <x:f>COUNTIFS($A$6:$A$797,A35)</x:f>
        <x:v>1</x:v>
      </x:c>
    </x:row>
    <x:row r="36" ht="23" customHeight="1">
      <x:c r="A36" s="2" t="str">
        <x:v>61091000_TR_202503_IMPORT</x:v>
      </x:c>
      <x:c r="B36" s="2" t="n">
        <x:v>202503</x:v>
      </x:c>
      <x:c r="C36" s="2" t="str">
        <x:v>61091000</x:v>
      </x:c>
      <x:c r="D36" s="2" t="str">
        <x:v>Turkey</x:v>
      </x:c>
      <x:c r="E36" s="16" t="n">
        <x:v>9693391</x:v>
      </x:c>
      <x:c r="F36" s="16" t="n">
        <x:v>425225</x:v>
      </x:c>
      <x:c r="G36" s="2" t="str">
        <x:v>WITHIN_BAND</x:v>
      </x:c>
      <x:c r="H36" s="2" t="n">
        <x:v>1</x:v>
      </x:c>
      <x:c r="I36" s="2" t="n">
        <x:f>IF(AND(COUNTIFS($B$6:$B$797,B36,$C$6:$C$797,C36)=11,COUNTIFS($B$6:$B$797,B36,$C$6:$C$797,C36,$G$6:$G$797,"REVIEW")=0,COUNTIFS($B$6:$B$797,B36,$C$6:$C$797,C36,$H$6:$H$797,1)=11,COUNTIFS($B$6:$B$797,B36,$C$6:$C$797,C36,$F$6:$F$797,"&gt;0")=11),1,0)</x:f>
        <x:v>1</x:v>
      </x:c>
      <x:c r="J36" s="2" t="n">
        <x:f>COUNTIFS($A$6:$A$797,A36)</x:f>
        <x:v>1</x:v>
      </x:c>
    </x:row>
    <x:row r="37" ht="23" customHeight="1">
      <x:c r="A37" s="2" t="str">
        <x:v>61091000_VN_202503_IMPORT</x:v>
      </x:c>
      <x:c r="B37" s="2" t="n">
        <x:v>202503</x:v>
      </x:c>
      <x:c r="C37" s="2" t="str">
        <x:v>61091000</x:v>
      </x:c>
      <x:c r="D37" s="2" t="str">
        <x:v>Vietnam</x:v>
      </x:c>
      <x:c r="E37" s="16" t="n">
        <x:v>2172591</x:v>
      </x:c>
      <x:c r="F37" s="16" t="n">
        <x:v>101764</x:v>
      </x:c>
      <x:c r="G37" s="2" t="str">
        <x:v>WITHIN_BAND</x:v>
      </x:c>
      <x:c r="H37" s="2" t="n">
        <x:v>1</x:v>
      </x:c>
      <x:c r="I37" s="2" t="n">
        <x:f>IF(AND(COUNTIFS($B$6:$B$797,B37,$C$6:$C$797,C37)=11,COUNTIFS($B$6:$B$797,B37,$C$6:$C$797,C37,$G$6:$G$797,"REVIEW")=0,COUNTIFS($B$6:$B$797,B37,$C$6:$C$797,C37,$H$6:$H$797,1)=11,COUNTIFS($B$6:$B$797,B37,$C$6:$C$797,C37,$F$6:$F$797,"&gt;0")=11),1,0)</x:f>
        <x:v>1</x:v>
      </x:c>
      <x:c r="J37" s="2" t="n">
        <x:f>COUNTIFS($A$6:$A$797,A37)</x:f>
        <x:v>1</x:v>
      </x:c>
    </x:row>
    <x:row r="38" ht="23" customHeight="1">
      <x:c r="A38" s="2" t="str">
        <x:v>61091000_WORLD_202503_IMPORT</x:v>
      </x:c>
      <x:c r="B38" s="2" t="n">
        <x:v>202503</x:v>
      </x:c>
      <x:c r="C38" s="2" t="str">
        <x:v>61091000</x:v>
      </x:c>
      <x:c r="D38" s="2" t="str">
        <x:v>World</x:v>
      </x:c>
      <x:c r="E38" s="16" t="n">
        <x:v>121168985</x:v>
      </x:c>
      <x:c r="F38" s="16" t="n">
        <x:v>8373322</x:v>
      </x:c>
      <x:c r="G38" s="2" t="str">
        <x:v>WITHIN_BAND</x:v>
      </x:c>
      <x:c r="H38" s="2" t="n">
        <x:v>1</x:v>
      </x:c>
      <x:c r="I38" s="2" t="n">
        <x:f>IF(AND(COUNTIFS($B$6:$B$797,B38,$C$6:$C$797,C38)=11,COUNTIFS($B$6:$B$797,B38,$C$6:$C$797,C38,$G$6:$G$797,"REVIEW")=0,COUNTIFS($B$6:$B$797,B38,$C$6:$C$797,C38,$H$6:$H$797,1)=11,COUNTIFS($B$6:$B$797,B38,$C$6:$C$797,C38,$F$6:$F$797,"&gt;0")=11),1,0)</x:f>
        <x:v>1</x:v>
      </x:c>
      <x:c r="J38" s="2" t="n">
        <x:f>COUNTIFS($A$6:$A$797,A38)</x:f>
        <x:v>1</x:v>
      </x:c>
    </x:row>
    <x:row r="39" ht="23" customHeight="1">
      <x:c r="A39" s="2" t="str">
        <x:v>61091000_BD_202504_IMPORT</x:v>
      </x:c>
      <x:c r="B39" s="2" t="n">
        <x:v>202504</x:v>
      </x:c>
      <x:c r="C39" s="2" t="str">
        <x:v>61091000</x:v>
      </x:c>
      <x:c r="D39" s="2" t="str">
        <x:v>Bangladesh</x:v>
      </x:c>
      <x:c r="E39" s="16" t="n">
        <x:v>48906353</x:v>
      </x:c>
      <x:c r="F39" s="16" t="n">
        <x:v>4627983</x:v>
      </x:c>
      <x:c r="G39" s="2" t="str">
        <x:v>WITHIN_BAND</x:v>
      </x:c>
      <x:c r="H39" s="2" t="n">
        <x:v>1</x:v>
      </x:c>
      <x:c r="I39" s="2" t="n">
        <x:f>IF(AND(COUNTIFS($B$6:$B$797,B39,$C$6:$C$797,C39)=11,COUNTIFS($B$6:$B$797,B39,$C$6:$C$797,C39,$G$6:$G$797,"REVIEW")=0,COUNTIFS($B$6:$B$797,B39,$C$6:$C$797,C39,$H$6:$H$797,1)=11,COUNTIFS($B$6:$B$797,B39,$C$6:$C$797,C39,$F$6:$F$797,"&gt;0")=11),1,0)</x:f>
        <x:v>0</x:v>
      </x:c>
      <x:c r="J39" s="2" t="n">
        <x:f>COUNTIFS($A$6:$A$797,A39)</x:f>
        <x:v>1</x:v>
      </x:c>
    </x:row>
    <x:row r="40" ht="23" customHeight="1">
      <x:c r="A40" s="2" t="str">
        <x:v>61091000_KH_202504_IMPORT</x:v>
      </x:c>
      <x:c r="B40" s="2" t="n">
        <x:v>202504</x:v>
      </x:c>
      <x:c r="C40" s="2" t="str">
        <x:v>61091000</x:v>
      </x:c>
      <x:c r="D40" s="2" t="str">
        <x:v>Cambodia</x:v>
      </x:c>
      <x:c r="E40" s="16" t="n">
        <x:v>1729553</x:v>
      </x:c>
      <x:c r="F40" s="16" t="n">
        <x:v>81154</x:v>
      </x:c>
      <x:c r="G40" s="2" t="str">
        <x:v>WITHIN_BAND</x:v>
      </x:c>
      <x:c r="H40" s="2" t="n">
        <x:v>1</x:v>
      </x:c>
      <x:c r="I40" s="2" t="n">
        <x:f>IF(AND(COUNTIFS($B$6:$B$797,B40,$C$6:$C$797,C40)=11,COUNTIFS($B$6:$B$797,B40,$C$6:$C$797,C40,$G$6:$G$797,"REVIEW")=0,COUNTIFS($B$6:$B$797,B40,$C$6:$C$797,C40,$H$6:$H$797,1)=11,COUNTIFS($B$6:$B$797,B40,$C$6:$C$797,C40,$F$6:$F$797,"&gt;0")=11),1,0)</x:f>
        <x:v>0</x:v>
      </x:c>
      <x:c r="J40" s="2" t="n">
        <x:f>COUNTIFS($A$6:$A$797,A40)</x:f>
        <x:v>1</x:v>
      </x:c>
    </x:row>
    <x:row r="41" ht="23" customHeight="1">
      <x:c r="A41" s="2" t="str">
        <x:v>61091000_CN_202504_IMPORT</x:v>
      </x:c>
      <x:c r="B41" s="2" t="n">
        <x:v>202504</x:v>
      </x:c>
      <x:c r="C41" s="2" t="str">
        <x:v>61091000</x:v>
      </x:c>
      <x:c r="D41" s="2" t="str">
        <x:v>China</x:v>
      </x:c>
      <x:c r="E41" s="16" t="n">
        <x:v>3730338</x:v>
      </x:c>
      <x:c r="F41" s="16" t="n">
        <x:v>168903</x:v>
      </x:c>
      <x:c r="G41" s="2" t="str">
        <x:v>WITHIN_BAND</x:v>
      </x:c>
      <x:c r="H41" s="2" t="n">
        <x:v>1</x:v>
      </x:c>
      <x:c r="I41" s="2" t="n">
        <x:f>IF(AND(COUNTIFS($B$6:$B$797,B41,$C$6:$C$797,C41)=11,COUNTIFS($B$6:$B$797,B41,$C$6:$C$797,C41,$G$6:$G$797,"REVIEW")=0,COUNTIFS($B$6:$B$797,B41,$C$6:$C$797,C41,$H$6:$H$797,1)=11,COUNTIFS($B$6:$B$797,B41,$C$6:$C$797,C41,$F$6:$F$797,"&gt;0")=11),1,0)</x:f>
        <x:v>0</x:v>
      </x:c>
      <x:c r="J41" s="2" t="n">
        <x:f>COUNTIFS($A$6:$A$797,A41)</x:f>
        <x:v>1</x:v>
      </x:c>
    </x:row>
    <x:row r="42" ht="23" customHeight="1">
      <x:c r="A42" s="2" t="str">
        <x:v>61091000_IN_202504_IMPORT</x:v>
      </x:c>
      <x:c r="B42" s="2" t="n">
        <x:v>202504</x:v>
      </x:c>
      <x:c r="C42" s="2" t="str">
        <x:v>61091000</x:v>
      </x:c>
      <x:c r="D42" s="2" t="str">
        <x:v>India</x:v>
      </x:c>
      <x:c r="E42" s="16" t="n">
        <x:v>10814486</x:v>
      </x:c>
      <x:c r="F42" s="16" t="n">
        <x:v>757226</x:v>
      </x:c>
      <x:c r="G42" s="2" t="str">
        <x:v>WITHIN_BAND</x:v>
      </x:c>
      <x:c r="H42" s="2" t="n">
        <x:v>1</x:v>
      </x:c>
      <x:c r="I42" s="2" t="n">
        <x:f>IF(AND(COUNTIFS($B$6:$B$797,B42,$C$6:$C$797,C42)=11,COUNTIFS($B$6:$B$797,B42,$C$6:$C$797,C42,$G$6:$G$797,"REVIEW")=0,COUNTIFS($B$6:$B$797,B42,$C$6:$C$797,C42,$H$6:$H$797,1)=11,COUNTIFS($B$6:$B$797,B42,$C$6:$C$797,C42,$F$6:$F$797,"&gt;0")=11),1,0)</x:f>
        <x:v>0</x:v>
      </x:c>
      <x:c r="J42" s="2" t="n">
        <x:f>COUNTIFS($A$6:$A$797,A42)</x:f>
        <x:v>1</x:v>
      </x:c>
    </x:row>
    <x:row r="43" ht="23" customHeight="1">
      <x:c r="A43" s="2" t="str">
        <x:v>61091000_MA_202504_IMPORT</x:v>
      </x:c>
      <x:c r="B43" s="2" t="n">
        <x:v>202504</x:v>
      </x:c>
      <x:c r="C43" s="2" t="str">
        <x:v>61091000</x:v>
      </x:c>
      <x:c r="D43" s="2" t="str">
        <x:v>Morocco</x:v>
      </x:c>
      <x:c r="E43" s="16" t="n">
        <x:v>1520653</x:v>
      </x:c>
      <x:c r="F43" s="16" t="n">
        <x:v>175983</x:v>
      </x:c>
      <x:c r="G43" s="2" t="str">
        <x:v>WITHIN_BAND</x:v>
      </x:c>
      <x:c r="H43" s="2" t="n">
        <x:v>1</x:v>
      </x:c>
      <x:c r="I43" s="2" t="n">
        <x:f>IF(AND(COUNTIFS($B$6:$B$797,B43,$C$6:$C$797,C43)=11,COUNTIFS($B$6:$B$797,B43,$C$6:$C$797,C43,$G$6:$G$797,"REVIEW")=0,COUNTIFS($B$6:$B$797,B43,$C$6:$C$797,C43,$H$6:$H$797,1)=11,COUNTIFS($B$6:$B$797,B43,$C$6:$C$797,C43,$F$6:$F$797,"&gt;0")=11),1,0)</x:f>
        <x:v>0</x:v>
      </x:c>
      <x:c r="J43" s="2" t="n">
        <x:f>COUNTIFS($A$6:$A$797,A43)</x:f>
        <x:v>1</x:v>
      </x:c>
    </x:row>
    <x:row r="44" ht="23" customHeight="1">
      <x:c r="A44" s="2" t="str">
        <x:v>61091000_MM_202504_IMPORT</x:v>
      </x:c>
      <x:c r="B44" s="2" t="n">
        <x:v>202504</x:v>
      </x:c>
      <x:c r="C44" s="2" t="str">
        <x:v>61091000</x:v>
      </x:c>
      <x:c r="D44" s="2" t="str">
        <x:v>Myanmar</x:v>
      </x:c>
      <x:c r="E44" s="16" t="n">
        <x:v>14689</x:v>
      </x:c>
      <x:c r="F44" s="16" t="n">
        <x:v>772</x:v>
      </x:c>
      <x:c r="G44" s="2" t="str">
        <x:v>WITHIN_BAND</x:v>
      </x:c>
      <x:c r="H44" s="2" t="n">
        <x:v>1</x:v>
      </x:c>
      <x:c r="I44" s="2" t="n">
        <x:f>IF(AND(COUNTIFS($B$6:$B$797,B44,$C$6:$C$797,C44)=11,COUNTIFS($B$6:$B$797,B44,$C$6:$C$797,C44,$G$6:$G$797,"REVIEW")=0,COUNTIFS($B$6:$B$797,B44,$C$6:$C$797,C44,$H$6:$H$797,1)=11,COUNTIFS($B$6:$B$797,B44,$C$6:$C$797,C44,$F$6:$F$797,"&gt;0")=11),1,0)</x:f>
        <x:v>0</x:v>
      </x:c>
      <x:c r="J44" s="2" t="n">
        <x:f>COUNTIFS($A$6:$A$797,A44)</x:f>
        <x:v>1</x:v>
      </x:c>
    </x:row>
    <x:row r="45" ht="23" customHeight="1">
      <x:c r="A45" s="2" t="str">
        <x:v>61091000_PK_202504_IMPORT</x:v>
      </x:c>
      <x:c r="B45" s="2" t="n">
        <x:v>202504</x:v>
      </x:c>
      <x:c r="C45" s="2" t="str">
        <x:v>61091000</x:v>
      </x:c>
      <x:c r="D45" s="2" t="str">
        <x:v>Pakistan</x:v>
      </x:c>
      <x:c r="E45" s="16" t="n">
        <x:v>4962494</x:v>
      </x:c>
      <x:c r="F45" s="16" t="n">
        <x:v>1690165</x:v>
      </x:c>
      <x:c r="G45" s="2" t="str">
        <x:v>REVIEW</x:v>
      </x:c>
      <x:c r="H45" s="2" t="n">
        <x:v>1</x:v>
      </x:c>
      <x:c r="I45" s="2" t="n">
        <x:f>IF(AND(COUNTIFS($B$6:$B$797,B45,$C$6:$C$797,C45)=11,COUNTIFS($B$6:$B$797,B45,$C$6:$C$797,C45,$G$6:$G$797,"REVIEW")=0,COUNTIFS($B$6:$B$797,B45,$C$6:$C$797,C45,$H$6:$H$797,1)=11,COUNTIFS($B$6:$B$797,B45,$C$6:$C$797,C45,$F$6:$F$797,"&gt;0")=11),1,0)</x:f>
        <x:v>0</x:v>
      </x:c>
      <x:c r="J45" s="2" t="n">
        <x:f>COUNTIFS($A$6:$A$797,A45)</x:f>
        <x:v>1</x:v>
      </x:c>
    </x:row>
    <x:row r="46" ht="23" customHeight="1">
      <x:c r="A46" s="2" t="str">
        <x:v>61091000_LK_202504_IMPORT</x:v>
      </x:c>
      <x:c r="B46" s="2" t="n">
        <x:v>202504</x:v>
      </x:c>
      <x:c r="C46" s="2" t="str">
        <x:v>61091000</x:v>
      </x:c>
      <x:c r="D46" s="2" t="str">
        <x:v>Sri Lanka</x:v>
      </x:c>
      <x:c r="E46" s="16" t="n">
        <x:v>2522811</x:v>
      </x:c>
      <x:c r="F46" s="16" t="n">
        <x:v>232233</x:v>
      </x:c>
      <x:c r="G46" s="2" t="str">
        <x:v>WITHIN_BAND</x:v>
      </x:c>
      <x:c r="H46" s="2" t="n">
        <x:v>1</x:v>
      </x:c>
      <x:c r="I46" s="2" t="n">
        <x:f>IF(AND(COUNTIFS($B$6:$B$797,B46,$C$6:$C$797,C46)=11,COUNTIFS($B$6:$B$797,B46,$C$6:$C$797,C46,$G$6:$G$797,"REVIEW")=0,COUNTIFS($B$6:$B$797,B46,$C$6:$C$797,C46,$H$6:$H$797,1)=11,COUNTIFS($B$6:$B$797,B46,$C$6:$C$797,C46,$F$6:$F$797,"&gt;0")=11),1,0)</x:f>
        <x:v>0</x:v>
      </x:c>
      <x:c r="J46" s="2" t="n">
        <x:f>COUNTIFS($A$6:$A$797,A46)</x:f>
        <x:v>1</x:v>
      </x:c>
    </x:row>
    <x:row r="47" ht="23" customHeight="1">
      <x:c r="A47" s="2" t="str">
        <x:v>61091000_TR_202504_IMPORT</x:v>
      </x:c>
      <x:c r="B47" s="2" t="n">
        <x:v>202504</x:v>
      </x:c>
      <x:c r="C47" s="2" t="str">
        <x:v>61091000</x:v>
      </x:c>
      <x:c r="D47" s="2" t="str">
        <x:v>Turkey</x:v>
      </x:c>
      <x:c r="E47" s="16" t="n">
        <x:v>9453970</x:v>
      </x:c>
      <x:c r="F47" s="16" t="n">
        <x:v>427719</x:v>
      </x:c>
      <x:c r="G47" s="2" t="str">
        <x:v>WITHIN_BAND</x:v>
      </x:c>
      <x:c r="H47" s="2" t="n">
        <x:v>1</x:v>
      </x:c>
      <x:c r="I47" s="2" t="n">
        <x:f>IF(AND(COUNTIFS($B$6:$B$797,B47,$C$6:$C$797,C47)=11,COUNTIFS($B$6:$B$797,B47,$C$6:$C$797,C47,$G$6:$G$797,"REVIEW")=0,COUNTIFS($B$6:$B$797,B47,$C$6:$C$797,C47,$H$6:$H$797,1)=11,COUNTIFS($B$6:$B$797,B47,$C$6:$C$797,C47,$F$6:$F$797,"&gt;0")=11),1,0)</x:f>
        <x:v>0</x:v>
      </x:c>
      <x:c r="J47" s="2" t="n">
        <x:f>COUNTIFS($A$6:$A$797,A47)</x:f>
        <x:v>1</x:v>
      </x:c>
    </x:row>
    <x:row r="48" ht="23" customHeight="1">
      <x:c r="A48" s="2" t="str">
        <x:v>61091000_VN_202504_IMPORT</x:v>
      </x:c>
      <x:c r="B48" s="2" t="n">
        <x:v>202504</x:v>
      </x:c>
      <x:c r="C48" s="2" t="str">
        <x:v>61091000</x:v>
      </x:c>
      <x:c r="D48" s="2" t="str">
        <x:v>Vietnam</x:v>
      </x:c>
      <x:c r="E48" s="16" t="n">
        <x:v>2894351</x:v>
      </x:c>
      <x:c r="F48" s="16" t="n">
        <x:v>127438</x:v>
      </x:c>
      <x:c r="G48" s="2" t="str">
        <x:v>WITHIN_BAND</x:v>
      </x:c>
      <x:c r="H48" s="2" t="n">
        <x:v>1</x:v>
      </x:c>
      <x:c r="I48" s="2" t="n">
        <x:f>IF(AND(COUNTIFS($B$6:$B$797,B48,$C$6:$C$797,C48)=11,COUNTIFS($B$6:$B$797,B48,$C$6:$C$797,C48,$G$6:$G$797,"REVIEW")=0,COUNTIFS($B$6:$B$797,B48,$C$6:$C$797,C48,$H$6:$H$797,1)=11,COUNTIFS($B$6:$B$797,B48,$C$6:$C$797,C48,$F$6:$F$797,"&gt;0")=11),1,0)</x:f>
        <x:v>0</x:v>
      </x:c>
      <x:c r="J48" s="2" t="n">
        <x:f>COUNTIFS($A$6:$A$797,A48)</x:f>
        <x:v>1</x:v>
      </x:c>
    </x:row>
    <x:row r="49" ht="23" customHeight="1">
      <x:c r="A49" s="2" t="str">
        <x:v>61091000_WORLD_202504_IMPORT</x:v>
      </x:c>
      <x:c r="B49" s="2" t="n">
        <x:v>202504</x:v>
      </x:c>
      <x:c r="C49" s="2" t="str">
        <x:v>61091000</x:v>
      </x:c>
      <x:c r="D49" s="2" t="str">
        <x:v>World</x:v>
      </x:c>
      <x:c r="E49" s="16" t="n">
        <x:v>121169793</x:v>
      </x:c>
      <x:c r="F49" s="16" t="n">
        <x:v>9488825</x:v>
      </x:c>
      <x:c r="G49" s="2" t="str">
        <x:v>WITHIN_BAND</x:v>
      </x:c>
      <x:c r="H49" s="2" t="n">
        <x:v>1</x:v>
      </x:c>
      <x:c r="I49" s="2" t="n">
        <x:f>IF(AND(COUNTIFS($B$6:$B$797,B49,$C$6:$C$797,C49)=11,COUNTIFS($B$6:$B$797,B49,$C$6:$C$797,C49,$G$6:$G$797,"REVIEW")=0,COUNTIFS($B$6:$B$797,B49,$C$6:$C$797,C49,$H$6:$H$797,1)=11,COUNTIFS($B$6:$B$797,B49,$C$6:$C$797,C49,$F$6:$F$797,"&gt;0")=11),1,0)</x:f>
        <x:v>0</x:v>
      </x:c>
      <x:c r="J49" s="2" t="n">
        <x:f>COUNTIFS($A$6:$A$797,A49)</x:f>
        <x:v>1</x:v>
      </x:c>
    </x:row>
    <x:row r="50" ht="23" customHeight="1">
      <x:c r="A50" s="2" t="str">
        <x:v>61091000_BD_202505_IMPORT</x:v>
      </x:c>
      <x:c r="B50" s="2" t="n">
        <x:v>202505</x:v>
      </x:c>
      <x:c r="C50" s="2" t="str">
        <x:v>61091000</x:v>
      </x:c>
      <x:c r="D50" s="2" t="str">
        <x:v>Bangladesh</x:v>
      </x:c>
      <x:c r="E50" s="16" t="n">
        <x:v>49402908</x:v>
      </x:c>
      <x:c r="F50" s="16" t="n">
        <x:v>4653368</x:v>
      </x:c>
      <x:c r="G50" s="2" t="str">
        <x:v>WITHIN_BAND</x:v>
      </x:c>
      <x:c r="H50" s="2" t="n">
        <x:v>1</x:v>
      </x:c>
      <x:c r="I50" s="2" t="n">
        <x:f>IF(AND(COUNTIFS($B$6:$B$797,B50,$C$6:$C$797,C50)=11,COUNTIFS($B$6:$B$797,B50,$C$6:$C$797,C50,$G$6:$G$797,"REVIEW")=0,COUNTIFS($B$6:$B$797,B50,$C$6:$C$797,C50,$H$6:$H$797,1)=11,COUNTIFS($B$6:$B$797,B50,$C$6:$C$797,C50,$F$6:$F$797,"&gt;0")=11),1,0)</x:f>
        <x:v>0</x:v>
      </x:c>
      <x:c r="J50" s="2" t="n">
        <x:f>COUNTIFS($A$6:$A$797,A50)</x:f>
        <x:v>1</x:v>
      </x:c>
    </x:row>
    <x:row r="51" ht="23" customHeight="1">
      <x:c r="A51" s="2" t="str">
        <x:v>61091000_KH_202505_IMPORT</x:v>
      </x:c>
      <x:c r="B51" s="2" t="n">
        <x:v>202505</x:v>
      </x:c>
      <x:c r="C51" s="2" t="str">
        <x:v>61091000</x:v>
      </x:c>
      <x:c r="D51" s="2" t="str">
        <x:v>Cambodia</x:v>
      </x:c>
      <x:c r="E51" s="16" t="n">
        <x:v>761662</x:v>
      </x:c>
      <x:c r="F51" s="16" t="n">
        <x:v>43357</x:v>
      </x:c>
      <x:c r="G51" s="2" t="str">
        <x:v>WITHIN_BAND</x:v>
      </x:c>
      <x:c r="H51" s="2" t="n">
        <x:v>1</x:v>
      </x:c>
      <x:c r="I51" s="2" t="n">
        <x:f>IF(AND(COUNTIFS($B$6:$B$797,B51,$C$6:$C$797,C51)=11,COUNTIFS($B$6:$B$797,B51,$C$6:$C$797,C51,$G$6:$G$797,"REVIEW")=0,COUNTIFS($B$6:$B$797,B51,$C$6:$C$797,C51,$H$6:$H$797,1)=11,COUNTIFS($B$6:$B$797,B51,$C$6:$C$797,C51,$F$6:$F$797,"&gt;0")=11),1,0)</x:f>
        <x:v>0</x:v>
      </x:c>
      <x:c r="J51" s="2" t="n">
        <x:f>COUNTIFS($A$6:$A$797,A51)</x:f>
        <x:v>1</x:v>
      </x:c>
    </x:row>
    <x:row r="52" ht="23" customHeight="1">
      <x:c r="A52" s="2" t="str">
        <x:v>61091000_CN_202505_IMPORT</x:v>
      </x:c>
      <x:c r="B52" s="2" t="n">
        <x:v>202505</x:v>
      </x:c>
      <x:c r="C52" s="2" t="str">
        <x:v>61091000</x:v>
      </x:c>
      <x:c r="D52" s="2" t="str">
        <x:v>China</x:v>
      </x:c>
      <x:c r="E52" s="16" t="n">
        <x:v>4249391</x:v>
      </x:c>
      <x:c r="F52" s="16" t="n">
        <x:v>217550</x:v>
      </x:c>
      <x:c r="G52" s="2" t="str">
        <x:v>WITHIN_BAND</x:v>
      </x:c>
      <x:c r="H52" s="2" t="n">
        <x:v>1</x:v>
      </x:c>
      <x:c r="I52" s="2" t="n">
        <x:f>IF(AND(COUNTIFS($B$6:$B$797,B52,$C$6:$C$797,C52)=11,COUNTIFS($B$6:$B$797,B52,$C$6:$C$797,C52,$G$6:$G$797,"REVIEW")=0,COUNTIFS($B$6:$B$797,B52,$C$6:$C$797,C52,$H$6:$H$797,1)=11,COUNTIFS($B$6:$B$797,B52,$C$6:$C$797,C52,$F$6:$F$797,"&gt;0")=11),1,0)</x:f>
        <x:v>0</x:v>
      </x:c>
      <x:c r="J52" s="2" t="n">
        <x:f>COUNTIFS($A$6:$A$797,A52)</x:f>
        <x:v>1</x:v>
      </x:c>
    </x:row>
    <x:row r="53" ht="23" customHeight="1">
      <x:c r="A53" s="2" t="str">
        <x:v>61091000_IN_202505_IMPORT</x:v>
      </x:c>
      <x:c r="B53" s="2" t="n">
        <x:v>202505</x:v>
      </x:c>
      <x:c r="C53" s="2" t="str">
        <x:v>61091000</x:v>
      </x:c>
      <x:c r="D53" s="2" t="str">
        <x:v>India</x:v>
      </x:c>
      <x:c r="E53" s="16" t="n">
        <x:v>11614345</x:v>
      </x:c>
      <x:c r="F53" s="16" t="n">
        <x:v>936075</x:v>
      </x:c>
      <x:c r="G53" s="2" t="str">
        <x:v>WITHIN_BAND</x:v>
      </x:c>
      <x:c r="H53" s="2" t="n">
        <x:v>1</x:v>
      </x:c>
      <x:c r="I53" s="2" t="n">
        <x:f>IF(AND(COUNTIFS($B$6:$B$797,B53,$C$6:$C$797,C53)=11,COUNTIFS($B$6:$B$797,B53,$C$6:$C$797,C53,$G$6:$G$797,"REVIEW")=0,COUNTIFS($B$6:$B$797,B53,$C$6:$C$797,C53,$H$6:$H$797,1)=11,COUNTIFS($B$6:$B$797,B53,$C$6:$C$797,C53,$F$6:$F$797,"&gt;0")=11),1,0)</x:f>
        <x:v>0</x:v>
      </x:c>
      <x:c r="J53" s="2" t="n">
        <x:f>COUNTIFS($A$6:$A$797,A53)</x:f>
        <x:v>1</x:v>
      </x:c>
    </x:row>
    <x:row r="54" ht="23" customHeight="1">
      <x:c r="A54" s="2" t="str">
        <x:v>61091000_MA_202505_IMPORT</x:v>
      </x:c>
      <x:c r="B54" s="2" t="n">
        <x:v>202505</x:v>
      </x:c>
      <x:c r="C54" s="2" t="str">
        <x:v>61091000</x:v>
      </x:c>
      <x:c r="D54" s="2" t="str">
        <x:v>Morocco</x:v>
      </x:c>
      <x:c r="E54" s="16" t="n">
        <x:v>1745982</x:v>
      </x:c>
      <x:c r="F54" s="16" t="n">
        <x:v>207656</x:v>
      </x:c>
      <x:c r="G54" s="2" t="str">
        <x:v>WITHIN_BAND</x:v>
      </x:c>
      <x:c r="H54" s="2" t="n">
        <x:v>1</x:v>
      </x:c>
      <x:c r="I54" s="2" t="n">
        <x:f>IF(AND(COUNTIFS($B$6:$B$797,B54,$C$6:$C$797,C54)=11,COUNTIFS($B$6:$B$797,B54,$C$6:$C$797,C54,$G$6:$G$797,"REVIEW")=0,COUNTIFS($B$6:$B$797,B54,$C$6:$C$797,C54,$H$6:$H$797,1)=11,COUNTIFS($B$6:$B$797,B54,$C$6:$C$797,C54,$F$6:$F$797,"&gt;0")=11),1,0)</x:f>
        <x:v>0</x:v>
      </x:c>
      <x:c r="J54" s="2" t="n">
        <x:f>COUNTIFS($A$6:$A$797,A54)</x:f>
        <x:v>1</x:v>
      </x:c>
    </x:row>
    <x:row r="55" ht="23" customHeight="1">
      <x:c r="A55" s="2" t="str">
        <x:v>61091000_MM_202505_IMPORT</x:v>
      </x:c>
      <x:c r="B55" s="2" t="n">
        <x:v>202505</x:v>
      </x:c>
      <x:c r="C55" s="2" t="str">
        <x:v>61091000</x:v>
      </x:c>
      <x:c r="D55" s="2" t="str">
        <x:v>Myanmar</x:v>
      </x:c>
      <x:c r="E55" s="16" t="n">
        <x:v>17668</x:v>
      </x:c>
      <x:c r="F55" s="16" t="n">
        <x:v>689</x:v>
      </x:c>
      <x:c r="G55" s="2" t="str">
        <x:v>WITHIN_BAND</x:v>
      </x:c>
      <x:c r="H55" s="2" t="n">
        <x:v>1</x:v>
      </x:c>
      <x:c r="I55" s="2" t="n">
        <x:f>IF(AND(COUNTIFS($B$6:$B$797,B55,$C$6:$C$797,C55)=11,COUNTIFS($B$6:$B$797,B55,$C$6:$C$797,C55,$G$6:$G$797,"REVIEW")=0,COUNTIFS($B$6:$B$797,B55,$C$6:$C$797,C55,$H$6:$H$797,1)=11,COUNTIFS($B$6:$B$797,B55,$C$6:$C$797,C55,$F$6:$F$797,"&gt;0")=11),1,0)</x:f>
        <x:v>0</x:v>
      </x:c>
      <x:c r="J55" s="2" t="n">
        <x:f>COUNTIFS($A$6:$A$797,A55)</x:f>
        <x:v>1</x:v>
      </x:c>
    </x:row>
    <x:row r="56" ht="23" customHeight="1">
      <x:c r="A56" s="2" t="str">
        <x:v>61091000_PK_202505_IMPORT</x:v>
      </x:c>
      <x:c r="B56" s="2" t="n">
        <x:v>202505</x:v>
      </x:c>
      <x:c r="C56" s="2" t="str">
        <x:v>61091000</x:v>
      </x:c>
      <x:c r="D56" s="2" t="str">
        <x:v>Pakistan</x:v>
      </x:c>
      <x:c r="E56" s="16" t="n">
        <x:v>6794255</x:v>
      </x:c>
      <x:c r="F56" s="16" t="n">
        <x:v>3037931</x:v>
      </x:c>
      <x:c r="G56" s="2" t="str">
        <x:v>REVIEW</x:v>
      </x:c>
      <x:c r="H56" s="2" t="n">
        <x:v>1</x:v>
      </x:c>
      <x:c r="I56" s="2" t="n">
        <x:f>IF(AND(COUNTIFS($B$6:$B$797,B56,$C$6:$C$797,C56)=11,COUNTIFS($B$6:$B$797,B56,$C$6:$C$797,C56,$G$6:$G$797,"REVIEW")=0,COUNTIFS($B$6:$B$797,B56,$C$6:$C$797,C56,$H$6:$H$797,1)=11,COUNTIFS($B$6:$B$797,B56,$C$6:$C$797,C56,$F$6:$F$797,"&gt;0")=11),1,0)</x:f>
        <x:v>0</x:v>
      </x:c>
      <x:c r="J56" s="2" t="n">
        <x:f>COUNTIFS($A$6:$A$797,A56)</x:f>
        <x:v>1</x:v>
      </x:c>
    </x:row>
    <x:row r="57" ht="23" customHeight="1">
      <x:c r="A57" s="2" t="str">
        <x:v>61091000_LK_202505_IMPORT</x:v>
      </x:c>
      <x:c r="B57" s="2" t="n">
        <x:v>202505</x:v>
      </x:c>
      <x:c r="C57" s="2" t="str">
        <x:v>61091000</x:v>
      </x:c>
      <x:c r="D57" s="2" t="str">
        <x:v>Sri Lanka</x:v>
      </x:c>
      <x:c r="E57" s="16" t="n">
        <x:v>2254296</x:v>
      </x:c>
      <x:c r="F57" s="16" t="n">
        <x:v>194677</x:v>
      </x:c>
      <x:c r="G57" s="2" t="str">
        <x:v>WITHIN_BAND</x:v>
      </x:c>
      <x:c r="H57" s="2" t="n">
        <x:v>1</x:v>
      </x:c>
      <x:c r="I57" s="2" t="n">
        <x:f>IF(AND(COUNTIFS($B$6:$B$797,B57,$C$6:$C$797,C57)=11,COUNTIFS($B$6:$B$797,B57,$C$6:$C$797,C57,$G$6:$G$797,"REVIEW")=0,COUNTIFS($B$6:$B$797,B57,$C$6:$C$797,C57,$H$6:$H$797,1)=11,COUNTIFS($B$6:$B$797,B57,$C$6:$C$797,C57,$F$6:$F$797,"&gt;0")=11),1,0)</x:f>
        <x:v>0</x:v>
      </x:c>
      <x:c r="J57" s="2" t="n">
        <x:f>COUNTIFS($A$6:$A$797,A57)</x:f>
        <x:v>1</x:v>
      </x:c>
    </x:row>
    <x:row r="58" ht="23" customHeight="1">
      <x:c r="A58" s="2" t="str">
        <x:v>61091000_TR_202505_IMPORT</x:v>
      </x:c>
      <x:c r="B58" s="2" t="n">
        <x:v>202505</x:v>
      </x:c>
      <x:c r="C58" s="2" t="str">
        <x:v>61091000</x:v>
      </x:c>
      <x:c r="D58" s="2" t="str">
        <x:v>Turkey</x:v>
      </x:c>
      <x:c r="E58" s="16" t="n">
        <x:v>12270553</x:v>
      </x:c>
      <x:c r="F58" s="16" t="n">
        <x:v>498668</x:v>
      </x:c>
      <x:c r="G58" s="2" t="str">
        <x:v>WITHIN_BAND</x:v>
      </x:c>
      <x:c r="H58" s="2" t="n">
        <x:v>1</x:v>
      </x:c>
      <x:c r="I58" s="2" t="n">
        <x:f>IF(AND(COUNTIFS($B$6:$B$797,B58,$C$6:$C$797,C58)=11,COUNTIFS($B$6:$B$797,B58,$C$6:$C$797,C58,$G$6:$G$797,"REVIEW")=0,COUNTIFS($B$6:$B$797,B58,$C$6:$C$797,C58,$H$6:$H$797,1)=11,COUNTIFS($B$6:$B$797,B58,$C$6:$C$797,C58,$F$6:$F$797,"&gt;0")=11),1,0)</x:f>
        <x:v>0</x:v>
      </x:c>
      <x:c r="J58" s="2" t="n">
        <x:f>COUNTIFS($A$6:$A$797,A58)</x:f>
        <x:v>1</x:v>
      </x:c>
    </x:row>
    <x:row r="59" ht="23" customHeight="1">
      <x:c r="A59" s="2" t="str">
        <x:v>61091000_VN_202505_IMPORT</x:v>
      </x:c>
      <x:c r="B59" s="2" t="n">
        <x:v>202505</x:v>
      </x:c>
      <x:c r="C59" s="2" t="str">
        <x:v>61091000</x:v>
      </x:c>
      <x:c r="D59" s="2" t="str">
        <x:v>Vietnam</x:v>
      </x:c>
      <x:c r="E59" s="16" t="n">
        <x:v>2693973</x:v>
      </x:c>
      <x:c r="F59" s="16" t="n">
        <x:v>134827</x:v>
      </x:c>
      <x:c r="G59" s="2" t="str">
        <x:v>WITHIN_BAND</x:v>
      </x:c>
      <x:c r="H59" s="2" t="n">
        <x:v>1</x:v>
      </x:c>
      <x:c r="I59" s="2" t="n">
        <x:f>IF(AND(COUNTIFS($B$6:$B$797,B59,$C$6:$C$797,C59)=11,COUNTIFS($B$6:$B$797,B59,$C$6:$C$797,C59,$G$6:$G$797,"REVIEW")=0,COUNTIFS($B$6:$B$797,B59,$C$6:$C$797,C59,$H$6:$H$797,1)=11,COUNTIFS($B$6:$B$797,B59,$C$6:$C$797,C59,$F$6:$F$797,"&gt;0")=11),1,0)</x:f>
        <x:v>0</x:v>
      </x:c>
      <x:c r="J59" s="2" t="n">
        <x:f>COUNTIFS($A$6:$A$797,A59)</x:f>
        <x:v>1</x:v>
      </x:c>
    </x:row>
    <x:row r="60" ht="23" customHeight="1">
      <x:c r="A60" s="2" t="str">
        <x:v>61091000_WORLD_202505_IMPORT</x:v>
      </x:c>
      <x:c r="B60" s="2" t="n">
        <x:v>202505</x:v>
      </x:c>
      <x:c r="C60" s="2" t="str">
        <x:v>61091000</x:v>
      </x:c>
      <x:c r="D60" s="2" t="str">
        <x:v>World</x:v>
      </x:c>
      <x:c r="E60" s="16" t="n">
        <x:v>131665365</x:v>
      </x:c>
      <x:c r="F60" s="16" t="n">
        <x:v>11325525</x:v>
      </x:c>
      <x:c r="G60" s="2" t="str">
        <x:v>WITHIN_BAND</x:v>
      </x:c>
      <x:c r="H60" s="2" t="n">
        <x:v>1</x:v>
      </x:c>
      <x:c r="I60" s="2" t="n">
        <x:f>IF(AND(COUNTIFS($B$6:$B$797,B60,$C$6:$C$797,C60)=11,COUNTIFS($B$6:$B$797,B60,$C$6:$C$797,C60,$G$6:$G$797,"REVIEW")=0,COUNTIFS($B$6:$B$797,B60,$C$6:$C$797,C60,$H$6:$H$797,1)=11,COUNTIFS($B$6:$B$797,B60,$C$6:$C$797,C60,$F$6:$F$797,"&gt;0")=11),1,0)</x:f>
        <x:v>0</x:v>
      </x:c>
      <x:c r="J60" s="2" t="n">
        <x:f>COUNTIFS($A$6:$A$797,A60)</x:f>
        <x:v>1</x:v>
      </x:c>
    </x:row>
    <x:row r="61" ht="23" customHeight="1">
      <x:c r="A61" s="2" t="str">
        <x:v>61091000_BD_202506_IMPORT</x:v>
      </x:c>
      <x:c r="B61" s="2" t="n">
        <x:v>202506</x:v>
      </x:c>
      <x:c r="C61" s="2" t="str">
        <x:v>61091000</x:v>
      </x:c>
      <x:c r="D61" s="2" t="str">
        <x:v>Bangladesh</x:v>
      </x:c>
      <x:c r="E61" s="16" t="n">
        <x:v>38374659</x:v>
      </x:c>
      <x:c r="F61" s="16" t="n">
        <x:v>3942873</x:v>
      </x:c>
      <x:c r="G61" s="2" t="str">
        <x:v>WITHIN_BAND</x:v>
      </x:c>
      <x:c r="H61" s="2" t="n">
        <x:v>1</x:v>
      </x:c>
      <x:c r="I61" s="2" t="n">
        <x:f>IF(AND(COUNTIFS($B$6:$B$797,B61,$C$6:$C$797,C61)=11,COUNTIFS($B$6:$B$797,B61,$C$6:$C$797,C61,$G$6:$G$797,"REVIEW")=0,COUNTIFS($B$6:$B$797,B61,$C$6:$C$797,C61,$H$6:$H$797,1)=11,COUNTIFS($B$6:$B$797,B61,$C$6:$C$797,C61,$F$6:$F$797,"&gt;0")=11),1,0)</x:f>
        <x:v>0</x:v>
      </x:c>
      <x:c r="J61" s="2" t="n">
        <x:f>COUNTIFS($A$6:$A$797,A61)</x:f>
        <x:v>1</x:v>
      </x:c>
    </x:row>
    <x:row r="62" ht="23" customHeight="1">
      <x:c r="A62" s="2" t="str">
        <x:v>61091000_KH_202506_IMPORT</x:v>
      </x:c>
      <x:c r="B62" s="2" t="n">
        <x:v>202506</x:v>
      </x:c>
      <x:c r="C62" s="2" t="str">
        <x:v>61091000</x:v>
      </x:c>
      <x:c r="D62" s="2" t="str">
        <x:v>Cambodia</x:v>
      </x:c>
      <x:c r="E62" s="16" t="n">
        <x:v>432995</x:v>
      </x:c>
      <x:c r="F62" s="16" t="n">
        <x:v>18488</x:v>
      </x:c>
      <x:c r="G62" s="2" t="str">
        <x:v>WITHIN_BAND</x:v>
      </x:c>
      <x:c r="H62" s="2" t="n">
        <x:v>1</x:v>
      </x:c>
      <x:c r="I62" s="2" t="n">
        <x:f>IF(AND(COUNTIFS($B$6:$B$797,B62,$C$6:$C$797,C62)=11,COUNTIFS($B$6:$B$797,B62,$C$6:$C$797,C62,$G$6:$G$797,"REVIEW")=0,COUNTIFS($B$6:$B$797,B62,$C$6:$C$797,C62,$H$6:$H$797,1)=11,COUNTIFS($B$6:$B$797,B62,$C$6:$C$797,C62,$F$6:$F$797,"&gt;0")=11),1,0)</x:f>
        <x:v>0</x:v>
      </x:c>
      <x:c r="J62" s="2" t="n">
        <x:f>COUNTIFS($A$6:$A$797,A62)</x:f>
        <x:v>1</x:v>
      </x:c>
    </x:row>
    <x:row r="63" ht="23" customHeight="1">
      <x:c r="A63" s="2" t="str">
        <x:v>61091000_CN_202506_IMPORT</x:v>
      </x:c>
      <x:c r="B63" s="2" t="n">
        <x:v>202506</x:v>
      </x:c>
      <x:c r="C63" s="2" t="str">
        <x:v>61091000</x:v>
      </x:c>
      <x:c r="D63" s="2" t="str">
        <x:v>China</x:v>
      </x:c>
      <x:c r="E63" s="16" t="n">
        <x:v>3329222</x:v>
      </x:c>
      <x:c r="F63" s="16" t="n">
        <x:v>181905</x:v>
      </x:c>
      <x:c r="G63" s="2" t="str">
        <x:v>WITHIN_BAND</x:v>
      </x:c>
      <x:c r="H63" s="2" t="n">
        <x:v>1</x:v>
      </x:c>
      <x:c r="I63" s="2" t="n">
        <x:f>IF(AND(COUNTIFS($B$6:$B$797,B63,$C$6:$C$797,C63)=11,COUNTIFS($B$6:$B$797,B63,$C$6:$C$797,C63,$G$6:$G$797,"REVIEW")=0,COUNTIFS($B$6:$B$797,B63,$C$6:$C$797,C63,$H$6:$H$797,1)=11,COUNTIFS($B$6:$B$797,B63,$C$6:$C$797,C63,$F$6:$F$797,"&gt;0")=11),1,0)</x:f>
        <x:v>0</x:v>
      </x:c>
      <x:c r="J63" s="2" t="n">
        <x:f>COUNTIFS($A$6:$A$797,A63)</x:f>
        <x:v>1</x:v>
      </x:c>
    </x:row>
    <x:row r="64" ht="23" customHeight="1">
      <x:c r="A64" s="2" t="str">
        <x:v>61091000_IN_202506_IMPORT</x:v>
      </x:c>
      <x:c r="B64" s="2" t="n">
        <x:v>202506</x:v>
      </x:c>
      <x:c r="C64" s="2" t="str">
        <x:v>61091000</x:v>
      </x:c>
      <x:c r="D64" s="2" t="str">
        <x:v>India</x:v>
      </x:c>
      <x:c r="E64" s="16" t="n">
        <x:v>9996136</x:v>
      </x:c>
      <x:c r="F64" s="16" t="n">
        <x:v>801827</x:v>
      </x:c>
      <x:c r="G64" s="2" t="str">
        <x:v>WITHIN_BAND</x:v>
      </x:c>
      <x:c r="H64" s="2" t="n">
        <x:v>1</x:v>
      </x:c>
      <x:c r="I64" s="2" t="n">
        <x:f>IF(AND(COUNTIFS($B$6:$B$797,B64,$C$6:$C$797,C64)=11,COUNTIFS($B$6:$B$797,B64,$C$6:$C$797,C64,$G$6:$G$797,"REVIEW")=0,COUNTIFS($B$6:$B$797,B64,$C$6:$C$797,C64,$H$6:$H$797,1)=11,COUNTIFS($B$6:$B$797,B64,$C$6:$C$797,C64,$F$6:$F$797,"&gt;0")=11),1,0)</x:f>
        <x:v>0</x:v>
      </x:c>
      <x:c r="J64" s="2" t="n">
        <x:f>COUNTIFS($A$6:$A$797,A64)</x:f>
        <x:v>1</x:v>
      </x:c>
    </x:row>
    <x:row r="65" ht="23" customHeight="1">
      <x:c r="A65" s="2" t="str">
        <x:v>61091000_MA_202506_IMPORT</x:v>
      </x:c>
      <x:c r="B65" s="2" t="n">
        <x:v>202506</x:v>
      </x:c>
      <x:c r="C65" s="2" t="str">
        <x:v>61091000</x:v>
      </x:c>
      <x:c r="D65" s="2" t="str">
        <x:v>Morocco</x:v>
      </x:c>
      <x:c r="E65" s="16" t="n">
        <x:v>601598</x:v>
      </x:c>
      <x:c r="F65" s="16" t="n">
        <x:v>48151</x:v>
      </x:c>
      <x:c r="G65" s="2" t="str">
        <x:v>WITHIN_BAND</x:v>
      </x:c>
      <x:c r="H65" s="2" t="n">
        <x:v>1</x:v>
      </x:c>
      <x:c r="I65" s="2" t="n">
        <x:f>IF(AND(COUNTIFS($B$6:$B$797,B65,$C$6:$C$797,C65)=11,COUNTIFS($B$6:$B$797,B65,$C$6:$C$797,C65,$G$6:$G$797,"REVIEW")=0,COUNTIFS($B$6:$B$797,B65,$C$6:$C$797,C65,$H$6:$H$797,1)=11,COUNTIFS($B$6:$B$797,B65,$C$6:$C$797,C65,$F$6:$F$797,"&gt;0")=11),1,0)</x:f>
        <x:v>0</x:v>
      </x:c>
      <x:c r="J65" s="2" t="n">
        <x:f>COUNTIFS($A$6:$A$797,A65)</x:f>
        <x:v>1</x:v>
      </x:c>
    </x:row>
    <x:row r="66" ht="23" customHeight="1">
      <x:c r="A66" s="2" t="str">
        <x:v>61091000_MM_202506_IMPORT</x:v>
      </x:c>
      <x:c r="B66" s="2" t="n">
        <x:v>202506</x:v>
      </x:c>
      <x:c r="C66" s="2" t="str">
        <x:v>61091000</x:v>
      </x:c>
      <x:c r="D66" s="2" t="str">
        <x:v>Myanmar</x:v>
      </x:c>
      <x:c r="E66" s="16" t="n">
        <x:v>73983</x:v>
      </x:c>
      <x:c r="F66" s="16" t="n">
        <x:v>6308</x:v>
      </x:c>
      <x:c r="G66" s="2" t="str">
        <x:v>WITHIN_BAND</x:v>
      </x:c>
      <x:c r="H66" s="2" t="n">
        <x:v>1</x:v>
      </x:c>
      <x:c r="I66" s="2" t="n">
        <x:f>IF(AND(COUNTIFS($B$6:$B$797,B66,$C$6:$C$797,C66)=11,COUNTIFS($B$6:$B$797,B66,$C$6:$C$797,C66,$G$6:$G$797,"REVIEW")=0,COUNTIFS($B$6:$B$797,B66,$C$6:$C$797,C66,$H$6:$H$797,1)=11,COUNTIFS($B$6:$B$797,B66,$C$6:$C$797,C66,$F$6:$F$797,"&gt;0")=11),1,0)</x:f>
        <x:v>0</x:v>
      </x:c>
      <x:c r="J66" s="2" t="n">
        <x:f>COUNTIFS($A$6:$A$797,A66)</x:f>
        <x:v>1</x:v>
      </x:c>
    </x:row>
    <x:row r="67" ht="23" customHeight="1">
      <x:c r="A67" s="2" t="str">
        <x:v>61091000_PK_202506_IMPORT</x:v>
      </x:c>
      <x:c r="B67" s="2" t="n">
        <x:v>202506</x:v>
      </x:c>
      <x:c r="C67" s="2" t="str">
        <x:v>61091000</x:v>
      </x:c>
      <x:c r="D67" s="2" t="str">
        <x:v>Pakistan</x:v>
      </x:c>
      <x:c r="E67" s="16" t="n">
        <x:v>3623560</x:v>
      </x:c>
      <x:c r="F67" s="16" t="n">
        <x:v>1912801</x:v>
      </x:c>
      <x:c r="G67" s="2" t="str">
        <x:v>REVIEW</x:v>
      </x:c>
      <x:c r="H67" s="2" t="n">
        <x:v>1</x:v>
      </x:c>
      <x:c r="I67" s="2" t="n">
        <x:f>IF(AND(COUNTIFS($B$6:$B$797,B67,$C$6:$C$797,C67)=11,COUNTIFS($B$6:$B$797,B67,$C$6:$C$797,C67,$G$6:$G$797,"REVIEW")=0,COUNTIFS($B$6:$B$797,B67,$C$6:$C$797,C67,$H$6:$H$797,1)=11,COUNTIFS($B$6:$B$797,B67,$C$6:$C$797,C67,$F$6:$F$797,"&gt;0")=11),1,0)</x:f>
        <x:v>0</x:v>
      </x:c>
      <x:c r="J67" s="2" t="n">
        <x:f>COUNTIFS($A$6:$A$797,A67)</x:f>
        <x:v>1</x:v>
      </x:c>
    </x:row>
    <x:row r="68" ht="23" customHeight="1">
      <x:c r="A68" s="2" t="str">
        <x:v>61091000_LK_202506_IMPORT</x:v>
      </x:c>
      <x:c r="B68" s="2" t="n">
        <x:v>202506</x:v>
      </x:c>
      <x:c r="C68" s="2" t="str">
        <x:v>61091000</x:v>
      </x:c>
      <x:c r="D68" s="2" t="str">
        <x:v>Sri Lanka</x:v>
      </x:c>
      <x:c r="E68" s="16" t="n">
        <x:v>1725990</x:v>
      </x:c>
      <x:c r="F68" s="16" t="n">
        <x:v>177578</x:v>
      </x:c>
      <x:c r="G68" s="2" t="str">
        <x:v>WITHIN_BAND</x:v>
      </x:c>
      <x:c r="H68" s="2" t="n">
        <x:v>1</x:v>
      </x:c>
      <x:c r="I68" s="2" t="n">
        <x:f>IF(AND(COUNTIFS($B$6:$B$797,B68,$C$6:$C$797,C68)=11,COUNTIFS($B$6:$B$797,B68,$C$6:$C$797,C68,$G$6:$G$797,"REVIEW")=0,COUNTIFS($B$6:$B$797,B68,$C$6:$C$797,C68,$H$6:$H$797,1)=11,COUNTIFS($B$6:$B$797,B68,$C$6:$C$797,C68,$F$6:$F$797,"&gt;0")=11),1,0)</x:f>
        <x:v>0</x:v>
      </x:c>
      <x:c r="J68" s="2" t="n">
        <x:f>COUNTIFS($A$6:$A$797,A68)</x:f>
        <x:v>1</x:v>
      </x:c>
    </x:row>
    <x:row r="69" ht="23" customHeight="1">
      <x:c r="A69" s="2" t="str">
        <x:v>61091000_TR_202506_IMPORT</x:v>
      </x:c>
      <x:c r="B69" s="2" t="n">
        <x:v>202506</x:v>
      </x:c>
      <x:c r="C69" s="2" t="str">
        <x:v>61091000</x:v>
      </x:c>
      <x:c r="D69" s="2" t="str">
        <x:v>Turkey</x:v>
      </x:c>
      <x:c r="E69" s="16" t="n">
        <x:v>11238763</x:v>
      </x:c>
      <x:c r="F69" s="16" t="n">
        <x:v>467817</x:v>
      </x:c>
      <x:c r="G69" s="2" t="str">
        <x:v>WITHIN_BAND</x:v>
      </x:c>
      <x:c r="H69" s="2" t="n">
        <x:v>1</x:v>
      </x:c>
      <x:c r="I69" s="2" t="n">
        <x:f>IF(AND(COUNTIFS($B$6:$B$797,B69,$C$6:$C$797,C69)=11,COUNTIFS($B$6:$B$797,B69,$C$6:$C$797,C69,$G$6:$G$797,"REVIEW")=0,COUNTIFS($B$6:$B$797,B69,$C$6:$C$797,C69,$H$6:$H$797,1)=11,COUNTIFS($B$6:$B$797,B69,$C$6:$C$797,C69,$F$6:$F$797,"&gt;0")=11),1,0)</x:f>
        <x:v>0</x:v>
      </x:c>
      <x:c r="J69" s="2" t="n">
        <x:f>COUNTIFS($A$6:$A$797,A69)</x:f>
        <x:v>1</x:v>
      </x:c>
    </x:row>
    <x:row r="70" ht="23" customHeight="1">
      <x:c r="A70" s="2" t="str">
        <x:v>61091000_VN_202506_IMPORT</x:v>
      </x:c>
      <x:c r="B70" s="2" t="n">
        <x:v>202506</x:v>
      </x:c>
      <x:c r="C70" s="2" t="str">
        <x:v>61091000</x:v>
      </x:c>
      <x:c r="D70" s="2" t="str">
        <x:v>Vietnam</x:v>
      </x:c>
      <x:c r="E70" s="16" t="n">
        <x:v>2934932</x:v>
      </x:c>
      <x:c r="F70" s="16" t="n">
        <x:v>146776</x:v>
      </x:c>
      <x:c r="G70" s="2" t="str">
        <x:v>WITHIN_BAND</x:v>
      </x:c>
      <x:c r="H70" s="2" t="n">
        <x:v>1</x:v>
      </x:c>
      <x:c r="I70" s="2" t="n">
        <x:f>IF(AND(COUNTIFS($B$6:$B$797,B70,$C$6:$C$797,C70)=11,COUNTIFS($B$6:$B$797,B70,$C$6:$C$797,C70,$G$6:$G$797,"REVIEW")=0,COUNTIFS($B$6:$B$797,B70,$C$6:$C$797,C70,$H$6:$H$797,1)=11,COUNTIFS($B$6:$B$797,B70,$C$6:$C$797,C70,$F$6:$F$797,"&gt;0")=11),1,0)</x:f>
        <x:v>0</x:v>
      </x:c>
      <x:c r="J70" s="2" t="n">
        <x:f>COUNTIFS($A$6:$A$797,A70)</x:f>
        <x:v>1</x:v>
      </x:c>
    </x:row>
    <x:row r="71" ht="23" customHeight="1">
      <x:c r="A71" s="2" t="str">
        <x:v>61091000_WORLD_202506_IMPORT</x:v>
      </x:c>
      <x:c r="B71" s="2" t="n">
        <x:v>202506</x:v>
      </x:c>
      <x:c r="C71" s="2" t="str">
        <x:v>61091000</x:v>
      </x:c>
      <x:c r="D71" s="2" t="str">
        <x:v>World</x:v>
      </x:c>
      <x:c r="E71" s="16" t="n">
        <x:v>111578798</x:v>
      </x:c>
      <x:c r="F71" s="16" t="n">
        <x:v>9678731</x:v>
      </x:c>
      <x:c r="G71" s="2" t="str">
        <x:v>WITHIN_BAND</x:v>
      </x:c>
      <x:c r="H71" s="2" t="n">
        <x:v>1</x:v>
      </x:c>
      <x:c r="I71" s="2" t="n">
        <x:f>IF(AND(COUNTIFS($B$6:$B$797,B71,$C$6:$C$797,C71)=11,COUNTIFS($B$6:$B$797,B71,$C$6:$C$797,C71,$G$6:$G$797,"REVIEW")=0,COUNTIFS($B$6:$B$797,B71,$C$6:$C$797,C71,$H$6:$H$797,1)=11,COUNTIFS($B$6:$B$797,B71,$C$6:$C$797,C71,$F$6:$F$797,"&gt;0")=11),1,0)</x:f>
        <x:v>0</x:v>
      </x:c>
      <x:c r="J71" s="2" t="n">
        <x:f>COUNTIFS($A$6:$A$797,A71)</x:f>
        <x:v>1</x:v>
      </x:c>
    </x:row>
    <x:row r="72" ht="23" customHeight="1">
      <x:c r="A72" s="2" t="str">
        <x:v>61091000_BD_202507_IMPORT</x:v>
      </x:c>
      <x:c r="B72" s="2" t="n">
        <x:v>202507</x:v>
      </x:c>
      <x:c r="C72" s="2" t="str">
        <x:v>61091000</x:v>
      </x:c>
      <x:c r="D72" s="2" t="str">
        <x:v>Bangladesh</x:v>
      </x:c>
      <x:c r="E72" s="16" t="n">
        <x:v>39076567</x:v>
      </x:c>
      <x:c r="F72" s="16" t="n">
        <x:v>3842620</x:v>
      </x:c>
      <x:c r="G72" s="2" t="str">
        <x:v>WITHIN_BAND</x:v>
      </x:c>
      <x:c r="H72" s="2" t="n">
        <x:v>1</x:v>
      </x:c>
      <x:c r="I72" s="2" t="n">
        <x:f>IF(AND(COUNTIFS($B$6:$B$797,B72,$C$6:$C$797,C72)=11,COUNTIFS($B$6:$B$797,B72,$C$6:$C$797,C72,$G$6:$G$797,"REVIEW")=0,COUNTIFS($B$6:$B$797,B72,$C$6:$C$797,C72,$H$6:$H$797,1)=11,COUNTIFS($B$6:$B$797,B72,$C$6:$C$797,C72,$F$6:$F$797,"&gt;0")=11),1,0)</x:f>
        <x:v>0</x:v>
      </x:c>
      <x:c r="J72" s="2" t="n">
        <x:f>COUNTIFS($A$6:$A$797,A72)</x:f>
        <x:v>1</x:v>
      </x:c>
    </x:row>
    <x:row r="73" ht="23" customHeight="1">
      <x:c r="A73" s="2" t="str">
        <x:v>61091000_KH_202507_IMPORT</x:v>
      </x:c>
      <x:c r="B73" s="2" t="n">
        <x:v>202507</x:v>
      </x:c>
      <x:c r="C73" s="2" t="str">
        <x:v>61091000</x:v>
      </x:c>
      <x:c r="D73" s="2" t="str">
        <x:v>Cambodia</x:v>
      </x:c>
      <x:c r="E73" s="16" t="n">
        <x:v>521047</x:v>
      </x:c>
      <x:c r="F73" s="16" t="n">
        <x:v>27574</x:v>
      </x:c>
      <x:c r="G73" s="2" t="str">
        <x:v>WITHIN_BAND</x:v>
      </x:c>
      <x:c r="H73" s="2" t="n">
        <x:v>1</x:v>
      </x:c>
      <x:c r="I73" s="2" t="n">
        <x:f>IF(AND(COUNTIFS($B$6:$B$797,B73,$C$6:$C$797,C73)=11,COUNTIFS($B$6:$B$797,B73,$C$6:$C$797,C73,$G$6:$G$797,"REVIEW")=0,COUNTIFS($B$6:$B$797,B73,$C$6:$C$797,C73,$H$6:$H$797,1)=11,COUNTIFS($B$6:$B$797,B73,$C$6:$C$797,C73,$F$6:$F$797,"&gt;0")=11),1,0)</x:f>
        <x:v>0</x:v>
      </x:c>
      <x:c r="J73" s="2" t="n">
        <x:f>COUNTIFS($A$6:$A$797,A73)</x:f>
        <x:v>1</x:v>
      </x:c>
    </x:row>
    <x:row r="74" ht="23" customHeight="1">
      <x:c r="A74" s="2" t="str">
        <x:v>61091000_CN_202507_IMPORT</x:v>
      </x:c>
      <x:c r="B74" s="2" t="n">
        <x:v>202507</x:v>
      </x:c>
      <x:c r="C74" s="2" t="str">
        <x:v>61091000</x:v>
      </x:c>
      <x:c r="D74" s="2" t="str">
        <x:v>China</x:v>
      </x:c>
      <x:c r="E74" s="16" t="n">
        <x:v>3560001</x:v>
      </x:c>
      <x:c r="F74" s="16" t="n">
        <x:v>185715</x:v>
      </x:c>
      <x:c r="G74" s="2" t="str">
        <x:v>WITHIN_BAND</x:v>
      </x:c>
      <x:c r="H74" s="2" t="n">
        <x:v>1</x:v>
      </x:c>
      <x:c r="I74" s="2" t="n">
        <x:f>IF(AND(COUNTIFS($B$6:$B$797,B74,$C$6:$C$797,C74)=11,COUNTIFS($B$6:$B$797,B74,$C$6:$C$797,C74,$G$6:$G$797,"REVIEW")=0,COUNTIFS($B$6:$B$797,B74,$C$6:$C$797,C74,$H$6:$H$797,1)=11,COUNTIFS($B$6:$B$797,B74,$C$6:$C$797,C74,$F$6:$F$797,"&gt;0")=11),1,0)</x:f>
        <x:v>0</x:v>
      </x:c>
      <x:c r="J74" s="2" t="n">
        <x:f>COUNTIFS($A$6:$A$797,A74)</x:f>
        <x:v>1</x:v>
      </x:c>
    </x:row>
    <x:row r="75" ht="23" customHeight="1">
      <x:c r="A75" s="2" t="str">
        <x:v>61091000_IN_202507_IMPORT</x:v>
      </x:c>
      <x:c r="B75" s="2" t="n">
        <x:v>202507</x:v>
      </x:c>
      <x:c r="C75" s="2" t="str">
        <x:v>61091000</x:v>
      </x:c>
      <x:c r="D75" s="2" t="str">
        <x:v>India</x:v>
      </x:c>
      <x:c r="E75" s="16" t="n">
        <x:v>9892531</x:v>
      </x:c>
      <x:c r="F75" s="16" t="n">
        <x:v>797886</x:v>
      </x:c>
      <x:c r="G75" s="2" t="str">
        <x:v>WITHIN_BAND</x:v>
      </x:c>
      <x:c r="H75" s="2" t="n">
        <x:v>1</x:v>
      </x:c>
      <x:c r="I75" s="2" t="n">
        <x:f>IF(AND(COUNTIFS($B$6:$B$797,B75,$C$6:$C$797,C75)=11,COUNTIFS($B$6:$B$797,B75,$C$6:$C$797,C75,$G$6:$G$797,"REVIEW")=0,COUNTIFS($B$6:$B$797,B75,$C$6:$C$797,C75,$H$6:$H$797,1)=11,COUNTIFS($B$6:$B$797,B75,$C$6:$C$797,C75,$F$6:$F$797,"&gt;0")=11),1,0)</x:f>
        <x:v>0</x:v>
      </x:c>
      <x:c r="J75" s="2" t="n">
        <x:f>COUNTIFS($A$6:$A$797,A75)</x:f>
        <x:v>1</x:v>
      </x:c>
    </x:row>
    <x:row r="76" ht="23" customHeight="1">
      <x:c r="A76" s="2" t="str">
        <x:v>61091000_MA_202507_IMPORT</x:v>
      </x:c>
      <x:c r="B76" s="2" t="n">
        <x:v>202507</x:v>
      </x:c>
      <x:c r="C76" s="2" t="str">
        <x:v>61091000</x:v>
      </x:c>
      <x:c r="D76" s="2" t="str">
        <x:v>Morocco</x:v>
      </x:c>
      <x:c r="E76" s="16" t="n">
        <x:v>621854</x:v>
      </x:c>
      <x:c r="F76" s="16" t="n">
        <x:v>31591</x:v>
      </x:c>
      <x:c r="G76" s="2" t="str">
        <x:v>REVIEW</x:v>
      </x:c>
      <x:c r="H76" s="2" t="n">
        <x:v>1</x:v>
      </x:c>
      <x:c r="I76" s="2" t="n">
        <x:f>IF(AND(COUNTIFS($B$6:$B$797,B76,$C$6:$C$797,C76)=11,COUNTIFS($B$6:$B$797,B76,$C$6:$C$797,C76,$G$6:$G$797,"REVIEW")=0,COUNTIFS($B$6:$B$797,B76,$C$6:$C$797,C76,$H$6:$H$797,1)=11,COUNTIFS($B$6:$B$797,B76,$C$6:$C$797,C76,$F$6:$F$797,"&gt;0")=11),1,0)</x:f>
        <x:v>0</x:v>
      </x:c>
      <x:c r="J76" s="2" t="n">
        <x:f>COUNTIFS($A$6:$A$797,A76)</x:f>
        <x:v>1</x:v>
      </x:c>
    </x:row>
    <x:row r="77" ht="23" customHeight="1">
      <x:c r="A77" s="2" t="str">
        <x:v>61091000_MM_202507_IMPORT</x:v>
      </x:c>
      <x:c r="B77" s="2" t="n">
        <x:v>202507</x:v>
      </x:c>
      <x:c r="C77" s="2" t="str">
        <x:v>61091000</x:v>
      </x:c>
      <x:c r="D77" s="2" t="str">
        <x:v>Myanmar</x:v>
      </x:c>
      <x:c r="E77" s="16" t="n">
        <x:v>17154</x:v>
      </x:c>
      <x:c r="F77" s="16" t="n">
        <x:v>843</x:v>
      </x:c>
      <x:c r="G77" s="2" t="str">
        <x:v>WITHIN_BAND</x:v>
      </x:c>
      <x:c r="H77" s="2" t="n">
        <x:v>1</x:v>
      </x:c>
      <x:c r="I77" s="2" t="n">
        <x:f>IF(AND(COUNTIFS($B$6:$B$797,B77,$C$6:$C$797,C77)=11,COUNTIFS($B$6:$B$797,B77,$C$6:$C$797,C77,$G$6:$G$797,"REVIEW")=0,COUNTIFS($B$6:$B$797,B77,$C$6:$C$797,C77,$H$6:$H$797,1)=11,COUNTIFS($B$6:$B$797,B77,$C$6:$C$797,C77,$F$6:$F$797,"&gt;0")=11),1,0)</x:f>
        <x:v>0</x:v>
      </x:c>
      <x:c r="J77" s="2" t="n">
        <x:f>COUNTIFS($A$6:$A$797,A77)</x:f>
        <x:v>1</x:v>
      </x:c>
    </x:row>
    <x:row r="78" ht="23" customHeight="1">
      <x:c r="A78" s="2" t="str">
        <x:v>61091000_PK_202507_IMPORT</x:v>
      </x:c>
      <x:c r="B78" s="2" t="n">
        <x:v>202507</x:v>
      </x:c>
      <x:c r="C78" s="2" t="str">
        <x:v>61091000</x:v>
      </x:c>
      <x:c r="D78" s="2" t="str">
        <x:v>Pakistan</x:v>
      </x:c>
      <x:c r="E78" s="16" t="n">
        <x:v>3981108</x:v>
      </x:c>
      <x:c r="F78" s="16" t="n">
        <x:v>1371785</x:v>
      </x:c>
      <x:c r="G78" s="2" t="str">
        <x:v>REVIEW</x:v>
      </x:c>
      <x:c r="H78" s="2" t="n">
        <x:v>1</x:v>
      </x:c>
      <x:c r="I78" s="2" t="n">
        <x:f>IF(AND(COUNTIFS($B$6:$B$797,B78,$C$6:$C$797,C78)=11,COUNTIFS($B$6:$B$797,B78,$C$6:$C$797,C78,$G$6:$G$797,"REVIEW")=0,COUNTIFS($B$6:$B$797,B78,$C$6:$C$797,C78,$H$6:$H$797,1)=11,COUNTIFS($B$6:$B$797,B78,$C$6:$C$797,C78,$F$6:$F$797,"&gt;0")=11),1,0)</x:f>
        <x:v>0</x:v>
      </x:c>
      <x:c r="J78" s="2" t="n">
        <x:f>COUNTIFS($A$6:$A$797,A78)</x:f>
        <x:v>1</x:v>
      </x:c>
    </x:row>
    <x:row r="79" ht="23" customHeight="1">
      <x:c r="A79" s="2" t="str">
        <x:v>61091000_LK_202507_IMPORT</x:v>
      </x:c>
      <x:c r="B79" s="2" t="n">
        <x:v>202507</x:v>
      </x:c>
      <x:c r="C79" s="2" t="str">
        <x:v>61091000</x:v>
      </x:c>
      <x:c r="D79" s="2" t="str">
        <x:v>Sri Lanka</x:v>
      </x:c>
      <x:c r="E79" s="16" t="n">
        <x:v>2150880</x:v>
      </x:c>
      <x:c r="F79" s="16" t="n">
        <x:v>203890</x:v>
      </x:c>
      <x:c r="G79" s="2" t="str">
        <x:v>WITHIN_BAND</x:v>
      </x:c>
      <x:c r="H79" s="2" t="n">
        <x:v>1</x:v>
      </x:c>
      <x:c r="I79" s="2" t="n">
        <x:f>IF(AND(COUNTIFS($B$6:$B$797,B79,$C$6:$C$797,C79)=11,COUNTIFS($B$6:$B$797,B79,$C$6:$C$797,C79,$G$6:$G$797,"REVIEW")=0,COUNTIFS($B$6:$B$797,B79,$C$6:$C$797,C79,$H$6:$H$797,1)=11,COUNTIFS($B$6:$B$797,B79,$C$6:$C$797,C79,$F$6:$F$797,"&gt;0")=11),1,0)</x:f>
        <x:v>0</x:v>
      </x:c>
      <x:c r="J79" s="2" t="n">
        <x:f>COUNTIFS($A$6:$A$797,A79)</x:f>
        <x:v>1</x:v>
      </x:c>
    </x:row>
    <x:row r="80" ht="23" customHeight="1">
      <x:c r="A80" s="2" t="str">
        <x:v>61091000_TR_202507_IMPORT</x:v>
      </x:c>
      <x:c r="B80" s="2" t="n">
        <x:v>202507</x:v>
      </x:c>
      <x:c r="C80" s="2" t="str">
        <x:v>61091000</x:v>
      </x:c>
      <x:c r="D80" s="2" t="str">
        <x:v>Turkey</x:v>
      </x:c>
      <x:c r="E80" s="16" t="n">
        <x:v>10796049</x:v>
      </x:c>
      <x:c r="F80" s="16" t="n">
        <x:v>455991</x:v>
      </x:c>
      <x:c r="G80" s="2" t="str">
        <x:v>WITHIN_BAND</x:v>
      </x:c>
      <x:c r="H80" s="2" t="n">
        <x:v>1</x:v>
      </x:c>
      <x:c r="I80" s="2" t="n">
        <x:f>IF(AND(COUNTIFS($B$6:$B$797,B80,$C$6:$C$797,C80)=11,COUNTIFS($B$6:$B$797,B80,$C$6:$C$797,C80,$G$6:$G$797,"REVIEW")=0,COUNTIFS($B$6:$B$797,B80,$C$6:$C$797,C80,$H$6:$H$797,1)=11,COUNTIFS($B$6:$B$797,B80,$C$6:$C$797,C80,$F$6:$F$797,"&gt;0")=11),1,0)</x:f>
        <x:v>0</x:v>
      </x:c>
      <x:c r="J80" s="2" t="n">
        <x:f>COUNTIFS($A$6:$A$797,A80)</x:f>
        <x:v>1</x:v>
      </x:c>
    </x:row>
    <x:row r="81" ht="23" customHeight="1">
      <x:c r="A81" s="2" t="str">
        <x:v>61091000_VN_202507_IMPORT</x:v>
      </x:c>
      <x:c r="B81" s="2" t="n">
        <x:v>202507</x:v>
      </x:c>
      <x:c r="C81" s="2" t="str">
        <x:v>61091000</x:v>
      </x:c>
      <x:c r="D81" s="2" t="str">
        <x:v>Vietnam</x:v>
      </x:c>
      <x:c r="E81" s="16" t="n">
        <x:v>2392573</x:v>
      </x:c>
      <x:c r="F81" s="16" t="n">
        <x:v>119114</x:v>
      </x:c>
      <x:c r="G81" s="2" t="str">
        <x:v>WITHIN_BAND</x:v>
      </x:c>
      <x:c r="H81" s="2" t="n">
        <x:v>1</x:v>
      </x:c>
      <x:c r="I81" s="2" t="n">
        <x:f>IF(AND(COUNTIFS($B$6:$B$797,B81,$C$6:$C$797,C81)=11,COUNTIFS($B$6:$B$797,B81,$C$6:$C$797,C81,$G$6:$G$797,"REVIEW")=0,COUNTIFS($B$6:$B$797,B81,$C$6:$C$797,C81,$H$6:$H$797,1)=11,COUNTIFS($B$6:$B$797,B81,$C$6:$C$797,C81,$F$6:$F$797,"&gt;0")=11),1,0)</x:f>
        <x:v>0</x:v>
      </x:c>
      <x:c r="J81" s="2" t="n">
        <x:f>COUNTIFS($A$6:$A$797,A81)</x:f>
        <x:v>1</x:v>
      </x:c>
    </x:row>
    <x:row r="82" ht="23" customHeight="1">
      <x:c r="A82" s="2" t="str">
        <x:v>61091000_WORLD_202507_IMPORT</x:v>
      </x:c>
      <x:c r="B82" s="2" t="n">
        <x:v>202507</x:v>
      </x:c>
      <x:c r="C82" s="2" t="str">
        <x:v>61091000</x:v>
      </x:c>
      <x:c r="D82" s="2" t="str">
        <x:v>World</x:v>
      </x:c>
      <x:c r="E82" s="16" t="n">
        <x:v>113264142</x:v>
      </x:c>
      <x:c r="F82" s="16" t="n">
        <x:v>8458016</x:v>
      </x:c>
      <x:c r="G82" s="2" t="str">
        <x:v>WITHIN_BAND</x:v>
      </x:c>
      <x:c r="H82" s="2" t="n">
        <x:v>1</x:v>
      </x:c>
      <x:c r="I82" s="2" t="n">
        <x:f>IF(AND(COUNTIFS($B$6:$B$797,B82,$C$6:$C$797,C82)=11,COUNTIFS($B$6:$B$797,B82,$C$6:$C$797,C82,$G$6:$G$797,"REVIEW")=0,COUNTIFS($B$6:$B$797,B82,$C$6:$C$797,C82,$H$6:$H$797,1)=11,COUNTIFS($B$6:$B$797,B82,$C$6:$C$797,C82,$F$6:$F$797,"&gt;0")=11),1,0)</x:f>
        <x:v>0</x:v>
      </x:c>
      <x:c r="J82" s="2" t="n">
        <x:f>COUNTIFS($A$6:$A$797,A82)</x:f>
        <x:v>1</x:v>
      </x:c>
    </x:row>
    <x:row r="83" ht="23" customHeight="1">
      <x:c r="A83" s="2" t="str">
        <x:v>61091000_BD_202508_IMPORT</x:v>
      </x:c>
      <x:c r="B83" s="2" t="n">
        <x:v>202508</x:v>
      </x:c>
      <x:c r="C83" s="2" t="str">
        <x:v>61091000</x:v>
      </x:c>
      <x:c r="D83" s="2" t="str">
        <x:v>Bangladesh</x:v>
      </x:c>
      <x:c r="E83" s="16" t="n">
        <x:v>30445215</x:v>
      </x:c>
      <x:c r="F83" s="16" t="n">
        <x:v>2983029</x:v>
      </x:c>
      <x:c r="G83" s="2" t="str">
        <x:v>WITHIN_BAND</x:v>
      </x:c>
      <x:c r="H83" s="2" t="n">
        <x:v>1</x:v>
      </x:c>
      <x:c r="I83" s="2" t="n">
        <x:f>IF(AND(COUNTIFS($B$6:$B$797,B83,$C$6:$C$797,C83)=11,COUNTIFS($B$6:$B$797,B83,$C$6:$C$797,C83,$G$6:$G$797,"REVIEW")=0,COUNTIFS($B$6:$B$797,B83,$C$6:$C$797,C83,$H$6:$H$797,1)=11,COUNTIFS($B$6:$B$797,B83,$C$6:$C$797,C83,$F$6:$F$797,"&gt;0")=11),1,0)</x:f>
        <x:v>1</x:v>
      </x:c>
      <x:c r="J83" s="2" t="n">
        <x:f>COUNTIFS($A$6:$A$797,A83)</x:f>
        <x:v>1</x:v>
      </x:c>
    </x:row>
    <x:row r="84" ht="23" customHeight="1">
      <x:c r="A84" s="2" t="str">
        <x:v>61091000_KH_202508_IMPORT</x:v>
      </x:c>
      <x:c r="B84" s="2" t="n">
        <x:v>202508</x:v>
      </x:c>
      <x:c r="C84" s="2" t="str">
        <x:v>61091000</x:v>
      </x:c>
      <x:c r="D84" s="2" t="str">
        <x:v>Cambodia</x:v>
      </x:c>
      <x:c r="E84" s="16" t="n">
        <x:v>893762</x:v>
      </x:c>
      <x:c r="F84" s="16" t="n">
        <x:v>57771</x:v>
      </x:c>
      <x:c r="G84" s="2" t="str">
        <x:v>WITHIN_BAND</x:v>
      </x:c>
      <x:c r="H84" s="2" t="n">
        <x:v>1</x:v>
      </x:c>
      <x:c r="I84" s="2" t="n">
        <x:f>IF(AND(COUNTIFS($B$6:$B$797,B84,$C$6:$C$797,C84)=11,COUNTIFS($B$6:$B$797,B84,$C$6:$C$797,C84,$G$6:$G$797,"REVIEW")=0,COUNTIFS($B$6:$B$797,B84,$C$6:$C$797,C84,$H$6:$H$797,1)=11,COUNTIFS($B$6:$B$797,B84,$C$6:$C$797,C84,$F$6:$F$797,"&gt;0")=11),1,0)</x:f>
        <x:v>1</x:v>
      </x:c>
      <x:c r="J84" s="2" t="n">
        <x:f>COUNTIFS($A$6:$A$797,A84)</x:f>
        <x:v>1</x:v>
      </x:c>
    </x:row>
    <x:row r="85" ht="23" customHeight="1">
      <x:c r="A85" s="2" t="str">
        <x:v>61091000_CN_202508_IMPORT</x:v>
      </x:c>
      <x:c r="B85" s="2" t="n">
        <x:v>202508</x:v>
      </x:c>
      <x:c r="C85" s="2" t="str">
        <x:v>61091000</x:v>
      </x:c>
      <x:c r="D85" s="2" t="str">
        <x:v>China</x:v>
      </x:c>
      <x:c r="E85" s="16" t="n">
        <x:v>3210787</x:v>
      </x:c>
      <x:c r="F85" s="16" t="n">
        <x:v>183460</x:v>
      </x:c>
      <x:c r="G85" s="2" t="str">
        <x:v>WITHIN_BAND</x:v>
      </x:c>
      <x:c r="H85" s="2" t="n">
        <x:v>1</x:v>
      </x:c>
      <x:c r="I85" s="2" t="n">
        <x:f>IF(AND(COUNTIFS($B$6:$B$797,B85,$C$6:$C$797,C85)=11,COUNTIFS($B$6:$B$797,B85,$C$6:$C$797,C85,$G$6:$G$797,"REVIEW")=0,COUNTIFS($B$6:$B$797,B85,$C$6:$C$797,C85,$H$6:$H$797,1)=11,COUNTIFS($B$6:$B$797,B85,$C$6:$C$797,C85,$F$6:$F$797,"&gt;0")=11),1,0)</x:f>
        <x:v>1</x:v>
      </x:c>
      <x:c r="J85" s="2" t="n">
        <x:f>COUNTIFS($A$6:$A$797,A85)</x:f>
        <x:v>1</x:v>
      </x:c>
    </x:row>
    <x:row r="86" ht="23" customHeight="1">
      <x:c r="A86" s="2" t="str">
        <x:v>61091000_IN_202508_IMPORT</x:v>
      </x:c>
      <x:c r="B86" s="2" t="n">
        <x:v>202508</x:v>
      </x:c>
      <x:c r="C86" s="2" t="str">
        <x:v>61091000</x:v>
      </x:c>
      <x:c r="D86" s="2" t="str">
        <x:v>India</x:v>
      </x:c>
      <x:c r="E86" s="16" t="n">
        <x:v>6358389</x:v>
      </x:c>
      <x:c r="F86" s="16" t="n">
        <x:v>483257</x:v>
      </x:c>
      <x:c r="G86" s="2" t="str">
        <x:v>WITHIN_BAND</x:v>
      </x:c>
      <x:c r="H86" s="2" t="n">
        <x:v>1</x:v>
      </x:c>
      <x:c r="I86" s="2" t="n">
        <x:f>IF(AND(COUNTIFS($B$6:$B$797,B86,$C$6:$C$797,C86)=11,COUNTIFS($B$6:$B$797,B86,$C$6:$C$797,C86,$G$6:$G$797,"REVIEW")=0,COUNTIFS($B$6:$B$797,B86,$C$6:$C$797,C86,$H$6:$H$797,1)=11,COUNTIFS($B$6:$B$797,B86,$C$6:$C$797,C86,$F$6:$F$797,"&gt;0")=11),1,0)</x:f>
        <x:v>1</x:v>
      </x:c>
      <x:c r="J86" s="2" t="n">
        <x:f>COUNTIFS($A$6:$A$797,A86)</x:f>
        <x:v>1</x:v>
      </x:c>
    </x:row>
    <x:row r="87" ht="23" customHeight="1">
      <x:c r="A87" s="2" t="str">
        <x:v>61091000_MA_202508_IMPORT</x:v>
      </x:c>
      <x:c r="B87" s="2" t="n">
        <x:v>202508</x:v>
      </x:c>
      <x:c r="C87" s="2" t="str">
        <x:v>61091000</x:v>
      </x:c>
      <x:c r="D87" s="2" t="str">
        <x:v>Morocco</x:v>
      </x:c>
      <x:c r="E87" s="16" t="n">
        <x:v>956325</x:v>
      </x:c>
      <x:c r="F87" s="16" t="n">
        <x:v>101872</x:v>
      </x:c>
      <x:c r="G87" s="2" t="str">
        <x:v>WITHIN_BAND</x:v>
      </x:c>
      <x:c r="H87" s="2" t="n">
        <x:v>1</x:v>
      </x:c>
      <x:c r="I87" s="2" t="n">
        <x:f>IF(AND(COUNTIFS($B$6:$B$797,B87,$C$6:$C$797,C87)=11,COUNTIFS($B$6:$B$797,B87,$C$6:$C$797,C87,$G$6:$G$797,"REVIEW")=0,COUNTIFS($B$6:$B$797,B87,$C$6:$C$797,C87,$H$6:$H$797,1)=11,COUNTIFS($B$6:$B$797,B87,$C$6:$C$797,C87,$F$6:$F$797,"&gt;0")=11),1,0)</x:f>
        <x:v>1</x:v>
      </x:c>
      <x:c r="J87" s="2" t="n">
        <x:f>COUNTIFS($A$6:$A$797,A87)</x:f>
        <x:v>1</x:v>
      </x:c>
    </x:row>
    <x:row r="88" ht="23" customHeight="1">
      <x:c r="A88" s="2" t="str">
        <x:v>61091000_MM_202508_IMPORT</x:v>
      </x:c>
      <x:c r="B88" s="2" t="n">
        <x:v>202508</x:v>
      </x:c>
      <x:c r="C88" s="2" t="str">
        <x:v>61091000</x:v>
      </x:c>
      <x:c r="D88" s="2" t="str">
        <x:v>Myanmar</x:v>
      </x:c>
      <x:c r="E88" s="16" t="n">
        <x:v>1457</x:v>
      </x:c>
      <x:c r="F88" s="16" t="n">
        <x:v>151</x:v>
      </x:c>
      <x:c r="G88" s="2" t="str">
        <x:v>WITHIN_BAND</x:v>
      </x:c>
      <x:c r="H88" s="2" t="n">
        <x:v>1</x:v>
      </x:c>
      <x:c r="I88" s="2" t="n">
        <x:f>IF(AND(COUNTIFS($B$6:$B$797,B88,$C$6:$C$797,C88)=11,COUNTIFS($B$6:$B$797,B88,$C$6:$C$797,C88,$G$6:$G$797,"REVIEW")=0,COUNTIFS($B$6:$B$797,B88,$C$6:$C$797,C88,$H$6:$H$797,1)=11,COUNTIFS($B$6:$B$797,B88,$C$6:$C$797,C88,$F$6:$F$797,"&gt;0")=11),1,0)</x:f>
        <x:v>1</x:v>
      </x:c>
      <x:c r="J88" s="2" t="n">
        <x:f>COUNTIFS($A$6:$A$797,A88)</x:f>
        <x:v>1</x:v>
      </x:c>
    </x:row>
    <x:row r="89" ht="23" customHeight="1">
      <x:c r="A89" s="2" t="str">
        <x:v>61091000_PK_202508_IMPORT</x:v>
      </x:c>
      <x:c r="B89" s="2" t="n">
        <x:v>202508</x:v>
      </x:c>
      <x:c r="C89" s="2" t="str">
        <x:v>61091000</x:v>
      </x:c>
      <x:c r="D89" s="2" t="str">
        <x:v>Pakistan</x:v>
      </x:c>
      <x:c r="E89" s="16" t="n">
        <x:v>3497808</x:v>
      </x:c>
      <x:c r="F89" s="16" t="n">
        <x:v>491153</x:v>
      </x:c>
      <x:c r="G89" s="2" t="str">
        <x:v>WITHIN_BAND</x:v>
      </x:c>
      <x:c r="H89" s="2" t="n">
        <x:v>1</x:v>
      </x:c>
      <x:c r="I89" s="2" t="n">
        <x:f>IF(AND(COUNTIFS($B$6:$B$797,B89,$C$6:$C$797,C89)=11,COUNTIFS($B$6:$B$797,B89,$C$6:$C$797,C89,$G$6:$G$797,"REVIEW")=0,COUNTIFS($B$6:$B$797,B89,$C$6:$C$797,C89,$H$6:$H$797,1)=11,COUNTIFS($B$6:$B$797,B89,$C$6:$C$797,C89,$F$6:$F$797,"&gt;0")=11),1,0)</x:f>
        <x:v>1</x:v>
      </x:c>
      <x:c r="J89" s="2" t="n">
        <x:f>COUNTIFS($A$6:$A$797,A89)</x:f>
        <x:v>1</x:v>
      </x:c>
    </x:row>
    <x:row r="90" ht="23" customHeight="1">
      <x:c r="A90" s="2" t="str">
        <x:v>61091000_LK_202508_IMPORT</x:v>
      </x:c>
      <x:c r="B90" s="2" t="n">
        <x:v>202508</x:v>
      </x:c>
      <x:c r="C90" s="2" t="str">
        <x:v>61091000</x:v>
      </x:c>
      <x:c r="D90" s="2" t="str">
        <x:v>Sri Lanka</x:v>
      </x:c>
      <x:c r="E90" s="16" t="n">
        <x:v>2177003</x:v>
      </x:c>
      <x:c r="F90" s="16" t="n">
        <x:v>238763</x:v>
      </x:c>
      <x:c r="G90" s="2" t="str">
        <x:v>WITHIN_BAND</x:v>
      </x:c>
      <x:c r="H90" s="2" t="n">
        <x:v>1</x:v>
      </x:c>
      <x:c r="I90" s="2" t="n">
        <x:f>IF(AND(COUNTIFS($B$6:$B$797,B90,$C$6:$C$797,C90)=11,COUNTIFS($B$6:$B$797,B90,$C$6:$C$797,C90,$G$6:$G$797,"REVIEW")=0,COUNTIFS($B$6:$B$797,B90,$C$6:$C$797,C90,$H$6:$H$797,1)=11,COUNTIFS($B$6:$B$797,B90,$C$6:$C$797,C90,$F$6:$F$797,"&gt;0")=11),1,0)</x:f>
        <x:v>1</x:v>
      </x:c>
      <x:c r="J90" s="2" t="n">
        <x:f>COUNTIFS($A$6:$A$797,A90)</x:f>
        <x:v>1</x:v>
      </x:c>
    </x:row>
    <x:row r="91" ht="23" customHeight="1">
      <x:c r="A91" s="2" t="str">
        <x:v>61091000_TR_202508_IMPORT</x:v>
      </x:c>
      <x:c r="B91" s="2" t="n">
        <x:v>202508</x:v>
      </x:c>
      <x:c r="C91" s="2" t="str">
        <x:v>61091000</x:v>
      </x:c>
      <x:c r="D91" s="2" t="str">
        <x:v>Turkey</x:v>
      </x:c>
      <x:c r="E91" s="16" t="n">
        <x:v>9808895</x:v>
      </x:c>
      <x:c r="F91" s="16" t="n">
        <x:v>443559</x:v>
      </x:c>
      <x:c r="G91" s="2" t="str">
        <x:v>WITHIN_BAND</x:v>
      </x:c>
      <x:c r="H91" s="2" t="n">
        <x:v>1</x:v>
      </x:c>
      <x:c r="I91" s="2" t="n">
        <x:f>IF(AND(COUNTIFS($B$6:$B$797,B91,$C$6:$C$797,C91)=11,COUNTIFS($B$6:$B$797,B91,$C$6:$C$797,C91,$G$6:$G$797,"REVIEW")=0,COUNTIFS($B$6:$B$797,B91,$C$6:$C$797,C91,$H$6:$H$797,1)=11,COUNTIFS($B$6:$B$797,B91,$C$6:$C$797,C91,$F$6:$F$797,"&gt;0")=11),1,0)</x:f>
        <x:v>1</x:v>
      </x:c>
      <x:c r="J91" s="2" t="n">
        <x:f>COUNTIFS($A$6:$A$797,A91)</x:f>
        <x:v>1</x:v>
      </x:c>
    </x:row>
    <x:row r="92" ht="23" customHeight="1">
      <x:c r="A92" s="2" t="str">
        <x:v>61091000_VN_202508_IMPORT</x:v>
      </x:c>
      <x:c r="B92" s="2" t="n">
        <x:v>202508</x:v>
      </x:c>
      <x:c r="C92" s="2" t="str">
        <x:v>61091000</x:v>
      </x:c>
      <x:c r="D92" s="2" t="str">
        <x:v>Vietnam</x:v>
      </x:c>
      <x:c r="E92" s="16" t="n">
        <x:v>1875536</x:v>
      </x:c>
      <x:c r="F92" s="16" t="n">
        <x:v>103558</x:v>
      </x:c>
      <x:c r="G92" s="2" t="str">
        <x:v>WITHIN_BAND</x:v>
      </x:c>
      <x:c r="H92" s="2" t="n">
        <x:v>1</x:v>
      </x:c>
      <x:c r="I92" s="2" t="n">
        <x:f>IF(AND(COUNTIFS($B$6:$B$797,B92,$C$6:$C$797,C92)=11,COUNTIFS($B$6:$B$797,B92,$C$6:$C$797,C92,$G$6:$G$797,"REVIEW")=0,COUNTIFS($B$6:$B$797,B92,$C$6:$C$797,C92,$H$6:$H$797,1)=11,COUNTIFS($B$6:$B$797,B92,$C$6:$C$797,C92,$F$6:$F$797,"&gt;0")=11),1,0)</x:f>
        <x:v>1</x:v>
      </x:c>
      <x:c r="J92" s="2" t="n">
        <x:f>COUNTIFS($A$6:$A$797,A92)</x:f>
        <x:v>1</x:v>
      </x:c>
    </x:row>
    <x:row r="93" ht="23" customHeight="1">
      <x:c r="A93" s="2" t="str">
        <x:v>61091000_WORLD_202508_IMPORT</x:v>
      </x:c>
      <x:c r="B93" s="2" t="n">
        <x:v>202508</x:v>
      </x:c>
      <x:c r="C93" s="2" t="str">
        <x:v>61091000</x:v>
      </x:c>
      <x:c r="D93" s="2" t="str">
        <x:v>World</x:v>
      </x:c>
      <x:c r="E93" s="16" t="n">
        <x:v>93012938</x:v>
      </x:c>
      <x:c r="F93" s="16" t="n">
        <x:v>6308421</x:v>
      </x:c>
      <x:c r="G93" s="2" t="str">
        <x:v>WITHIN_BAND</x:v>
      </x:c>
      <x:c r="H93" s="2" t="n">
        <x:v>1</x:v>
      </x:c>
      <x:c r="I93" s="2" t="n">
        <x:f>IF(AND(COUNTIFS($B$6:$B$797,B93,$C$6:$C$797,C93)=11,COUNTIFS($B$6:$B$797,B93,$C$6:$C$797,C93,$G$6:$G$797,"REVIEW")=0,COUNTIFS($B$6:$B$797,B93,$C$6:$C$797,C93,$H$6:$H$797,1)=11,COUNTIFS($B$6:$B$797,B93,$C$6:$C$797,C93,$F$6:$F$797,"&gt;0")=11),1,0)</x:f>
        <x:v>1</x:v>
      </x:c>
      <x:c r="J93" s="2" t="n">
        <x:f>COUNTIFS($A$6:$A$797,A93)</x:f>
        <x:v>1</x:v>
      </x:c>
    </x:row>
    <x:row r="94" ht="23" customHeight="1">
      <x:c r="A94" s="2" t="str">
        <x:v>61091000_BD_202509_IMPORT</x:v>
      </x:c>
      <x:c r="B94" s="2" t="n">
        <x:v>202509</x:v>
      </x:c>
      <x:c r="C94" s="2" t="str">
        <x:v>61091000</x:v>
      </x:c>
      <x:c r="D94" s="2" t="str">
        <x:v>Bangladesh</x:v>
      </x:c>
      <x:c r="E94" s="16" t="n">
        <x:v>35881271</x:v>
      </x:c>
      <x:c r="F94" s="16" t="n">
        <x:v>3674947</x:v>
      </x:c>
      <x:c r="G94" s="2" t="str">
        <x:v>WITHIN_BAND</x:v>
      </x:c>
      <x:c r="H94" s="2" t="n">
        <x:v>1</x:v>
      </x:c>
      <x:c r="I94" s="2" t="n">
        <x:f>IF(AND(COUNTIFS($B$6:$B$797,B94,$C$6:$C$797,C94)=11,COUNTIFS($B$6:$B$797,B94,$C$6:$C$797,C94,$G$6:$G$797,"REVIEW")=0,COUNTIFS($B$6:$B$797,B94,$C$6:$C$797,C94,$H$6:$H$797,1)=11,COUNTIFS($B$6:$B$797,B94,$C$6:$C$797,C94,$F$6:$F$797,"&gt;0")=11),1,0)</x:f>
        <x:v>1</x:v>
      </x:c>
      <x:c r="J94" s="2" t="n">
        <x:f>COUNTIFS($A$6:$A$797,A94)</x:f>
        <x:v>1</x:v>
      </x:c>
    </x:row>
    <x:row r="95" ht="23" customHeight="1">
      <x:c r="A95" s="2" t="str">
        <x:v>61091000_KH_202509_IMPORT</x:v>
      </x:c>
      <x:c r="B95" s="2" t="n">
        <x:v>202509</x:v>
      </x:c>
      <x:c r="C95" s="2" t="str">
        <x:v>61091000</x:v>
      </x:c>
      <x:c r="D95" s="2" t="str">
        <x:v>Cambodia</x:v>
      </x:c>
      <x:c r="E95" s="16" t="n">
        <x:v>732565</x:v>
      </x:c>
      <x:c r="F95" s="16" t="n">
        <x:v>36414</x:v>
      </x:c>
      <x:c r="G95" s="2" t="str">
        <x:v>WITHIN_BAND</x:v>
      </x:c>
      <x:c r="H95" s="2" t="n">
        <x:v>1</x:v>
      </x:c>
      <x:c r="I95" s="2" t="n">
        <x:f>IF(AND(COUNTIFS($B$6:$B$797,B95,$C$6:$C$797,C95)=11,COUNTIFS($B$6:$B$797,B95,$C$6:$C$797,C95,$G$6:$G$797,"REVIEW")=0,COUNTIFS($B$6:$B$797,B95,$C$6:$C$797,C95,$H$6:$H$797,1)=11,COUNTIFS($B$6:$B$797,B95,$C$6:$C$797,C95,$F$6:$F$797,"&gt;0")=11),1,0)</x:f>
        <x:v>1</x:v>
      </x:c>
      <x:c r="J95" s="2" t="n">
        <x:f>COUNTIFS($A$6:$A$797,A95)</x:f>
        <x:v>1</x:v>
      </x:c>
    </x:row>
    <x:row r="96" ht="23" customHeight="1">
      <x:c r="A96" s="2" t="str">
        <x:v>61091000_CN_202509_IMPORT</x:v>
      </x:c>
      <x:c r="B96" s="2" t="n">
        <x:v>202509</x:v>
      </x:c>
      <x:c r="C96" s="2" t="str">
        <x:v>61091000</x:v>
      </x:c>
      <x:c r="D96" s="2" t="str">
        <x:v>China</x:v>
      </x:c>
      <x:c r="E96" s="16" t="n">
        <x:v>2169584</x:v>
      </x:c>
      <x:c r="F96" s="16" t="n">
        <x:v>139734</x:v>
      </x:c>
      <x:c r="G96" s="2" t="str">
        <x:v>WITHIN_BAND</x:v>
      </x:c>
      <x:c r="H96" s="2" t="n">
        <x:v>1</x:v>
      </x:c>
      <x:c r="I96" s="2" t="n">
        <x:f>IF(AND(COUNTIFS($B$6:$B$797,B96,$C$6:$C$797,C96)=11,COUNTIFS($B$6:$B$797,B96,$C$6:$C$797,C96,$G$6:$G$797,"REVIEW")=0,COUNTIFS($B$6:$B$797,B96,$C$6:$C$797,C96,$H$6:$H$797,1)=11,COUNTIFS($B$6:$B$797,B96,$C$6:$C$797,C96,$F$6:$F$797,"&gt;0")=11),1,0)</x:f>
        <x:v>1</x:v>
      </x:c>
      <x:c r="J96" s="2" t="n">
        <x:f>COUNTIFS($A$6:$A$797,A96)</x:f>
        <x:v>1</x:v>
      </x:c>
    </x:row>
    <x:row r="97" ht="23" customHeight="1">
      <x:c r="A97" s="2" t="str">
        <x:v>61091000_IN_202509_IMPORT</x:v>
      </x:c>
      <x:c r="B97" s="2" t="n">
        <x:v>202509</x:v>
      </x:c>
      <x:c r="C97" s="2" t="str">
        <x:v>61091000</x:v>
      </x:c>
      <x:c r="D97" s="2" t="str">
        <x:v>India</x:v>
      </x:c>
      <x:c r="E97" s="16" t="n">
        <x:v>7648799</x:v>
      </x:c>
      <x:c r="F97" s="16" t="n">
        <x:v>614177</x:v>
      </x:c>
      <x:c r="G97" s="2" t="str">
        <x:v>WITHIN_BAND</x:v>
      </x:c>
      <x:c r="H97" s="2" t="n">
        <x:v>1</x:v>
      </x:c>
      <x:c r="I97" s="2" t="n">
        <x:f>IF(AND(COUNTIFS($B$6:$B$797,B97,$C$6:$C$797,C97)=11,COUNTIFS($B$6:$B$797,B97,$C$6:$C$797,C97,$G$6:$G$797,"REVIEW")=0,COUNTIFS($B$6:$B$797,B97,$C$6:$C$797,C97,$H$6:$H$797,1)=11,COUNTIFS($B$6:$B$797,B97,$C$6:$C$797,C97,$F$6:$F$797,"&gt;0")=11),1,0)</x:f>
        <x:v>1</x:v>
      </x:c>
      <x:c r="J97" s="2" t="n">
        <x:f>COUNTIFS($A$6:$A$797,A97)</x:f>
        <x:v>1</x:v>
      </x:c>
    </x:row>
    <x:row r="98" ht="23" customHeight="1">
      <x:c r="A98" s="2" t="str">
        <x:v>61091000_MA_202509_IMPORT</x:v>
      </x:c>
      <x:c r="B98" s="2" t="n">
        <x:v>202509</x:v>
      </x:c>
      <x:c r="C98" s="2" t="str">
        <x:v>61091000</x:v>
      </x:c>
      <x:c r="D98" s="2" t="str">
        <x:v>Morocco</x:v>
      </x:c>
      <x:c r="E98" s="16" t="n">
        <x:v>1260971</x:v>
      </x:c>
      <x:c r="F98" s="16" t="n">
        <x:v>149520</x:v>
      </x:c>
      <x:c r="G98" s="2" t="str">
        <x:v>WITHIN_BAND</x:v>
      </x:c>
      <x:c r="H98" s="2" t="n">
        <x:v>1</x:v>
      </x:c>
      <x:c r="I98" s="2" t="n">
        <x:f>IF(AND(COUNTIFS($B$6:$B$797,B98,$C$6:$C$797,C98)=11,COUNTIFS($B$6:$B$797,B98,$C$6:$C$797,C98,$G$6:$G$797,"REVIEW")=0,COUNTIFS($B$6:$B$797,B98,$C$6:$C$797,C98,$H$6:$H$797,1)=11,COUNTIFS($B$6:$B$797,B98,$C$6:$C$797,C98,$F$6:$F$797,"&gt;0")=11),1,0)</x:f>
        <x:v>1</x:v>
      </x:c>
      <x:c r="J98" s="2" t="n">
        <x:f>COUNTIFS($A$6:$A$797,A98)</x:f>
        <x:v>1</x:v>
      </x:c>
    </x:row>
    <x:row r="99" ht="23" customHeight="1">
      <x:c r="A99" s="2" t="str">
        <x:v>61091000_MM_202509_IMPORT</x:v>
      </x:c>
      <x:c r="B99" s="2" t="n">
        <x:v>202509</x:v>
      </x:c>
      <x:c r="C99" s="2" t="str">
        <x:v>61091000</x:v>
      </x:c>
      <x:c r="D99" s="2" t="str">
        <x:v>Myanmar</x:v>
      </x:c>
      <x:c r="E99" s="16" t="n">
        <x:v>1263</x:v>
      </x:c>
      <x:c r="F99" s="16" t="n">
        <x:v>151</x:v>
      </x:c>
      <x:c r="G99" s="2" t="str">
        <x:v>WITHIN_BAND</x:v>
      </x:c>
      <x:c r="H99" s="2" t="n">
        <x:v>1</x:v>
      </x:c>
      <x:c r="I99" s="2" t="n">
        <x:f>IF(AND(COUNTIFS($B$6:$B$797,B99,$C$6:$C$797,C99)=11,COUNTIFS($B$6:$B$797,B99,$C$6:$C$797,C99,$G$6:$G$797,"REVIEW")=0,COUNTIFS($B$6:$B$797,B99,$C$6:$C$797,C99,$H$6:$H$797,1)=11,COUNTIFS($B$6:$B$797,B99,$C$6:$C$797,C99,$F$6:$F$797,"&gt;0")=11),1,0)</x:f>
        <x:v>1</x:v>
      </x:c>
      <x:c r="J99" s="2" t="n">
        <x:f>COUNTIFS($A$6:$A$797,A99)</x:f>
        <x:v>1</x:v>
      </x:c>
    </x:row>
    <x:row r="100" ht="23" customHeight="1">
      <x:c r="A100" s="2" t="str">
        <x:v>61091000_PK_202509_IMPORT</x:v>
      </x:c>
      <x:c r="B100" s="2" t="n">
        <x:v>202509</x:v>
      </x:c>
      <x:c r="C100" s="2" t="str">
        <x:v>61091000</x:v>
      </x:c>
      <x:c r="D100" s="2" t="str">
        <x:v>Pakistan</x:v>
      </x:c>
      <x:c r="E100" s="16" t="n">
        <x:v>3116735</x:v>
      </x:c>
      <x:c r="F100" s="16" t="n">
        <x:v>285833</x:v>
      </x:c>
      <x:c r="G100" s="2" t="str">
        <x:v>WITHIN_BAND</x:v>
      </x:c>
      <x:c r="H100" s="2" t="n">
        <x:v>1</x:v>
      </x:c>
      <x:c r="I100" s="2" t="n">
        <x:f>IF(AND(COUNTIFS($B$6:$B$797,B100,$C$6:$C$797,C100)=11,COUNTIFS($B$6:$B$797,B100,$C$6:$C$797,C100,$G$6:$G$797,"REVIEW")=0,COUNTIFS($B$6:$B$797,B100,$C$6:$C$797,C100,$H$6:$H$797,1)=11,COUNTIFS($B$6:$B$797,B100,$C$6:$C$797,C100,$F$6:$F$797,"&gt;0")=11),1,0)</x:f>
        <x:v>1</x:v>
      </x:c>
      <x:c r="J100" s="2" t="n">
        <x:f>COUNTIFS($A$6:$A$797,A100)</x:f>
        <x:v>1</x:v>
      </x:c>
    </x:row>
    <x:row r="101" ht="23" customHeight="1">
      <x:c r="A101" s="2" t="str">
        <x:v>61091000_LK_202509_IMPORT</x:v>
      </x:c>
      <x:c r="B101" s="2" t="n">
        <x:v>202509</x:v>
      </x:c>
      <x:c r="C101" s="2" t="str">
        <x:v>61091000</x:v>
      </x:c>
      <x:c r="D101" s="2" t="str">
        <x:v>Sri Lanka</x:v>
      </x:c>
      <x:c r="E101" s="16" t="n">
        <x:v>1281010</x:v>
      </x:c>
      <x:c r="F101" s="16" t="n">
        <x:v>113144</x:v>
      </x:c>
      <x:c r="G101" s="2" t="str">
        <x:v>WITHIN_BAND</x:v>
      </x:c>
      <x:c r="H101" s="2" t="n">
        <x:v>1</x:v>
      </x:c>
      <x:c r="I101" s="2" t="n">
        <x:f>IF(AND(COUNTIFS($B$6:$B$797,B101,$C$6:$C$797,C101)=11,COUNTIFS($B$6:$B$797,B101,$C$6:$C$797,C101,$G$6:$G$797,"REVIEW")=0,COUNTIFS($B$6:$B$797,B101,$C$6:$C$797,C101,$H$6:$H$797,1)=11,COUNTIFS($B$6:$B$797,B101,$C$6:$C$797,C101,$F$6:$F$797,"&gt;0")=11),1,0)</x:f>
        <x:v>1</x:v>
      </x:c>
      <x:c r="J101" s="2" t="n">
        <x:f>COUNTIFS($A$6:$A$797,A101)</x:f>
        <x:v>1</x:v>
      </x:c>
    </x:row>
    <x:row r="102" ht="23" customHeight="1">
      <x:c r="A102" s="2" t="str">
        <x:v>61091000_TR_202509_IMPORT</x:v>
      </x:c>
      <x:c r="B102" s="2" t="n">
        <x:v>202509</x:v>
      </x:c>
      <x:c r="C102" s="2" t="str">
        <x:v>61091000</x:v>
      </x:c>
      <x:c r="D102" s="2" t="str">
        <x:v>Turkey</x:v>
      </x:c>
      <x:c r="E102" s="16" t="n">
        <x:v>8273950</x:v>
      </x:c>
      <x:c r="F102" s="16" t="n">
        <x:v>431723</x:v>
      </x:c>
      <x:c r="G102" s="2" t="str">
        <x:v>WITHIN_BAND</x:v>
      </x:c>
      <x:c r="H102" s="2" t="n">
        <x:v>1</x:v>
      </x:c>
      <x:c r="I102" s="2" t="n">
        <x:f>IF(AND(COUNTIFS($B$6:$B$797,B102,$C$6:$C$797,C102)=11,COUNTIFS($B$6:$B$797,B102,$C$6:$C$797,C102,$G$6:$G$797,"REVIEW")=0,COUNTIFS($B$6:$B$797,B102,$C$6:$C$797,C102,$H$6:$H$797,1)=11,COUNTIFS($B$6:$B$797,B102,$C$6:$C$797,C102,$F$6:$F$797,"&gt;0")=11),1,0)</x:f>
        <x:v>1</x:v>
      </x:c>
      <x:c r="J102" s="2" t="n">
        <x:f>COUNTIFS($A$6:$A$797,A102)</x:f>
        <x:v>1</x:v>
      </x:c>
    </x:row>
    <x:row r="103" ht="23" customHeight="1">
      <x:c r="A103" s="2" t="str">
        <x:v>61091000_VN_202509_IMPORT</x:v>
      </x:c>
      <x:c r="B103" s="2" t="n">
        <x:v>202509</x:v>
      </x:c>
      <x:c r="C103" s="2" t="str">
        <x:v>61091000</x:v>
      </x:c>
      <x:c r="D103" s="2" t="str">
        <x:v>Vietnam</x:v>
      </x:c>
      <x:c r="E103" s="16" t="n">
        <x:v>1502846</x:v>
      </x:c>
      <x:c r="F103" s="16" t="n">
        <x:v>60217</x:v>
      </x:c>
      <x:c r="G103" s="2" t="str">
        <x:v>WITHIN_BAND</x:v>
      </x:c>
      <x:c r="H103" s="2" t="n">
        <x:v>1</x:v>
      </x:c>
      <x:c r="I103" s="2" t="n">
        <x:f>IF(AND(COUNTIFS($B$6:$B$797,B103,$C$6:$C$797,C103)=11,COUNTIFS($B$6:$B$797,B103,$C$6:$C$797,C103,$G$6:$G$797,"REVIEW")=0,COUNTIFS($B$6:$B$797,B103,$C$6:$C$797,C103,$H$6:$H$797,1)=11,COUNTIFS($B$6:$B$797,B103,$C$6:$C$797,C103,$F$6:$F$797,"&gt;0")=11),1,0)</x:f>
        <x:v>1</x:v>
      </x:c>
      <x:c r="J103" s="2" t="n">
        <x:f>COUNTIFS($A$6:$A$797,A103)</x:f>
        <x:v>1</x:v>
      </x:c>
    </x:row>
    <x:row r="104" ht="23" customHeight="1">
      <x:c r="A104" s="2" t="str">
        <x:v>61091000_WORLD_202509_IMPORT</x:v>
      </x:c>
      <x:c r="B104" s="2" t="n">
        <x:v>202509</x:v>
      </x:c>
      <x:c r="C104" s="2" t="str">
        <x:v>61091000</x:v>
      </x:c>
      <x:c r="D104" s="2" t="str">
        <x:v>World</x:v>
      </x:c>
      <x:c r="E104" s="16" t="n">
        <x:v>92852108</x:v>
      </x:c>
      <x:c r="F104" s="16" t="n">
        <x:v>7059358</x:v>
      </x:c>
      <x:c r="G104" s="2" t="str">
        <x:v>WITHIN_BAND</x:v>
      </x:c>
      <x:c r="H104" s="2" t="n">
        <x:v>1</x:v>
      </x:c>
      <x:c r="I104" s="2" t="n">
        <x:f>IF(AND(COUNTIFS($B$6:$B$797,B104,$C$6:$C$797,C104)=11,COUNTIFS($B$6:$B$797,B104,$C$6:$C$797,C104,$G$6:$G$797,"REVIEW")=0,COUNTIFS($B$6:$B$797,B104,$C$6:$C$797,C104,$H$6:$H$797,1)=11,COUNTIFS($B$6:$B$797,B104,$C$6:$C$797,C104,$F$6:$F$797,"&gt;0")=11),1,0)</x:f>
        <x:v>1</x:v>
      </x:c>
      <x:c r="J104" s="2" t="n">
        <x:f>COUNTIFS($A$6:$A$797,A104)</x:f>
        <x:v>1</x:v>
      </x:c>
    </x:row>
    <x:row r="105" ht="23" customHeight="1">
      <x:c r="A105" s="2" t="str">
        <x:v>61091000_BD_202510_IMPORT</x:v>
      </x:c>
      <x:c r="B105" s="2" t="n">
        <x:v>202510</x:v>
      </x:c>
      <x:c r="C105" s="2" t="str">
        <x:v>61091000</x:v>
      </x:c>
      <x:c r="D105" s="2" t="str">
        <x:v>Bangladesh</x:v>
      </x:c>
      <x:c r="E105" s="16" t="n">
        <x:v>33462332</x:v>
      </x:c>
      <x:c r="F105" s="16" t="n">
        <x:v>3276421</x:v>
      </x:c>
      <x:c r="G105" s="2" t="str">
        <x:v>WITHIN_BAND</x:v>
      </x:c>
      <x:c r="H105" s="2" t="n">
        <x:v>1</x:v>
      </x:c>
      <x:c r="I105" s="2" t="n">
        <x:f>IF(AND(COUNTIFS($B$6:$B$797,B105,$C$6:$C$797,C105)=11,COUNTIFS($B$6:$B$797,B105,$C$6:$C$797,C105,$G$6:$G$797,"REVIEW")=0,COUNTIFS($B$6:$B$797,B105,$C$6:$C$797,C105,$H$6:$H$797,1)=11,COUNTIFS($B$6:$B$797,B105,$C$6:$C$797,C105,$F$6:$F$797,"&gt;0")=11),1,0)</x:f>
        <x:v>1</x:v>
      </x:c>
      <x:c r="J105" s="2" t="n">
        <x:f>COUNTIFS($A$6:$A$797,A105)</x:f>
        <x:v>1</x:v>
      </x:c>
    </x:row>
    <x:row r="106" ht="23" customHeight="1">
      <x:c r="A106" s="2" t="str">
        <x:v>61091000_KH_202510_IMPORT</x:v>
      </x:c>
      <x:c r="B106" s="2" t="n">
        <x:v>202510</x:v>
      </x:c>
      <x:c r="C106" s="2" t="str">
        <x:v>61091000</x:v>
      </x:c>
      <x:c r="D106" s="2" t="str">
        <x:v>Cambodia</x:v>
      </x:c>
      <x:c r="E106" s="16" t="n">
        <x:v>1407919</x:v>
      </x:c>
      <x:c r="F106" s="16" t="n">
        <x:v>60511</x:v>
      </x:c>
      <x:c r="G106" s="2" t="str">
        <x:v>WITHIN_BAND</x:v>
      </x:c>
      <x:c r="H106" s="2" t="n">
        <x:v>1</x:v>
      </x:c>
      <x:c r="I106" s="2" t="n">
        <x:f>IF(AND(COUNTIFS($B$6:$B$797,B106,$C$6:$C$797,C106)=11,COUNTIFS($B$6:$B$797,B106,$C$6:$C$797,C106,$G$6:$G$797,"REVIEW")=0,COUNTIFS($B$6:$B$797,B106,$C$6:$C$797,C106,$H$6:$H$797,1)=11,COUNTIFS($B$6:$B$797,B106,$C$6:$C$797,C106,$F$6:$F$797,"&gt;0")=11),1,0)</x:f>
        <x:v>1</x:v>
      </x:c>
      <x:c r="J106" s="2" t="n">
        <x:f>COUNTIFS($A$6:$A$797,A106)</x:f>
        <x:v>1</x:v>
      </x:c>
    </x:row>
    <x:row r="107" ht="23" customHeight="1">
      <x:c r="A107" s="2" t="str">
        <x:v>61091000_CN_202510_IMPORT</x:v>
      </x:c>
      <x:c r="B107" s="2" t="n">
        <x:v>202510</x:v>
      </x:c>
      <x:c r="C107" s="2" t="str">
        <x:v>61091000</x:v>
      </x:c>
      <x:c r="D107" s="2" t="str">
        <x:v>China</x:v>
      </x:c>
      <x:c r="E107" s="16" t="n">
        <x:v>3385435</x:v>
      </x:c>
      <x:c r="F107" s="16" t="n">
        <x:v>203612</x:v>
      </x:c>
      <x:c r="G107" s="2" t="str">
        <x:v>WITHIN_BAND</x:v>
      </x:c>
      <x:c r="H107" s="2" t="n">
        <x:v>1</x:v>
      </x:c>
      <x:c r="I107" s="2" t="n">
        <x:f>IF(AND(COUNTIFS($B$6:$B$797,B107,$C$6:$C$797,C107)=11,COUNTIFS($B$6:$B$797,B107,$C$6:$C$797,C107,$G$6:$G$797,"REVIEW")=0,COUNTIFS($B$6:$B$797,B107,$C$6:$C$797,C107,$H$6:$H$797,1)=11,COUNTIFS($B$6:$B$797,B107,$C$6:$C$797,C107,$F$6:$F$797,"&gt;0")=11),1,0)</x:f>
        <x:v>1</x:v>
      </x:c>
      <x:c r="J107" s="2" t="n">
        <x:f>COUNTIFS($A$6:$A$797,A107)</x:f>
        <x:v>1</x:v>
      </x:c>
    </x:row>
    <x:row r="108" ht="23" customHeight="1">
      <x:c r="A108" s="2" t="str">
        <x:v>61091000_IN_202510_IMPORT</x:v>
      </x:c>
      <x:c r="B108" s="2" t="n">
        <x:v>202510</x:v>
      </x:c>
      <x:c r="C108" s="2" t="str">
        <x:v>61091000</x:v>
      </x:c>
      <x:c r="D108" s="2" t="str">
        <x:v>India</x:v>
      </x:c>
      <x:c r="E108" s="16" t="n">
        <x:v>7590084</x:v>
      </x:c>
      <x:c r="F108" s="16" t="n">
        <x:v>611634</x:v>
      </x:c>
      <x:c r="G108" s="2" t="str">
        <x:v>WITHIN_BAND</x:v>
      </x:c>
      <x:c r="H108" s="2" t="n">
        <x:v>1</x:v>
      </x:c>
      <x:c r="I108" s="2" t="n">
        <x:f>IF(AND(COUNTIFS($B$6:$B$797,B108,$C$6:$C$797,C108)=11,COUNTIFS($B$6:$B$797,B108,$C$6:$C$797,C108,$G$6:$G$797,"REVIEW")=0,COUNTIFS($B$6:$B$797,B108,$C$6:$C$797,C108,$H$6:$H$797,1)=11,COUNTIFS($B$6:$B$797,B108,$C$6:$C$797,C108,$F$6:$F$797,"&gt;0")=11),1,0)</x:f>
        <x:v>1</x:v>
      </x:c>
      <x:c r="J108" s="2" t="n">
        <x:f>COUNTIFS($A$6:$A$797,A108)</x:f>
        <x:v>1</x:v>
      </x:c>
    </x:row>
    <x:row r="109" ht="23" customHeight="1">
      <x:c r="A109" s="2" t="str">
        <x:v>61091000_MA_202510_IMPORT</x:v>
      </x:c>
      <x:c r="B109" s="2" t="n">
        <x:v>202510</x:v>
      </x:c>
      <x:c r="C109" s="2" t="str">
        <x:v>61091000</x:v>
      </x:c>
      <x:c r="D109" s="2" t="str">
        <x:v>Morocco</x:v>
      </x:c>
      <x:c r="E109" s="16" t="n">
        <x:v>887550</x:v>
      </x:c>
      <x:c r="F109" s="16" t="n">
        <x:v>81521</x:v>
      </x:c>
      <x:c r="G109" s="2" t="str">
        <x:v>WITHIN_BAND</x:v>
      </x:c>
      <x:c r="H109" s="2" t="n">
        <x:v>1</x:v>
      </x:c>
      <x:c r="I109" s="2" t="n">
        <x:f>IF(AND(COUNTIFS($B$6:$B$797,B109,$C$6:$C$797,C109)=11,COUNTIFS($B$6:$B$797,B109,$C$6:$C$797,C109,$G$6:$G$797,"REVIEW")=0,COUNTIFS($B$6:$B$797,B109,$C$6:$C$797,C109,$H$6:$H$797,1)=11,COUNTIFS($B$6:$B$797,B109,$C$6:$C$797,C109,$F$6:$F$797,"&gt;0")=11),1,0)</x:f>
        <x:v>1</x:v>
      </x:c>
      <x:c r="J109" s="2" t="n">
        <x:f>COUNTIFS($A$6:$A$797,A109)</x:f>
        <x:v>1</x:v>
      </x:c>
    </x:row>
    <x:row r="110" ht="23" customHeight="1">
      <x:c r="A110" s="2" t="str">
        <x:v>61091000_MM_202510_IMPORT</x:v>
      </x:c>
      <x:c r="B110" s="2" t="n">
        <x:v>202510</x:v>
      </x:c>
      <x:c r="C110" s="2" t="str">
        <x:v>61091000</x:v>
      </x:c>
      <x:c r="D110" s="2" t="str">
        <x:v>Myanmar</x:v>
      </x:c>
      <x:c r="E110" s="16" t="n">
        <x:v>17824</x:v>
      </x:c>
      <x:c r="F110" s="16" t="n">
        <x:v>1248</x:v>
      </x:c>
      <x:c r="G110" s="2" t="str">
        <x:v>WITHIN_BAND</x:v>
      </x:c>
      <x:c r="H110" s="2" t="n">
        <x:v>1</x:v>
      </x:c>
      <x:c r="I110" s="2" t="n">
        <x:f>IF(AND(COUNTIFS($B$6:$B$797,B110,$C$6:$C$797,C110)=11,COUNTIFS($B$6:$B$797,B110,$C$6:$C$797,C110,$G$6:$G$797,"REVIEW")=0,COUNTIFS($B$6:$B$797,B110,$C$6:$C$797,C110,$H$6:$H$797,1)=11,COUNTIFS($B$6:$B$797,B110,$C$6:$C$797,C110,$F$6:$F$797,"&gt;0")=11),1,0)</x:f>
        <x:v>1</x:v>
      </x:c>
      <x:c r="J110" s="2" t="n">
        <x:f>COUNTIFS($A$6:$A$797,A110)</x:f>
        <x:v>1</x:v>
      </x:c>
    </x:row>
    <x:row r="111" ht="23" customHeight="1">
      <x:c r="A111" s="2" t="str">
        <x:v>61091000_PK_202510_IMPORT</x:v>
      </x:c>
      <x:c r="B111" s="2" t="n">
        <x:v>202510</x:v>
      </x:c>
      <x:c r="C111" s="2" t="str">
        <x:v>61091000</x:v>
      </x:c>
      <x:c r="D111" s="2" t="str">
        <x:v>Pakistan</x:v>
      </x:c>
      <x:c r="E111" s="16" t="n">
        <x:v>3660321</x:v>
      </x:c>
      <x:c r="F111" s="16" t="n">
        <x:v>303870</x:v>
      </x:c>
      <x:c r="G111" s="2" t="str">
        <x:v>WITHIN_BAND</x:v>
      </x:c>
      <x:c r="H111" s="2" t="n">
        <x:v>1</x:v>
      </x:c>
      <x:c r="I111" s="2" t="n">
        <x:f>IF(AND(COUNTIFS($B$6:$B$797,B111,$C$6:$C$797,C111)=11,COUNTIFS($B$6:$B$797,B111,$C$6:$C$797,C111,$G$6:$G$797,"REVIEW")=0,COUNTIFS($B$6:$B$797,B111,$C$6:$C$797,C111,$H$6:$H$797,1)=11,COUNTIFS($B$6:$B$797,B111,$C$6:$C$797,C111,$F$6:$F$797,"&gt;0")=11),1,0)</x:f>
        <x:v>1</x:v>
      </x:c>
      <x:c r="J111" s="2" t="n">
        <x:f>COUNTIFS($A$6:$A$797,A111)</x:f>
        <x:v>1</x:v>
      </x:c>
    </x:row>
    <x:row r="112" ht="23" customHeight="1">
      <x:c r="A112" s="2" t="str">
        <x:v>61091000_LK_202510_IMPORT</x:v>
      </x:c>
      <x:c r="B112" s="2" t="n">
        <x:v>202510</x:v>
      </x:c>
      <x:c r="C112" s="2" t="str">
        <x:v>61091000</x:v>
      </x:c>
      <x:c r="D112" s="2" t="str">
        <x:v>Sri Lanka</x:v>
      </x:c>
      <x:c r="E112" s="16" t="n">
        <x:v>1630740</x:v>
      </x:c>
      <x:c r="F112" s="16" t="n">
        <x:v>202579</x:v>
      </x:c>
      <x:c r="G112" s="2" t="str">
        <x:v>WITHIN_BAND</x:v>
      </x:c>
      <x:c r="H112" s="2" t="n">
        <x:v>1</x:v>
      </x:c>
      <x:c r="I112" s="2" t="n">
        <x:f>IF(AND(COUNTIFS($B$6:$B$797,B112,$C$6:$C$797,C112)=11,COUNTIFS($B$6:$B$797,B112,$C$6:$C$797,C112,$G$6:$G$797,"REVIEW")=0,COUNTIFS($B$6:$B$797,B112,$C$6:$C$797,C112,$H$6:$H$797,1)=11,COUNTIFS($B$6:$B$797,B112,$C$6:$C$797,C112,$F$6:$F$797,"&gt;0")=11),1,0)</x:f>
        <x:v>1</x:v>
      </x:c>
      <x:c r="J112" s="2" t="n">
        <x:f>COUNTIFS($A$6:$A$797,A112)</x:f>
        <x:v>1</x:v>
      </x:c>
    </x:row>
    <x:row r="113" ht="23" customHeight="1">
      <x:c r="A113" s="2" t="str">
        <x:v>61091000_TR_202510_IMPORT</x:v>
      </x:c>
      <x:c r="B113" s="2" t="n">
        <x:v>202510</x:v>
      </x:c>
      <x:c r="C113" s="2" t="str">
        <x:v>61091000</x:v>
      </x:c>
      <x:c r="D113" s="2" t="str">
        <x:v>Turkey</x:v>
      </x:c>
      <x:c r="E113" s="16" t="n">
        <x:v>7138599</x:v>
      </x:c>
      <x:c r="F113" s="16" t="n">
        <x:v>339530</x:v>
      </x:c>
      <x:c r="G113" s="2" t="str">
        <x:v>WITHIN_BAND</x:v>
      </x:c>
      <x:c r="H113" s="2" t="n">
        <x:v>1</x:v>
      </x:c>
      <x:c r="I113" s="2" t="n">
        <x:f>IF(AND(COUNTIFS($B$6:$B$797,B113,$C$6:$C$797,C113)=11,COUNTIFS($B$6:$B$797,B113,$C$6:$C$797,C113,$G$6:$G$797,"REVIEW")=0,COUNTIFS($B$6:$B$797,B113,$C$6:$C$797,C113,$H$6:$H$797,1)=11,COUNTIFS($B$6:$B$797,B113,$C$6:$C$797,C113,$F$6:$F$797,"&gt;0")=11),1,0)</x:f>
        <x:v>1</x:v>
      </x:c>
      <x:c r="J113" s="2" t="n">
        <x:f>COUNTIFS($A$6:$A$797,A113)</x:f>
        <x:v>1</x:v>
      </x:c>
    </x:row>
    <x:row r="114" ht="23" customHeight="1">
      <x:c r="A114" s="2" t="str">
        <x:v>61091000_VN_202510_IMPORT</x:v>
      </x:c>
      <x:c r="B114" s="2" t="n">
        <x:v>202510</x:v>
      </x:c>
      <x:c r="C114" s="2" t="str">
        <x:v>61091000</x:v>
      </x:c>
      <x:c r="D114" s="2" t="str">
        <x:v>Vietnam</x:v>
      </x:c>
      <x:c r="E114" s="16" t="n">
        <x:v>984572</x:v>
      </x:c>
      <x:c r="F114" s="16" t="n">
        <x:v>48805</x:v>
      </x:c>
      <x:c r="G114" s="2" t="str">
        <x:v>WITHIN_BAND</x:v>
      </x:c>
      <x:c r="H114" s="2" t="n">
        <x:v>1</x:v>
      </x:c>
      <x:c r="I114" s="2" t="n">
        <x:f>IF(AND(COUNTIFS($B$6:$B$797,B114,$C$6:$C$797,C114)=11,COUNTIFS($B$6:$B$797,B114,$C$6:$C$797,C114,$G$6:$G$797,"REVIEW")=0,COUNTIFS($B$6:$B$797,B114,$C$6:$C$797,C114,$H$6:$H$797,1)=11,COUNTIFS($B$6:$B$797,B114,$C$6:$C$797,C114,$F$6:$F$797,"&gt;0")=11),1,0)</x:f>
        <x:v>1</x:v>
      </x:c>
      <x:c r="J114" s="2" t="n">
        <x:f>COUNTIFS($A$6:$A$797,A114)</x:f>
        <x:v>1</x:v>
      </x:c>
    </x:row>
    <x:row r="115" ht="23" customHeight="1">
      <x:c r="A115" s="2" t="str">
        <x:v>61091000_WORLD_202510_IMPORT</x:v>
      </x:c>
      <x:c r="B115" s="2" t="n">
        <x:v>202510</x:v>
      </x:c>
      <x:c r="C115" s="2" t="str">
        <x:v>61091000</x:v>
      </x:c>
      <x:c r="D115" s="2" t="str">
        <x:v>World</x:v>
      </x:c>
      <x:c r="E115" s="16" t="n">
        <x:v>91915424</x:v>
      </x:c>
      <x:c r="F115" s="16" t="n">
        <x:v>6190983</x:v>
      </x:c>
      <x:c r="G115" s="2" t="str">
        <x:v>WITHIN_BAND</x:v>
      </x:c>
      <x:c r="H115" s="2" t="n">
        <x:v>1</x:v>
      </x:c>
      <x:c r="I115" s="2" t="n">
        <x:f>IF(AND(COUNTIFS($B$6:$B$797,B115,$C$6:$C$797,C115)=11,COUNTIFS($B$6:$B$797,B115,$C$6:$C$797,C115,$G$6:$G$797,"REVIEW")=0,COUNTIFS($B$6:$B$797,B115,$C$6:$C$797,C115,$H$6:$H$797,1)=11,COUNTIFS($B$6:$B$797,B115,$C$6:$C$797,C115,$F$6:$F$797,"&gt;0")=11),1,0)</x:f>
        <x:v>1</x:v>
      </x:c>
      <x:c r="J115" s="2" t="n">
        <x:f>COUNTIFS($A$6:$A$797,A115)</x:f>
        <x:v>1</x:v>
      </x:c>
    </x:row>
    <x:row r="116" ht="23" customHeight="1">
      <x:c r="A116" s="2" t="str">
        <x:v>61091000_BD_202511_IMPORT</x:v>
      </x:c>
      <x:c r="B116" s="2" t="n">
        <x:v>202511</x:v>
      </x:c>
      <x:c r="C116" s="2" t="str">
        <x:v>61091000</x:v>
      </x:c>
      <x:c r="D116" s="2" t="str">
        <x:v>Bangladesh</x:v>
      </x:c>
      <x:c r="E116" s="16" t="n">
        <x:v>29640810</x:v>
      </x:c>
      <x:c r="F116" s="16" t="n">
        <x:v>3057922</x:v>
      </x:c>
      <x:c r="G116" s="2" t="str">
        <x:v>WITHIN_BAND</x:v>
      </x:c>
      <x:c r="H116" s="2" t="n">
        <x:v>1</x:v>
      </x:c>
      <x:c r="I116" s="2" t="n">
        <x:f>IF(AND(COUNTIFS($B$6:$B$797,B116,$C$6:$C$797,C116)=11,COUNTIFS($B$6:$B$797,B116,$C$6:$C$797,C116,$G$6:$G$797,"REVIEW")=0,COUNTIFS($B$6:$B$797,B116,$C$6:$C$797,C116,$H$6:$H$797,1)=11,COUNTIFS($B$6:$B$797,B116,$C$6:$C$797,C116,$F$6:$F$797,"&gt;0")=11),1,0)</x:f>
        <x:v>1</x:v>
      </x:c>
      <x:c r="J116" s="2" t="n">
        <x:f>COUNTIFS($A$6:$A$797,A116)</x:f>
        <x:v>1</x:v>
      </x:c>
    </x:row>
    <x:row r="117" ht="23" customHeight="1">
      <x:c r="A117" s="2" t="str">
        <x:v>61091000_KH_202511_IMPORT</x:v>
      </x:c>
      <x:c r="B117" s="2" t="n">
        <x:v>202511</x:v>
      </x:c>
      <x:c r="C117" s="2" t="str">
        <x:v>61091000</x:v>
      </x:c>
      <x:c r="D117" s="2" t="str">
        <x:v>Cambodia</x:v>
      </x:c>
      <x:c r="E117" s="16" t="n">
        <x:v>590069</x:v>
      </x:c>
      <x:c r="F117" s="16" t="n">
        <x:v>28458</x:v>
      </x:c>
      <x:c r="G117" s="2" t="str">
        <x:v>WITHIN_BAND</x:v>
      </x:c>
      <x:c r="H117" s="2" t="n">
        <x:v>1</x:v>
      </x:c>
      <x:c r="I117" s="2" t="n">
        <x:f>IF(AND(COUNTIFS($B$6:$B$797,B117,$C$6:$C$797,C117)=11,COUNTIFS($B$6:$B$797,B117,$C$6:$C$797,C117,$G$6:$G$797,"REVIEW")=0,COUNTIFS($B$6:$B$797,B117,$C$6:$C$797,C117,$H$6:$H$797,1)=11,COUNTIFS($B$6:$B$797,B117,$C$6:$C$797,C117,$F$6:$F$797,"&gt;0")=11),1,0)</x:f>
        <x:v>1</x:v>
      </x:c>
      <x:c r="J117" s="2" t="n">
        <x:f>COUNTIFS($A$6:$A$797,A117)</x:f>
        <x:v>1</x:v>
      </x:c>
    </x:row>
    <x:row r="118" ht="23" customHeight="1">
      <x:c r="A118" s="2" t="str">
        <x:v>61091000_CN_202511_IMPORT</x:v>
      </x:c>
      <x:c r="B118" s="2" t="n">
        <x:v>202511</x:v>
      </x:c>
      <x:c r="C118" s="2" t="str">
        <x:v>61091000</x:v>
      </x:c>
      <x:c r="D118" s="2" t="str">
        <x:v>China</x:v>
      </x:c>
      <x:c r="E118" s="16" t="n">
        <x:v>2550741</x:v>
      </x:c>
      <x:c r="F118" s="16" t="n">
        <x:v>160627</x:v>
      </x:c>
      <x:c r="G118" s="2" t="str">
        <x:v>WITHIN_BAND</x:v>
      </x:c>
      <x:c r="H118" s="2" t="n">
        <x:v>1</x:v>
      </x:c>
      <x:c r="I118" s="2" t="n">
        <x:f>IF(AND(COUNTIFS($B$6:$B$797,B118,$C$6:$C$797,C118)=11,COUNTIFS($B$6:$B$797,B118,$C$6:$C$797,C118,$G$6:$G$797,"REVIEW")=0,COUNTIFS($B$6:$B$797,B118,$C$6:$C$797,C118,$H$6:$H$797,1)=11,COUNTIFS($B$6:$B$797,B118,$C$6:$C$797,C118,$F$6:$F$797,"&gt;0")=11),1,0)</x:f>
        <x:v>1</x:v>
      </x:c>
      <x:c r="J118" s="2" t="n">
        <x:f>COUNTIFS($A$6:$A$797,A118)</x:f>
        <x:v>1</x:v>
      </x:c>
    </x:row>
    <x:row r="119" ht="23" customHeight="1">
      <x:c r="A119" s="2" t="str">
        <x:v>61091000_IN_202511_IMPORT</x:v>
      </x:c>
      <x:c r="B119" s="2" t="n">
        <x:v>202511</x:v>
      </x:c>
      <x:c r="C119" s="2" t="str">
        <x:v>61091000</x:v>
      </x:c>
      <x:c r="D119" s="2" t="str">
        <x:v>India</x:v>
      </x:c>
      <x:c r="E119" s="16" t="n">
        <x:v>6214639</x:v>
      </x:c>
      <x:c r="F119" s="16" t="n">
        <x:v>512627</x:v>
      </x:c>
      <x:c r="G119" s="2" t="str">
        <x:v>WITHIN_BAND</x:v>
      </x:c>
      <x:c r="H119" s="2" t="n">
        <x:v>1</x:v>
      </x:c>
      <x:c r="I119" s="2" t="n">
        <x:f>IF(AND(COUNTIFS($B$6:$B$797,B119,$C$6:$C$797,C119)=11,COUNTIFS($B$6:$B$797,B119,$C$6:$C$797,C119,$G$6:$G$797,"REVIEW")=0,COUNTIFS($B$6:$B$797,B119,$C$6:$C$797,C119,$H$6:$H$797,1)=11,COUNTIFS($B$6:$B$797,B119,$C$6:$C$797,C119,$F$6:$F$797,"&gt;0")=11),1,0)</x:f>
        <x:v>1</x:v>
      </x:c>
      <x:c r="J119" s="2" t="n">
        <x:f>COUNTIFS($A$6:$A$797,A119)</x:f>
        <x:v>1</x:v>
      </x:c>
    </x:row>
    <x:row r="120" ht="23" customHeight="1">
      <x:c r="A120" s="2" t="str">
        <x:v>61091000_MA_202511_IMPORT</x:v>
      </x:c>
      <x:c r="B120" s="2" t="n">
        <x:v>202511</x:v>
      </x:c>
      <x:c r="C120" s="2" t="str">
        <x:v>61091000</x:v>
      </x:c>
      <x:c r="D120" s="2" t="str">
        <x:v>Morocco</x:v>
      </x:c>
      <x:c r="E120" s="16" t="n">
        <x:v>873263</x:v>
      </x:c>
      <x:c r="F120" s="16" t="n">
        <x:v>105461</x:v>
      </x:c>
      <x:c r="G120" s="2" t="str">
        <x:v>WITHIN_BAND</x:v>
      </x:c>
      <x:c r="H120" s="2" t="n">
        <x:v>1</x:v>
      </x:c>
      <x:c r="I120" s="2" t="n">
        <x:f>IF(AND(COUNTIFS($B$6:$B$797,B120,$C$6:$C$797,C120)=11,COUNTIFS($B$6:$B$797,B120,$C$6:$C$797,C120,$G$6:$G$797,"REVIEW")=0,COUNTIFS($B$6:$B$797,B120,$C$6:$C$797,C120,$H$6:$H$797,1)=11,COUNTIFS($B$6:$B$797,B120,$C$6:$C$797,C120,$F$6:$F$797,"&gt;0")=11),1,0)</x:f>
        <x:v>1</x:v>
      </x:c>
      <x:c r="J120" s="2" t="n">
        <x:f>COUNTIFS($A$6:$A$797,A120)</x:f>
        <x:v>1</x:v>
      </x:c>
    </x:row>
    <x:row r="121" ht="23" customHeight="1">
      <x:c r="A121" s="2" t="str">
        <x:v>61091000_MM_202511_IMPORT</x:v>
      </x:c>
      <x:c r="B121" s="2" t="n">
        <x:v>202511</x:v>
      </x:c>
      <x:c r="C121" s="2" t="str">
        <x:v>61091000</x:v>
      </x:c>
      <x:c r="D121" s="2" t="str">
        <x:v>Myanmar</x:v>
      </x:c>
      <x:c r="E121" s="16" t="n">
        <x:v>1255</x:v>
      </x:c>
      <x:c r="F121" s="16" t="n">
        <x:v>38</x:v>
      </x:c>
      <x:c r="G121" s="2" t="str">
        <x:v>WITHIN_BAND</x:v>
      </x:c>
      <x:c r="H121" s="2" t="n">
        <x:v>1</x:v>
      </x:c>
      <x:c r="I121" s="2" t="n">
        <x:f>IF(AND(COUNTIFS($B$6:$B$797,B121,$C$6:$C$797,C121)=11,COUNTIFS($B$6:$B$797,B121,$C$6:$C$797,C121,$G$6:$G$797,"REVIEW")=0,COUNTIFS($B$6:$B$797,B121,$C$6:$C$797,C121,$H$6:$H$797,1)=11,COUNTIFS($B$6:$B$797,B121,$C$6:$C$797,C121,$F$6:$F$797,"&gt;0")=11),1,0)</x:f>
        <x:v>1</x:v>
      </x:c>
      <x:c r="J121" s="2" t="n">
        <x:f>COUNTIFS($A$6:$A$797,A121)</x:f>
        <x:v>1</x:v>
      </x:c>
    </x:row>
    <x:row r="122" ht="23" customHeight="1">
      <x:c r="A122" s="2" t="str">
        <x:v>61091000_PK_202511_IMPORT</x:v>
      </x:c>
      <x:c r="B122" s="2" t="n">
        <x:v>202511</x:v>
      </x:c>
      <x:c r="C122" s="2" t="str">
        <x:v>61091000</x:v>
      </x:c>
      <x:c r="D122" s="2" t="str">
        <x:v>Pakistan</x:v>
      </x:c>
      <x:c r="E122" s="16" t="n">
        <x:v>3103123</x:v>
      </x:c>
      <x:c r="F122" s="16" t="n">
        <x:v>282048</x:v>
      </x:c>
      <x:c r="G122" s="2" t="str">
        <x:v>WITHIN_BAND</x:v>
      </x:c>
      <x:c r="H122" s="2" t="n">
        <x:v>1</x:v>
      </x:c>
      <x:c r="I122" s="2" t="n">
        <x:f>IF(AND(COUNTIFS($B$6:$B$797,B122,$C$6:$C$797,C122)=11,COUNTIFS($B$6:$B$797,B122,$C$6:$C$797,C122,$G$6:$G$797,"REVIEW")=0,COUNTIFS($B$6:$B$797,B122,$C$6:$C$797,C122,$H$6:$H$797,1)=11,COUNTIFS($B$6:$B$797,B122,$C$6:$C$797,C122,$F$6:$F$797,"&gt;0")=11),1,0)</x:f>
        <x:v>1</x:v>
      </x:c>
      <x:c r="J122" s="2" t="n">
        <x:f>COUNTIFS($A$6:$A$797,A122)</x:f>
        <x:v>1</x:v>
      </x:c>
    </x:row>
    <x:row r="123" ht="23" customHeight="1">
      <x:c r="A123" s="2" t="str">
        <x:v>61091000_LK_202511_IMPORT</x:v>
      </x:c>
      <x:c r="B123" s="2" t="n">
        <x:v>202511</x:v>
      </x:c>
      <x:c r="C123" s="2" t="str">
        <x:v>61091000</x:v>
      </x:c>
      <x:c r="D123" s="2" t="str">
        <x:v>Sri Lanka</x:v>
      </x:c>
      <x:c r="E123" s="16" t="n">
        <x:v>1394607</x:v>
      </x:c>
      <x:c r="F123" s="16" t="n">
        <x:v>148930</x:v>
      </x:c>
      <x:c r="G123" s="2" t="str">
        <x:v>WITHIN_BAND</x:v>
      </x:c>
      <x:c r="H123" s="2" t="n">
        <x:v>1</x:v>
      </x:c>
      <x:c r="I123" s="2" t="n">
        <x:f>IF(AND(COUNTIFS($B$6:$B$797,B123,$C$6:$C$797,C123)=11,COUNTIFS($B$6:$B$797,B123,$C$6:$C$797,C123,$G$6:$G$797,"REVIEW")=0,COUNTIFS($B$6:$B$797,B123,$C$6:$C$797,C123,$H$6:$H$797,1)=11,COUNTIFS($B$6:$B$797,B123,$C$6:$C$797,C123,$F$6:$F$797,"&gt;0")=11),1,0)</x:f>
        <x:v>1</x:v>
      </x:c>
      <x:c r="J123" s="2" t="n">
        <x:f>COUNTIFS($A$6:$A$797,A123)</x:f>
        <x:v>1</x:v>
      </x:c>
    </x:row>
    <x:row r="124" ht="23" customHeight="1">
      <x:c r="A124" s="2" t="str">
        <x:v>61091000_TR_202511_IMPORT</x:v>
      </x:c>
      <x:c r="B124" s="2" t="n">
        <x:v>202511</x:v>
      </x:c>
      <x:c r="C124" s="2" t="str">
        <x:v>61091000</x:v>
      </x:c>
      <x:c r="D124" s="2" t="str">
        <x:v>Turkey</x:v>
      </x:c>
      <x:c r="E124" s="16" t="n">
        <x:v>6925124</x:v>
      </x:c>
      <x:c r="F124" s="16" t="n">
        <x:v>320155</x:v>
      </x:c>
      <x:c r="G124" s="2" t="str">
        <x:v>WITHIN_BAND</x:v>
      </x:c>
      <x:c r="H124" s="2" t="n">
        <x:v>1</x:v>
      </x:c>
      <x:c r="I124" s="2" t="n">
        <x:f>IF(AND(COUNTIFS($B$6:$B$797,B124,$C$6:$C$797,C124)=11,COUNTIFS($B$6:$B$797,B124,$C$6:$C$797,C124,$G$6:$G$797,"REVIEW")=0,COUNTIFS($B$6:$B$797,B124,$C$6:$C$797,C124,$H$6:$H$797,1)=11,COUNTIFS($B$6:$B$797,B124,$C$6:$C$797,C124,$F$6:$F$797,"&gt;0")=11),1,0)</x:f>
        <x:v>1</x:v>
      </x:c>
      <x:c r="J124" s="2" t="n">
        <x:f>COUNTIFS($A$6:$A$797,A124)</x:f>
        <x:v>1</x:v>
      </x:c>
    </x:row>
    <x:row r="125" ht="23" customHeight="1">
      <x:c r="A125" s="2" t="str">
        <x:v>61091000_VN_202511_IMPORT</x:v>
      </x:c>
      <x:c r="B125" s="2" t="n">
        <x:v>202511</x:v>
      </x:c>
      <x:c r="C125" s="2" t="str">
        <x:v>61091000</x:v>
      </x:c>
      <x:c r="D125" s="2" t="str">
        <x:v>Vietnam</x:v>
      </x:c>
      <x:c r="E125" s="16" t="n">
        <x:v>1566407</x:v>
      </x:c>
      <x:c r="F125" s="16" t="n">
        <x:v>84622</x:v>
      </x:c>
      <x:c r="G125" s="2" t="str">
        <x:v>WITHIN_BAND</x:v>
      </x:c>
      <x:c r="H125" s="2" t="n">
        <x:v>1</x:v>
      </x:c>
      <x:c r="I125" s="2" t="n">
        <x:f>IF(AND(COUNTIFS($B$6:$B$797,B125,$C$6:$C$797,C125)=11,COUNTIFS($B$6:$B$797,B125,$C$6:$C$797,C125,$G$6:$G$797,"REVIEW")=0,COUNTIFS($B$6:$B$797,B125,$C$6:$C$797,C125,$H$6:$H$797,1)=11,COUNTIFS($B$6:$B$797,B125,$C$6:$C$797,C125,$F$6:$F$797,"&gt;0")=11),1,0)</x:f>
        <x:v>1</x:v>
      </x:c>
      <x:c r="J125" s="2" t="n">
        <x:f>COUNTIFS($A$6:$A$797,A125)</x:f>
        <x:v>1</x:v>
      </x:c>
    </x:row>
    <x:row r="126" ht="23" customHeight="1">
      <x:c r="A126" s="2" t="str">
        <x:v>61091000_WORLD_202511_IMPORT</x:v>
      </x:c>
      <x:c r="B126" s="2" t="n">
        <x:v>202511</x:v>
      </x:c>
      <x:c r="C126" s="2" t="str">
        <x:v>61091000</x:v>
      </x:c>
      <x:c r="D126" s="2" t="str">
        <x:v>World</x:v>
      </x:c>
      <x:c r="E126" s="16" t="n">
        <x:v>80130554</x:v>
      </x:c>
      <x:c r="F126" s="16" t="n">
        <x:v>5606682</x:v>
      </x:c>
      <x:c r="G126" s="2" t="str">
        <x:v>WITHIN_BAND</x:v>
      </x:c>
      <x:c r="H126" s="2" t="n">
        <x:v>1</x:v>
      </x:c>
      <x:c r="I126" s="2" t="n">
        <x:f>IF(AND(COUNTIFS($B$6:$B$797,B126,$C$6:$C$797,C126)=11,COUNTIFS($B$6:$B$797,B126,$C$6:$C$797,C126,$G$6:$G$797,"REVIEW")=0,COUNTIFS($B$6:$B$797,B126,$C$6:$C$797,C126,$H$6:$H$797,1)=11,COUNTIFS($B$6:$B$797,B126,$C$6:$C$797,C126,$F$6:$F$797,"&gt;0")=11),1,0)</x:f>
        <x:v>1</x:v>
      </x:c>
      <x:c r="J126" s="2" t="n">
        <x:f>COUNTIFS($A$6:$A$797,A126)</x:f>
        <x:v>1</x:v>
      </x:c>
    </x:row>
    <x:row r="127" ht="23" customHeight="1">
      <x:c r="A127" s="2" t="str">
        <x:v>61091000_BD_202512_IMPORT</x:v>
      </x:c>
      <x:c r="B127" s="2" t="n">
        <x:v>202512</x:v>
      </x:c>
      <x:c r="C127" s="2" t="str">
        <x:v>61091000</x:v>
      </x:c>
      <x:c r="D127" s="2" t="str">
        <x:v>Bangladesh</x:v>
      </x:c>
      <x:c r="E127" s="16" t="n">
        <x:v>28291120</x:v>
      </x:c>
      <x:c r="F127" s="16" t="n">
        <x:v>2733258</x:v>
      </x:c>
      <x:c r="G127" s="2" t="str">
        <x:v>WITHIN_BAND</x:v>
      </x:c>
      <x:c r="H127" s="2" t="n">
        <x:v>1</x:v>
      </x:c>
      <x:c r="I127" s="2" t="n">
        <x:f>IF(AND(COUNTIFS($B$6:$B$797,B127,$C$6:$C$797,C127)=11,COUNTIFS($B$6:$B$797,B127,$C$6:$C$797,C127,$G$6:$G$797,"REVIEW")=0,COUNTIFS($B$6:$B$797,B127,$C$6:$C$797,C127,$H$6:$H$797,1)=11,COUNTIFS($B$6:$B$797,B127,$C$6:$C$797,C127,$F$6:$F$797,"&gt;0")=11),1,0)</x:f>
        <x:v>1</x:v>
      </x:c>
      <x:c r="J127" s="2" t="n">
        <x:f>COUNTIFS($A$6:$A$797,A127)</x:f>
        <x:v>1</x:v>
      </x:c>
    </x:row>
    <x:row r="128" ht="23" customHeight="1">
      <x:c r="A128" s="2" t="str">
        <x:v>61091000_KH_202512_IMPORT</x:v>
      </x:c>
      <x:c r="B128" s="2" t="n">
        <x:v>202512</x:v>
      </x:c>
      <x:c r="C128" s="2" t="str">
        <x:v>61091000</x:v>
      </x:c>
      <x:c r="D128" s="2" t="str">
        <x:v>Cambodia</x:v>
      </x:c>
      <x:c r="E128" s="16" t="n">
        <x:v>780857</x:v>
      </x:c>
      <x:c r="F128" s="16" t="n">
        <x:v>49281</x:v>
      </x:c>
      <x:c r="G128" s="2" t="str">
        <x:v>WITHIN_BAND</x:v>
      </x:c>
      <x:c r="H128" s="2" t="n">
        <x:v>1</x:v>
      </x:c>
      <x:c r="I128" s="2" t="n">
        <x:f>IF(AND(COUNTIFS($B$6:$B$797,B128,$C$6:$C$797,C128)=11,COUNTIFS($B$6:$B$797,B128,$C$6:$C$797,C128,$G$6:$G$797,"REVIEW")=0,COUNTIFS($B$6:$B$797,B128,$C$6:$C$797,C128,$H$6:$H$797,1)=11,COUNTIFS($B$6:$B$797,B128,$C$6:$C$797,C128,$F$6:$F$797,"&gt;0")=11),1,0)</x:f>
        <x:v>1</x:v>
      </x:c>
      <x:c r="J128" s="2" t="n">
        <x:f>COUNTIFS($A$6:$A$797,A128)</x:f>
        <x:v>1</x:v>
      </x:c>
    </x:row>
    <x:row r="129" ht="23" customHeight="1">
      <x:c r="A129" s="2" t="str">
        <x:v>61091000_CN_202512_IMPORT</x:v>
      </x:c>
      <x:c r="B129" s="2" t="n">
        <x:v>202512</x:v>
      </x:c>
      <x:c r="C129" s="2" t="str">
        <x:v>61091000</x:v>
      </x:c>
      <x:c r="D129" s="2" t="str">
        <x:v>China</x:v>
      </x:c>
      <x:c r="E129" s="16" t="n">
        <x:v>3143285</x:v>
      </x:c>
      <x:c r="F129" s="16" t="n">
        <x:v>168012</x:v>
      </x:c>
      <x:c r="G129" s="2" t="str">
        <x:v>WITHIN_BAND</x:v>
      </x:c>
      <x:c r="H129" s="2" t="n">
        <x:v>1</x:v>
      </x:c>
      <x:c r="I129" s="2" t="n">
        <x:f>IF(AND(COUNTIFS($B$6:$B$797,B129,$C$6:$C$797,C129)=11,COUNTIFS($B$6:$B$797,B129,$C$6:$C$797,C129,$G$6:$G$797,"REVIEW")=0,COUNTIFS($B$6:$B$797,B129,$C$6:$C$797,C129,$H$6:$H$797,1)=11,COUNTIFS($B$6:$B$797,B129,$C$6:$C$797,C129,$F$6:$F$797,"&gt;0")=11),1,0)</x:f>
        <x:v>1</x:v>
      </x:c>
      <x:c r="J129" s="2" t="n">
        <x:f>COUNTIFS($A$6:$A$797,A129)</x:f>
        <x:v>1</x:v>
      </x:c>
    </x:row>
    <x:row r="130" ht="23" customHeight="1">
      <x:c r="A130" s="2" t="str">
        <x:v>61091000_IN_202512_IMPORT</x:v>
      </x:c>
      <x:c r="B130" s="2" t="n">
        <x:v>202512</x:v>
      </x:c>
      <x:c r="C130" s="2" t="str">
        <x:v>61091000</x:v>
      </x:c>
      <x:c r="D130" s="2" t="str">
        <x:v>India</x:v>
      </x:c>
      <x:c r="E130" s="16" t="n">
        <x:v>5595878</x:v>
      </x:c>
      <x:c r="F130" s="16" t="n">
        <x:v>460071</x:v>
      </x:c>
      <x:c r="G130" s="2" t="str">
        <x:v>WITHIN_BAND</x:v>
      </x:c>
      <x:c r="H130" s="2" t="n">
        <x:v>1</x:v>
      </x:c>
      <x:c r="I130" s="2" t="n">
        <x:f>IF(AND(COUNTIFS($B$6:$B$797,B130,$C$6:$C$797,C130)=11,COUNTIFS($B$6:$B$797,B130,$C$6:$C$797,C130,$G$6:$G$797,"REVIEW")=0,COUNTIFS($B$6:$B$797,B130,$C$6:$C$797,C130,$H$6:$H$797,1)=11,COUNTIFS($B$6:$B$797,B130,$C$6:$C$797,C130,$F$6:$F$797,"&gt;0")=11),1,0)</x:f>
        <x:v>1</x:v>
      </x:c>
      <x:c r="J130" s="2" t="n">
        <x:f>COUNTIFS($A$6:$A$797,A130)</x:f>
        <x:v>1</x:v>
      </x:c>
    </x:row>
    <x:row r="131" ht="23" customHeight="1">
      <x:c r="A131" s="2" t="str">
        <x:v>61091000_MA_202512_IMPORT</x:v>
      </x:c>
      <x:c r="B131" s="2" t="n">
        <x:v>202512</x:v>
      </x:c>
      <x:c r="C131" s="2" t="str">
        <x:v>61091000</x:v>
      </x:c>
      <x:c r="D131" s="2" t="str">
        <x:v>Morocco</x:v>
      </x:c>
      <x:c r="E131" s="16" t="n">
        <x:v>291282</x:v>
      </x:c>
      <x:c r="F131" s="16" t="n">
        <x:v>15048</x:v>
      </x:c>
      <x:c r="G131" s="2" t="str">
        <x:v>WITHIN_BAND</x:v>
      </x:c>
      <x:c r="H131" s="2" t="n">
        <x:v>1</x:v>
      </x:c>
      <x:c r="I131" s="2" t="n">
        <x:f>IF(AND(COUNTIFS($B$6:$B$797,B131,$C$6:$C$797,C131)=11,COUNTIFS($B$6:$B$797,B131,$C$6:$C$797,C131,$G$6:$G$797,"REVIEW")=0,COUNTIFS($B$6:$B$797,B131,$C$6:$C$797,C131,$H$6:$H$797,1)=11,COUNTIFS($B$6:$B$797,B131,$C$6:$C$797,C131,$F$6:$F$797,"&gt;0")=11),1,0)</x:f>
        <x:v>1</x:v>
      </x:c>
      <x:c r="J131" s="2" t="n">
        <x:f>COUNTIFS($A$6:$A$797,A131)</x:f>
        <x:v>1</x:v>
      </x:c>
    </x:row>
    <x:row r="132" ht="23" customHeight="1">
      <x:c r="A132" s="2" t="str">
        <x:v>61091000_MM_202512_IMPORT</x:v>
      </x:c>
      <x:c r="B132" s="2" t="n">
        <x:v>202512</x:v>
      </x:c>
      <x:c r="C132" s="2" t="str">
        <x:v>61091000</x:v>
      </x:c>
      <x:c r="D132" s="2" t="str">
        <x:v>Myanmar</x:v>
      </x:c>
      <x:c r="E132" s="16" t="n">
        <x:v>117574</x:v>
      </x:c>
      <x:c r="F132" s="16" t="n">
        <x:v>12338</x:v>
      </x:c>
      <x:c r="G132" s="2" t="str">
        <x:v>WITHIN_BAND</x:v>
      </x:c>
      <x:c r="H132" s="2" t="n">
        <x:v>1</x:v>
      </x:c>
      <x:c r="I132" s="2" t="n">
        <x:f>IF(AND(COUNTIFS($B$6:$B$797,B132,$C$6:$C$797,C132)=11,COUNTIFS($B$6:$B$797,B132,$C$6:$C$797,C132,$G$6:$G$797,"REVIEW")=0,COUNTIFS($B$6:$B$797,B132,$C$6:$C$797,C132,$H$6:$H$797,1)=11,COUNTIFS($B$6:$B$797,B132,$C$6:$C$797,C132,$F$6:$F$797,"&gt;0")=11),1,0)</x:f>
        <x:v>1</x:v>
      </x:c>
      <x:c r="J132" s="2" t="n">
        <x:f>COUNTIFS($A$6:$A$797,A132)</x:f>
        <x:v>1</x:v>
      </x:c>
    </x:row>
    <x:row r="133" ht="23" customHeight="1">
      <x:c r="A133" s="2" t="str">
        <x:v>61091000_PK_202512_IMPORT</x:v>
      </x:c>
      <x:c r="B133" s="2" t="n">
        <x:v>202512</x:v>
      </x:c>
      <x:c r="C133" s="2" t="str">
        <x:v>61091000</x:v>
      </x:c>
      <x:c r="D133" s="2" t="str">
        <x:v>Pakistan</x:v>
      </x:c>
      <x:c r="E133" s="16" t="n">
        <x:v>3321784</x:v>
      </x:c>
      <x:c r="F133" s="16" t="n">
        <x:v>286964</x:v>
      </x:c>
      <x:c r="G133" s="2" t="str">
        <x:v>WITHIN_BAND</x:v>
      </x:c>
      <x:c r="H133" s="2" t="n">
        <x:v>1</x:v>
      </x:c>
      <x:c r="I133" s="2" t="n">
        <x:f>IF(AND(COUNTIFS($B$6:$B$797,B133,$C$6:$C$797,C133)=11,COUNTIFS($B$6:$B$797,B133,$C$6:$C$797,C133,$G$6:$G$797,"REVIEW")=0,COUNTIFS($B$6:$B$797,B133,$C$6:$C$797,C133,$H$6:$H$797,1)=11,COUNTIFS($B$6:$B$797,B133,$C$6:$C$797,C133,$F$6:$F$797,"&gt;0")=11),1,0)</x:f>
        <x:v>1</x:v>
      </x:c>
      <x:c r="J133" s="2" t="n">
        <x:f>COUNTIFS($A$6:$A$797,A133)</x:f>
        <x:v>1</x:v>
      </x:c>
    </x:row>
    <x:row r="134" ht="23" customHeight="1">
      <x:c r="A134" s="2" t="str">
        <x:v>61091000_LK_202512_IMPORT</x:v>
      </x:c>
      <x:c r="B134" s="2" t="n">
        <x:v>202512</x:v>
      </x:c>
      <x:c r="C134" s="2" t="str">
        <x:v>61091000</x:v>
      </x:c>
      <x:c r="D134" s="2" t="str">
        <x:v>Sri Lanka</x:v>
      </x:c>
      <x:c r="E134" s="16" t="n">
        <x:v>987680</x:v>
      </x:c>
      <x:c r="F134" s="16" t="n">
        <x:v>111863</x:v>
      </x:c>
      <x:c r="G134" s="2" t="str">
        <x:v>WITHIN_BAND</x:v>
      </x:c>
      <x:c r="H134" s="2" t="n">
        <x:v>1</x:v>
      </x:c>
      <x:c r="I134" s="2" t="n">
        <x:f>IF(AND(COUNTIFS($B$6:$B$797,B134,$C$6:$C$797,C134)=11,COUNTIFS($B$6:$B$797,B134,$C$6:$C$797,C134,$G$6:$G$797,"REVIEW")=0,COUNTIFS($B$6:$B$797,B134,$C$6:$C$797,C134,$H$6:$H$797,1)=11,COUNTIFS($B$6:$B$797,B134,$C$6:$C$797,C134,$F$6:$F$797,"&gt;0")=11),1,0)</x:f>
        <x:v>1</x:v>
      </x:c>
      <x:c r="J134" s="2" t="n">
        <x:f>COUNTIFS($A$6:$A$797,A134)</x:f>
        <x:v>1</x:v>
      </x:c>
    </x:row>
    <x:row r="135" ht="23" customHeight="1">
      <x:c r="A135" s="2" t="str">
        <x:v>61091000_TR_202512_IMPORT</x:v>
      </x:c>
      <x:c r="B135" s="2" t="n">
        <x:v>202512</x:v>
      </x:c>
      <x:c r="C135" s="2" t="str">
        <x:v>61091000</x:v>
      </x:c>
      <x:c r="D135" s="2" t="str">
        <x:v>Turkey</x:v>
      </x:c>
      <x:c r="E135" s="16" t="n">
        <x:v>5900865</x:v>
      </x:c>
      <x:c r="F135" s="16" t="n">
        <x:v>331548</x:v>
      </x:c>
      <x:c r="G135" s="2" t="str">
        <x:v>WITHIN_BAND</x:v>
      </x:c>
      <x:c r="H135" s="2" t="n">
        <x:v>1</x:v>
      </x:c>
      <x:c r="I135" s="2" t="n">
        <x:f>IF(AND(COUNTIFS($B$6:$B$797,B135,$C$6:$C$797,C135)=11,COUNTIFS($B$6:$B$797,B135,$C$6:$C$797,C135,$G$6:$G$797,"REVIEW")=0,COUNTIFS($B$6:$B$797,B135,$C$6:$C$797,C135,$H$6:$H$797,1)=11,COUNTIFS($B$6:$B$797,B135,$C$6:$C$797,C135,$F$6:$F$797,"&gt;0")=11),1,0)</x:f>
        <x:v>1</x:v>
      </x:c>
      <x:c r="J135" s="2" t="n">
        <x:f>COUNTIFS($A$6:$A$797,A135)</x:f>
        <x:v>1</x:v>
      </x:c>
    </x:row>
    <x:row r="136" ht="23" customHeight="1">
      <x:c r="A136" s="2" t="str">
        <x:v>61091000_VN_202512_IMPORT</x:v>
      </x:c>
      <x:c r="B136" s="2" t="n">
        <x:v>202512</x:v>
      </x:c>
      <x:c r="C136" s="2" t="str">
        <x:v>61091000</x:v>
      </x:c>
      <x:c r="D136" s="2" t="str">
        <x:v>Vietnam</x:v>
      </x:c>
      <x:c r="E136" s="16" t="n">
        <x:v>1834883</x:v>
      </x:c>
      <x:c r="F136" s="16" t="n">
        <x:v>105962</x:v>
      </x:c>
      <x:c r="G136" s="2" t="str">
        <x:v>WITHIN_BAND</x:v>
      </x:c>
      <x:c r="H136" s="2" t="n">
        <x:v>1</x:v>
      </x:c>
      <x:c r="I136" s="2" t="n">
        <x:f>IF(AND(COUNTIFS($B$6:$B$797,B136,$C$6:$C$797,C136)=11,COUNTIFS($B$6:$B$797,B136,$C$6:$C$797,C136,$G$6:$G$797,"REVIEW")=0,COUNTIFS($B$6:$B$797,B136,$C$6:$C$797,C136,$H$6:$H$797,1)=11,COUNTIFS($B$6:$B$797,B136,$C$6:$C$797,C136,$F$6:$F$797,"&gt;0")=11),1,0)</x:f>
        <x:v>1</x:v>
      </x:c>
      <x:c r="J136" s="2" t="n">
        <x:f>COUNTIFS($A$6:$A$797,A136)</x:f>
        <x:v>1</x:v>
      </x:c>
    </x:row>
    <x:row r="137" ht="23" customHeight="1">
      <x:c r="A137" s="2" t="str">
        <x:v>61091000_WORLD_202512_IMPORT</x:v>
      </x:c>
      <x:c r="B137" s="2" t="n">
        <x:v>202512</x:v>
      </x:c>
      <x:c r="C137" s="2" t="str">
        <x:v>61091000</x:v>
      </x:c>
      <x:c r="D137" s="2" t="str">
        <x:v>World</x:v>
      </x:c>
      <x:c r="E137" s="16" t="n">
        <x:v>76978856</x:v>
      </x:c>
      <x:c r="F137" s="16" t="n">
        <x:v>5141103</x:v>
      </x:c>
      <x:c r="G137" s="2" t="str">
        <x:v>WITHIN_BAND</x:v>
      </x:c>
      <x:c r="H137" s="2" t="n">
        <x:v>1</x:v>
      </x:c>
      <x:c r="I137" s="2" t="n">
        <x:f>IF(AND(COUNTIFS($B$6:$B$797,B137,$C$6:$C$797,C137)=11,COUNTIFS($B$6:$B$797,B137,$C$6:$C$797,C137,$G$6:$G$797,"REVIEW")=0,COUNTIFS($B$6:$B$797,B137,$C$6:$C$797,C137,$H$6:$H$797,1)=11,COUNTIFS($B$6:$B$797,B137,$C$6:$C$797,C137,$F$6:$F$797,"&gt;0")=11),1,0)</x:f>
        <x:v>1</x:v>
      </x:c>
      <x:c r="J137" s="2" t="n">
        <x:f>COUNTIFS($A$6:$A$797,A137)</x:f>
        <x:v>1</x:v>
      </x:c>
    </x:row>
    <x:row r="138" ht="23" customHeight="1">
      <x:c r="A138" s="2" t="str">
        <x:v>61091000_BD_202601_IMPORT</x:v>
      </x:c>
      <x:c r="B138" s="2" t="n">
        <x:v>202601</x:v>
      </x:c>
      <x:c r="C138" s="2" t="str">
        <x:v>61091000</x:v>
      </x:c>
      <x:c r="D138" s="2" t="str">
        <x:v>Bangladesh</x:v>
      </x:c>
      <x:c r="E138" s="16" t="n">
        <x:v>32731302</x:v>
      </x:c>
      <x:c r="F138" s="16" t="n">
        <x:v>2974039</x:v>
      </x:c>
      <x:c r="G138" s="2" t="str">
        <x:v>WITHIN_BAND</x:v>
      </x:c>
      <x:c r="H138" s="2" t="n">
        <x:v>1</x:v>
      </x:c>
      <x:c r="I138" s="2" t="n">
        <x:f>IF(AND(COUNTIFS($B$6:$B$797,B138,$C$6:$C$797,C138)=11,COUNTIFS($B$6:$B$797,B138,$C$6:$C$797,C138,$G$6:$G$797,"REVIEW")=0,COUNTIFS($B$6:$B$797,B138,$C$6:$C$797,C138,$H$6:$H$797,1)=11,COUNTIFS($B$6:$B$797,B138,$C$6:$C$797,C138,$F$6:$F$797,"&gt;0")=11),1,0)</x:f>
        <x:v>1</x:v>
      </x:c>
      <x:c r="J138" s="2" t="n">
        <x:f>COUNTIFS($A$6:$A$797,A138)</x:f>
        <x:v>1</x:v>
      </x:c>
    </x:row>
    <x:row r="139" ht="23" customHeight="1">
      <x:c r="A139" s="2" t="str">
        <x:v>61091000_KH_202601_IMPORT</x:v>
      </x:c>
      <x:c r="B139" s="2" t="n">
        <x:v>202601</x:v>
      </x:c>
      <x:c r="C139" s="2" t="str">
        <x:v>61091000</x:v>
      </x:c>
      <x:c r="D139" s="2" t="str">
        <x:v>Cambodia</x:v>
      </x:c>
      <x:c r="E139" s="16" t="n">
        <x:v>836295</x:v>
      </x:c>
      <x:c r="F139" s="16" t="n">
        <x:v>46556</x:v>
      </x:c>
      <x:c r="G139" s="2" t="str">
        <x:v>WITHIN_BAND</x:v>
      </x:c>
      <x:c r="H139" s="2" t="n">
        <x:v>1</x:v>
      </x:c>
      <x:c r="I139" s="2" t="n">
        <x:f>IF(AND(COUNTIFS($B$6:$B$797,B139,$C$6:$C$797,C139)=11,COUNTIFS($B$6:$B$797,B139,$C$6:$C$797,C139,$G$6:$G$797,"REVIEW")=0,COUNTIFS($B$6:$B$797,B139,$C$6:$C$797,C139,$H$6:$H$797,1)=11,COUNTIFS($B$6:$B$797,B139,$C$6:$C$797,C139,$F$6:$F$797,"&gt;0")=11),1,0)</x:f>
        <x:v>1</x:v>
      </x:c>
      <x:c r="J139" s="2" t="n">
        <x:f>COUNTIFS($A$6:$A$797,A139)</x:f>
        <x:v>1</x:v>
      </x:c>
    </x:row>
    <x:row r="140" ht="23" customHeight="1">
      <x:c r="A140" s="2" t="str">
        <x:v>61091000_CN_202601_IMPORT</x:v>
      </x:c>
      <x:c r="B140" s="2" t="n">
        <x:v>202601</x:v>
      </x:c>
      <x:c r="C140" s="2" t="str">
        <x:v>61091000</x:v>
      </x:c>
      <x:c r="D140" s="2" t="str">
        <x:v>China</x:v>
      </x:c>
      <x:c r="E140" s="16" t="n">
        <x:v>4107811</x:v>
      </x:c>
      <x:c r="F140" s="16" t="n">
        <x:v>243744</x:v>
      </x:c>
      <x:c r="G140" s="2" t="str">
        <x:v>WITHIN_BAND</x:v>
      </x:c>
      <x:c r="H140" s="2" t="n">
        <x:v>1</x:v>
      </x:c>
      <x:c r="I140" s="2" t="n">
        <x:f>IF(AND(COUNTIFS($B$6:$B$797,B140,$C$6:$C$797,C140)=11,COUNTIFS($B$6:$B$797,B140,$C$6:$C$797,C140,$G$6:$G$797,"REVIEW")=0,COUNTIFS($B$6:$B$797,B140,$C$6:$C$797,C140,$H$6:$H$797,1)=11,COUNTIFS($B$6:$B$797,B140,$C$6:$C$797,C140,$F$6:$F$797,"&gt;0")=11),1,0)</x:f>
        <x:v>1</x:v>
      </x:c>
      <x:c r="J140" s="2" t="n">
        <x:f>COUNTIFS($A$6:$A$797,A140)</x:f>
        <x:v>1</x:v>
      </x:c>
    </x:row>
    <x:row r="141" ht="23" customHeight="1">
      <x:c r="A141" s="2" t="str">
        <x:v>61091000_IN_202601_IMPORT</x:v>
      </x:c>
      <x:c r="B141" s="2" t="n">
        <x:v>202601</x:v>
      </x:c>
      <x:c r="C141" s="2" t="str">
        <x:v>61091000</x:v>
      </x:c>
      <x:c r="D141" s="2" t="str">
        <x:v>India</x:v>
      </x:c>
      <x:c r="E141" s="16" t="n">
        <x:v>6631996</x:v>
      </x:c>
      <x:c r="F141" s="16" t="n">
        <x:v>533927</x:v>
      </x:c>
      <x:c r="G141" s="2" t="str">
        <x:v>WITHIN_BAND</x:v>
      </x:c>
      <x:c r="H141" s="2" t="n">
        <x:v>1</x:v>
      </x:c>
      <x:c r="I141" s="2" t="n">
        <x:f>IF(AND(COUNTIFS($B$6:$B$797,B141,$C$6:$C$797,C141)=11,COUNTIFS($B$6:$B$797,B141,$C$6:$C$797,C141,$G$6:$G$797,"REVIEW")=0,COUNTIFS($B$6:$B$797,B141,$C$6:$C$797,C141,$H$6:$H$797,1)=11,COUNTIFS($B$6:$B$797,B141,$C$6:$C$797,C141,$F$6:$F$797,"&gt;0")=11),1,0)</x:f>
        <x:v>1</x:v>
      </x:c>
      <x:c r="J141" s="2" t="n">
        <x:f>COUNTIFS($A$6:$A$797,A141)</x:f>
        <x:v>1</x:v>
      </x:c>
    </x:row>
    <x:row r="142" ht="23" customHeight="1">
      <x:c r="A142" s="2" t="str">
        <x:v>61091000_MA_202601_IMPORT</x:v>
      </x:c>
      <x:c r="B142" s="2" t="n">
        <x:v>202601</x:v>
      </x:c>
      <x:c r="C142" s="2" t="str">
        <x:v>61091000</x:v>
      </x:c>
      <x:c r="D142" s="2" t="str">
        <x:v>Morocco</x:v>
      </x:c>
      <x:c r="E142" s="16" t="n">
        <x:v>563745</x:v>
      </x:c>
      <x:c r="F142" s="16" t="n">
        <x:v>43051</x:v>
      </x:c>
      <x:c r="G142" s="2" t="str">
        <x:v>WITHIN_BAND</x:v>
      </x:c>
      <x:c r="H142" s="2" t="n">
        <x:v>1</x:v>
      </x:c>
      <x:c r="I142" s="2" t="n">
        <x:f>IF(AND(COUNTIFS($B$6:$B$797,B142,$C$6:$C$797,C142)=11,COUNTIFS($B$6:$B$797,B142,$C$6:$C$797,C142,$G$6:$G$797,"REVIEW")=0,COUNTIFS($B$6:$B$797,B142,$C$6:$C$797,C142,$H$6:$H$797,1)=11,COUNTIFS($B$6:$B$797,B142,$C$6:$C$797,C142,$F$6:$F$797,"&gt;0")=11),1,0)</x:f>
        <x:v>1</x:v>
      </x:c>
      <x:c r="J142" s="2" t="n">
        <x:f>COUNTIFS($A$6:$A$797,A142)</x:f>
        <x:v>1</x:v>
      </x:c>
    </x:row>
    <x:row r="143" ht="23" customHeight="1">
      <x:c r="A143" s="2" t="str">
        <x:v>61091000_MM_202601_IMPORT</x:v>
      </x:c>
      <x:c r="B143" s="2" t="n">
        <x:v>202601</x:v>
      </x:c>
      <x:c r="C143" s="2" t="str">
        <x:v>61091000</x:v>
      </x:c>
      <x:c r="D143" s="2" t="str">
        <x:v>Myanmar</x:v>
      </x:c>
      <x:c r="E143" s="16" t="n">
        <x:v>207378</x:v>
      </x:c>
      <x:c r="F143" s="16" t="n">
        <x:v>16522</x:v>
      </x:c>
      <x:c r="G143" s="2" t="str">
        <x:v>WITHIN_BAND</x:v>
      </x:c>
      <x:c r="H143" s="2" t="n">
        <x:v>1</x:v>
      </x:c>
      <x:c r="I143" s="2" t="n">
        <x:f>IF(AND(COUNTIFS($B$6:$B$797,B143,$C$6:$C$797,C143)=11,COUNTIFS($B$6:$B$797,B143,$C$6:$C$797,C143,$G$6:$G$797,"REVIEW")=0,COUNTIFS($B$6:$B$797,B143,$C$6:$C$797,C143,$H$6:$H$797,1)=11,COUNTIFS($B$6:$B$797,B143,$C$6:$C$797,C143,$F$6:$F$797,"&gt;0")=11),1,0)</x:f>
        <x:v>1</x:v>
      </x:c>
      <x:c r="J143" s="2" t="n">
        <x:f>COUNTIFS($A$6:$A$797,A143)</x:f>
        <x:v>1</x:v>
      </x:c>
    </x:row>
    <x:row r="144" ht="23" customHeight="1">
      <x:c r="A144" s="2" t="str">
        <x:v>61091000_PK_202601_IMPORT</x:v>
      </x:c>
      <x:c r="B144" s="2" t="n">
        <x:v>202601</x:v>
      </x:c>
      <x:c r="C144" s="2" t="str">
        <x:v>61091000</x:v>
      </x:c>
      <x:c r="D144" s="2" t="str">
        <x:v>Pakistan</x:v>
      </x:c>
      <x:c r="E144" s="16" t="n">
        <x:v>3533043</x:v>
      </x:c>
      <x:c r="F144" s="16" t="n">
        <x:v>235841</x:v>
      </x:c>
      <x:c r="G144" s="2" t="str">
        <x:v>WITHIN_BAND</x:v>
      </x:c>
      <x:c r="H144" s="2" t="n">
        <x:v>1</x:v>
      </x:c>
      <x:c r="I144" s="2" t="n">
        <x:f>IF(AND(COUNTIFS($B$6:$B$797,B144,$C$6:$C$797,C144)=11,COUNTIFS($B$6:$B$797,B144,$C$6:$C$797,C144,$G$6:$G$797,"REVIEW")=0,COUNTIFS($B$6:$B$797,B144,$C$6:$C$797,C144,$H$6:$H$797,1)=11,COUNTIFS($B$6:$B$797,B144,$C$6:$C$797,C144,$F$6:$F$797,"&gt;0")=11),1,0)</x:f>
        <x:v>1</x:v>
      </x:c>
      <x:c r="J144" s="2" t="n">
        <x:f>COUNTIFS($A$6:$A$797,A144)</x:f>
        <x:v>1</x:v>
      </x:c>
    </x:row>
    <x:row r="145" ht="23" customHeight="1">
      <x:c r="A145" s="2" t="str">
        <x:v>61091000_LK_202601_IMPORT</x:v>
      </x:c>
      <x:c r="B145" s="2" t="n">
        <x:v>202601</x:v>
      </x:c>
      <x:c r="C145" s="2" t="str">
        <x:v>61091000</x:v>
      </x:c>
      <x:c r="D145" s="2" t="str">
        <x:v>Sri Lanka</x:v>
      </x:c>
      <x:c r="E145" s="16" t="n">
        <x:v>1712854</x:v>
      </x:c>
      <x:c r="F145" s="16" t="n">
        <x:v>131099</x:v>
      </x:c>
      <x:c r="G145" s="2" t="str">
        <x:v>WITHIN_BAND</x:v>
      </x:c>
      <x:c r="H145" s="2" t="n">
        <x:v>1</x:v>
      </x:c>
      <x:c r="I145" s="2" t="n">
        <x:f>IF(AND(COUNTIFS($B$6:$B$797,B145,$C$6:$C$797,C145)=11,COUNTIFS($B$6:$B$797,B145,$C$6:$C$797,C145,$G$6:$G$797,"REVIEW")=0,COUNTIFS($B$6:$B$797,B145,$C$6:$C$797,C145,$H$6:$H$797,1)=11,COUNTIFS($B$6:$B$797,B145,$C$6:$C$797,C145,$F$6:$F$797,"&gt;0")=11),1,0)</x:f>
        <x:v>1</x:v>
      </x:c>
      <x:c r="J145" s="2" t="n">
        <x:f>COUNTIFS($A$6:$A$797,A145)</x:f>
        <x:v>1</x:v>
      </x:c>
    </x:row>
    <x:row r="146" ht="23" customHeight="1">
      <x:c r="A146" s="2" t="str">
        <x:v>61091000_TR_202601_IMPORT</x:v>
      </x:c>
      <x:c r="B146" s="2" t="n">
        <x:v>202601</x:v>
      </x:c>
      <x:c r="C146" s="2" t="str">
        <x:v>61091000</x:v>
      </x:c>
      <x:c r="D146" s="2" t="str">
        <x:v>Turkey</x:v>
      </x:c>
      <x:c r="E146" s="16" t="n">
        <x:v>8527087</x:v>
      </x:c>
      <x:c r="F146" s="16" t="n">
        <x:v>381224</x:v>
      </x:c>
      <x:c r="G146" s="2" t="str">
        <x:v>WITHIN_BAND</x:v>
      </x:c>
      <x:c r="H146" s="2" t="n">
        <x:v>1</x:v>
      </x:c>
      <x:c r="I146" s="2" t="n">
        <x:f>IF(AND(COUNTIFS($B$6:$B$797,B146,$C$6:$C$797,C146)=11,COUNTIFS($B$6:$B$797,B146,$C$6:$C$797,C146,$G$6:$G$797,"REVIEW")=0,COUNTIFS($B$6:$B$797,B146,$C$6:$C$797,C146,$H$6:$H$797,1)=11,COUNTIFS($B$6:$B$797,B146,$C$6:$C$797,C146,$F$6:$F$797,"&gt;0")=11),1,0)</x:f>
        <x:v>1</x:v>
      </x:c>
      <x:c r="J146" s="2" t="n">
        <x:f>COUNTIFS($A$6:$A$797,A146)</x:f>
        <x:v>1</x:v>
      </x:c>
    </x:row>
    <x:row r="147" ht="23" customHeight="1">
      <x:c r="A147" s="2" t="str">
        <x:v>61091000_VN_202601_IMPORT</x:v>
      </x:c>
      <x:c r="B147" s="2" t="n">
        <x:v>202601</x:v>
      </x:c>
      <x:c r="C147" s="2" t="str">
        <x:v>61091000</x:v>
      </x:c>
      <x:c r="D147" s="2" t="str">
        <x:v>Vietnam</x:v>
      </x:c>
      <x:c r="E147" s="16" t="n">
        <x:v>1472300</x:v>
      </x:c>
      <x:c r="F147" s="16" t="n">
        <x:v>54052</x:v>
      </x:c>
      <x:c r="G147" s="2" t="str">
        <x:v>WITHIN_BAND</x:v>
      </x:c>
      <x:c r="H147" s="2" t="n">
        <x:v>1</x:v>
      </x:c>
      <x:c r="I147" s="2" t="n">
        <x:f>IF(AND(COUNTIFS($B$6:$B$797,B147,$C$6:$C$797,C147)=11,COUNTIFS($B$6:$B$797,B147,$C$6:$C$797,C147,$G$6:$G$797,"REVIEW")=0,COUNTIFS($B$6:$B$797,B147,$C$6:$C$797,C147,$H$6:$H$797,1)=11,COUNTIFS($B$6:$B$797,B147,$C$6:$C$797,C147,$F$6:$F$797,"&gt;0")=11),1,0)</x:f>
        <x:v>1</x:v>
      </x:c>
      <x:c r="J147" s="2" t="n">
        <x:f>COUNTIFS($A$6:$A$797,A147)</x:f>
        <x:v>1</x:v>
      </x:c>
    </x:row>
    <x:row r="148" ht="23" customHeight="1">
      <x:c r="A148" s="2" t="str">
        <x:v>61091000_WORLD_202601_IMPORT</x:v>
      </x:c>
      <x:c r="B148" s="2" t="n">
        <x:v>202601</x:v>
      </x:c>
      <x:c r="C148" s="2" t="str">
        <x:v>61091000</x:v>
      </x:c>
      <x:c r="D148" s="2" t="str">
        <x:v>World</x:v>
      </x:c>
      <x:c r="E148" s="16" t="n">
        <x:v>91453866</x:v>
      </x:c>
      <x:c r="F148" s="16" t="n">
        <x:v>5856894</x:v>
      </x:c>
      <x:c r="G148" s="2" t="str">
        <x:v>WITHIN_BAND</x:v>
      </x:c>
      <x:c r="H148" s="2" t="n">
        <x:v>1</x:v>
      </x:c>
      <x:c r="I148" s="2" t="n">
        <x:f>IF(AND(COUNTIFS($B$6:$B$797,B148,$C$6:$C$797,C148)=11,COUNTIFS($B$6:$B$797,B148,$C$6:$C$797,C148,$G$6:$G$797,"REVIEW")=0,COUNTIFS($B$6:$B$797,B148,$C$6:$C$797,C148,$H$6:$H$797,1)=11,COUNTIFS($B$6:$B$797,B148,$C$6:$C$797,C148,$F$6:$F$797,"&gt;0")=11),1,0)</x:f>
        <x:v>1</x:v>
      </x:c>
      <x:c r="J148" s="2" t="n">
        <x:f>COUNTIFS($A$6:$A$797,A148)</x:f>
        <x:v>1</x:v>
      </x:c>
    </x:row>
    <x:row r="149" ht="23" customHeight="1">
      <x:c r="A149" s="2" t="str">
        <x:v>61091000_BD_202602_IMPORT</x:v>
      </x:c>
      <x:c r="B149" s="2" t="n">
        <x:v>202602</x:v>
      </x:c>
      <x:c r="C149" s="2" t="str">
        <x:v>61091000</x:v>
      </x:c>
      <x:c r="D149" s="2" t="str">
        <x:v>Bangladesh</x:v>
      </x:c>
      <x:c r="E149" s="16" t="n">
        <x:v>39337408</x:v>
      </x:c>
      <x:c r="F149" s="16" t="n">
        <x:v>3489973</x:v>
      </x:c>
      <x:c r="G149" s="2" t="str">
        <x:v>WITHIN_BAND</x:v>
      </x:c>
      <x:c r="H149" s="2" t="n">
        <x:v>1</x:v>
      </x:c>
      <x:c r="I149" s="2" t="n">
        <x:f>IF(AND(COUNTIFS($B$6:$B$797,B149,$C$6:$C$797,C149)=11,COUNTIFS($B$6:$B$797,B149,$C$6:$C$797,C149,$G$6:$G$797,"REVIEW")=0,COUNTIFS($B$6:$B$797,B149,$C$6:$C$797,C149,$H$6:$H$797,1)=11,COUNTIFS($B$6:$B$797,B149,$C$6:$C$797,C149,$F$6:$F$797,"&gt;0")=11),1,0)</x:f>
        <x:v>1</x:v>
      </x:c>
      <x:c r="J149" s="2" t="n">
        <x:f>COUNTIFS($A$6:$A$797,A149)</x:f>
        <x:v>1</x:v>
      </x:c>
    </x:row>
    <x:row r="150" ht="23" customHeight="1">
      <x:c r="A150" s="2" t="str">
        <x:v>61091000_KH_202602_IMPORT</x:v>
      </x:c>
      <x:c r="B150" s="2" t="n">
        <x:v>202602</x:v>
      </x:c>
      <x:c r="C150" s="2" t="str">
        <x:v>61091000</x:v>
      </x:c>
      <x:c r="D150" s="2" t="str">
        <x:v>Cambodia</x:v>
      </x:c>
      <x:c r="E150" s="16" t="n">
        <x:v>715874</x:v>
      </x:c>
      <x:c r="F150" s="16" t="n">
        <x:v>49378</x:v>
      </x:c>
      <x:c r="G150" s="2" t="str">
        <x:v>WITHIN_BAND</x:v>
      </x:c>
      <x:c r="H150" s="2" t="n">
        <x:v>1</x:v>
      </x:c>
      <x:c r="I150" s="2" t="n">
        <x:f>IF(AND(COUNTIFS($B$6:$B$797,B150,$C$6:$C$797,C150)=11,COUNTIFS($B$6:$B$797,B150,$C$6:$C$797,C150,$G$6:$G$797,"REVIEW")=0,COUNTIFS($B$6:$B$797,B150,$C$6:$C$797,C150,$H$6:$H$797,1)=11,COUNTIFS($B$6:$B$797,B150,$C$6:$C$797,C150,$F$6:$F$797,"&gt;0")=11),1,0)</x:f>
        <x:v>1</x:v>
      </x:c>
      <x:c r="J150" s="2" t="n">
        <x:f>COUNTIFS($A$6:$A$797,A150)</x:f>
        <x:v>1</x:v>
      </x:c>
    </x:row>
    <x:row r="151" ht="23" customHeight="1">
      <x:c r="A151" s="2" t="str">
        <x:v>61091000_CN_202602_IMPORT</x:v>
      </x:c>
      <x:c r="B151" s="2" t="n">
        <x:v>202602</x:v>
      </x:c>
      <x:c r="C151" s="2" t="str">
        <x:v>61091000</x:v>
      </x:c>
      <x:c r="D151" s="2" t="str">
        <x:v>China</x:v>
      </x:c>
      <x:c r="E151" s="16" t="n">
        <x:v>4981339</x:v>
      </x:c>
      <x:c r="F151" s="16" t="n">
        <x:v>273363</x:v>
      </x:c>
      <x:c r="G151" s="2" t="str">
        <x:v>WITHIN_BAND</x:v>
      </x:c>
      <x:c r="H151" s="2" t="n">
        <x:v>1</x:v>
      </x:c>
      <x:c r="I151" s="2" t="n">
        <x:f>IF(AND(COUNTIFS($B$6:$B$797,B151,$C$6:$C$797,C151)=11,COUNTIFS($B$6:$B$797,B151,$C$6:$C$797,C151,$G$6:$G$797,"REVIEW")=0,COUNTIFS($B$6:$B$797,B151,$C$6:$C$797,C151,$H$6:$H$797,1)=11,COUNTIFS($B$6:$B$797,B151,$C$6:$C$797,C151,$F$6:$F$797,"&gt;0")=11),1,0)</x:f>
        <x:v>1</x:v>
      </x:c>
      <x:c r="J151" s="2" t="n">
        <x:f>COUNTIFS($A$6:$A$797,A151)</x:f>
        <x:v>1</x:v>
      </x:c>
    </x:row>
    <x:row r="152" ht="23" customHeight="1">
      <x:c r="A152" s="2" t="str">
        <x:v>61091000_IN_202602_IMPORT</x:v>
      </x:c>
      <x:c r="B152" s="2" t="n">
        <x:v>202602</x:v>
      </x:c>
      <x:c r="C152" s="2" t="str">
        <x:v>61091000</x:v>
      </x:c>
      <x:c r="D152" s="2" t="str">
        <x:v>India</x:v>
      </x:c>
      <x:c r="E152" s="16" t="n">
        <x:v>10021231</x:v>
      </x:c>
      <x:c r="F152" s="16" t="n">
        <x:v>786469</x:v>
      </x:c>
      <x:c r="G152" s="2" t="str">
        <x:v>WITHIN_BAND</x:v>
      </x:c>
      <x:c r="H152" s="2" t="n">
        <x:v>1</x:v>
      </x:c>
      <x:c r="I152" s="2" t="n">
        <x:f>IF(AND(COUNTIFS($B$6:$B$797,B152,$C$6:$C$797,C152)=11,COUNTIFS($B$6:$B$797,B152,$C$6:$C$797,C152,$G$6:$G$797,"REVIEW")=0,COUNTIFS($B$6:$B$797,B152,$C$6:$C$797,C152,$H$6:$H$797,1)=11,COUNTIFS($B$6:$B$797,B152,$C$6:$C$797,C152,$F$6:$F$797,"&gt;0")=11),1,0)</x:f>
        <x:v>1</x:v>
      </x:c>
      <x:c r="J152" s="2" t="n">
        <x:f>COUNTIFS($A$6:$A$797,A152)</x:f>
        <x:v>1</x:v>
      </x:c>
    </x:row>
    <x:row r="153" ht="23" customHeight="1">
      <x:c r="A153" s="2" t="str">
        <x:v>61091000_MA_202602_IMPORT</x:v>
      </x:c>
      <x:c r="B153" s="2" t="n">
        <x:v>202602</x:v>
      </x:c>
      <x:c r="C153" s="2" t="str">
        <x:v>61091000</x:v>
      </x:c>
      <x:c r="D153" s="2" t="str">
        <x:v>Morocco</x:v>
      </x:c>
      <x:c r="E153" s="16" t="n">
        <x:v>812099</x:v>
      </x:c>
      <x:c r="F153" s="16" t="n">
        <x:v>108021</x:v>
      </x:c>
      <x:c r="G153" s="2" t="str">
        <x:v>WITHIN_BAND</x:v>
      </x:c>
      <x:c r="H153" s="2" t="n">
        <x:v>1</x:v>
      </x:c>
      <x:c r="I153" s="2" t="n">
        <x:f>IF(AND(COUNTIFS($B$6:$B$797,B153,$C$6:$C$797,C153)=11,COUNTIFS($B$6:$B$797,B153,$C$6:$C$797,C153,$G$6:$G$797,"REVIEW")=0,COUNTIFS($B$6:$B$797,B153,$C$6:$C$797,C153,$H$6:$H$797,1)=11,COUNTIFS($B$6:$B$797,B153,$C$6:$C$797,C153,$F$6:$F$797,"&gt;0")=11),1,0)</x:f>
        <x:v>1</x:v>
      </x:c>
      <x:c r="J153" s="2" t="n">
        <x:f>COUNTIFS($A$6:$A$797,A153)</x:f>
        <x:v>1</x:v>
      </x:c>
    </x:row>
    <x:row r="154" ht="23" customHeight="1">
      <x:c r="A154" s="2" t="str">
        <x:v>61091000_MM_202602_IMPORT</x:v>
      </x:c>
      <x:c r="B154" s="2" t="n">
        <x:v>202602</x:v>
      </x:c>
      <x:c r="C154" s="2" t="str">
        <x:v>61091000</x:v>
      </x:c>
      <x:c r="D154" s="2" t="str">
        <x:v>Myanmar</x:v>
      </x:c>
      <x:c r="E154" s="16" t="n">
        <x:v>42372</x:v>
      </x:c>
      <x:c r="F154" s="16" t="n">
        <x:v>3137</x:v>
      </x:c>
      <x:c r="G154" s="2" t="str">
        <x:v>WITHIN_BAND</x:v>
      </x:c>
      <x:c r="H154" s="2" t="n">
        <x:v>1</x:v>
      </x:c>
      <x:c r="I154" s="2" t="n">
        <x:f>IF(AND(COUNTIFS($B$6:$B$797,B154,$C$6:$C$797,C154)=11,COUNTIFS($B$6:$B$797,B154,$C$6:$C$797,C154,$G$6:$G$797,"REVIEW")=0,COUNTIFS($B$6:$B$797,B154,$C$6:$C$797,C154,$H$6:$H$797,1)=11,COUNTIFS($B$6:$B$797,B154,$C$6:$C$797,C154,$F$6:$F$797,"&gt;0")=11),1,0)</x:f>
        <x:v>1</x:v>
      </x:c>
      <x:c r="J154" s="2" t="n">
        <x:f>COUNTIFS($A$6:$A$797,A154)</x:f>
        <x:v>1</x:v>
      </x:c>
    </x:row>
    <x:row r="155" ht="23" customHeight="1">
      <x:c r="A155" s="2" t="str">
        <x:v>61091000_PK_202602_IMPORT</x:v>
      </x:c>
      <x:c r="B155" s="2" t="n">
        <x:v>202602</x:v>
      </x:c>
      <x:c r="C155" s="2" t="str">
        <x:v>61091000</x:v>
      </x:c>
      <x:c r="D155" s="2" t="str">
        <x:v>Pakistan</x:v>
      </x:c>
      <x:c r="E155" s="16" t="n">
        <x:v>3564591</x:v>
      </x:c>
      <x:c r="F155" s="16" t="n">
        <x:v>289778</x:v>
      </x:c>
      <x:c r="G155" s="2" t="str">
        <x:v>WITHIN_BAND</x:v>
      </x:c>
      <x:c r="H155" s="2" t="n">
        <x:v>1</x:v>
      </x:c>
      <x:c r="I155" s="2" t="n">
        <x:f>IF(AND(COUNTIFS($B$6:$B$797,B155,$C$6:$C$797,C155)=11,COUNTIFS($B$6:$B$797,B155,$C$6:$C$797,C155,$G$6:$G$797,"REVIEW")=0,COUNTIFS($B$6:$B$797,B155,$C$6:$C$797,C155,$H$6:$H$797,1)=11,COUNTIFS($B$6:$B$797,B155,$C$6:$C$797,C155,$F$6:$F$797,"&gt;0")=11),1,0)</x:f>
        <x:v>1</x:v>
      </x:c>
      <x:c r="J155" s="2" t="n">
        <x:f>COUNTIFS($A$6:$A$797,A155)</x:f>
        <x:v>1</x:v>
      </x:c>
    </x:row>
    <x:row r="156" ht="23" customHeight="1">
      <x:c r="A156" s="2" t="str">
        <x:v>61091000_LK_202602_IMPORT</x:v>
      </x:c>
      <x:c r="B156" s="2" t="n">
        <x:v>202602</x:v>
      </x:c>
      <x:c r="C156" s="2" t="str">
        <x:v>61091000</x:v>
      </x:c>
      <x:c r="D156" s="2" t="str">
        <x:v>Sri Lanka</x:v>
      </x:c>
      <x:c r="E156" s="16" t="n">
        <x:v>899655</x:v>
      </x:c>
      <x:c r="F156" s="16" t="n">
        <x:v>80469</x:v>
      </x:c>
      <x:c r="G156" s="2" t="str">
        <x:v>WITHIN_BAND</x:v>
      </x:c>
      <x:c r="H156" s="2" t="n">
        <x:v>1</x:v>
      </x:c>
      <x:c r="I156" s="2" t="n">
        <x:f>IF(AND(COUNTIFS($B$6:$B$797,B156,$C$6:$C$797,C156)=11,COUNTIFS($B$6:$B$797,B156,$C$6:$C$797,C156,$G$6:$G$797,"REVIEW")=0,COUNTIFS($B$6:$B$797,B156,$C$6:$C$797,C156,$H$6:$H$797,1)=11,COUNTIFS($B$6:$B$797,B156,$C$6:$C$797,C156,$F$6:$F$797,"&gt;0")=11),1,0)</x:f>
        <x:v>1</x:v>
      </x:c>
      <x:c r="J156" s="2" t="n">
        <x:f>COUNTIFS($A$6:$A$797,A156)</x:f>
        <x:v>1</x:v>
      </x:c>
    </x:row>
    <x:row r="157" ht="23" customHeight="1">
      <x:c r="A157" s="2" t="str">
        <x:v>61091000_TR_202602_IMPORT</x:v>
      </x:c>
      <x:c r="B157" s="2" t="n">
        <x:v>202602</x:v>
      </x:c>
      <x:c r="C157" s="2" t="str">
        <x:v>61091000</x:v>
      </x:c>
      <x:c r="D157" s="2" t="str">
        <x:v>Turkey</x:v>
      </x:c>
      <x:c r="E157" s="16" t="n">
        <x:v>7564760</x:v>
      </x:c>
      <x:c r="F157" s="16" t="n">
        <x:v>294099</x:v>
      </x:c>
      <x:c r="G157" s="2" t="str">
        <x:v>WITHIN_BAND</x:v>
      </x:c>
      <x:c r="H157" s="2" t="n">
        <x:v>1</x:v>
      </x:c>
      <x:c r="I157" s="2" t="n">
        <x:f>IF(AND(COUNTIFS($B$6:$B$797,B157,$C$6:$C$797,C157)=11,COUNTIFS($B$6:$B$797,B157,$C$6:$C$797,C157,$G$6:$G$797,"REVIEW")=0,COUNTIFS($B$6:$B$797,B157,$C$6:$C$797,C157,$H$6:$H$797,1)=11,COUNTIFS($B$6:$B$797,B157,$C$6:$C$797,C157,$F$6:$F$797,"&gt;0")=11),1,0)</x:f>
        <x:v>1</x:v>
      </x:c>
      <x:c r="J157" s="2" t="n">
        <x:f>COUNTIFS($A$6:$A$797,A157)</x:f>
        <x:v>1</x:v>
      </x:c>
    </x:row>
    <x:row r="158" ht="23" customHeight="1">
      <x:c r="A158" s="2" t="str">
        <x:v>61091000_VN_202602_IMPORT</x:v>
      </x:c>
      <x:c r="B158" s="2" t="n">
        <x:v>202602</x:v>
      </x:c>
      <x:c r="C158" s="2" t="str">
        <x:v>61091000</x:v>
      </x:c>
      <x:c r="D158" s="2" t="str">
        <x:v>Vietnam</x:v>
      </x:c>
      <x:c r="E158" s="16" t="n">
        <x:v>2636146</x:v>
      </x:c>
      <x:c r="F158" s="16" t="n">
        <x:v>111570</x:v>
      </x:c>
      <x:c r="G158" s="2" t="str">
        <x:v>WITHIN_BAND</x:v>
      </x:c>
      <x:c r="H158" s="2" t="n">
        <x:v>1</x:v>
      </x:c>
      <x:c r="I158" s="2" t="n">
        <x:f>IF(AND(COUNTIFS($B$6:$B$797,B158,$C$6:$C$797,C158)=11,COUNTIFS($B$6:$B$797,B158,$C$6:$C$797,C158,$G$6:$G$797,"REVIEW")=0,COUNTIFS($B$6:$B$797,B158,$C$6:$C$797,C158,$H$6:$H$797,1)=11,COUNTIFS($B$6:$B$797,B158,$C$6:$C$797,C158,$F$6:$F$797,"&gt;0")=11),1,0)</x:f>
        <x:v>1</x:v>
      </x:c>
      <x:c r="J158" s="2" t="n">
        <x:f>COUNTIFS($A$6:$A$797,A158)</x:f>
        <x:v>1</x:v>
      </x:c>
    </x:row>
    <x:row r="159" ht="23" customHeight="1">
      <x:c r="A159" s="2" t="str">
        <x:v>61091000_WORLD_202602_IMPORT</x:v>
      </x:c>
      <x:c r="B159" s="2" t="n">
        <x:v>202602</x:v>
      </x:c>
      <x:c r="C159" s="2" t="str">
        <x:v>61091000</x:v>
      </x:c>
      <x:c r="D159" s="2" t="str">
        <x:v>World</x:v>
      </x:c>
      <x:c r="E159" s="16" t="n">
        <x:v>101424211</x:v>
      </x:c>
      <x:c r="F159" s="16" t="n">
        <x:v>6491676</x:v>
      </x:c>
      <x:c r="G159" s="2" t="str">
        <x:v>WITHIN_BAND</x:v>
      </x:c>
      <x:c r="H159" s="2" t="n">
        <x:v>1</x:v>
      </x:c>
      <x:c r="I159" s="2" t="n">
        <x:f>IF(AND(COUNTIFS($B$6:$B$797,B159,$C$6:$C$797,C159)=11,COUNTIFS($B$6:$B$797,B159,$C$6:$C$797,C159,$G$6:$G$797,"REVIEW")=0,COUNTIFS($B$6:$B$797,B159,$C$6:$C$797,C159,$H$6:$H$797,1)=11,COUNTIFS($B$6:$B$797,B159,$C$6:$C$797,C159,$F$6:$F$797,"&gt;0")=11),1,0)</x:f>
        <x:v>1</x:v>
      </x:c>
      <x:c r="J159" s="2" t="n">
        <x:f>COUNTIFS($A$6:$A$797,A159)</x:f>
        <x:v>1</x:v>
      </x:c>
    </x:row>
    <x:row r="160" ht="23" customHeight="1">
      <x:c r="A160" s="2" t="str">
        <x:v>61091000_BD_202603_IMPORT</x:v>
      </x:c>
      <x:c r="B160" s="2" t="n">
        <x:v>202603</x:v>
      </x:c>
      <x:c r="C160" s="2" t="str">
        <x:v>61091000</x:v>
      </x:c>
      <x:c r="D160" s="2" t="str">
        <x:v>Bangladesh</x:v>
      </x:c>
      <x:c r="E160" s="16" t="n">
        <x:v>42747807</x:v>
      </x:c>
      <x:c r="F160" s="16" t="n">
        <x:v>4120835</x:v>
      </x:c>
      <x:c r="G160" s="2" t="str">
        <x:v>WITHIN_BAND</x:v>
      </x:c>
      <x:c r="H160" s="2" t="n">
        <x:v>1</x:v>
      </x:c>
      <x:c r="I160" s="2" t="n">
        <x:f>IF(AND(COUNTIFS($B$6:$B$797,B160,$C$6:$C$797,C160)=11,COUNTIFS($B$6:$B$797,B160,$C$6:$C$797,C160,$G$6:$G$797,"REVIEW")=0,COUNTIFS($B$6:$B$797,B160,$C$6:$C$797,C160,$H$6:$H$797,1)=11,COUNTIFS($B$6:$B$797,B160,$C$6:$C$797,C160,$F$6:$F$797,"&gt;0")=11),1,0)</x:f>
        <x:v>1</x:v>
      </x:c>
      <x:c r="J160" s="2" t="n">
        <x:f>COUNTIFS($A$6:$A$797,A160)</x:f>
        <x:v>1</x:v>
      </x:c>
    </x:row>
    <x:row r="161" ht="23" customHeight="1">
      <x:c r="A161" s="2" t="str">
        <x:v>61091000_KH_202603_IMPORT</x:v>
      </x:c>
      <x:c r="B161" s="2" t="n">
        <x:v>202603</x:v>
      </x:c>
      <x:c r="C161" s="2" t="str">
        <x:v>61091000</x:v>
      </x:c>
      <x:c r="D161" s="2" t="str">
        <x:v>Cambodia</x:v>
      </x:c>
      <x:c r="E161" s="16" t="n">
        <x:v>1270394</x:v>
      </x:c>
      <x:c r="F161" s="16" t="n">
        <x:v>56249</x:v>
      </x:c>
      <x:c r="G161" s="2" t="str">
        <x:v>WITHIN_BAND</x:v>
      </x:c>
      <x:c r="H161" s="2" t="n">
        <x:v>1</x:v>
      </x:c>
      <x:c r="I161" s="2" t="n">
        <x:f>IF(AND(COUNTIFS($B$6:$B$797,B161,$C$6:$C$797,C161)=11,COUNTIFS($B$6:$B$797,B161,$C$6:$C$797,C161,$G$6:$G$797,"REVIEW")=0,COUNTIFS($B$6:$B$797,B161,$C$6:$C$797,C161,$H$6:$H$797,1)=11,COUNTIFS($B$6:$B$797,B161,$C$6:$C$797,C161,$F$6:$F$797,"&gt;0")=11),1,0)</x:f>
        <x:v>1</x:v>
      </x:c>
      <x:c r="J161" s="2" t="n">
        <x:f>COUNTIFS($A$6:$A$797,A161)</x:f>
        <x:v>1</x:v>
      </x:c>
    </x:row>
    <x:row r="162" ht="23" customHeight="1">
      <x:c r="A162" s="2" t="str">
        <x:v>61091000_CN_202603_IMPORT</x:v>
      </x:c>
      <x:c r="B162" s="2" t="n">
        <x:v>202603</x:v>
      </x:c>
      <x:c r="C162" s="2" t="str">
        <x:v>61091000</x:v>
      </x:c>
      <x:c r="D162" s="2" t="str">
        <x:v>China</x:v>
      </x:c>
      <x:c r="E162" s="16" t="n">
        <x:v>4244842</x:v>
      </x:c>
      <x:c r="F162" s="16" t="n">
        <x:v>270295</x:v>
      </x:c>
      <x:c r="G162" s="2" t="str">
        <x:v>WITHIN_BAND</x:v>
      </x:c>
      <x:c r="H162" s="2" t="n">
        <x:v>1</x:v>
      </x:c>
      <x:c r="I162" s="2" t="n">
        <x:f>IF(AND(COUNTIFS($B$6:$B$797,B162,$C$6:$C$797,C162)=11,COUNTIFS($B$6:$B$797,B162,$C$6:$C$797,C162,$G$6:$G$797,"REVIEW")=0,COUNTIFS($B$6:$B$797,B162,$C$6:$C$797,C162,$H$6:$H$797,1)=11,COUNTIFS($B$6:$B$797,B162,$C$6:$C$797,C162,$F$6:$F$797,"&gt;0")=11),1,0)</x:f>
        <x:v>1</x:v>
      </x:c>
      <x:c r="J162" s="2" t="n">
        <x:f>COUNTIFS($A$6:$A$797,A162)</x:f>
        <x:v>1</x:v>
      </x:c>
    </x:row>
    <x:row r="163" ht="23" customHeight="1">
      <x:c r="A163" s="2" t="str">
        <x:v>61091000_IN_202603_IMPORT</x:v>
      </x:c>
      <x:c r="B163" s="2" t="n">
        <x:v>202603</x:v>
      </x:c>
      <x:c r="C163" s="2" t="str">
        <x:v>61091000</x:v>
      </x:c>
      <x:c r="D163" s="2" t="str">
        <x:v>India</x:v>
      </x:c>
      <x:c r="E163" s="16" t="n">
        <x:v>8660388</x:v>
      </x:c>
      <x:c r="F163" s="16" t="n">
        <x:v>702824</x:v>
      </x:c>
      <x:c r="G163" s="2" t="str">
        <x:v>WITHIN_BAND</x:v>
      </x:c>
      <x:c r="H163" s="2" t="n">
        <x:v>1</x:v>
      </x:c>
      <x:c r="I163" s="2" t="n">
        <x:f>IF(AND(COUNTIFS($B$6:$B$797,B163,$C$6:$C$797,C163)=11,COUNTIFS($B$6:$B$797,B163,$C$6:$C$797,C163,$G$6:$G$797,"REVIEW")=0,COUNTIFS($B$6:$B$797,B163,$C$6:$C$797,C163,$H$6:$H$797,1)=11,COUNTIFS($B$6:$B$797,B163,$C$6:$C$797,C163,$F$6:$F$797,"&gt;0")=11),1,0)</x:f>
        <x:v>1</x:v>
      </x:c>
      <x:c r="J163" s="2" t="n">
        <x:f>COUNTIFS($A$6:$A$797,A163)</x:f>
        <x:v>1</x:v>
      </x:c>
    </x:row>
    <x:row r="164" ht="23" customHeight="1">
      <x:c r="A164" s="2" t="str">
        <x:v>61091000_MA_202603_IMPORT</x:v>
      </x:c>
      <x:c r="B164" s="2" t="n">
        <x:v>202603</x:v>
      </x:c>
      <x:c r="C164" s="2" t="str">
        <x:v>61091000</x:v>
      </x:c>
      <x:c r="D164" s="2" t="str">
        <x:v>Morocco</x:v>
      </x:c>
      <x:c r="E164" s="16" t="n">
        <x:v>988437</x:v>
      </x:c>
      <x:c r="F164" s="16" t="n">
        <x:v>111757</x:v>
      </x:c>
      <x:c r="G164" s="2" t="str">
        <x:v>WITHIN_BAND</x:v>
      </x:c>
      <x:c r="H164" s="2" t="n">
        <x:v>1</x:v>
      </x:c>
      <x:c r="I164" s="2" t="n">
        <x:f>IF(AND(COUNTIFS($B$6:$B$797,B164,$C$6:$C$797,C164)=11,COUNTIFS($B$6:$B$797,B164,$C$6:$C$797,C164,$G$6:$G$797,"REVIEW")=0,COUNTIFS($B$6:$B$797,B164,$C$6:$C$797,C164,$H$6:$H$797,1)=11,COUNTIFS($B$6:$B$797,B164,$C$6:$C$797,C164,$F$6:$F$797,"&gt;0")=11),1,0)</x:f>
        <x:v>1</x:v>
      </x:c>
      <x:c r="J164" s="2" t="n">
        <x:f>COUNTIFS($A$6:$A$797,A164)</x:f>
        <x:v>1</x:v>
      </x:c>
    </x:row>
    <x:row r="165" ht="23" customHeight="1">
      <x:c r="A165" s="2" t="str">
        <x:v>61091000_MM_202603_IMPORT</x:v>
      </x:c>
      <x:c r="B165" s="2" t="n">
        <x:v>202603</x:v>
      </x:c>
      <x:c r="C165" s="2" t="str">
        <x:v>61091000</x:v>
      </x:c>
      <x:c r="D165" s="2" t="str">
        <x:v>Myanmar</x:v>
      </x:c>
      <x:c r="E165" s="16" t="n">
        <x:v>92809</x:v>
      </x:c>
      <x:c r="F165" s="16" t="n">
        <x:v>9646</x:v>
      </x:c>
      <x:c r="G165" s="2" t="str">
        <x:v>WITHIN_BAND</x:v>
      </x:c>
      <x:c r="H165" s="2" t="n">
        <x:v>1</x:v>
      </x:c>
      <x:c r="I165" s="2" t="n">
        <x:f>IF(AND(COUNTIFS($B$6:$B$797,B165,$C$6:$C$797,C165)=11,COUNTIFS($B$6:$B$797,B165,$C$6:$C$797,C165,$G$6:$G$797,"REVIEW")=0,COUNTIFS($B$6:$B$797,B165,$C$6:$C$797,C165,$H$6:$H$797,1)=11,COUNTIFS($B$6:$B$797,B165,$C$6:$C$797,C165,$F$6:$F$797,"&gt;0")=11),1,0)</x:f>
        <x:v>1</x:v>
      </x:c>
      <x:c r="J165" s="2" t="n">
        <x:f>COUNTIFS($A$6:$A$797,A165)</x:f>
        <x:v>1</x:v>
      </x:c>
    </x:row>
    <x:row r="166" ht="23" customHeight="1">
      <x:c r="A166" s="2" t="str">
        <x:v>61091000_PK_202603_IMPORT</x:v>
      </x:c>
      <x:c r="B166" s="2" t="n">
        <x:v>202603</x:v>
      </x:c>
      <x:c r="C166" s="2" t="str">
        <x:v>61091000</x:v>
      </x:c>
      <x:c r="D166" s="2" t="str">
        <x:v>Pakistan</x:v>
      </x:c>
      <x:c r="E166" s="16" t="n">
        <x:v>3032936</x:v>
      </x:c>
      <x:c r="F166" s="16" t="n">
        <x:v>291919</x:v>
      </x:c>
      <x:c r="G166" s="2" t="str">
        <x:v>WITHIN_BAND</x:v>
      </x:c>
      <x:c r="H166" s="2" t="n">
        <x:v>1</x:v>
      </x:c>
      <x:c r="I166" s="2" t="n">
        <x:f>IF(AND(COUNTIFS($B$6:$B$797,B166,$C$6:$C$797,C166)=11,COUNTIFS($B$6:$B$797,B166,$C$6:$C$797,C166,$G$6:$G$797,"REVIEW")=0,COUNTIFS($B$6:$B$797,B166,$C$6:$C$797,C166,$H$6:$H$797,1)=11,COUNTIFS($B$6:$B$797,B166,$C$6:$C$797,C166,$F$6:$F$797,"&gt;0")=11),1,0)</x:f>
        <x:v>1</x:v>
      </x:c>
      <x:c r="J166" s="2" t="n">
        <x:f>COUNTIFS($A$6:$A$797,A166)</x:f>
        <x:v>1</x:v>
      </x:c>
    </x:row>
    <x:row r="167" ht="23" customHeight="1">
      <x:c r="A167" s="2" t="str">
        <x:v>61091000_LK_202603_IMPORT</x:v>
      </x:c>
      <x:c r="B167" s="2" t="n">
        <x:v>202603</x:v>
      </x:c>
      <x:c r="C167" s="2" t="str">
        <x:v>61091000</x:v>
      </x:c>
      <x:c r="D167" s="2" t="str">
        <x:v>Sri Lanka</x:v>
      </x:c>
      <x:c r="E167" s="16" t="n">
        <x:v>1837934</x:v>
      </x:c>
      <x:c r="F167" s="16" t="n">
        <x:v>168057</x:v>
      </x:c>
      <x:c r="G167" s="2" t="str">
        <x:v>WITHIN_BAND</x:v>
      </x:c>
      <x:c r="H167" s="2" t="n">
        <x:v>1</x:v>
      </x:c>
      <x:c r="I167" s="2" t="n">
        <x:f>IF(AND(COUNTIFS($B$6:$B$797,B167,$C$6:$C$797,C167)=11,COUNTIFS($B$6:$B$797,B167,$C$6:$C$797,C167,$G$6:$G$797,"REVIEW")=0,COUNTIFS($B$6:$B$797,B167,$C$6:$C$797,C167,$H$6:$H$797,1)=11,COUNTIFS($B$6:$B$797,B167,$C$6:$C$797,C167,$F$6:$F$797,"&gt;0")=11),1,0)</x:f>
        <x:v>1</x:v>
      </x:c>
      <x:c r="J167" s="2" t="n">
        <x:f>COUNTIFS($A$6:$A$797,A167)</x:f>
        <x:v>1</x:v>
      </x:c>
    </x:row>
    <x:row r="168" ht="23" customHeight="1">
      <x:c r="A168" s="2" t="str">
        <x:v>61091000_TR_202603_IMPORT</x:v>
      </x:c>
      <x:c r="B168" s="2" t="n">
        <x:v>202603</x:v>
      </x:c>
      <x:c r="C168" s="2" t="str">
        <x:v>61091000</x:v>
      </x:c>
      <x:c r="D168" s="2" t="str">
        <x:v>Turkey</x:v>
      </x:c>
      <x:c r="E168" s="16" t="n">
        <x:v>10459423</x:v>
      </x:c>
      <x:c r="F168" s="16" t="n">
        <x:v>418647</x:v>
      </x:c>
      <x:c r="G168" s="2" t="str">
        <x:v>WITHIN_BAND</x:v>
      </x:c>
      <x:c r="H168" s="2" t="n">
        <x:v>1</x:v>
      </x:c>
      <x:c r="I168" s="2" t="n">
        <x:f>IF(AND(COUNTIFS($B$6:$B$797,B168,$C$6:$C$797,C168)=11,COUNTIFS($B$6:$B$797,B168,$C$6:$C$797,C168,$G$6:$G$797,"REVIEW")=0,COUNTIFS($B$6:$B$797,B168,$C$6:$C$797,C168,$H$6:$H$797,1)=11,COUNTIFS($B$6:$B$797,B168,$C$6:$C$797,C168,$F$6:$F$797,"&gt;0")=11),1,0)</x:f>
        <x:v>1</x:v>
      </x:c>
      <x:c r="J168" s="2" t="n">
        <x:f>COUNTIFS($A$6:$A$797,A168)</x:f>
        <x:v>1</x:v>
      </x:c>
    </x:row>
    <x:row r="169" ht="23" customHeight="1">
      <x:c r="A169" s="2" t="str">
        <x:v>61091000_VN_202603_IMPORT</x:v>
      </x:c>
      <x:c r="B169" s="2" t="n">
        <x:v>202603</x:v>
      </x:c>
      <x:c r="C169" s="2" t="str">
        <x:v>61091000</x:v>
      </x:c>
      <x:c r="D169" s="2" t="str">
        <x:v>Vietnam</x:v>
      </x:c>
      <x:c r="E169" s="16" t="n">
        <x:v>2696051</x:v>
      </x:c>
      <x:c r="F169" s="16" t="n">
        <x:v>108769</x:v>
      </x:c>
      <x:c r="G169" s="2" t="str">
        <x:v>WITHIN_BAND</x:v>
      </x:c>
      <x:c r="H169" s="2" t="n">
        <x:v>1</x:v>
      </x:c>
      <x:c r="I169" s="2" t="n">
        <x:f>IF(AND(COUNTIFS($B$6:$B$797,B169,$C$6:$C$797,C169)=11,COUNTIFS($B$6:$B$797,B169,$C$6:$C$797,C169,$G$6:$G$797,"REVIEW")=0,COUNTIFS($B$6:$B$797,B169,$C$6:$C$797,C169,$H$6:$H$797,1)=11,COUNTIFS($B$6:$B$797,B169,$C$6:$C$797,C169,$F$6:$F$797,"&gt;0")=11),1,0)</x:f>
        <x:v>1</x:v>
      </x:c>
      <x:c r="J169" s="2" t="n">
        <x:f>COUNTIFS($A$6:$A$797,A169)</x:f>
        <x:v>1</x:v>
      </x:c>
    </x:row>
    <x:row r="170" ht="23" customHeight="1">
      <x:c r="A170" s="2" t="str">
        <x:v>61091000_WORLD_202603_IMPORT</x:v>
      </x:c>
      <x:c r="B170" s="2" t="n">
        <x:v>202603</x:v>
      </x:c>
      <x:c r="C170" s="2" t="str">
        <x:v>61091000</x:v>
      </x:c>
      <x:c r="D170" s="2" t="str">
        <x:v>World</x:v>
      </x:c>
      <x:c r="E170" s="16" t="n">
        <x:v>112421962</x:v>
      </x:c>
      <x:c r="F170" s="16" t="n">
        <x:v>7537773</x:v>
      </x:c>
      <x:c r="G170" s="2" t="str">
        <x:v>WITHIN_BAND</x:v>
      </x:c>
      <x:c r="H170" s="2" t="n">
        <x:v>1</x:v>
      </x:c>
      <x:c r="I170" s="2" t="n">
        <x:f>IF(AND(COUNTIFS($B$6:$B$797,B170,$C$6:$C$797,C170)=11,COUNTIFS($B$6:$B$797,B170,$C$6:$C$797,C170,$G$6:$G$797,"REVIEW")=0,COUNTIFS($B$6:$B$797,B170,$C$6:$C$797,C170,$H$6:$H$797,1)=11,COUNTIFS($B$6:$B$797,B170,$C$6:$C$797,C170,$F$6:$F$797,"&gt;0")=11),1,0)</x:f>
        <x:v>1</x:v>
      </x:c>
      <x:c r="J170" s="2" t="n">
        <x:f>COUNTIFS($A$6:$A$797,A170)</x:f>
        <x:v>1</x:v>
      </x:c>
    </x:row>
    <x:row r="171" ht="23" customHeight="1">
      <x:c r="A171" s="2" t="str">
        <x:v>61091000_BD_202604_IMPORT</x:v>
      </x:c>
      <x:c r="B171" s="2" t="n">
        <x:v>202604</x:v>
      </x:c>
      <x:c r="C171" s="2" t="str">
        <x:v>61091000</x:v>
      </x:c>
      <x:c r="D171" s="2" t="str">
        <x:v>Bangladesh</x:v>
      </x:c>
      <x:c r="E171" s="16" t="n">
        <x:v>57226856</x:v>
      </x:c>
      <x:c r="F171" s="16" t="n">
        <x:v>5576002</x:v>
      </x:c>
      <x:c r="G171" s="2" t="str">
        <x:v>WITHIN_BAND</x:v>
      </x:c>
      <x:c r="H171" s="2" t="n">
        <x:v>1</x:v>
      </x:c>
      <x:c r="I171" s="2" t="n">
        <x:f>IF(AND(COUNTIFS($B$6:$B$797,B171,$C$6:$C$797,C171)=11,COUNTIFS($B$6:$B$797,B171,$C$6:$C$797,C171,$G$6:$G$797,"REVIEW")=0,COUNTIFS($B$6:$B$797,B171,$C$6:$C$797,C171,$H$6:$H$797,1)=11,COUNTIFS($B$6:$B$797,B171,$C$6:$C$797,C171,$F$6:$F$797,"&gt;0")=11),1,0)</x:f>
        <x:v>1</x:v>
      </x:c>
      <x:c r="J171" s="2" t="n">
        <x:f>COUNTIFS($A$6:$A$797,A171)</x:f>
        <x:v>1</x:v>
      </x:c>
    </x:row>
    <x:row r="172" ht="23" customHeight="1">
      <x:c r="A172" s="2" t="str">
        <x:v>61091000_KH_202604_IMPORT</x:v>
      </x:c>
      <x:c r="B172" s="2" t="n">
        <x:v>202604</x:v>
      </x:c>
      <x:c r="C172" s="2" t="str">
        <x:v>61091000</x:v>
      </x:c>
      <x:c r="D172" s="2" t="str">
        <x:v>Cambodia</x:v>
      </x:c>
      <x:c r="E172" s="16" t="n">
        <x:v>1289683</x:v>
      </x:c>
      <x:c r="F172" s="16" t="n">
        <x:v>62201</x:v>
      </x:c>
      <x:c r="G172" s="2" t="str">
        <x:v>WITHIN_BAND</x:v>
      </x:c>
      <x:c r="H172" s="2" t="n">
        <x:v>1</x:v>
      </x:c>
      <x:c r="I172" s="2" t="n">
        <x:f>IF(AND(COUNTIFS($B$6:$B$797,B172,$C$6:$C$797,C172)=11,COUNTIFS($B$6:$B$797,B172,$C$6:$C$797,C172,$G$6:$G$797,"REVIEW")=0,COUNTIFS($B$6:$B$797,B172,$C$6:$C$797,C172,$H$6:$H$797,1)=11,COUNTIFS($B$6:$B$797,B172,$C$6:$C$797,C172,$F$6:$F$797,"&gt;0")=11),1,0)</x:f>
        <x:v>1</x:v>
      </x:c>
      <x:c r="J172" s="2" t="n">
        <x:f>COUNTIFS($A$6:$A$797,A172)</x:f>
        <x:v>1</x:v>
      </x:c>
    </x:row>
    <x:row r="173" ht="23" customHeight="1">
      <x:c r="A173" s="2" t="str">
        <x:v>61091000_CN_202604_IMPORT</x:v>
      </x:c>
      <x:c r="B173" s="2" t="n">
        <x:v>202604</x:v>
      </x:c>
      <x:c r="C173" s="2" t="str">
        <x:v>61091000</x:v>
      </x:c>
      <x:c r="D173" s="2" t="str">
        <x:v>China</x:v>
      </x:c>
      <x:c r="E173" s="16" t="n">
        <x:v>5014181</x:v>
      </x:c>
      <x:c r="F173" s="16" t="n">
        <x:v>290847</x:v>
      </x:c>
      <x:c r="G173" s="2" t="str">
        <x:v>WITHIN_BAND</x:v>
      </x:c>
      <x:c r="H173" s="2" t="n">
        <x:v>1</x:v>
      </x:c>
      <x:c r="I173" s="2" t="n">
        <x:f>IF(AND(COUNTIFS($B$6:$B$797,B173,$C$6:$C$797,C173)=11,COUNTIFS($B$6:$B$797,B173,$C$6:$C$797,C173,$G$6:$G$797,"REVIEW")=0,COUNTIFS($B$6:$B$797,B173,$C$6:$C$797,C173,$H$6:$H$797,1)=11,COUNTIFS($B$6:$B$797,B173,$C$6:$C$797,C173,$F$6:$F$797,"&gt;0")=11),1,0)</x:f>
        <x:v>1</x:v>
      </x:c>
      <x:c r="J173" s="2" t="n">
        <x:f>COUNTIFS($A$6:$A$797,A173)</x:f>
        <x:v>1</x:v>
      </x:c>
    </x:row>
    <x:row r="174" ht="23" customHeight="1">
      <x:c r="A174" s="2" t="str">
        <x:v>61091000_IN_202604_IMPORT</x:v>
      </x:c>
      <x:c r="B174" s="2" t="n">
        <x:v>202604</x:v>
      </x:c>
      <x:c r="C174" s="2" t="str">
        <x:v>61091000</x:v>
      </x:c>
      <x:c r="D174" s="2" t="str">
        <x:v>India</x:v>
      </x:c>
      <x:c r="E174" s="16" t="n">
        <x:v>11733798</x:v>
      </x:c>
      <x:c r="F174" s="16" t="n">
        <x:v>954859</x:v>
      </x:c>
      <x:c r="G174" s="2" t="str">
        <x:v>WITHIN_BAND</x:v>
      </x:c>
      <x:c r="H174" s="2" t="n">
        <x:v>1</x:v>
      </x:c>
      <x:c r="I174" s="2" t="n">
        <x:f>IF(AND(COUNTIFS($B$6:$B$797,B174,$C$6:$C$797,C174)=11,COUNTIFS($B$6:$B$797,B174,$C$6:$C$797,C174,$G$6:$G$797,"REVIEW")=0,COUNTIFS($B$6:$B$797,B174,$C$6:$C$797,C174,$H$6:$H$797,1)=11,COUNTIFS($B$6:$B$797,B174,$C$6:$C$797,C174,$F$6:$F$797,"&gt;0")=11),1,0)</x:f>
        <x:v>1</x:v>
      </x:c>
      <x:c r="J174" s="2" t="n">
        <x:f>COUNTIFS($A$6:$A$797,A174)</x:f>
        <x:v>1</x:v>
      </x:c>
    </x:row>
    <x:row r="175" ht="23" customHeight="1">
      <x:c r="A175" s="2" t="str">
        <x:v>61091000_MA_202604_IMPORT</x:v>
      </x:c>
      <x:c r="B175" s="2" t="n">
        <x:v>202604</x:v>
      </x:c>
      <x:c r="C175" s="2" t="str">
        <x:v>61091000</x:v>
      </x:c>
      <x:c r="D175" s="2" t="str">
        <x:v>Morocco</x:v>
      </x:c>
      <x:c r="E175" s="16" t="n">
        <x:v>834708</x:v>
      </x:c>
      <x:c r="F175" s="16" t="n">
        <x:v>73225</x:v>
      </x:c>
      <x:c r="G175" s="2" t="str">
        <x:v>WITHIN_BAND</x:v>
      </x:c>
      <x:c r="H175" s="2" t="n">
        <x:v>1</x:v>
      </x:c>
      <x:c r="I175" s="2" t="n">
        <x:f>IF(AND(COUNTIFS($B$6:$B$797,B175,$C$6:$C$797,C175)=11,COUNTIFS($B$6:$B$797,B175,$C$6:$C$797,C175,$G$6:$G$797,"REVIEW")=0,COUNTIFS($B$6:$B$797,B175,$C$6:$C$797,C175,$H$6:$H$797,1)=11,COUNTIFS($B$6:$B$797,B175,$C$6:$C$797,C175,$F$6:$F$797,"&gt;0")=11),1,0)</x:f>
        <x:v>1</x:v>
      </x:c>
      <x:c r="J175" s="2" t="n">
        <x:f>COUNTIFS($A$6:$A$797,A175)</x:f>
        <x:v>1</x:v>
      </x:c>
    </x:row>
    <x:row r="176" ht="23" customHeight="1">
      <x:c r="A176" s="2" t="str">
        <x:v>61091000_MM_202604_IMPORT</x:v>
      </x:c>
      <x:c r="B176" s="2" t="n">
        <x:v>202604</x:v>
      </x:c>
      <x:c r="C176" s="2" t="str">
        <x:v>61091000</x:v>
      </x:c>
      <x:c r="D176" s="2" t="str">
        <x:v>Myanmar</x:v>
      </x:c>
      <x:c r="E176" s="16" t="n">
        <x:v>153527</x:v>
      </x:c>
      <x:c r="F176" s="16" t="n">
        <x:v>18380</x:v>
      </x:c>
      <x:c r="G176" s="2" t="str">
        <x:v>WITHIN_BAND</x:v>
      </x:c>
      <x:c r="H176" s="2" t="n">
        <x:v>1</x:v>
      </x:c>
      <x:c r="I176" s="2" t="n">
        <x:f>IF(AND(COUNTIFS($B$6:$B$797,B176,$C$6:$C$797,C176)=11,COUNTIFS($B$6:$B$797,B176,$C$6:$C$797,C176,$G$6:$G$797,"REVIEW")=0,COUNTIFS($B$6:$B$797,B176,$C$6:$C$797,C176,$H$6:$H$797,1)=11,COUNTIFS($B$6:$B$797,B176,$C$6:$C$797,C176,$F$6:$F$797,"&gt;0")=11),1,0)</x:f>
        <x:v>1</x:v>
      </x:c>
      <x:c r="J176" s="2" t="n">
        <x:f>COUNTIFS($A$6:$A$797,A176)</x:f>
        <x:v>1</x:v>
      </x:c>
    </x:row>
    <x:row r="177" ht="23" customHeight="1">
      <x:c r="A177" s="2" t="str">
        <x:v>61091000_PK_202604_IMPORT</x:v>
      </x:c>
      <x:c r="B177" s="2" t="n">
        <x:v>202604</x:v>
      </x:c>
      <x:c r="C177" s="2" t="str">
        <x:v>61091000</x:v>
      </x:c>
      <x:c r="D177" s="2" t="str">
        <x:v>Pakistan</x:v>
      </x:c>
      <x:c r="E177" s="16" t="n">
        <x:v>4104653</x:v>
      </x:c>
      <x:c r="F177" s="16" t="n">
        <x:v>323694</x:v>
      </x:c>
      <x:c r="G177" s="2" t="str">
        <x:v>WITHIN_BAND</x:v>
      </x:c>
      <x:c r="H177" s="2" t="n">
        <x:v>1</x:v>
      </x:c>
      <x:c r="I177" s="2" t="n">
        <x:f>IF(AND(COUNTIFS($B$6:$B$797,B177,$C$6:$C$797,C177)=11,COUNTIFS($B$6:$B$797,B177,$C$6:$C$797,C177,$G$6:$G$797,"REVIEW")=0,COUNTIFS($B$6:$B$797,B177,$C$6:$C$797,C177,$H$6:$H$797,1)=11,COUNTIFS($B$6:$B$797,B177,$C$6:$C$797,C177,$F$6:$F$797,"&gt;0")=11),1,0)</x:f>
        <x:v>1</x:v>
      </x:c>
      <x:c r="J177" s="2" t="n">
        <x:f>COUNTIFS($A$6:$A$797,A177)</x:f>
        <x:v>1</x:v>
      </x:c>
    </x:row>
    <x:row r="178" ht="23" customHeight="1">
      <x:c r="A178" s="2" t="str">
        <x:v>61091000_LK_202604_IMPORT</x:v>
      </x:c>
      <x:c r="B178" s="2" t="n">
        <x:v>202604</x:v>
      </x:c>
      <x:c r="C178" s="2" t="str">
        <x:v>61091000</x:v>
      </x:c>
      <x:c r="D178" s="2" t="str">
        <x:v>Sri Lanka</x:v>
      </x:c>
      <x:c r="E178" s="16" t="n">
        <x:v>1419519</x:v>
      </x:c>
      <x:c r="F178" s="16" t="n">
        <x:v>114510</x:v>
      </x:c>
      <x:c r="G178" s="2" t="str">
        <x:v>WITHIN_BAND</x:v>
      </x:c>
      <x:c r="H178" s="2" t="n">
        <x:v>1</x:v>
      </x:c>
      <x:c r="I178" s="2" t="n">
        <x:f>IF(AND(COUNTIFS($B$6:$B$797,B178,$C$6:$C$797,C178)=11,COUNTIFS($B$6:$B$797,B178,$C$6:$C$797,C178,$G$6:$G$797,"REVIEW")=0,COUNTIFS($B$6:$B$797,B178,$C$6:$C$797,C178,$H$6:$H$797,1)=11,COUNTIFS($B$6:$B$797,B178,$C$6:$C$797,C178,$F$6:$F$797,"&gt;0")=11),1,0)</x:f>
        <x:v>1</x:v>
      </x:c>
      <x:c r="J178" s="2" t="n">
        <x:f>COUNTIFS($A$6:$A$797,A178)</x:f>
        <x:v>1</x:v>
      </x:c>
    </x:row>
    <x:row r="179" ht="23" customHeight="1">
      <x:c r="A179" s="2" t="str">
        <x:v>61091000_TR_202604_IMPORT</x:v>
      </x:c>
      <x:c r="B179" s="2" t="n">
        <x:v>202604</x:v>
      </x:c>
      <x:c r="C179" s="2" t="str">
        <x:v>61091000</x:v>
      </x:c>
      <x:c r="D179" s="2" t="str">
        <x:v>Turkey</x:v>
      </x:c>
      <x:c r="E179" s="16" t="n">
        <x:v>9283012</x:v>
      </x:c>
      <x:c r="F179" s="16" t="n">
        <x:v>379335</x:v>
      </x:c>
      <x:c r="G179" s="2" t="str">
        <x:v>WITHIN_BAND</x:v>
      </x:c>
      <x:c r="H179" s="2" t="n">
        <x:v>1</x:v>
      </x:c>
      <x:c r="I179" s="2" t="n">
        <x:f>IF(AND(COUNTIFS($B$6:$B$797,B179,$C$6:$C$797,C179)=11,COUNTIFS($B$6:$B$797,B179,$C$6:$C$797,C179,$G$6:$G$797,"REVIEW")=0,COUNTIFS($B$6:$B$797,B179,$C$6:$C$797,C179,$H$6:$H$797,1)=11,COUNTIFS($B$6:$B$797,B179,$C$6:$C$797,C179,$F$6:$F$797,"&gt;0")=11),1,0)</x:f>
        <x:v>1</x:v>
      </x:c>
      <x:c r="J179" s="2" t="n">
        <x:f>COUNTIFS($A$6:$A$797,A179)</x:f>
        <x:v>1</x:v>
      </x:c>
    </x:row>
    <x:row r="180" ht="23" customHeight="1">
      <x:c r="A180" s="2" t="str">
        <x:v>61091000_VN_202604_IMPORT</x:v>
      </x:c>
      <x:c r="B180" s="2" t="n">
        <x:v>202604</x:v>
      </x:c>
      <x:c r="C180" s="2" t="str">
        <x:v>61091000</x:v>
      </x:c>
      <x:c r="D180" s="2" t="str">
        <x:v>Vietnam</x:v>
      </x:c>
      <x:c r="E180" s="16" t="n">
        <x:v>2579759</x:v>
      </x:c>
      <x:c r="F180" s="16" t="n">
        <x:v>94686</x:v>
      </x:c>
      <x:c r="G180" s="2" t="str">
        <x:v>WITHIN_BAND</x:v>
      </x:c>
      <x:c r="H180" s="2" t="n">
        <x:v>1</x:v>
      </x:c>
      <x:c r="I180" s="2" t="n">
        <x:f>IF(AND(COUNTIFS($B$6:$B$797,B180,$C$6:$C$797,C180)=11,COUNTIFS($B$6:$B$797,B180,$C$6:$C$797,C180,$G$6:$G$797,"REVIEW")=0,COUNTIFS($B$6:$B$797,B180,$C$6:$C$797,C180,$H$6:$H$797,1)=11,COUNTIFS($B$6:$B$797,B180,$C$6:$C$797,C180,$F$6:$F$797,"&gt;0")=11),1,0)</x:f>
        <x:v>1</x:v>
      </x:c>
      <x:c r="J180" s="2" t="n">
        <x:f>COUNTIFS($A$6:$A$797,A180)</x:f>
        <x:v>1</x:v>
      </x:c>
    </x:row>
    <x:row r="181" ht="23" customHeight="1">
      <x:c r="A181" s="2" t="str">
        <x:v>61091000_WORLD_202604_IMPORT</x:v>
      </x:c>
      <x:c r="B181" s="2" t="n">
        <x:v>202604</x:v>
      </x:c>
      <x:c r="C181" s="2" t="str">
        <x:v>61091000</x:v>
      </x:c>
      <x:c r="D181" s="2" t="str">
        <x:v>World</x:v>
      </x:c>
      <x:c r="E181" s="16" t="n">
        <x:v>128593424</x:v>
      </x:c>
      <x:c r="F181" s="16" t="n">
        <x:v>9256187</x:v>
      </x:c>
      <x:c r="G181" s="2" t="str">
        <x:v>WITHIN_BAND</x:v>
      </x:c>
      <x:c r="H181" s="2" t="n">
        <x:v>1</x:v>
      </x:c>
      <x:c r="I181" s="2" t="n">
        <x:f>IF(AND(COUNTIFS($B$6:$B$797,B181,$C$6:$C$797,C181)=11,COUNTIFS($B$6:$B$797,B181,$C$6:$C$797,C181,$G$6:$G$797,"REVIEW")=0,COUNTIFS($B$6:$B$797,B181,$C$6:$C$797,C181,$H$6:$H$797,1)=11,COUNTIFS($B$6:$B$797,B181,$C$6:$C$797,C181,$F$6:$F$797,"&gt;0")=11),1,0)</x:f>
        <x:v>1</x:v>
      </x:c>
      <x:c r="J181" s="2" t="n">
        <x:f>COUNTIFS($A$6:$A$797,A181)</x:f>
        <x:v>1</x:v>
      </x:c>
    </x:row>
    <x:row r="182" ht="23" customHeight="1">
      <x:c r="A182" s="2" t="str">
        <x:v>61091000_BD_202605_IMPORT</x:v>
      </x:c>
      <x:c r="B182" s="2" t="n">
        <x:v>202605</x:v>
      </x:c>
      <x:c r="C182" s="2" t="str">
        <x:v>61091000</x:v>
      </x:c>
      <x:c r="D182" s="2" t="str">
        <x:v>Bangladesh</x:v>
      </x:c>
      <x:c r="E182" s="16" t="n">
        <x:v>47432008</x:v>
      </x:c>
      <x:c r="F182" s="16" t="n">
        <x:v>4593727</x:v>
      </x:c>
      <x:c r="G182" s="2" t="str">
        <x:v>WITHIN_BAND</x:v>
      </x:c>
      <x:c r="H182" s="2" t="n">
        <x:v>1</x:v>
      </x:c>
      <x:c r="I182" s="2" t="n">
        <x:f>IF(AND(COUNTIFS($B$6:$B$797,B182,$C$6:$C$797,C182)=11,COUNTIFS($B$6:$B$797,B182,$C$6:$C$797,C182,$G$6:$G$797,"REVIEW")=0,COUNTIFS($B$6:$B$797,B182,$C$6:$C$797,C182,$H$6:$H$797,1)=11,COUNTIFS($B$6:$B$797,B182,$C$6:$C$797,C182,$F$6:$F$797,"&gt;0")=11),1,0)</x:f>
        <x:v>1</x:v>
      </x:c>
      <x:c r="J182" s="2" t="n">
        <x:f>COUNTIFS($A$6:$A$797,A182)</x:f>
        <x:v>1</x:v>
      </x:c>
    </x:row>
    <x:row r="183" ht="23" customHeight="1">
      <x:c r="A183" s="2" t="str">
        <x:v>61091000_KH_202605_IMPORT</x:v>
      </x:c>
      <x:c r="B183" s="2" t="n">
        <x:v>202605</x:v>
      </x:c>
      <x:c r="C183" s="2" t="str">
        <x:v>61091000</x:v>
      </x:c>
      <x:c r="D183" s="2" t="str">
        <x:v>Cambodia</x:v>
      </x:c>
      <x:c r="E183" s="16" t="n">
        <x:v>881185</x:v>
      </x:c>
      <x:c r="F183" s="16" t="n">
        <x:v>58493</x:v>
      </x:c>
      <x:c r="G183" s="2" t="str">
        <x:v>WITHIN_BAND</x:v>
      </x:c>
      <x:c r="H183" s="2" t="n">
        <x:v>1</x:v>
      </x:c>
      <x:c r="I183" s="2" t="n">
        <x:f>IF(AND(COUNTIFS($B$6:$B$797,B183,$C$6:$C$797,C183)=11,COUNTIFS($B$6:$B$797,B183,$C$6:$C$797,C183,$G$6:$G$797,"REVIEW")=0,COUNTIFS($B$6:$B$797,B183,$C$6:$C$797,C183,$H$6:$H$797,1)=11,COUNTIFS($B$6:$B$797,B183,$C$6:$C$797,C183,$F$6:$F$797,"&gt;0")=11),1,0)</x:f>
        <x:v>1</x:v>
      </x:c>
      <x:c r="J183" s="2" t="n">
        <x:f>COUNTIFS($A$6:$A$797,A183)</x:f>
        <x:v>1</x:v>
      </x:c>
    </x:row>
    <x:row r="184" ht="23" customHeight="1">
      <x:c r="A184" s="2" t="str">
        <x:v>61091000_CN_202605_IMPORT</x:v>
      </x:c>
      <x:c r="B184" s="2" t="n">
        <x:v>202605</x:v>
      </x:c>
      <x:c r="C184" s="2" t="str">
        <x:v>61091000</x:v>
      </x:c>
      <x:c r="D184" s="2" t="str">
        <x:v>China</x:v>
      </x:c>
      <x:c r="E184" s="16" t="n">
        <x:v>4502206</x:v>
      </x:c>
      <x:c r="F184" s="16" t="n">
        <x:v>287900</x:v>
      </x:c>
      <x:c r="G184" s="2" t="str">
        <x:v>WITHIN_BAND</x:v>
      </x:c>
      <x:c r="H184" s="2" t="n">
        <x:v>1</x:v>
      </x:c>
      <x:c r="I184" s="2" t="n">
        <x:f>IF(AND(COUNTIFS($B$6:$B$797,B184,$C$6:$C$797,C184)=11,COUNTIFS($B$6:$B$797,B184,$C$6:$C$797,C184,$G$6:$G$797,"REVIEW")=0,COUNTIFS($B$6:$B$797,B184,$C$6:$C$797,C184,$H$6:$H$797,1)=11,COUNTIFS($B$6:$B$797,B184,$C$6:$C$797,C184,$F$6:$F$797,"&gt;0")=11),1,0)</x:f>
        <x:v>1</x:v>
      </x:c>
      <x:c r="J184" s="2" t="n">
        <x:f>COUNTIFS($A$6:$A$797,A184)</x:f>
        <x:v>1</x:v>
      </x:c>
    </x:row>
    <x:row r="185" ht="23" customHeight="1">
      <x:c r="A185" s="2" t="str">
        <x:v>61091000_IN_202605_IMPORT</x:v>
      </x:c>
      <x:c r="B185" s="2" t="n">
        <x:v>202605</x:v>
      </x:c>
      <x:c r="C185" s="2" t="str">
        <x:v>61091000</x:v>
      </x:c>
      <x:c r="D185" s="2" t="str">
        <x:v>India</x:v>
      </x:c>
      <x:c r="E185" s="16" t="n">
        <x:v>9888926</x:v>
      </x:c>
      <x:c r="F185" s="16" t="n">
        <x:v>806229</x:v>
      </x:c>
      <x:c r="G185" s="2" t="str">
        <x:v>WITHIN_BAND</x:v>
      </x:c>
      <x:c r="H185" s="2" t="n">
        <x:v>1</x:v>
      </x:c>
      <x:c r="I185" s="2" t="n">
        <x:f>IF(AND(COUNTIFS($B$6:$B$797,B185,$C$6:$C$797,C185)=11,COUNTIFS($B$6:$B$797,B185,$C$6:$C$797,C185,$G$6:$G$797,"REVIEW")=0,COUNTIFS($B$6:$B$797,B185,$C$6:$C$797,C185,$H$6:$H$797,1)=11,COUNTIFS($B$6:$B$797,B185,$C$6:$C$797,C185,$F$6:$F$797,"&gt;0")=11),1,0)</x:f>
        <x:v>1</x:v>
      </x:c>
      <x:c r="J185" s="2" t="n">
        <x:f>COUNTIFS($A$6:$A$797,A185)</x:f>
        <x:v>1</x:v>
      </x:c>
    </x:row>
    <x:row r="186" ht="23" customHeight="1">
      <x:c r="A186" s="2" t="str">
        <x:v>61091000_MA_202605_IMPORT</x:v>
      </x:c>
      <x:c r="B186" s="2" t="n">
        <x:v>202605</x:v>
      </x:c>
      <x:c r="C186" s="2" t="str">
        <x:v>61091000</x:v>
      </x:c>
      <x:c r="D186" s="2" t="str">
        <x:v>Morocco</x:v>
      </x:c>
      <x:c r="E186" s="16" t="n">
        <x:v>841805</x:v>
      </x:c>
      <x:c r="F186" s="16" t="n">
        <x:v>94360</x:v>
      </x:c>
      <x:c r="G186" s="2" t="str">
        <x:v>WITHIN_BAND</x:v>
      </x:c>
      <x:c r="H186" s="2" t="n">
        <x:v>1</x:v>
      </x:c>
      <x:c r="I186" s="2" t="n">
        <x:f>IF(AND(COUNTIFS($B$6:$B$797,B186,$C$6:$C$797,C186)=11,COUNTIFS($B$6:$B$797,B186,$C$6:$C$797,C186,$G$6:$G$797,"REVIEW")=0,COUNTIFS($B$6:$B$797,B186,$C$6:$C$797,C186,$H$6:$H$797,1)=11,COUNTIFS($B$6:$B$797,B186,$C$6:$C$797,C186,$F$6:$F$797,"&gt;0")=11),1,0)</x:f>
        <x:v>1</x:v>
      </x:c>
      <x:c r="J186" s="2" t="n">
        <x:f>COUNTIFS($A$6:$A$797,A186)</x:f>
        <x:v>1</x:v>
      </x:c>
    </x:row>
    <x:row r="187" ht="23" customHeight="1">
      <x:c r="A187" s="2" t="str">
        <x:v>61091000_MM_202605_IMPORT</x:v>
      </x:c>
      <x:c r="B187" s="2" t="n">
        <x:v>202605</x:v>
      </x:c>
      <x:c r="C187" s="2" t="str">
        <x:v>61091000</x:v>
      </x:c>
      <x:c r="D187" s="2" t="str">
        <x:v>Myanmar</x:v>
      </x:c>
      <x:c r="E187" s="16" t="n">
        <x:v>68907</x:v>
      </x:c>
      <x:c r="F187" s="16" t="n">
        <x:v>5279</x:v>
      </x:c>
      <x:c r="G187" s="2" t="str">
        <x:v>WITHIN_BAND</x:v>
      </x:c>
      <x:c r="H187" s="2" t="n">
        <x:v>1</x:v>
      </x:c>
      <x:c r="I187" s="2" t="n">
        <x:f>IF(AND(COUNTIFS($B$6:$B$797,B187,$C$6:$C$797,C187)=11,COUNTIFS($B$6:$B$797,B187,$C$6:$C$797,C187,$G$6:$G$797,"REVIEW")=0,COUNTIFS($B$6:$B$797,B187,$C$6:$C$797,C187,$H$6:$H$797,1)=11,COUNTIFS($B$6:$B$797,B187,$C$6:$C$797,C187,$F$6:$F$797,"&gt;0")=11),1,0)</x:f>
        <x:v>1</x:v>
      </x:c>
      <x:c r="J187" s="2" t="n">
        <x:f>COUNTIFS($A$6:$A$797,A187)</x:f>
        <x:v>1</x:v>
      </x:c>
    </x:row>
    <x:row r="188" ht="23" customHeight="1">
      <x:c r="A188" s="2" t="str">
        <x:v>61091000_PK_202605_IMPORT</x:v>
      </x:c>
      <x:c r="B188" s="2" t="n">
        <x:v>202605</x:v>
      </x:c>
      <x:c r="C188" s="2" t="str">
        <x:v>61091000</x:v>
      </x:c>
      <x:c r="D188" s="2" t="str">
        <x:v>Pakistan</x:v>
      </x:c>
      <x:c r="E188" s="16" t="n">
        <x:v>3747209</x:v>
      </x:c>
      <x:c r="F188" s="16" t="n">
        <x:v>330396</x:v>
      </x:c>
      <x:c r="G188" s="2" t="str">
        <x:v>WITHIN_BAND</x:v>
      </x:c>
      <x:c r="H188" s="2" t="n">
        <x:v>1</x:v>
      </x:c>
      <x:c r="I188" s="2" t="n">
        <x:f>IF(AND(COUNTIFS($B$6:$B$797,B188,$C$6:$C$797,C188)=11,COUNTIFS($B$6:$B$797,B188,$C$6:$C$797,C188,$G$6:$G$797,"REVIEW")=0,COUNTIFS($B$6:$B$797,B188,$C$6:$C$797,C188,$H$6:$H$797,1)=11,COUNTIFS($B$6:$B$797,B188,$C$6:$C$797,C188,$F$6:$F$797,"&gt;0")=11),1,0)</x:f>
        <x:v>1</x:v>
      </x:c>
      <x:c r="J188" s="2" t="n">
        <x:f>COUNTIFS($A$6:$A$797,A188)</x:f>
        <x:v>1</x:v>
      </x:c>
    </x:row>
    <x:row r="189" ht="23" customHeight="1">
      <x:c r="A189" s="2" t="str">
        <x:v>61091000_LK_202605_IMPORT</x:v>
      </x:c>
      <x:c r="B189" s="2" t="n">
        <x:v>202605</x:v>
      </x:c>
      <x:c r="C189" s="2" t="str">
        <x:v>61091000</x:v>
      </x:c>
      <x:c r="D189" s="2" t="str">
        <x:v>Sri Lanka</x:v>
      </x:c>
      <x:c r="E189" s="16" t="n">
        <x:v>1855453</x:v>
      </x:c>
      <x:c r="F189" s="16" t="n">
        <x:v>161314</x:v>
      </x:c>
      <x:c r="G189" s="2" t="str">
        <x:v>WITHIN_BAND</x:v>
      </x:c>
      <x:c r="H189" s="2" t="n">
        <x:v>1</x:v>
      </x:c>
      <x:c r="I189" s="2" t="n">
        <x:f>IF(AND(COUNTIFS($B$6:$B$797,B189,$C$6:$C$797,C189)=11,COUNTIFS($B$6:$B$797,B189,$C$6:$C$797,C189,$G$6:$G$797,"REVIEW")=0,COUNTIFS($B$6:$B$797,B189,$C$6:$C$797,C189,$H$6:$H$797,1)=11,COUNTIFS($B$6:$B$797,B189,$C$6:$C$797,C189,$F$6:$F$797,"&gt;0")=11),1,0)</x:f>
        <x:v>1</x:v>
      </x:c>
      <x:c r="J189" s="2" t="n">
        <x:f>COUNTIFS($A$6:$A$797,A189)</x:f>
        <x:v>1</x:v>
      </x:c>
    </x:row>
    <x:row r="190" ht="23" customHeight="1">
      <x:c r="A190" s="2" t="str">
        <x:v>61091000_TR_202605_IMPORT</x:v>
      </x:c>
      <x:c r="B190" s="2" t="n">
        <x:v>202605</x:v>
      </x:c>
      <x:c r="C190" s="2" t="str">
        <x:v>61091000</x:v>
      </x:c>
      <x:c r="D190" s="2" t="str">
        <x:v>Turkey</x:v>
      </x:c>
      <x:c r="E190" s="16" t="n">
        <x:v>11314572</x:v>
      </x:c>
      <x:c r="F190" s="16" t="n">
        <x:v>476969</x:v>
      </x:c>
      <x:c r="G190" s="2" t="str">
        <x:v>WITHIN_BAND</x:v>
      </x:c>
      <x:c r="H190" s="2" t="n">
        <x:v>1</x:v>
      </x:c>
      <x:c r="I190" s="2" t="n">
        <x:f>IF(AND(COUNTIFS($B$6:$B$797,B190,$C$6:$C$797,C190)=11,COUNTIFS($B$6:$B$797,B190,$C$6:$C$797,C190,$G$6:$G$797,"REVIEW")=0,COUNTIFS($B$6:$B$797,B190,$C$6:$C$797,C190,$H$6:$H$797,1)=11,COUNTIFS($B$6:$B$797,B190,$C$6:$C$797,C190,$F$6:$F$797,"&gt;0")=11),1,0)</x:f>
        <x:v>1</x:v>
      </x:c>
      <x:c r="J190" s="2" t="n">
        <x:f>COUNTIFS($A$6:$A$797,A190)</x:f>
        <x:v>1</x:v>
      </x:c>
    </x:row>
    <x:row r="191" ht="23" customHeight="1">
      <x:c r="A191" s="2" t="str">
        <x:v>61091000_VN_202605_IMPORT</x:v>
      </x:c>
      <x:c r="B191" s="2" t="n">
        <x:v>202605</x:v>
      </x:c>
      <x:c r="C191" s="2" t="str">
        <x:v>61091000</x:v>
      </x:c>
      <x:c r="D191" s="2" t="str">
        <x:v>Vietnam</x:v>
      </x:c>
      <x:c r="E191" s="16" t="n">
        <x:v>1799860</x:v>
      </x:c>
      <x:c r="F191" s="16" t="n">
        <x:v>67752</x:v>
      </x:c>
      <x:c r="G191" s="2" t="str">
        <x:v>WITHIN_BAND</x:v>
      </x:c>
      <x:c r="H191" s="2" t="n">
        <x:v>1</x:v>
      </x:c>
      <x:c r="I191" s="2" t="n">
        <x:f>IF(AND(COUNTIFS($B$6:$B$797,B191,$C$6:$C$797,C191)=11,COUNTIFS($B$6:$B$797,B191,$C$6:$C$797,C191,$G$6:$G$797,"REVIEW")=0,COUNTIFS($B$6:$B$797,B191,$C$6:$C$797,C191,$H$6:$H$797,1)=11,COUNTIFS($B$6:$B$797,B191,$C$6:$C$797,C191,$F$6:$F$797,"&gt;0")=11),1,0)</x:f>
        <x:v>1</x:v>
      </x:c>
      <x:c r="J191" s="2" t="n">
        <x:f>COUNTIFS($A$6:$A$797,A191)</x:f>
        <x:v>1</x:v>
      </x:c>
    </x:row>
    <x:row r="192" ht="23" customHeight="1">
      <x:c r="A192" s="2" t="str">
        <x:v>61091000_WORLD_202605_IMPORT</x:v>
      </x:c>
      <x:c r="B192" s="2" t="n">
        <x:v>202605</x:v>
      </x:c>
      <x:c r="C192" s="2" t="str">
        <x:v>61091000</x:v>
      </x:c>
      <x:c r="D192" s="2" t="str">
        <x:v>World</x:v>
      </x:c>
      <x:c r="E192" s="16" t="n">
        <x:v>121119811</x:v>
      </x:c>
      <x:c r="F192" s="16" t="n">
        <x:v>8524291</x:v>
      </x:c>
      <x:c r="G192" s="2" t="str">
        <x:v>WITHIN_BAND</x:v>
      </x:c>
      <x:c r="H192" s="2" t="n">
        <x:v>1</x:v>
      </x:c>
      <x:c r="I192" s="2" t="n">
        <x:f>IF(AND(COUNTIFS($B$6:$B$797,B192,$C$6:$C$797,C192)=11,COUNTIFS($B$6:$B$797,B192,$C$6:$C$797,C192,$G$6:$G$797,"REVIEW")=0,COUNTIFS($B$6:$B$797,B192,$C$6:$C$797,C192,$H$6:$H$797,1)=11,COUNTIFS($B$6:$B$797,B192,$C$6:$C$797,C192,$F$6:$F$797,"&gt;0")=11),1,0)</x:f>
        <x:v>1</x:v>
      </x:c>
      <x:c r="J192" s="2" t="n">
        <x:f>COUNTIFS($A$6:$A$797,A192)</x:f>
        <x:v>1</x:v>
      </x:c>
    </x:row>
    <x:row r="193" ht="23" customHeight="1">
      <x:c r="A193" s="2" t="str">
        <x:v>61091000_BD_202606_IMPORT</x:v>
      </x:c>
      <x:c r="B193" s="2" t="n">
        <x:v>202606</x:v>
      </x:c>
      <x:c r="C193" s="2" t="str">
        <x:v>61091000</x:v>
      </x:c>
      <x:c r="D193" s="2" t="str">
        <x:v>Bangladesh</x:v>
      </x:c>
      <x:c r="E193" s="16" t="n">
        <x:v>35155921</x:v>
      </x:c>
      <x:c r="F193" s="16" t="n">
        <x:v>3729480</x:v>
      </x:c>
      <x:c r="G193" s="2" t="str">
        <x:v>WITHIN_BAND</x:v>
      </x:c>
      <x:c r="H193" s="2" t="n">
        <x:v>1</x:v>
      </x:c>
      <x:c r="I193" s="2" t="n">
        <x:f>IF(AND(COUNTIFS($B$6:$B$797,B193,$C$6:$C$797,C193)=11,COUNTIFS($B$6:$B$797,B193,$C$6:$C$797,C193,$G$6:$G$797,"REVIEW")=0,COUNTIFS($B$6:$B$797,B193,$C$6:$C$797,C193,$H$6:$H$797,1)=11,COUNTIFS($B$6:$B$797,B193,$C$6:$C$797,C193,$F$6:$F$797,"&gt;0")=11),1,0)</x:f>
        <x:v>1</x:v>
      </x:c>
      <x:c r="J193" s="2" t="n">
        <x:f>COUNTIFS($A$6:$A$797,A193)</x:f>
        <x:v>1</x:v>
      </x:c>
    </x:row>
    <x:row r="194" ht="23" customHeight="1">
      <x:c r="A194" s="2" t="str">
        <x:v>61091000_KH_202606_IMPORT</x:v>
      </x:c>
      <x:c r="B194" s="2" t="n">
        <x:v>202606</x:v>
      </x:c>
      <x:c r="C194" s="2" t="str">
        <x:v>61091000</x:v>
      </x:c>
      <x:c r="D194" s="2" t="str">
        <x:v>Cambodia</x:v>
      </x:c>
      <x:c r="E194" s="16" t="n">
        <x:v>975102</x:v>
      </x:c>
      <x:c r="F194" s="16" t="n">
        <x:v>61817</x:v>
      </x:c>
      <x:c r="G194" s="2" t="str">
        <x:v>WITHIN_BAND</x:v>
      </x:c>
      <x:c r="H194" s="2" t="n">
        <x:v>1</x:v>
      </x:c>
      <x:c r="I194" s="2" t="n">
        <x:f>IF(AND(COUNTIFS($B$6:$B$797,B194,$C$6:$C$797,C194)=11,COUNTIFS($B$6:$B$797,B194,$C$6:$C$797,C194,$G$6:$G$797,"REVIEW")=0,COUNTIFS($B$6:$B$797,B194,$C$6:$C$797,C194,$H$6:$H$797,1)=11,COUNTIFS($B$6:$B$797,B194,$C$6:$C$797,C194,$F$6:$F$797,"&gt;0")=11),1,0)</x:f>
        <x:v>1</x:v>
      </x:c>
      <x:c r="J194" s="2" t="n">
        <x:f>COUNTIFS($A$6:$A$797,A194)</x:f>
        <x:v>1</x:v>
      </x:c>
    </x:row>
    <x:row r="195" ht="23" customHeight="1">
      <x:c r="A195" s="2" t="str">
        <x:v>61091000_CN_202606_IMPORT</x:v>
      </x:c>
      <x:c r="B195" s="2" t="n">
        <x:v>202606</x:v>
      </x:c>
      <x:c r="C195" s="2" t="str">
        <x:v>61091000</x:v>
      </x:c>
      <x:c r="D195" s="2" t="str">
        <x:v>China</x:v>
      </x:c>
      <x:c r="E195" s="16" t="n">
        <x:v>4417684</x:v>
      </x:c>
      <x:c r="F195" s="16" t="n">
        <x:v>245512</x:v>
      </x:c>
      <x:c r="G195" s="2" t="str">
        <x:v>WITHIN_BAND</x:v>
      </x:c>
      <x:c r="H195" s="2" t="n">
        <x:v>1</x:v>
      </x:c>
      <x:c r="I195" s="2" t="n">
        <x:f>IF(AND(COUNTIFS($B$6:$B$797,B195,$C$6:$C$797,C195)=11,COUNTIFS($B$6:$B$797,B195,$C$6:$C$797,C195,$G$6:$G$797,"REVIEW")=0,COUNTIFS($B$6:$B$797,B195,$C$6:$C$797,C195,$H$6:$H$797,1)=11,COUNTIFS($B$6:$B$797,B195,$C$6:$C$797,C195,$F$6:$F$797,"&gt;0")=11),1,0)</x:f>
        <x:v>1</x:v>
      </x:c>
      <x:c r="J195" s="2" t="n">
        <x:f>COUNTIFS($A$6:$A$797,A195)</x:f>
        <x:v>1</x:v>
      </x:c>
    </x:row>
    <x:row r="196" ht="23" customHeight="1">
      <x:c r="A196" s="2" t="str">
        <x:v>61091000_IN_202606_IMPORT</x:v>
      </x:c>
      <x:c r="B196" s="2" t="n">
        <x:v>202606</x:v>
      </x:c>
      <x:c r="C196" s="2" t="str">
        <x:v>61091000</x:v>
      </x:c>
      <x:c r="D196" s="2" t="str">
        <x:v>India</x:v>
      </x:c>
      <x:c r="E196" s="16" t="n">
        <x:v>7480244</x:v>
      </x:c>
      <x:c r="F196" s="16" t="n">
        <x:v>563509</x:v>
      </x:c>
      <x:c r="G196" s="2" t="str">
        <x:v>WITHIN_BAND</x:v>
      </x:c>
      <x:c r="H196" s="2" t="n">
        <x:v>1</x:v>
      </x:c>
      <x:c r="I196" s="2" t="n">
        <x:f>IF(AND(COUNTIFS($B$6:$B$797,B196,$C$6:$C$797,C196)=11,COUNTIFS($B$6:$B$797,B196,$C$6:$C$797,C196,$G$6:$G$797,"REVIEW")=0,COUNTIFS($B$6:$B$797,B196,$C$6:$C$797,C196,$H$6:$H$797,1)=11,COUNTIFS($B$6:$B$797,B196,$C$6:$C$797,C196,$F$6:$F$797,"&gt;0")=11),1,0)</x:f>
        <x:v>1</x:v>
      </x:c>
      <x:c r="J196" s="2" t="n">
        <x:f>COUNTIFS($A$6:$A$797,A196)</x:f>
        <x:v>1</x:v>
      </x:c>
    </x:row>
    <x:row r="197" ht="23" customHeight="1">
      <x:c r="A197" s="2" t="str">
        <x:v>61091000_MA_202606_IMPORT</x:v>
      </x:c>
      <x:c r="B197" s="2" t="n">
        <x:v>202606</x:v>
      </x:c>
      <x:c r="C197" s="2" t="str">
        <x:v>61091000</x:v>
      </x:c>
      <x:c r="D197" s="2" t="str">
        <x:v>Morocco</x:v>
      </x:c>
      <x:c r="E197" s="16" t="n">
        <x:v>916385</x:v>
      </x:c>
      <x:c r="F197" s="16" t="n">
        <x:v>96318</x:v>
      </x:c>
      <x:c r="G197" s="2" t="str">
        <x:v>WITHIN_BAND</x:v>
      </x:c>
      <x:c r="H197" s="2" t="n">
        <x:v>1</x:v>
      </x:c>
      <x:c r="I197" s="2" t="n">
        <x:f>IF(AND(COUNTIFS($B$6:$B$797,B197,$C$6:$C$797,C197)=11,COUNTIFS($B$6:$B$797,B197,$C$6:$C$797,C197,$G$6:$G$797,"REVIEW")=0,COUNTIFS($B$6:$B$797,B197,$C$6:$C$797,C197,$H$6:$H$797,1)=11,COUNTIFS($B$6:$B$797,B197,$C$6:$C$797,C197,$F$6:$F$797,"&gt;0")=11),1,0)</x:f>
        <x:v>1</x:v>
      </x:c>
      <x:c r="J197" s="2" t="n">
        <x:f>COUNTIFS($A$6:$A$797,A197)</x:f>
        <x:v>1</x:v>
      </x:c>
    </x:row>
    <x:row r="198" ht="23" customHeight="1">
      <x:c r="A198" s="2" t="str">
        <x:v>61091000_MM_202606_IMPORT</x:v>
      </x:c>
      <x:c r="B198" s="2" t="n">
        <x:v>202606</x:v>
      </x:c>
      <x:c r="C198" s="2" t="str">
        <x:v>61091000</x:v>
      </x:c>
      <x:c r="D198" s="2" t="str">
        <x:v>Myanmar</x:v>
      </x:c>
      <x:c r="E198" s="16" t="n">
        <x:v>54614</x:v>
      </x:c>
      <x:c r="F198" s="16" t="n">
        <x:v>5397</x:v>
      </x:c>
      <x:c r="G198" s="2" t="str">
        <x:v>WITHIN_BAND</x:v>
      </x:c>
      <x:c r="H198" s="2" t="n">
        <x:v>1</x:v>
      </x:c>
      <x:c r="I198" s="2" t="n">
        <x:f>IF(AND(COUNTIFS($B$6:$B$797,B198,$C$6:$C$797,C198)=11,COUNTIFS($B$6:$B$797,B198,$C$6:$C$797,C198,$G$6:$G$797,"REVIEW")=0,COUNTIFS($B$6:$B$797,B198,$C$6:$C$797,C198,$H$6:$H$797,1)=11,COUNTIFS($B$6:$B$797,B198,$C$6:$C$797,C198,$F$6:$F$797,"&gt;0")=11),1,0)</x:f>
        <x:v>1</x:v>
      </x:c>
      <x:c r="J198" s="2" t="n">
        <x:f>COUNTIFS($A$6:$A$797,A198)</x:f>
        <x:v>1</x:v>
      </x:c>
    </x:row>
    <x:row r="199" ht="23" customHeight="1">
      <x:c r="A199" s="2" t="str">
        <x:v>61091000_PK_202606_IMPORT</x:v>
      </x:c>
      <x:c r="B199" s="2" t="n">
        <x:v>202606</x:v>
      </x:c>
      <x:c r="C199" s="2" t="str">
        <x:v>61091000</x:v>
      </x:c>
      <x:c r="D199" s="2" t="str">
        <x:v>Pakistan</x:v>
      </x:c>
      <x:c r="E199" s="16" t="n">
        <x:v>2885839</x:v>
      </x:c>
      <x:c r="F199" s="16" t="n">
        <x:v>242565</x:v>
      </x:c>
      <x:c r="G199" s="2" t="str">
        <x:v>WITHIN_BAND</x:v>
      </x:c>
      <x:c r="H199" s="2" t="n">
        <x:v>1</x:v>
      </x:c>
      <x:c r="I199" s="2" t="n">
        <x:f>IF(AND(COUNTIFS($B$6:$B$797,B199,$C$6:$C$797,C199)=11,COUNTIFS($B$6:$B$797,B199,$C$6:$C$797,C199,$G$6:$G$797,"REVIEW")=0,COUNTIFS($B$6:$B$797,B199,$C$6:$C$797,C199,$H$6:$H$797,1)=11,COUNTIFS($B$6:$B$797,B199,$C$6:$C$797,C199,$F$6:$F$797,"&gt;0")=11),1,0)</x:f>
        <x:v>1</x:v>
      </x:c>
      <x:c r="J199" s="2" t="n">
        <x:f>COUNTIFS($A$6:$A$797,A199)</x:f>
        <x:v>1</x:v>
      </x:c>
    </x:row>
    <x:row r="200" ht="23" customHeight="1">
      <x:c r="A200" s="2" t="str">
        <x:v>61091000_LK_202606_IMPORT</x:v>
      </x:c>
      <x:c r="B200" s="2" t="n">
        <x:v>202606</x:v>
      </x:c>
      <x:c r="C200" s="2" t="str">
        <x:v>61091000</x:v>
      </x:c>
      <x:c r="D200" s="2" t="str">
        <x:v>Sri Lanka</x:v>
      </x:c>
      <x:c r="E200" s="16" t="n">
        <x:v>1066120</x:v>
      </x:c>
      <x:c r="F200" s="16" t="n">
        <x:v>73687</x:v>
      </x:c>
      <x:c r="G200" s="2" t="str">
        <x:v>WITHIN_BAND</x:v>
      </x:c>
      <x:c r="H200" s="2" t="n">
        <x:v>1</x:v>
      </x:c>
      <x:c r="I200" s="2" t="n">
        <x:f>IF(AND(COUNTIFS($B$6:$B$797,B200,$C$6:$C$797,C200)=11,COUNTIFS($B$6:$B$797,B200,$C$6:$C$797,C200,$G$6:$G$797,"REVIEW")=0,COUNTIFS($B$6:$B$797,B200,$C$6:$C$797,C200,$H$6:$H$797,1)=11,COUNTIFS($B$6:$B$797,B200,$C$6:$C$797,C200,$F$6:$F$797,"&gt;0")=11),1,0)</x:f>
        <x:v>1</x:v>
      </x:c>
      <x:c r="J200" s="2" t="n">
        <x:f>COUNTIFS($A$6:$A$797,A200)</x:f>
        <x:v>1</x:v>
      </x:c>
    </x:row>
    <x:row r="201" ht="23" customHeight="1">
      <x:c r="A201" s="2" t="str">
        <x:v>61091000_TR_202606_IMPORT</x:v>
      </x:c>
      <x:c r="B201" s="2" t="n">
        <x:v>202606</x:v>
      </x:c>
      <x:c r="C201" s="2" t="str">
        <x:v>61091000</x:v>
      </x:c>
      <x:c r="D201" s="2" t="str">
        <x:v>Turkey</x:v>
      </x:c>
      <x:c r="E201" s="16" t="n">
        <x:v>11235208</x:v>
      </x:c>
      <x:c r="F201" s="16" t="n">
        <x:v>499768</x:v>
      </x:c>
      <x:c r="G201" s="2" t="str">
        <x:v>WITHIN_BAND</x:v>
      </x:c>
      <x:c r="H201" s="2" t="n">
        <x:v>1</x:v>
      </x:c>
      <x:c r="I201" s="2" t="n">
        <x:f>IF(AND(COUNTIFS($B$6:$B$797,B201,$C$6:$C$797,C201)=11,COUNTIFS($B$6:$B$797,B201,$C$6:$C$797,C201,$G$6:$G$797,"REVIEW")=0,COUNTIFS($B$6:$B$797,B201,$C$6:$C$797,C201,$H$6:$H$797,1)=11,COUNTIFS($B$6:$B$797,B201,$C$6:$C$797,C201,$F$6:$F$797,"&gt;0")=11),1,0)</x:f>
        <x:v>1</x:v>
      </x:c>
      <x:c r="J201" s="2" t="n">
        <x:f>COUNTIFS($A$6:$A$797,A201)</x:f>
        <x:v>1</x:v>
      </x:c>
    </x:row>
    <x:row r="202" ht="23" customHeight="1">
      <x:c r="A202" s="2" t="str">
        <x:v>61091000_VN_202606_IMPORT</x:v>
      </x:c>
      <x:c r="B202" s="2" t="n">
        <x:v>202606</x:v>
      </x:c>
      <x:c r="C202" s="2" t="str">
        <x:v>61091000</x:v>
      </x:c>
      <x:c r="D202" s="2" t="str">
        <x:v>Vietnam</x:v>
      </x:c>
      <x:c r="E202" s="16" t="n">
        <x:v>2472058</x:v>
      </x:c>
      <x:c r="F202" s="16" t="n">
        <x:v>95795</x:v>
      </x:c>
      <x:c r="G202" s="2" t="str">
        <x:v>WITHIN_BAND</x:v>
      </x:c>
      <x:c r="H202" s="2" t="n">
        <x:v>1</x:v>
      </x:c>
      <x:c r="I202" s="2" t="n">
        <x:f>IF(AND(COUNTIFS($B$6:$B$797,B202,$C$6:$C$797,C202)=11,COUNTIFS($B$6:$B$797,B202,$C$6:$C$797,C202,$G$6:$G$797,"REVIEW")=0,COUNTIFS($B$6:$B$797,B202,$C$6:$C$797,C202,$H$6:$H$797,1)=11,COUNTIFS($B$6:$B$797,B202,$C$6:$C$797,C202,$F$6:$F$797,"&gt;0")=11),1,0)</x:f>
        <x:v>1</x:v>
      </x:c>
      <x:c r="J202" s="2" t="n">
        <x:f>COUNTIFS($A$6:$A$797,A202)</x:f>
        <x:v>1</x:v>
      </x:c>
    </x:row>
    <x:row r="203" ht="23" customHeight="1">
      <x:c r="A203" s="2" t="str">
        <x:v>61091000_WORLD_202606_IMPORT</x:v>
      </x:c>
      <x:c r="B203" s="2" t="n">
        <x:v>202606</x:v>
      </x:c>
      <x:c r="C203" s="2" t="str">
        <x:v>61091000</x:v>
      </x:c>
      <x:c r="D203" s="2" t="str">
        <x:v>World</x:v>
      </x:c>
      <x:c r="E203" s="16" t="n">
        <x:v>106455514</x:v>
      </x:c>
      <x:c r="F203" s="16" t="n">
        <x:v>7481470</x:v>
      </x:c>
      <x:c r="G203" s="2" t="str">
        <x:v>WITHIN_BAND</x:v>
      </x:c>
      <x:c r="H203" s="2" t="n">
        <x:v>1</x:v>
      </x:c>
      <x:c r="I203" s="2" t="n">
        <x:f>IF(AND(COUNTIFS($B$6:$B$797,B203,$C$6:$C$797,C203)=11,COUNTIFS($B$6:$B$797,B203,$C$6:$C$797,C203,$G$6:$G$797,"REVIEW")=0,COUNTIFS($B$6:$B$797,B203,$C$6:$C$797,C203,$H$6:$H$797,1)=11,COUNTIFS($B$6:$B$797,B203,$C$6:$C$797,C203,$F$6:$F$797,"&gt;0")=11),1,0)</x:f>
        <x:v>1</x:v>
      </x:c>
      <x:c r="J203" s="2" t="n">
        <x:f>COUNTIFS($A$6:$A$797,A203)</x:f>
        <x:v>1</x:v>
      </x:c>
    </x:row>
    <x:row r="204" ht="23" customHeight="1">
      <x:c r="A204" s="2" t="str">
        <x:v>61103099_BD_202501_IMPORT</x:v>
      </x:c>
      <x:c r="B204" s="2" t="n">
        <x:v>202501</x:v>
      </x:c>
      <x:c r="C204" s="2" t="str">
        <x:v>61103099</x:v>
      </x:c>
      <x:c r="D204" s="2" t="str">
        <x:v>Bangladesh</x:v>
      </x:c>
      <x:c r="E204" s="16" t="n">
        <x:v>13038706</x:v>
      </x:c>
      <x:c r="F204" s="16" t="n">
        <x:v>1028966</x:v>
      </x:c>
      <x:c r="G204" s="2" t="str">
        <x:v>WITHIN_BAND</x:v>
      </x:c>
      <x:c r="H204" s="2" t="n">
        <x:v>1</x:v>
      </x:c>
      <x:c r="I204" s="2" t="n">
        <x:f>IF(AND(COUNTIFS($B$6:$B$797,B204,$C$6:$C$797,C204)=11,COUNTIFS($B$6:$B$797,B204,$C$6:$C$797,C204,$G$6:$G$797,"REVIEW")=0,COUNTIFS($B$6:$B$797,B204,$C$6:$C$797,C204,$H$6:$H$797,1)=11,COUNTIFS($B$6:$B$797,B204,$C$6:$C$797,C204,$F$6:$F$797,"&gt;0")=11),1,0)</x:f>
        <x:v>1</x:v>
      </x:c>
      <x:c r="J204" s="2" t="n">
        <x:f>COUNTIFS($A$6:$A$797,A204)</x:f>
        <x:v>1</x:v>
      </x:c>
    </x:row>
    <x:row r="205" ht="23" customHeight="1">
      <x:c r="A205" s="2" t="str">
        <x:v>61103099_KH_202501_IMPORT</x:v>
      </x:c>
      <x:c r="B205" s="2" t="n">
        <x:v>202501</x:v>
      </x:c>
      <x:c r="C205" s="2" t="str">
        <x:v>61103099</x:v>
      </x:c>
      <x:c r="D205" s="2" t="str">
        <x:v>Cambodia</x:v>
      </x:c>
      <x:c r="E205" s="16" t="n">
        <x:v>6159923</x:v>
      </x:c>
      <x:c r="F205" s="16" t="n">
        <x:v>500438</x:v>
      </x:c>
      <x:c r="G205" s="2" t="str">
        <x:v>WITHIN_BAND</x:v>
      </x:c>
      <x:c r="H205" s="2" t="n">
        <x:v>1</x:v>
      </x:c>
      <x:c r="I205" s="2" t="n">
        <x:f>IF(AND(COUNTIFS($B$6:$B$797,B205,$C$6:$C$797,C205)=11,COUNTIFS($B$6:$B$797,B205,$C$6:$C$797,C205,$G$6:$G$797,"REVIEW")=0,COUNTIFS($B$6:$B$797,B205,$C$6:$C$797,C205,$H$6:$H$797,1)=11,COUNTIFS($B$6:$B$797,B205,$C$6:$C$797,C205,$F$6:$F$797,"&gt;0")=11),1,0)</x:f>
        <x:v>1</x:v>
      </x:c>
      <x:c r="J205" s="2" t="n">
        <x:f>COUNTIFS($A$6:$A$797,A205)</x:f>
        <x:v>1</x:v>
      </x:c>
    </x:row>
    <x:row r="206" ht="23" customHeight="1">
      <x:c r="A206" s="2" t="str">
        <x:v>61103099_CN_202501_IMPORT</x:v>
      </x:c>
      <x:c r="B206" s="2" t="n">
        <x:v>202501</x:v>
      </x:c>
      <x:c r="C206" s="2" t="str">
        <x:v>61103099</x:v>
      </x:c>
      <x:c r="D206" s="2" t="str">
        <x:v>China</x:v>
      </x:c>
      <x:c r="E206" s="16" t="n">
        <x:v>15651913</x:v>
      </x:c>
      <x:c r="F206" s="16" t="n">
        <x:v>942937</x:v>
      </x:c>
      <x:c r="G206" s="2" t="str">
        <x:v>WITHIN_BAND</x:v>
      </x:c>
      <x:c r="H206" s="2" t="n">
        <x:v>1</x:v>
      </x:c>
      <x:c r="I206" s="2" t="n">
        <x:f>IF(AND(COUNTIFS($B$6:$B$797,B206,$C$6:$C$797,C206)=11,COUNTIFS($B$6:$B$797,B206,$C$6:$C$797,C206,$G$6:$G$797,"REVIEW")=0,COUNTIFS($B$6:$B$797,B206,$C$6:$C$797,C206,$H$6:$H$797,1)=11,COUNTIFS($B$6:$B$797,B206,$C$6:$C$797,C206,$F$6:$F$797,"&gt;0")=11),1,0)</x:f>
        <x:v>1</x:v>
      </x:c>
      <x:c r="J206" s="2" t="n">
        <x:f>COUNTIFS($A$6:$A$797,A206)</x:f>
        <x:v>1</x:v>
      </x:c>
    </x:row>
    <x:row r="207" ht="23" customHeight="1">
      <x:c r="A207" s="2" t="str">
        <x:v>61103099_IN_202501_IMPORT</x:v>
      </x:c>
      <x:c r="B207" s="2" t="n">
        <x:v>202501</x:v>
      </x:c>
      <x:c r="C207" s="2" t="str">
        <x:v>61103099</x:v>
      </x:c>
      <x:c r="D207" s="2" t="str">
        <x:v>India</x:v>
      </x:c>
      <x:c r="E207" s="16" t="n">
        <x:v>87159</x:v>
      </x:c>
      <x:c r="F207" s="16" t="n">
        <x:v>7078</x:v>
      </x:c>
      <x:c r="G207" s="2" t="str">
        <x:v>WITHIN_BAND</x:v>
      </x:c>
      <x:c r="H207" s="2" t="n">
        <x:v>1</x:v>
      </x:c>
      <x:c r="I207" s="2" t="n">
        <x:f>IF(AND(COUNTIFS($B$6:$B$797,B207,$C$6:$C$797,C207)=11,COUNTIFS($B$6:$B$797,B207,$C$6:$C$797,C207,$G$6:$G$797,"REVIEW")=0,COUNTIFS($B$6:$B$797,B207,$C$6:$C$797,C207,$H$6:$H$797,1)=11,COUNTIFS($B$6:$B$797,B207,$C$6:$C$797,C207,$F$6:$F$797,"&gt;0")=11),1,0)</x:f>
        <x:v>1</x:v>
      </x:c>
      <x:c r="J207" s="2" t="n">
        <x:f>COUNTIFS($A$6:$A$797,A207)</x:f>
        <x:v>1</x:v>
      </x:c>
    </x:row>
    <x:row r="208" ht="23" customHeight="1">
      <x:c r="A208" s="2" t="str">
        <x:v>61103099_MA_202501_IMPORT</x:v>
      </x:c>
      <x:c r="B208" s="2" t="n">
        <x:v>202501</x:v>
      </x:c>
      <x:c r="C208" s="2" t="str">
        <x:v>61103099</x:v>
      </x:c>
      <x:c r="D208" s="2" t="str">
        <x:v>Morocco</x:v>
      </x:c>
      <x:c r="E208" s="16" t="n">
        <x:v>23195</x:v>
      </x:c>
      <x:c r="F208" s="16" t="n">
        <x:v>1925</x:v>
      </x:c>
      <x:c r="G208" s="2" t="str">
        <x:v>WITHIN_BAND</x:v>
      </x:c>
      <x:c r="H208" s="2" t="n">
        <x:v>1</x:v>
      </x:c>
      <x:c r="I208" s="2" t="n">
        <x:f>IF(AND(COUNTIFS($B$6:$B$797,B208,$C$6:$C$797,C208)=11,COUNTIFS($B$6:$B$797,B208,$C$6:$C$797,C208,$G$6:$G$797,"REVIEW")=0,COUNTIFS($B$6:$B$797,B208,$C$6:$C$797,C208,$H$6:$H$797,1)=11,COUNTIFS($B$6:$B$797,B208,$C$6:$C$797,C208,$F$6:$F$797,"&gt;0")=11),1,0)</x:f>
        <x:v>1</x:v>
      </x:c>
      <x:c r="J208" s="2" t="n">
        <x:f>COUNTIFS($A$6:$A$797,A208)</x:f>
        <x:v>1</x:v>
      </x:c>
    </x:row>
    <x:row r="209" ht="23" customHeight="1">
      <x:c r="A209" s="2" t="str">
        <x:v>61103099_MM_202501_IMPORT</x:v>
      </x:c>
      <x:c r="B209" s="2" t="n">
        <x:v>202501</x:v>
      </x:c>
      <x:c r="C209" s="2" t="str">
        <x:v>61103099</x:v>
      </x:c>
      <x:c r="D209" s="2" t="str">
        <x:v>Myanmar</x:v>
      </x:c>
      <x:c r="E209" s="16" t="n">
        <x:v>579394</x:v>
      </x:c>
      <x:c r="F209" s="16" t="n">
        <x:v>35512</x:v>
      </x:c>
      <x:c r="G209" s="2" t="str">
        <x:v>WITHIN_BAND</x:v>
      </x:c>
      <x:c r="H209" s="2" t="n">
        <x:v>1</x:v>
      </x:c>
      <x:c r="I209" s="2" t="n">
        <x:f>IF(AND(COUNTIFS($B$6:$B$797,B209,$C$6:$C$797,C209)=11,COUNTIFS($B$6:$B$797,B209,$C$6:$C$797,C209,$G$6:$G$797,"REVIEW")=0,COUNTIFS($B$6:$B$797,B209,$C$6:$C$797,C209,$H$6:$H$797,1)=11,COUNTIFS($B$6:$B$797,B209,$C$6:$C$797,C209,$F$6:$F$797,"&gt;0")=11),1,0)</x:f>
        <x:v>1</x:v>
      </x:c>
      <x:c r="J209" s="2" t="n">
        <x:f>COUNTIFS($A$6:$A$797,A209)</x:f>
        <x:v>1</x:v>
      </x:c>
    </x:row>
    <x:row r="210" ht="23" customHeight="1">
      <x:c r="A210" s="2" t="str">
        <x:v>61103099_PK_202501_IMPORT</x:v>
      </x:c>
      <x:c r="B210" s="2" t="n">
        <x:v>202501</x:v>
      </x:c>
      <x:c r="C210" s="2" t="str">
        <x:v>61103099</x:v>
      </x:c>
      <x:c r="D210" s="2" t="str">
        <x:v>Pakistan</x:v>
      </x:c>
      <x:c r="E210" s="16" t="n">
        <x:v>497226</x:v>
      </x:c>
      <x:c r="F210" s="16" t="n">
        <x:v>37474</x:v>
      </x:c>
      <x:c r="G210" s="2" t="str">
        <x:v>WITHIN_BAND</x:v>
      </x:c>
      <x:c r="H210" s="2" t="n">
        <x:v>1</x:v>
      </x:c>
      <x:c r="I210" s="2" t="n">
        <x:f>IF(AND(COUNTIFS($B$6:$B$797,B210,$C$6:$C$797,C210)=11,COUNTIFS($B$6:$B$797,B210,$C$6:$C$797,C210,$G$6:$G$797,"REVIEW")=0,COUNTIFS($B$6:$B$797,B210,$C$6:$C$797,C210,$H$6:$H$797,1)=11,COUNTIFS($B$6:$B$797,B210,$C$6:$C$797,C210,$F$6:$F$797,"&gt;0")=11),1,0)</x:f>
        <x:v>1</x:v>
      </x:c>
      <x:c r="J210" s="2" t="n">
        <x:f>COUNTIFS($A$6:$A$797,A210)</x:f>
        <x:v>1</x:v>
      </x:c>
    </x:row>
    <x:row r="211" ht="23" customHeight="1">
      <x:c r="A211" s="2" t="str">
        <x:v>61103099_LK_202501_IMPORT</x:v>
      </x:c>
      <x:c r="B211" s="2" t="n">
        <x:v>202501</x:v>
      </x:c>
      <x:c r="C211" s="2" t="str">
        <x:v>61103099</x:v>
      </x:c>
      <x:c r="D211" s="2" t="str">
        <x:v>Sri Lanka</x:v>
      </x:c>
      <x:c r="E211" s="16" t="n">
        <x:v>236140</x:v>
      </x:c>
      <x:c r="F211" s="16" t="n">
        <x:v>14460</x:v>
      </x:c>
      <x:c r="G211" s="2" t="str">
        <x:v>WITHIN_BAND</x:v>
      </x:c>
      <x:c r="H211" s="2" t="n">
        <x:v>1</x:v>
      </x:c>
      <x:c r="I211" s="2" t="n">
        <x:f>IF(AND(COUNTIFS($B$6:$B$797,B211,$C$6:$C$797,C211)=11,COUNTIFS($B$6:$B$797,B211,$C$6:$C$797,C211,$G$6:$G$797,"REVIEW")=0,COUNTIFS($B$6:$B$797,B211,$C$6:$C$797,C211,$H$6:$H$797,1)=11,COUNTIFS($B$6:$B$797,B211,$C$6:$C$797,C211,$F$6:$F$797,"&gt;0")=11),1,0)</x:f>
        <x:v>1</x:v>
      </x:c>
      <x:c r="J211" s="2" t="n">
        <x:f>COUNTIFS($A$6:$A$797,A211)</x:f>
        <x:v>1</x:v>
      </x:c>
    </x:row>
    <x:row r="212" ht="23" customHeight="1">
      <x:c r="A212" s="2" t="str">
        <x:v>61103099_TR_202501_IMPORT</x:v>
      </x:c>
      <x:c r="B212" s="2" t="n">
        <x:v>202501</x:v>
      </x:c>
      <x:c r="C212" s="2" t="str">
        <x:v>61103099</x:v>
      </x:c>
      <x:c r="D212" s="2" t="str">
        <x:v>Turkey</x:v>
      </x:c>
      <x:c r="E212" s="16" t="n">
        <x:v>6744495</x:v>
      </x:c>
      <x:c r="F212" s="16" t="n">
        <x:v>438028</x:v>
      </x:c>
      <x:c r="G212" s="2" t="str">
        <x:v>WITHIN_BAND</x:v>
      </x:c>
      <x:c r="H212" s="2" t="n">
        <x:v>1</x:v>
      </x:c>
      <x:c r="I212" s="2" t="n">
        <x:f>IF(AND(COUNTIFS($B$6:$B$797,B212,$C$6:$C$797,C212)=11,COUNTIFS($B$6:$B$797,B212,$C$6:$C$797,C212,$G$6:$G$797,"REVIEW")=0,COUNTIFS($B$6:$B$797,B212,$C$6:$C$797,C212,$H$6:$H$797,1)=11,COUNTIFS($B$6:$B$797,B212,$C$6:$C$797,C212,$F$6:$F$797,"&gt;0")=11),1,0)</x:f>
        <x:v>1</x:v>
      </x:c>
      <x:c r="J212" s="2" t="n">
        <x:f>COUNTIFS($A$6:$A$797,A212)</x:f>
        <x:v>1</x:v>
      </x:c>
    </x:row>
    <x:row r="213" ht="23" customHeight="1">
      <x:c r="A213" s="2" t="str">
        <x:v>61103099_VN_202501_IMPORT</x:v>
      </x:c>
      <x:c r="B213" s="2" t="n">
        <x:v>202501</x:v>
      </x:c>
      <x:c r="C213" s="2" t="str">
        <x:v>61103099</x:v>
      </x:c>
      <x:c r="D213" s="2" t="str">
        <x:v>Vietnam</x:v>
      </x:c>
      <x:c r="E213" s="16" t="n">
        <x:v>1020005</x:v>
      </x:c>
      <x:c r="F213" s="16" t="n">
        <x:v>36573</x:v>
      </x:c>
      <x:c r="G213" s="2" t="str">
        <x:v>WITHIN_BAND</x:v>
      </x:c>
      <x:c r="H213" s="2" t="n">
        <x:v>1</x:v>
      </x:c>
      <x:c r="I213" s="2" t="n">
        <x:f>IF(AND(COUNTIFS($B$6:$B$797,B213,$C$6:$C$797,C213)=11,COUNTIFS($B$6:$B$797,B213,$C$6:$C$797,C213,$G$6:$G$797,"REVIEW")=0,COUNTIFS($B$6:$B$797,B213,$C$6:$C$797,C213,$H$6:$H$797,1)=11,COUNTIFS($B$6:$B$797,B213,$C$6:$C$797,C213,$F$6:$F$797,"&gt;0")=11),1,0)</x:f>
        <x:v>1</x:v>
      </x:c>
      <x:c r="J213" s="2" t="n">
        <x:f>COUNTIFS($A$6:$A$797,A213)</x:f>
        <x:v>1</x:v>
      </x:c>
    </x:row>
    <x:row r="214" ht="23" customHeight="1">
      <x:c r="A214" s="2" t="str">
        <x:v>61103099_WORLD_202501_IMPORT</x:v>
      </x:c>
      <x:c r="B214" s="2" t="n">
        <x:v>202501</x:v>
      </x:c>
      <x:c r="C214" s="2" t="str">
        <x:v>61103099</x:v>
      </x:c>
      <x:c r="D214" s="2" t="str">
        <x:v>World</x:v>
      </x:c>
      <x:c r="E214" s="16" t="n">
        <x:v>57827679</x:v>
      </x:c>
      <x:c r="F214" s="16" t="n">
        <x:v>3736903</x:v>
      </x:c>
      <x:c r="G214" s="2" t="str">
        <x:v>WITHIN_BAND</x:v>
      </x:c>
      <x:c r="H214" s="2" t="n">
        <x:v>1</x:v>
      </x:c>
      <x:c r="I214" s="2" t="n">
        <x:f>IF(AND(COUNTIFS($B$6:$B$797,B214,$C$6:$C$797,C214)=11,COUNTIFS($B$6:$B$797,B214,$C$6:$C$797,C214,$G$6:$G$797,"REVIEW")=0,COUNTIFS($B$6:$B$797,B214,$C$6:$C$797,C214,$H$6:$H$797,1)=11,COUNTIFS($B$6:$B$797,B214,$C$6:$C$797,C214,$F$6:$F$797,"&gt;0")=11),1,0)</x:f>
        <x:v>1</x:v>
      </x:c>
      <x:c r="J214" s="2" t="n">
        <x:f>COUNTIFS($A$6:$A$797,A214)</x:f>
        <x:v>1</x:v>
      </x:c>
    </x:row>
    <x:row r="215" ht="23" customHeight="1">
      <x:c r="A215" s="2" t="str">
        <x:v>61103099_BD_202502_IMPORT</x:v>
      </x:c>
      <x:c r="B215" s="2" t="n">
        <x:v>202502</x:v>
      </x:c>
      <x:c r="C215" s="2" t="str">
        <x:v>61103099</x:v>
      </x:c>
      <x:c r="D215" s="2" t="str">
        <x:v>Bangladesh</x:v>
      </x:c>
      <x:c r="E215" s="16" t="n">
        <x:v>6341666</x:v>
      </x:c>
      <x:c r="F215" s="16" t="n">
        <x:v>466974</x:v>
      </x:c>
      <x:c r="G215" s="2" t="str">
        <x:v>WITHIN_BAND</x:v>
      </x:c>
      <x:c r="H215" s="2" t="n">
        <x:v>1</x:v>
      </x:c>
      <x:c r="I215" s="2" t="n">
        <x:f>IF(AND(COUNTIFS($B$6:$B$797,B215,$C$6:$C$797,C215)=11,COUNTIFS($B$6:$B$797,B215,$C$6:$C$797,C215,$G$6:$G$797,"REVIEW")=0,COUNTIFS($B$6:$B$797,B215,$C$6:$C$797,C215,$H$6:$H$797,1)=11,COUNTIFS($B$6:$B$797,B215,$C$6:$C$797,C215,$F$6:$F$797,"&gt;0")=11),1,0)</x:f>
        <x:v>1</x:v>
      </x:c>
      <x:c r="J215" s="2" t="n">
        <x:f>COUNTIFS($A$6:$A$797,A215)</x:f>
        <x:v>1</x:v>
      </x:c>
    </x:row>
    <x:row r="216" ht="23" customHeight="1">
      <x:c r="A216" s="2" t="str">
        <x:v>61103099_KH_202502_IMPORT</x:v>
      </x:c>
      <x:c r="B216" s="2" t="n">
        <x:v>202502</x:v>
      </x:c>
      <x:c r="C216" s="2" t="str">
        <x:v>61103099</x:v>
      </x:c>
      <x:c r="D216" s="2" t="str">
        <x:v>Cambodia</x:v>
      </x:c>
      <x:c r="E216" s="16" t="n">
        <x:v>4493884</x:v>
      </x:c>
      <x:c r="F216" s="16" t="n">
        <x:v>412110</x:v>
      </x:c>
      <x:c r="G216" s="2" t="str">
        <x:v>WITHIN_BAND</x:v>
      </x:c>
      <x:c r="H216" s="2" t="n">
        <x:v>1</x:v>
      </x:c>
      <x:c r="I216" s="2" t="n">
        <x:f>IF(AND(COUNTIFS($B$6:$B$797,B216,$C$6:$C$797,C216)=11,COUNTIFS($B$6:$B$797,B216,$C$6:$C$797,C216,$G$6:$G$797,"REVIEW")=0,COUNTIFS($B$6:$B$797,B216,$C$6:$C$797,C216,$H$6:$H$797,1)=11,COUNTIFS($B$6:$B$797,B216,$C$6:$C$797,C216,$F$6:$F$797,"&gt;0")=11),1,0)</x:f>
        <x:v>1</x:v>
      </x:c>
      <x:c r="J216" s="2" t="n">
        <x:f>COUNTIFS($A$6:$A$797,A216)</x:f>
        <x:v>1</x:v>
      </x:c>
    </x:row>
    <x:row r="217" ht="23" customHeight="1">
      <x:c r="A217" s="2" t="str">
        <x:v>61103099_CN_202502_IMPORT</x:v>
      </x:c>
      <x:c r="B217" s="2" t="n">
        <x:v>202502</x:v>
      </x:c>
      <x:c r="C217" s="2" t="str">
        <x:v>61103099</x:v>
      </x:c>
      <x:c r="D217" s="2" t="str">
        <x:v>China</x:v>
      </x:c>
      <x:c r="E217" s="16" t="n">
        <x:v>9706182</x:v>
      </x:c>
      <x:c r="F217" s="16" t="n">
        <x:v>551375</x:v>
      </x:c>
      <x:c r="G217" s="2" t="str">
        <x:v>WITHIN_BAND</x:v>
      </x:c>
      <x:c r="H217" s="2" t="n">
        <x:v>1</x:v>
      </x:c>
      <x:c r="I217" s="2" t="n">
        <x:f>IF(AND(COUNTIFS($B$6:$B$797,B217,$C$6:$C$797,C217)=11,COUNTIFS($B$6:$B$797,B217,$C$6:$C$797,C217,$G$6:$G$797,"REVIEW")=0,COUNTIFS($B$6:$B$797,B217,$C$6:$C$797,C217,$H$6:$H$797,1)=11,COUNTIFS($B$6:$B$797,B217,$C$6:$C$797,C217,$F$6:$F$797,"&gt;0")=11),1,0)</x:f>
        <x:v>1</x:v>
      </x:c>
      <x:c r="J217" s="2" t="n">
        <x:f>COUNTIFS($A$6:$A$797,A217)</x:f>
        <x:v>1</x:v>
      </x:c>
    </x:row>
    <x:row r="218" ht="23" customHeight="1">
      <x:c r="A218" s="2" t="str">
        <x:v>61103099_IN_202502_IMPORT</x:v>
      </x:c>
      <x:c r="B218" s="2" t="n">
        <x:v>202502</x:v>
      </x:c>
      <x:c r="C218" s="2" t="str">
        <x:v>61103099</x:v>
      </x:c>
      <x:c r="D218" s="2" t="str">
        <x:v>India</x:v>
      </x:c>
      <x:c r="E218" s="16" t="n">
        <x:v>201338</x:v>
      </x:c>
      <x:c r="F218" s="16" t="n">
        <x:v>14866</x:v>
      </x:c>
      <x:c r="G218" s="2" t="str">
        <x:v>WITHIN_BAND</x:v>
      </x:c>
      <x:c r="H218" s="2" t="n">
        <x:v>1</x:v>
      </x:c>
      <x:c r="I218" s="2" t="n">
        <x:f>IF(AND(COUNTIFS($B$6:$B$797,B218,$C$6:$C$797,C218)=11,COUNTIFS($B$6:$B$797,B218,$C$6:$C$797,C218,$G$6:$G$797,"REVIEW")=0,COUNTIFS($B$6:$B$797,B218,$C$6:$C$797,C218,$H$6:$H$797,1)=11,COUNTIFS($B$6:$B$797,B218,$C$6:$C$797,C218,$F$6:$F$797,"&gt;0")=11),1,0)</x:f>
        <x:v>1</x:v>
      </x:c>
      <x:c r="J218" s="2" t="n">
        <x:f>COUNTIFS($A$6:$A$797,A218)</x:f>
        <x:v>1</x:v>
      </x:c>
    </x:row>
    <x:row r="219" ht="23" customHeight="1">
      <x:c r="A219" s="2" t="str">
        <x:v>61103099_MA_202502_IMPORT</x:v>
      </x:c>
      <x:c r="B219" s="2" t="n">
        <x:v>202502</x:v>
      </x:c>
      <x:c r="C219" s="2" t="str">
        <x:v>61103099</x:v>
      </x:c>
      <x:c r="D219" s="2" t="str">
        <x:v>Morocco</x:v>
      </x:c>
      <x:c r="E219" s="16" t="n">
        <x:v>12068</x:v>
      </x:c>
      <x:c r="F219" s="16" t="n">
        <x:v>1033</x:v>
      </x:c>
      <x:c r="G219" s="2" t="str">
        <x:v>WITHIN_BAND</x:v>
      </x:c>
      <x:c r="H219" s="2" t="n">
        <x:v>1</x:v>
      </x:c>
      <x:c r="I219" s="2" t="n">
        <x:f>IF(AND(COUNTIFS($B$6:$B$797,B219,$C$6:$C$797,C219)=11,COUNTIFS($B$6:$B$797,B219,$C$6:$C$797,C219,$G$6:$G$797,"REVIEW")=0,COUNTIFS($B$6:$B$797,B219,$C$6:$C$797,C219,$H$6:$H$797,1)=11,COUNTIFS($B$6:$B$797,B219,$C$6:$C$797,C219,$F$6:$F$797,"&gt;0")=11),1,0)</x:f>
        <x:v>1</x:v>
      </x:c>
      <x:c r="J219" s="2" t="n">
        <x:f>COUNTIFS($A$6:$A$797,A219)</x:f>
        <x:v>1</x:v>
      </x:c>
    </x:row>
    <x:row r="220" ht="23" customHeight="1">
      <x:c r="A220" s="2" t="str">
        <x:v>61103099_MM_202502_IMPORT</x:v>
      </x:c>
      <x:c r="B220" s="2" t="n">
        <x:v>202502</x:v>
      </x:c>
      <x:c r="C220" s="2" t="str">
        <x:v>61103099</x:v>
      </x:c>
      <x:c r="D220" s="2" t="str">
        <x:v>Myanmar</x:v>
      </x:c>
      <x:c r="E220" s="16" t="n">
        <x:v>261800</x:v>
      </x:c>
      <x:c r="F220" s="16" t="n">
        <x:v>16842</x:v>
      </x:c>
      <x:c r="G220" s="2" t="str">
        <x:v>WITHIN_BAND</x:v>
      </x:c>
      <x:c r="H220" s="2" t="n">
        <x:v>1</x:v>
      </x:c>
      <x:c r="I220" s="2" t="n">
        <x:f>IF(AND(COUNTIFS($B$6:$B$797,B220,$C$6:$C$797,C220)=11,COUNTIFS($B$6:$B$797,B220,$C$6:$C$797,C220,$G$6:$G$797,"REVIEW")=0,COUNTIFS($B$6:$B$797,B220,$C$6:$C$797,C220,$H$6:$H$797,1)=11,COUNTIFS($B$6:$B$797,B220,$C$6:$C$797,C220,$F$6:$F$797,"&gt;0")=11),1,0)</x:f>
        <x:v>1</x:v>
      </x:c>
      <x:c r="J220" s="2" t="n">
        <x:f>COUNTIFS($A$6:$A$797,A220)</x:f>
        <x:v>1</x:v>
      </x:c>
    </x:row>
    <x:row r="221" ht="23" customHeight="1">
      <x:c r="A221" s="2" t="str">
        <x:v>61103099_PK_202502_IMPORT</x:v>
      </x:c>
      <x:c r="B221" s="2" t="n">
        <x:v>202502</x:v>
      </x:c>
      <x:c r="C221" s="2" t="str">
        <x:v>61103099</x:v>
      </x:c>
      <x:c r="D221" s="2" t="str">
        <x:v>Pakistan</x:v>
      </x:c>
      <x:c r="E221" s="16" t="n">
        <x:v>451588</x:v>
      </x:c>
      <x:c r="F221" s="16" t="n">
        <x:v>37557</x:v>
      </x:c>
      <x:c r="G221" s="2" t="str">
        <x:v>WITHIN_BAND</x:v>
      </x:c>
      <x:c r="H221" s="2" t="n">
        <x:v>1</x:v>
      </x:c>
      <x:c r="I221" s="2" t="n">
        <x:f>IF(AND(COUNTIFS($B$6:$B$797,B221,$C$6:$C$797,C221)=11,COUNTIFS($B$6:$B$797,B221,$C$6:$C$797,C221,$G$6:$G$797,"REVIEW")=0,COUNTIFS($B$6:$B$797,B221,$C$6:$C$797,C221,$H$6:$H$797,1)=11,COUNTIFS($B$6:$B$797,B221,$C$6:$C$797,C221,$F$6:$F$797,"&gt;0")=11),1,0)</x:f>
        <x:v>1</x:v>
      </x:c>
      <x:c r="J221" s="2" t="n">
        <x:f>COUNTIFS($A$6:$A$797,A221)</x:f>
        <x:v>1</x:v>
      </x:c>
    </x:row>
    <x:row r="222" ht="23" customHeight="1">
      <x:c r="A222" s="2" t="str">
        <x:v>61103099_LK_202502_IMPORT</x:v>
      </x:c>
      <x:c r="B222" s="2" t="n">
        <x:v>202502</x:v>
      </x:c>
      <x:c r="C222" s="2" t="str">
        <x:v>61103099</x:v>
      </x:c>
      <x:c r="D222" s="2" t="str">
        <x:v>Sri Lanka</x:v>
      </x:c>
      <x:c r="E222" s="16" t="n">
        <x:v>72233</x:v>
      </x:c>
      <x:c r="F222" s="16" t="n">
        <x:v>3406</x:v>
      </x:c>
      <x:c r="G222" s="2" t="str">
        <x:v>WITHIN_BAND</x:v>
      </x:c>
      <x:c r="H222" s="2" t="n">
        <x:v>1</x:v>
      </x:c>
      <x:c r="I222" s="2" t="n">
        <x:f>IF(AND(COUNTIFS($B$6:$B$797,B222,$C$6:$C$797,C222)=11,COUNTIFS($B$6:$B$797,B222,$C$6:$C$797,C222,$G$6:$G$797,"REVIEW")=0,COUNTIFS($B$6:$B$797,B222,$C$6:$C$797,C222,$H$6:$H$797,1)=11,COUNTIFS($B$6:$B$797,B222,$C$6:$C$797,C222,$F$6:$F$797,"&gt;0")=11),1,0)</x:f>
        <x:v>1</x:v>
      </x:c>
      <x:c r="J222" s="2" t="n">
        <x:f>COUNTIFS($A$6:$A$797,A222)</x:f>
        <x:v>1</x:v>
      </x:c>
    </x:row>
    <x:row r="223" ht="23" customHeight="1">
      <x:c r="A223" s="2" t="str">
        <x:v>61103099_TR_202502_IMPORT</x:v>
      </x:c>
      <x:c r="B223" s="2" t="n">
        <x:v>202502</x:v>
      </x:c>
      <x:c r="C223" s="2" t="str">
        <x:v>61103099</x:v>
      </x:c>
      <x:c r="D223" s="2" t="str">
        <x:v>Turkey</x:v>
      </x:c>
      <x:c r="E223" s="16" t="n">
        <x:v>3809624</x:v>
      </x:c>
      <x:c r="F223" s="16" t="n">
        <x:v>195878</x:v>
      </x:c>
      <x:c r="G223" s="2" t="str">
        <x:v>WITHIN_BAND</x:v>
      </x:c>
      <x:c r="H223" s="2" t="n">
        <x:v>1</x:v>
      </x:c>
      <x:c r="I223" s="2" t="n">
        <x:f>IF(AND(COUNTIFS($B$6:$B$797,B223,$C$6:$C$797,C223)=11,COUNTIFS($B$6:$B$797,B223,$C$6:$C$797,C223,$G$6:$G$797,"REVIEW")=0,COUNTIFS($B$6:$B$797,B223,$C$6:$C$797,C223,$H$6:$H$797,1)=11,COUNTIFS($B$6:$B$797,B223,$C$6:$C$797,C223,$F$6:$F$797,"&gt;0")=11),1,0)</x:f>
        <x:v>1</x:v>
      </x:c>
      <x:c r="J223" s="2" t="n">
        <x:f>COUNTIFS($A$6:$A$797,A223)</x:f>
        <x:v>1</x:v>
      </x:c>
    </x:row>
    <x:row r="224" ht="23" customHeight="1">
      <x:c r="A224" s="2" t="str">
        <x:v>61103099_VN_202502_IMPORT</x:v>
      </x:c>
      <x:c r="B224" s="2" t="n">
        <x:v>202502</x:v>
      </x:c>
      <x:c r="C224" s="2" t="str">
        <x:v>61103099</x:v>
      </x:c>
      <x:c r="D224" s="2" t="str">
        <x:v>Vietnam</x:v>
      </x:c>
      <x:c r="E224" s="16" t="n">
        <x:v>418158</x:v>
      </x:c>
      <x:c r="F224" s="16" t="n">
        <x:v>12904</x:v>
      </x:c>
      <x:c r="G224" s="2" t="str">
        <x:v>WITHIN_BAND</x:v>
      </x:c>
      <x:c r="H224" s="2" t="n">
        <x:v>1</x:v>
      </x:c>
      <x:c r="I224" s="2" t="n">
        <x:f>IF(AND(COUNTIFS($B$6:$B$797,B224,$C$6:$C$797,C224)=11,COUNTIFS($B$6:$B$797,B224,$C$6:$C$797,C224,$G$6:$G$797,"REVIEW")=0,COUNTIFS($B$6:$B$797,B224,$C$6:$C$797,C224,$H$6:$H$797,1)=11,COUNTIFS($B$6:$B$797,B224,$C$6:$C$797,C224,$F$6:$F$797,"&gt;0")=11),1,0)</x:f>
        <x:v>1</x:v>
      </x:c>
      <x:c r="J224" s="2" t="n">
        <x:f>COUNTIFS($A$6:$A$797,A224)</x:f>
        <x:v>1</x:v>
      </x:c>
    </x:row>
    <x:row r="225" ht="23" customHeight="1">
      <x:c r="A225" s="2" t="str">
        <x:v>61103099_WORLD_202502_IMPORT</x:v>
      </x:c>
      <x:c r="B225" s="2" t="n">
        <x:v>202502</x:v>
      </x:c>
      <x:c r="C225" s="2" t="str">
        <x:v>61103099</x:v>
      </x:c>
      <x:c r="D225" s="2" t="str">
        <x:v>World</x:v>
      </x:c>
      <x:c r="E225" s="16" t="n">
        <x:v>36438649</x:v>
      </x:c>
      <x:c r="F225" s="16" t="n">
        <x:v>2180030</x:v>
      </x:c>
      <x:c r="G225" s="2" t="str">
        <x:v>WITHIN_BAND</x:v>
      </x:c>
      <x:c r="H225" s="2" t="n">
        <x:v>1</x:v>
      </x:c>
      <x:c r="I225" s="2" t="n">
        <x:f>IF(AND(COUNTIFS($B$6:$B$797,B225,$C$6:$C$797,C225)=11,COUNTIFS($B$6:$B$797,B225,$C$6:$C$797,C225,$G$6:$G$797,"REVIEW")=0,COUNTIFS($B$6:$B$797,B225,$C$6:$C$797,C225,$H$6:$H$797,1)=11,COUNTIFS($B$6:$B$797,B225,$C$6:$C$797,C225,$F$6:$F$797,"&gt;0")=11),1,0)</x:f>
        <x:v>1</x:v>
      </x:c>
      <x:c r="J225" s="2" t="n">
        <x:f>COUNTIFS($A$6:$A$797,A225)</x:f>
        <x:v>1</x:v>
      </x:c>
    </x:row>
    <x:row r="226" ht="23" customHeight="1">
      <x:c r="A226" s="2" t="str">
        <x:v>61103099_BD_202503_IMPORT</x:v>
      </x:c>
      <x:c r="B226" s="2" t="n">
        <x:v>202503</x:v>
      </x:c>
      <x:c r="C226" s="2" t="str">
        <x:v>61103099</x:v>
      </x:c>
      <x:c r="D226" s="2" t="str">
        <x:v>Bangladesh</x:v>
      </x:c>
      <x:c r="E226" s="16" t="n">
        <x:v>5403751</x:v>
      </x:c>
      <x:c r="F226" s="16" t="n">
        <x:v>460113</x:v>
      </x:c>
      <x:c r="G226" s="2" t="str">
        <x:v>WITHIN_BAND</x:v>
      </x:c>
      <x:c r="H226" s="2" t="n">
        <x:v>1</x:v>
      </x:c>
      <x:c r="I226" s="2" t="n">
        <x:f>IF(AND(COUNTIFS($B$6:$B$797,B226,$C$6:$C$797,C226)=11,COUNTIFS($B$6:$B$797,B226,$C$6:$C$797,C226,$G$6:$G$797,"REVIEW")=0,COUNTIFS($B$6:$B$797,B226,$C$6:$C$797,C226,$H$6:$H$797,1)=11,COUNTIFS($B$6:$B$797,B226,$C$6:$C$797,C226,$F$6:$F$797,"&gt;0")=11),1,0)</x:f>
        <x:v>1</x:v>
      </x:c>
      <x:c r="J226" s="2" t="n">
        <x:f>COUNTIFS($A$6:$A$797,A226)</x:f>
        <x:v>1</x:v>
      </x:c>
    </x:row>
    <x:row r="227" ht="23" customHeight="1">
      <x:c r="A227" s="2" t="str">
        <x:v>61103099_KH_202503_IMPORT</x:v>
      </x:c>
      <x:c r="B227" s="2" t="n">
        <x:v>202503</x:v>
      </x:c>
      <x:c r="C227" s="2" t="str">
        <x:v>61103099</x:v>
      </x:c>
      <x:c r="D227" s="2" t="str">
        <x:v>Cambodia</x:v>
      </x:c>
      <x:c r="E227" s="16" t="n">
        <x:v>3776401</x:v>
      </x:c>
      <x:c r="F227" s="16" t="n">
        <x:v>358447</x:v>
      </x:c>
      <x:c r="G227" s="2" t="str">
        <x:v>WITHIN_BAND</x:v>
      </x:c>
      <x:c r="H227" s="2" t="n">
        <x:v>1</x:v>
      </x:c>
      <x:c r="I227" s="2" t="n">
        <x:f>IF(AND(COUNTIFS($B$6:$B$797,B227,$C$6:$C$797,C227)=11,COUNTIFS($B$6:$B$797,B227,$C$6:$C$797,C227,$G$6:$G$797,"REVIEW")=0,COUNTIFS($B$6:$B$797,B227,$C$6:$C$797,C227,$H$6:$H$797,1)=11,COUNTIFS($B$6:$B$797,B227,$C$6:$C$797,C227,$F$6:$F$797,"&gt;0")=11),1,0)</x:f>
        <x:v>1</x:v>
      </x:c>
      <x:c r="J227" s="2" t="n">
        <x:f>COUNTIFS($A$6:$A$797,A227)</x:f>
        <x:v>1</x:v>
      </x:c>
    </x:row>
    <x:row r="228" ht="23" customHeight="1">
      <x:c r="A228" s="2" t="str">
        <x:v>61103099_CN_202503_IMPORT</x:v>
      </x:c>
      <x:c r="B228" s="2" t="n">
        <x:v>202503</x:v>
      </x:c>
      <x:c r="C228" s="2" t="str">
        <x:v>61103099</x:v>
      </x:c>
      <x:c r="D228" s="2" t="str">
        <x:v>China</x:v>
      </x:c>
      <x:c r="E228" s="16" t="n">
        <x:v>6755114</x:v>
      </x:c>
      <x:c r="F228" s="16" t="n">
        <x:v>364189</x:v>
      </x:c>
      <x:c r="G228" s="2" t="str">
        <x:v>WITHIN_BAND</x:v>
      </x:c>
      <x:c r="H228" s="2" t="n">
        <x:v>1</x:v>
      </x:c>
      <x:c r="I228" s="2" t="n">
        <x:f>IF(AND(COUNTIFS($B$6:$B$797,B228,$C$6:$C$797,C228)=11,COUNTIFS($B$6:$B$797,B228,$C$6:$C$797,C228,$G$6:$G$797,"REVIEW")=0,COUNTIFS($B$6:$B$797,B228,$C$6:$C$797,C228,$H$6:$H$797,1)=11,COUNTIFS($B$6:$B$797,B228,$C$6:$C$797,C228,$F$6:$F$797,"&gt;0")=11),1,0)</x:f>
        <x:v>1</x:v>
      </x:c>
      <x:c r="J228" s="2" t="n">
        <x:f>COUNTIFS($A$6:$A$797,A228)</x:f>
        <x:v>1</x:v>
      </x:c>
    </x:row>
    <x:row r="229" ht="23" customHeight="1">
      <x:c r="A229" s="2" t="str">
        <x:v>61103099_IN_202503_IMPORT</x:v>
      </x:c>
      <x:c r="B229" s="2" t="n">
        <x:v>202503</x:v>
      </x:c>
      <x:c r="C229" s="2" t="str">
        <x:v>61103099</x:v>
      </x:c>
      <x:c r="D229" s="2" t="str">
        <x:v>India</x:v>
      </x:c>
      <x:c r="E229" s="16" t="n">
        <x:v>168659</x:v>
      </x:c>
      <x:c r="F229" s="16" t="n">
        <x:v>11533</x:v>
      </x:c>
      <x:c r="G229" s="2" t="str">
        <x:v>WITHIN_BAND</x:v>
      </x:c>
      <x:c r="H229" s="2" t="n">
        <x:v>1</x:v>
      </x:c>
      <x:c r="I229" s="2" t="n">
        <x:f>IF(AND(COUNTIFS($B$6:$B$797,B229,$C$6:$C$797,C229)=11,COUNTIFS($B$6:$B$797,B229,$C$6:$C$797,C229,$G$6:$G$797,"REVIEW")=0,COUNTIFS($B$6:$B$797,B229,$C$6:$C$797,C229,$H$6:$H$797,1)=11,COUNTIFS($B$6:$B$797,B229,$C$6:$C$797,C229,$F$6:$F$797,"&gt;0")=11),1,0)</x:f>
        <x:v>1</x:v>
      </x:c>
      <x:c r="J229" s="2" t="n">
        <x:f>COUNTIFS($A$6:$A$797,A229)</x:f>
        <x:v>1</x:v>
      </x:c>
    </x:row>
    <x:row r="230" ht="23" customHeight="1">
      <x:c r="A230" s="2" t="str">
        <x:v>61103099_MA_202503_IMPORT</x:v>
      </x:c>
      <x:c r="B230" s="2" t="n">
        <x:v>202503</x:v>
      </x:c>
      <x:c r="C230" s="2" t="str">
        <x:v>61103099</x:v>
      </x:c>
      <x:c r="D230" s="2" t="str">
        <x:v>Morocco</x:v>
      </x:c>
      <x:c r="E230" s="16" t="n">
        <x:v>34687</x:v>
      </x:c>
      <x:c r="F230" s="16" t="n">
        <x:v>3476</x:v>
      </x:c>
      <x:c r="G230" s="2" t="str">
        <x:v>WITHIN_BAND</x:v>
      </x:c>
      <x:c r="H230" s="2" t="n">
        <x:v>1</x:v>
      </x:c>
      <x:c r="I230" s="2" t="n">
        <x:f>IF(AND(COUNTIFS($B$6:$B$797,B230,$C$6:$C$797,C230)=11,COUNTIFS($B$6:$B$797,B230,$C$6:$C$797,C230,$G$6:$G$797,"REVIEW")=0,COUNTIFS($B$6:$B$797,B230,$C$6:$C$797,C230,$H$6:$H$797,1)=11,COUNTIFS($B$6:$B$797,B230,$C$6:$C$797,C230,$F$6:$F$797,"&gt;0")=11),1,0)</x:f>
        <x:v>1</x:v>
      </x:c>
      <x:c r="J230" s="2" t="n">
        <x:f>COUNTIFS($A$6:$A$797,A230)</x:f>
        <x:v>1</x:v>
      </x:c>
    </x:row>
    <x:row r="231" ht="23" customHeight="1">
      <x:c r="A231" s="2" t="str">
        <x:v>61103099_MM_202503_IMPORT</x:v>
      </x:c>
      <x:c r="B231" s="2" t="n">
        <x:v>202503</x:v>
      </x:c>
      <x:c r="C231" s="2" t="str">
        <x:v>61103099</x:v>
      </x:c>
      <x:c r="D231" s="2" t="str">
        <x:v>Myanmar</x:v>
      </x:c>
      <x:c r="E231" s="16" t="n">
        <x:v>149026</x:v>
      </x:c>
      <x:c r="F231" s="16" t="n">
        <x:v>7412</x:v>
      </x:c>
      <x:c r="G231" s="2" t="str">
        <x:v>WITHIN_BAND</x:v>
      </x:c>
      <x:c r="H231" s="2" t="n">
        <x:v>1</x:v>
      </x:c>
      <x:c r="I231" s="2" t="n">
        <x:f>IF(AND(COUNTIFS($B$6:$B$797,B231,$C$6:$C$797,C231)=11,COUNTIFS($B$6:$B$797,B231,$C$6:$C$797,C231,$G$6:$G$797,"REVIEW")=0,COUNTIFS($B$6:$B$797,B231,$C$6:$C$797,C231,$H$6:$H$797,1)=11,COUNTIFS($B$6:$B$797,B231,$C$6:$C$797,C231,$F$6:$F$797,"&gt;0")=11),1,0)</x:f>
        <x:v>1</x:v>
      </x:c>
      <x:c r="J231" s="2" t="n">
        <x:f>COUNTIFS($A$6:$A$797,A231)</x:f>
        <x:v>1</x:v>
      </x:c>
    </x:row>
    <x:row r="232" ht="23" customHeight="1">
      <x:c r="A232" s="2" t="str">
        <x:v>61103099_PK_202503_IMPORT</x:v>
      </x:c>
      <x:c r="B232" s="2" t="n">
        <x:v>202503</x:v>
      </x:c>
      <x:c r="C232" s="2" t="str">
        <x:v>61103099</x:v>
      </x:c>
      <x:c r="D232" s="2" t="str">
        <x:v>Pakistan</x:v>
      </x:c>
      <x:c r="E232" s="16" t="n">
        <x:v>638965</x:v>
      </x:c>
      <x:c r="F232" s="16" t="n">
        <x:v>46045</x:v>
      </x:c>
      <x:c r="G232" s="2" t="str">
        <x:v>WITHIN_BAND</x:v>
      </x:c>
      <x:c r="H232" s="2" t="n">
        <x:v>1</x:v>
      </x:c>
      <x:c r="I232" s="2" t="n">
        <x:f>IF(AND(COUNTIFS($B$6:$B$797,B232,$C$6:$C$797,C232)=11,COUNTIFS($B$6:$B$797,B232,$C$6:$C$797,C232,$G$6:$G$797,"REVIEW")=0,COUNTIFS($B$6:$B$797,B232,$C$6:$C$797,C232,$H$6:$H$797,1)=11,COUNTIFS($B$6:$B$797,B232,$C$6:$C$797,C232,$F$6:$F$797,"&gt;0")=11),1,0)</x:f>
        <x:v>1</x:v>
      </x:c>
      <x:c r="J232" s="2" t="n">
        <x:f>COUNTIFS($A$6:$A$797,A232)</x:f>
        <x:v>1</x:v>
      </x:c>
    </x:row>
    <x:row r="233" ht="23" customHeight="1">
      <x:c r="A233" s="2" t="str">
        <x:v>61103099_LK_202503_IMPORT</x:v>
      </x:c>
      <x:c r="B233" s="2" t="n">
        <x:v>202503</x:v>
      </x:c>
      <x:c r="C233" s="2" t="str">
        <x:v>61103099</x:v>
      </x:c>
      <x:c r="D233" s="2" t="str">
        <x:v>Sri Lanka</x:v>
      </x:c>
      <x:c r="E233" s="16" t="n">
        <x:v>148580</x:v>
      </x:c>
      <x:c r="F233" s="16" t="n">
        <x:v>6043</x:v>
      </x:c>
      <x:c r="G233" s="2" t="str">
        <x:v>WITHIN_BAND</x:v>
      </x:c>
      <x:c r="H233" s="2" t="n">
        <x:v>1</x:v>
      </x:c>
      <x:c r="I233" s="2" t="n">
        <x:f>IF(AND(COUNTIFS($B$6:$B$797,B233,$C$6:$C$797,C233)=11,COUNTIFS($B$6:$B$797,B233,$C$6:$C$797,C233,$G$6:$G$797,"REVIEW")=0,COUNTIFS($B$6:$B$797,B233,$C$6:$C$797,C233,$H$6:$H$797,1)=11,COUNTIFS($B$6:$B$797,B233,$C$6:$C$797,C233,$F$6:$F$797,"&gt;0")=11),1,0)</x:f>
        <x:v>1</x:v>
      </x:c>
      <x:c r="J233" s="2" t="n">
        <x:f>COUNTIFS($A$6:$A$797,A233)</x:f>
        <x:v>1</x:v>
      </x:c>
    </x:row>
    <x:row r="234" ht="23" customHeight="1">
      <x:c r="A234" s="2" t="str">
        <x:v>61103099_TR_202503_IMPORT</x:v>
      </x:c>
      <x:c r="B234" s="2" t="n">
        <x:v>202503</x:v>
      </x:c>
      <x:c r="C234" s="2" t="str">
        <x:v>61103099</x:v>
      </x:c>
      <x:c r="D234" s="2" t="str">
        <x:v>Turkey</x:v>
      </x:c>
      <x:c r="E234" s="16" t="n">
        <x:v>2265412</x:v>
      </x:c>
      <x:c r="F234" s="16" t="n">
        <x:v>93167</x:v>
      </x:c>
      <x:c r="G234" s="2" t="str">
        <x:v>WITHIN_BAND</x:v>
      </x:c>
      <x:c r="H234" s="2" t="n">
        <x:v>1</x:v>
      </x:c>
      <x:c r="I234" s="2" t="n">
        <x:f>IF(AND(COUNTIFS($B$6:$B$797,B234,$C$6:$C$797,C234)=11,COUNTIFS($B$6:$B$797,B234,$C$6:$C$797,C234,$G$6:$G$797,"REVIEW")=0,COUNTIFS($B$6:$B$797,B234,$C$6:$C$797,C234,$H$6:$H$797,1)=11,COUNTIFS($B$6:$B$797,B234,$C$6:$C$797,C234,$F$6:$F$797,"&gt;0")=11),1,0)</x:f>
        <x:v>1</x:v>
      </x:c>
      <x:c r="J234" s="2" t="n">
        <x:f>COUNTIFS($A$6:$A$797,A234)</x:f>
        <x:v>1</x:v>
      </x:c>
    </x:row>
    <x:row r="235" ht="23" customHeight="1">
      <x:c r="A235" s="2" t="str">
        <x:v>61103099_VN_202503_IMPORT</x:v>
      </x:c>
      <x:c r="B235" s="2" t="n">
        <x:v>202503</x:v>
      </x:c>
      <x:c r="C235" s="2" t="str">
        <x:v>61103099</x:v>
      </x:c>
      <x:c r="D235" s="2" t="str">
        <x:v>Vietnam</x:v>
      </x:c>
      <x:c r="E235" s="16" t="n">
        <x:v>578346</x:v>
      </x:c>
      <x:c r="F235" s="16" t="n">
        <x:v>23093</x:v>
      </x:c>
      <x:c r="G235" s="2" t="str">
        <x:v>WITHIN_BAND</x:v>
      </x:c>
      <x:c r="H235" s="2" t="n">
        <x:v>1</x:v>
      </x:c>
      <x:c r="I235" s="2" t="n">
        <x:f>IF(AND(COUNTIFS($B$6:$B$797,B235,$C$6:$C$797,C235)=11,COUNTIFS($B$6:$B$797,B235,$C$6:$C$797,C235,$G$6:$G$797,"REVIEW")=0,COUNTIFS($B$6:$B$797,B235,$C$6:$C$797,C235,$H$6:$H$797,1)=11,COUNTIFS($B$6:$B$797,B235,$C$6:$C$797,C235,$F$6:$F$797,"&gt;0")=11),1,0)</x:f>
        <x:v>1</x:v>
      </x:c>
      <x:c r="J235" s="2" t="n">
        <x:f>COUNTIFS($A$6:$A$797,A235)</x:f>
        <x:v>1</x:v>
      </x:c>
    </x:row>
    <x:row r="236" ht="23" customHeight="1">
      <x:c r="A236" s="2" t="str">
        <x:v>61103099_WORLD_202503_IMPORT</x:v>
      </x:c>
      <x:c r="B236" s="2" t="n">
        <x:v>202503</x:v>
      </x:c>
      <x:c r="C236" s="2" t="str">
        <x:v>61103099</x:v>
      </x:c>
      <x:c r="D236" s="2" t="str">
        <x:v>World</x:v>
      </x:c>
      <x:c r="E236" s="16" t="n">
        <x:v>28808132</x:v>
      </x:c>
      <x:c r="F236" s="16" t="n">
        <x:v>1724720</x:v>
      </x:c>
      <x:c r="G236" s="2" t="str">
        <x:v>WITHIN_BAND</x:v>
      </x:c>
      <x:c r="H236" s="2" t="n">
        <x:v>1</x:v>
      </x:c>
      <x:c r="I236" s="2" t="n">
        <x:f>IF(AND(COUNTIFS($B$6:$B$797,B236,$C$6:$C$797,C236)=11,COUNTIFS($B$6:$B$797,B236,$C$6:$C$797,C236,$G$6:$G$797,"REVIEW")=0,COUNTIFS($B$6:$B$797,B236,$C$6:$C$797,C236,$H$6:$H$797,1)=11,COUNTIFS($B$6:$B$797,B236,$C$6:$C$797,C236,$F$6:$F$797,"&gt;0")=11),1,0)</x:f>
        <x:v>1</x:v>
      </x:c>
      <x:c r="J236" s="2" t="n">
        <x:f>COUNTIFS($A$6:$A$797,A236)</x:f>
        <x:v>1</x:v>
      </x:c>
    </x:row>
    <x:row r="237" ht="23" customHeight="1">
      <x:c r="A237" s="2" t="str">
        <x:v>61103099_BD_202504_IMPORT</x:v>
      </x:c>
      <x:c r="B237" s="2" t="n">
        <x:v>202504</x:v>
      </x:c>
      <x:c r="C237" s="2" t="str">
        <x:v>61103099</x:v>
      </x:c>
      <x:c r="D237" s="2" t="str">
        <x:v>Bangladesh</x:v>
      </x:c>
      <x:c r="E237" s="16" t="n">
        <x:v>3720743</x:v>
      </x:c>
      <x:c r="F237" s="16" t="n">
        <x:v>293389</x:v>
      </x:c>
      <x:c r="G237" s="2" t="str">
        <x:v>WITHIN_BAND</x:v>
      </x:c>
      <x:c r="H237" s="2" t="n">
        <x:v>1</x:v>
      </x:c>
      <x:c r="I237" s="2" t="n">
        <x:f>IF(AND(COUNTIFS($B$6:$B$797,B237,$C$6:$C$797,C237)=11,COUNTIFS($B$6:$B$797,B237,$C$6:$C$797,C237,$G$6:$G$797,"REVIEW")=0,COUNTIFS($B$6:$B$797,B237,$C$6:$C$797,C237,$H$6:$H$797,1)=11,COUNTIFS($B$6:$B$797,B237,$C$6:$C$797,C237,$F$6:$F$797,"&gt;0")=11),1,0)</x:f>
        <x:v>1</x:v>
      </x:c>
      <x:c r="J237" s="2" t="n">
        <x:f>COUNTIFS($A$6:$A$797,A237)</x:f>
        <x:v>1</x:v>
      </x:c>
    </x:row>
    <x:row r="238" ht="23" customHeight="1">
      <x:c r="A238" s="2" t="str">
        <x:v>61103099_KH_202504_IMPORT</x:v>
      </x:c>
      <x:c r="B238" s="2" t="n">
        <x:v>202504</x:v>
      </x:c>
      <x:c r="C238" s="2" t="str">
        <x:v>61103099</x:v>
      </x:c>
      <x:c r="D238" s="2" t="str">
        <x:v>Cambodia</x:v>
      </x:c>
      <x:c r="E238" s="16" t="n">
        <x:v>3330771</x:v>
      </x:c>
      <x:c r="F238" s="16" t="n">
        <x:v>269036</x:v>
      </x:c>
      <x:c r="G238" s="2" t="str">
        <x:v>WITHIN_BAND</x:v>
      </x:c>
      <x:c r="H238" s="2" t="n">
        <x:v>1</x:v>
      </x:c>
      <x:c r="I238" s="2" t="n">
        <x:f>IF(AND(COUNTIFS($B$6:$B$797,B238,$C$6:$C$797,C238)=11,COUNTIFS($B$6:$B$797,B238,$C$6:$C$797,C238,$G$6:$G$797,"REVIEW")=0,COUNTIFS($B$6:$B$797,B238,$C$6:$C$797,C238,$H$6:$H$797,1)=11,COUNTIFS($B$6:$B$797,B238,$C$6:$C$797,C238,$F$6:$F$797,"&gt;0")=11),1,0)</x:f>
        <x:v>1</x:v>
      </x:c>
      <x:c r="J238" s="2" t="n">
        <x:f>COUNTIFS($A$6:$A$797,A238)</x:f>
        <x:v>1</x:v>
      </x:c>
    </x:row>
    <x:row r="239" ht="23" customHeight="1">
      <x:c r="A239" s="2" t="str">
        <x:v>61103099_CN_202504_IMPORT</x:v>
      </x:c>
      <x:c r="B239" s="2" t="n">
        <x:v>202504</x:v>
      </x:c>
      <x:c r="C239" s="2" t="str">
        <x:v>61103099</x:v>
      </x:c>
      <x:c r="D239" s="2" t="str">
        <x:v>China</x:v>
      </x:c>
      <x:c r="E239" s="16" t="n">
        <x:v>4443136</x:v>
      </x:c>
      <x:c r="F239" s="16" t="n">
        <x:v>223372</x:v>
      </x:c>
      <x:c r="G239" s="2" t="str">
        <x:v>WITHIN_BAND</x:v>
      </x:c>
      <x:c r="H239" s="2" t="n">
        <x:v>1</x:v>
      </x:c>
      <x:c r="I239" s="2" t="n">
        <x:f>IF(AND(COUNTIFS($B$6:$B$797,B239,$C$6:$C$797,C239)=11,COUNTIFS($B$6:$B$797,B239,$C$6:$C$797,C239,$G$6:$G$797,"REVIEW")=0,COUNTIFS($B$6:$B$797,B239,$C$6:$C$797,C239,$H$6:$H$797,1)=11,COUNTIFS($B$6:$B$797,B239,$C$6:$C$797,C239,$F$6:$F$797,"&gt;0")=11),1,0)</x:f>
        <x:v>1</x:v>
      </x:c>
      <x:c r="J239" s="2" t="n">
        <x:f>COUNTIFS($A$6:$A$797,A239)</x:f>
        <x:v>1</x:v>
      </x:c>
    </x:row>
    <x:row r="240" ht="23" customHeight="1">
      <x:c r="A240" s="2" t="str">
        <x:v>61103099_IN_202504_IMPORT</x:v>
      </x:c>
      <x:c r="B240" s="2" t="n">
        <x:v>202504</x:v>
      </x:c>
      <x:c r="C240" s="2" t="str">
        <x:v>61103099</x:v>
      </x:c>
      <x:c r="D240" s="2" t="str">
        <x:v>India</x:v>
      </x:c>
      <x:c r="E240" s="16" t="n">
        <x:v>88853</x:v>
      </x:c>
      <x:c r="F240" s="16" t="n">
        <x:v>6510</x:v>
      </x:c>
      <x:c r="G240" s="2" t="str">
        <x:v>WITHIN_BAND</x:v>
      </x:c>
      <x:c r="H240" s="2" t="n">
        <x:v>1</x:v>
      </x:c>
      <x:c r="I240" s="2" t="n">
        <x:f>IF(AND(COUNTIFS($B$6:$B$797,B240,$C$6:$C$797,C240)=11,COUNTIFS($B$6:$B$797,B240,$C$6:$C$797,C240,$G$6:$G$797,"REVIEW")=0,COUNTIFS($B$6:$B$797,B240,$C$6:$C$797,C240,$H$6:$H$797,1)=11,COUNTIFS($B$6:$B$797,B240,$C$6:$C$797,C240,$F$6:$F$797,"&gt;0")=11),1,0)</x:f>
        <x:v>1</x:v>
      </x:c>
      <x:c r="J240" s="2" t="n">
        <x:f>COUNTIFS($A$6:$A$797,A240)</x:f>
        <x:v>1</x:v>
      </x:c>
    </x:row>
    <x:row r="241" ht="23" customHeight="1">
      <x:c r="A241" s="2" t="str">
        <x:v>61103099_MA_202504_IMPORT</x:v>
      </x:c>
      <x:c r="B241" s="2" t="n">
        <x:v>202504</x:v>
      </x:c>
      <x:c r="C241" s="2" t="str">
        <x:v>61103099</x:v>
      </x:c>
      <x:c r="D241" s="2" t="str">
        <x:v>Morocco</x:v>
      </x:c>
      <x:c r="E241" s="16" t="n">
        <x:v>17091</x:v>
      </x:c>
      <x:c r="F241" s="16" t="n">
        <x:v>1380</x:v>
      </x:c>
      <x:c r="G241" s="2" t="str">
        <x:v>WITHIN_BAND</x:v>
      </x:c>
      <x:c r="H241" s="2" t="n">
        <x:v>1</x:v>
      </x:c>
      <x:c r="I241" s="2" t="n">
        <x:f>IF(AND(COUNTIFS($B$6:$B$797,B241,$C$6:$C$797,C241)=11,COUNTIFS($B$6:$B$797,B241,$C$6:$C$797,C241,$G$6:$G$797,"REVIEW")=0,COUNTIFS($B$6:$B$797,B241,$C$6:$C$797,C241,$H$6:$H$797,1)=11,COUNTIFS($B$6:$B$797,B241,$C$6:$C$797,C241,$F$6:$F$797,"&gt;0")=11),1,0)</x:f>
        <x:v>1</x:v>
      </x:c>
      <x:c r="J241" s="2" t="n">
        <x:f>COUNTIFS($A$6:$A$797,A241)</x:f>
        <x:v>1</x:v>
      </x:c>
    </x:row>
    <x:row r="242" ht="23" customHeight="1">
      <x:c r="A242" s="2" t="str">
        <x:v>61103099_MM_202504_IMPORT</x:v>
      </x:c>
      <x:c r="B242" s="2" t="n">
        <x:v>202504</x:v>
      </x:c>
      <x:c r="C242" s="2" t="str">
        <x:v>61103099</x:v>
      </x:c>
      <x:c r="D242" s="2" t="str">
        <x:v>Myanmar</x:v>
      </x:c>
      <x:c r="E242" s="16" t="n">
        <x:v>56824</x:v>
      </x:c>
      <x:c r="F242" s="16" t="n">
        <x:v>2869</x:v>
      </x:c>
      <x:c r="G242" s="2" t="str">
        <x:v>WITHIN_BAND</x:v>
      </x:c>
      <x:c r="H242" s="2" t="n">
        <x:v>1</x:v>
      </x:c>
      <x:c r="I242" s="2" t="n">
        <x:f>IF(AND(COUNTIFS($B$6:$B$797,B242,$C$6:$C$797,C242)=11,COUNTIFS($B$6:$B$797,B242,$C$6:$C$797,C242,$G$6:$G$797,"REVIEW")=0,COUNTIFS($B$6:$B$797,B242,$C$6:$C$797,C242,$H$6:$H$797,1)=11,COUNTIFS($B$6:$B$797,B242,$C$6:$C$797,C242,$F$6:$F$797,"&gt;0")=11),1,0)</x:f>
        <x:v>1</x:v>
      </x:c>
      <x:c r="J242" s="2" t="n">
        <x:f>COUNTIFS($A$6:$A$797,A242)</x:f>
        <x:v>1</x:v>
      </x:c>
    </x:row>
    <x:row r="243" ht="23" customHeight="1">
      <x:c r="A243" s="2" t="str">
        <x:v>61103099_PK_202504_IMPORT</x:v>
      </x:c>
      <x:c r="B243" s="2" t="n">
        <x:v>202504</x:v>
      </x:c>
      <x:c r="C243" s="2" t="str">
        <x:v>61103099</x:v>
      </x:c>
      <x:c r="D243" s="2" t="str">
        <x:v>Pakistan</x:v>
      </x:c>
      <x:c r="E243" s="16" t="n">
        <x:v>574970</x:v>
      </x:c>
      <x:c r="F243" s="16" t="n">
        <x:v>41373</x:v>
      </x:c>
      <x:c r="G243" s="2" t="str">
        <x:v>WITHIN_BAND</x:v>
      </x:c>
      <x:c r="H243" s="2" t="n">
        <x:v>1</x:v>
      </x:c>
      <x:c r="I243" s="2" t="n">
        <x:f>IF(AND(COUNTIFS($B$6:$B$797,B243,$C$6:$C$797,C243)=11,COUNTIFS($B$6:$B$797,B243,$C$6:$C$797,C243,$G$6:$G$797,"REVIEW")=0,COUNTIFS($B$6:$B$797,B243,$C$6:$C$797,C243,$H$6:$H$797,1)=11,COUNTIFS($B$6:$B$797,B243,$C$6:$C$797,C243,$F$6:$F$797,"&gt;0")=11),1,0)</x:f>
        <x:v>1</x:v>
      </x:c>
      <x:c r="J243" s="2" t="n">
        <x:f>COUNTIFS($A$6:$A$797,A243)</x:f>
        <x:v>1</x:v>
      </x:c>
    </x:row>
    <x:row r="244" ht="23" customHeight="1">
      <x:c r="A244" s="2" t="str">
        <x:v>61103099_LK_202504_IMPORT</x:v>
      </x:c>
      <x:c r="B244" s="2" t="n">
        <x:v>202504</x:v>
      </x:c>
      <x:c r="C244" s="2" t="str">
        <x:v>61103099</x:v>
      </x:c>
      <x:c r="D244" s="2" t="str">
        <x:v>Sri Lanka</x:v>
      </x:c>
      <x:c r="E244" s="16" t="n">
        <x:v>111619</x:v>
      </x:c>
      <x:c r="F244" s="16" t="n">
        <x:v>5891</x:v>
      </x:c>
      <x:c r="G244" s="2" t="str">
        <x:v>WITHIN_BAND</x:v>
      </x:c>
      <x:c r="H244" s="2" t="n">
        <x:v>1</x:v>
      </x:c>
      <x:c r="I244" s="2" t="n">
        <x:f>IF(AND(COUNTIFS($B$6:$B$797,B244,$C$6:$C$797,C244)=11,COUNTIFS($B$6:$B$797,B244,$C$6:$C$797,C244,$G$6:$G$797,"REVIEW")=0,COUNTIFS($B$6:$B$797,B244,$C$6:$C$797,C244,$H$6:$H$797,1)=11,COUNTIFS($B$6:$B$797,B244,$C$6:$C$797,C244,$F$6:$F$797,"&gt;0")=11),1,0)</x:f>
        <x:v>1</x:v>
      </x:c>
      <x:c r="J244" s="2" t="n">
        <x:f>COUNTIFS($A$6:$A$797,A244)</x:f>
        <x:v>1</x:v>
      </x:c>
    </x:row>
    <x:row r="245" ht="23" customHeight="1">
      <x:c r="A245" s="2" t="str">
        <x:v>61103099_TR_202504_IMPORT</x:v>
      </x:c>
      <x:c r="B245" s="2" t="n">
        <x:v>202504</x:v>
      </x:c>
      <x:c r="C245" s="2" t="str">
        <x:v>61103099</x:v>
      </x:c>
      <x:c r="D245" s="2" t="str">
        <x:v>Turkey</x:v>
      </x:c>
      <x:c r="E245" s="16" t="n">
        <x:v>1168634</x:v>
      </x:c>
      <x:c r="F245" s="16" t="n">
        <x:v>51383</x:v>
      </x:c>
      <x:c r="G245" s="2" t="str">
        <x:v>WITHIN_BAND</x:v>
      </x:c>
      <x:c r="H245" s="2" t="n">
        <x:v>1</x:v>
      </x:c>
      <x:c r="I245" s="2" t="n">
        <x:f>IF(AND(COUNTIFS($B$6:$B$797,B245,$C$6:$C$797,C245)=11,COUNTIFS($B$6:$B$797,B245,$C$6:$C$797,C245,$G$6:$G$797,"REVIEW")=0,COUNTIFS($B$6:$B$797,B245,$C$6:$C$797,C245,$H$6:$H$797,1)=11,COUNTIFS($B$6:$B$797,B245,$C$6:$C$797,C245,$F$6:$F$797,"&gt;0")=11),1,0)</x:f>
        <x:v>1</x:v>
      </x:c>
      <x:c r="J245" s="2" t="n">
        <x:f>COUNTIFS($A$6:$A$797,A245)</x:f>
        <x:v>1</x:v>
      </x:c>
    </x:row>
    <x:row r="246" ht="23" customHeight="1">
      <x:c r="A246" s="2" t="str">
        <x:v>61103099_VN_202504_IMPORT</x:v>
      </x:c>
      <x:c r="B246" s="2" t="n">
        <x:v>202504</x:v>
      </x:c>
      <x:c r="C246" s="2" t="str">
        <x:v>61103099</x:v>
      </x:c>
      <x:c r="D246" s="2" t="str">
        <x:v>Vietnam</x:v>
      </x:c>
      <x:c r="E246" s="16" t="n">
        <x:v>309626</x:v>
      </x:c>
      <x:c r="F246" s="16" t="n">
        <x:v>9954</x:v>
      </x:c>
      <x:c r="G246" s="2" t="str">
        <x:v>WITHIN_BAND</x:v>
      </x:c>
      <x:c r="H246" s="2" t="n">
        <x:v>1</x:v>
      </x:c>
      <x:c r="I246" s="2" t="n">
        <x:f>IF(AND(COUNTIFS($B$6:$B$797,B246,$C$6:$C$797,C246)=11,COUNTIFS($B$6:$B$797,B246,$C$6:$C$797,C246,$G$6:$G$797,"REVIEW")=0,COUNTIFS($B$6:$B$797,B246,$C$6:$C$797,C246,$H$6:$H$797,1)=11,COUNTIFS($B$6:$B$797,B246,$C$6:$C$797,C246,$F$6:$F$797,"&gt;0")=11),1,0)</x:f>
        <x:v>1</x:v>
      </x:c>
      <x:c r="J246" s="2" t="n">
        <x:f>COUNTIFS($A$6:$A$797,A246)</x:f>
        <x:v>1</x:v>
      </x:c>
    </x:row>
    <x:row r="247" ht="23" customHeight="1">
      <x:c r="A247" s="2" t="str">
        <x:v>61103099_WORLD_202504_IMPORT</x:v>
      </x:c>
      <x:c r="B247" s="2" t="n">
        <x:v>202504</x:v>
      </x:c>
      <x:c r="C247" s="2" t="str">
        <x:v>61103099</x:v>
      </x:c>
      <x:c r="D247" s="2" t="str">
        <x:v>World</x:v>
      </x:c>
      <x:c r="E247" s="16" t="n">
        <x:v>21378689</x:v>
      </x:c>
      <x:c r="F247" s="16" t="n">
        <x:v>1212120</x:v>
      </x:c>
      <x:c r="G247" s="2" t="str">
        <x:v>WITHIN_BAND</x:v>
      </x:c>
      <x:c r="H247" s="2" t="n">
        <x:v>1</x:v>
      </x:c>
      <x:c r="I247" s="2" t="n">
        <x:f>IF(AND(COUNTIFS($B$6:$B$797,B247,$C$6:$C$797,C247)=11,COUNTIFS($B$6:$B$797,B247,$C$6:$C$797,C247,$G$6:$G$797,"REVIEW")=0,COUNTIFS($B$6:$B$797,B247,$C$6:$C$797,C247,$H$6:$H$797,1)=11,COUNTIFS($B$6:$B$797,B247,$C$6:$C$797,C247,$F$6:$F$797,"&gt;0")=11),1,0)</x:f>
        <x:v>1</x:v>
      </x:c>
      <x:c r="J247" s="2" t="n">
        <x:f>COUNTIFS($A$6:$A$797,A247)</x:f>
        <x:v>1</x:v>
      </x:c>
    </x:row>
    <x:row r="248" ht="23" customHeight="1">
      <x:c r="A248" s="2" t="str">
        <x:v>61103099_BD_202505_IMPORT</x:v>
      </x:c>
      <x:c r="B248" s="2" t="n">
        <x:v>202505</x:v>
      </x:c>
      <x:c r="C248" s="2" t="str">
        <x:v>61103099</x:v>
      </x:c>
      <x:c r="D248" s="2" t="str">
        <x:v>Bangladesh</x:v>
      </x:c>
      <x:c r="E248" s="16" t="n">
        <x:v>5456472</x:v>
      </x:c>
      <x:c r="F248" s="16" t="n">
        <x:v>435917</x:v>
      </x:c>
      <x:c r="G248" s="2" t="str">
        <x:v>WITHIN_BAND</x:v>
      </x:c>
      <x:c r="H248" s="2" t="n">
        <x:v>1</x:v>
      </x:c>
      <x:c r="I248" s="2" t="n">
        <x:f>IF(AND(COUNTIFS($B$6:$B$797,B248,$C$6:$C$797,C248)=11,COUNTIFS($B$6:$B$797,B248,$C$6:$C$797,C248,$G$6:$G$797,"REVIEW")=0,COUNTIFS($B$6:$B$797,B248,$C$6:$C$797,C248,$H$6:$H$797,1)=11,COUNTIFS($B$6:$B$797,B248,$C$6:$C$797,C248,$F$6:$F$797,"&gt;0")=11),1,0)</x:f>
        <x:v>1</x:v>
      </x:c>
      <x:c r="J248" s="2" t="n">
        <x:f>COUNTIFS($A$6:$A$797,A248)</x:f>
        <x:v>1</x:v>
      </x:c>
    </x:row>
    <x:row r="249" ht="23" customHeight="1">
      <x:c r="A249" s="2" t="str">
        <x:v>61103099_KH_202505_IMPORT</x:v>
      </x:c>
      <x:c r="B249" s="2" t="n">
        <x:v>202505</x:v>
      </x:c>
      <x:c r="C249" s="2" t="str">
        <x:v>61103099</x:v>
      </x:c>
      <x:c r="D249" s="2" t="str">
        <x:v>Cambodia</x:v>
      </x:c>
      <x:c r="E249" s="16" t="n">
        <x:v>1891545</x:v>
      </x:c>
      <x:c r="F249" s="16" t="n">
        <x:v>157646</x:v>
      </x:c>
      <x:c r="G249" s="2" t="str">
        <x:v>WITHIN_BAND</x:v>
      </x:c>
      <x:c r="H249" s="2" t="n">
        <x:v>1</x:v>
      </x:c>
      <x:c r="I249" s="2" t="n">
        <x:f>IF(AND(COUNTIFS($B$6:$B$797,B249,$C$6:$C$797,C249)=11,COUNTIFS($B$6:$B$797,B249,$C$6:$C$797,C249,$G$6:$G$797,"REVIEW")=0,COUNTIFS($B$6:$B$797,B249,$C$6:$C$797,C249,$H$6:$H$797,1)=11,COUNTIFS($B$6:$B$797,B249,$C$6:$C$797,C249,$F$6:$F$797,"&gt;0")=11),1,0)</x:f>
        <x:v>1</x:v>
      </x:c>
      <x:c r="J249" s="2" t="n">
        <x:f>COUNTIFS($A$6:$A$797,A249)</x:f>
        <x:v>1</x:v>
      </x:c>
    </x:row>
    <x:row r="250" ht="23" customHeight="1">
      <x:c r="A250" s="2" t="str">
        <x:v>61103099_CN_202505_IMPORT</x:v>
      </x:c>
      <x:c r="B250" s="2" t="n">
        <x:v>202505</x:v>
      </x:c>
      <x:c r="C250" s="2" t="str">
        <x:v>61103099</x:v>
      </x:c>
      <x:c r="D250" s="2" t="str">
        <x:v>China</x:v>
      </x:c>
      <x:c r="E250" s="16" t="n">
        <x:v>3700448</x:v>
      </x:c>
      <x:c r="F250" s="16" t="n">
        <x:v>207042</x:v>
      </x:c>
      <x:c r="G250" s="2" t="str">
        <x:v>WITHIN_BAND</x:v>
      </x:c>
      <x:c r="H250" s="2" t="n">
        <x:v>1</x:v>
      </x:c>
      <x:c r="I250" s="2" t="n">
        <x:f>IF(AND(COUNTIFS($B$6:$B$797,B250,$C$6:$C$797,C250)=11,COUNTIFS($B$6:$B$797,B250,$C$6:$C$797,C250,$G$6:$G$797,"REVIEW")=0,COUNTIFS($B$6:$B$797,B250,$C$6:$C$797,C250,$H$6:$H$797,1)=11,COUNTIFS($B$6:$B$797,B250,$C$6:$C$797,C250,$F$6:$F$797,"&gt;0")=11),1,0)</x:f>
        <x:v>1</x:v>
      </x:c>
      <x:c r="J250" s="2" t="n">
        <x:f>COUNTIFS($A$6:$A$797,A250)</x:f>
        <x:v>1</x:v>
      </x:c>
    </x:row>
    <x:row r="251" ht="23" customHeight="1">
      <x:c r="A251" s="2" t="str">
        <x:v>61103099_IN_202505_IMPORT</x:v>
      </x:c>
      <x:c r="B251" s="2" t="n">
        <x:v>202505</x:v>
      </x:c>
      <x:c r="C251" s="2" t="str">
        <x:v>61103099</x:v>
      </x:c>
      <x:c r="D251" s="2" t="str">
        <x:v>India</x:v>
      </x:c>
      <x:c r="E251" s="16" t="n">
        <x:v>237269</x:v>
      </x:c>
      <x:c r="F251" s="16" t="n">
        <x:v>16041</x:v>
      </x:c>
      <x:c r="G251" s="2" t="str">
        <x:v>WITHIN_BAND</x:v>
      </x:c>
      <x:c r="H251" s="2" t="n">
        <x:v>1</x:v>
      </x:c>
      <x:c r="I251" s="2" t="n">
        <x:f>IF(AND(COUNTIFS($B$6:$B$797,B251,$C$6:$C$797,C251)=11,COUNTIFS($B$6:$B$797,B251,$C$6:$C$797,C251,$G$6:$G$797,"REVIEW")=0,COUNTIFS($B$6:$B$797,B251,$C$6:$C$797,C251,$H$6:$H$797,1)=11,COUNTIFS($B$6:$B$797,B251,$C$6:$C$797,C251,$F$6:$F$797,"&gt;0")=11),1,0)</x:f>
        <x:v>1</x:v>
      </x:c>
      <x:c r="J251" s="2" t="n">
        <x:f>COUNTIFS($A$6:$A$797,A251)</x:f>
        <x:v>1</x:v>
      </x:c>
    </x:row>
    <x:row r="252" ht="23" customHeight="1">
      <x:c r="A252" s="2" t="str">
        <x:v>61103099_MA_202505_IMPORT</x:v>
      </x:c>
      <x:c r="B252" s="2" t="n">
        <x:v>202505</x:v>
      </x:c>
      <x:c r="C252" s="2" t="str">
        <x:v>61103099</x:v>
      </x:c>
      <x:c r="D252" s="2" t="str">
        <x:v>Morocco</x:v>
      </x:c>
      <x:c r="E252" s="16" t="n">
        <x:v>18217</x:v>
      </x:c>
      <x:c r="F252" s="16" t="n">
        <x:v>1239</x:v>
      </x:c>
      <x:c r="G252" s="2" t="str">
        <x:v>WITHIN_BAND</x:v>
      </x:c>
      <x:c r="H252" s="2" t="n">
        <x:v>1</x:v>
      </x:c>
      <x:c r="I252" s="2" t="n">
        <x:f>IF(AND(COUNTIFS($B$6:$B$797,B252,$C$6:$C$797,C252)=11,COUNTIFS($B$6:$B$797,B252,$C$6:$C$797,C252,$G$6:$G$797,"REVIEW")=0,COUNTIFS($B$6:$B$797,B252,$C$6:$C$797,C252,$H$6:$H$797,1)=11,COUNTIFS($B$6:$B$797,B252,$C$6:$C$797,C252,$F$6:$F$797,"&gt;0")=11),1,0)</x:f>
        <x:v>1</x:v>
      </x:c>
      <x:c r="J252" s="2" t="n">
        <x:f>COUNTIFS($A$6:$A$797,A252)</x:f>
        <x:v>1</x:v>
      </x:c>
    </x:row>
    <x:row r="253" ht="23" customHeight="1">
      <x:c r="A253" s="2" t="str">
        <x:v>61103099_MM_202505_IMPORT</x:v>
      </x:c>
      <x:c r="B253" s="2" t="n">
        <x:v>202505</x:v>
      </x:c>
      <x:c r="C253" s="2" t="str">
        <x:v>61103099</x:v>
      </x:c>
      <x:c r="D253" s="2" t="str">
        <x:v>Myanmar</x:v>
      </x:c>
      <x:c r="E253" s="16" t="n">
        <x:v>161453</x:v>
      </x:c>
      <x:c r="F253" s="16" t="n">
        <x:v>8132</x:v>
      </x:c>
      <x:c r="G253" s="2" t="str">
        <x:v>WITHIN_BAND</x:v>
      </x:c>
      <x:c r="H253" s="2" t="n">
        <x:v>1</x:v>
      </x:c>
      <x:c r="I253" s="2" t="n">
        <x:f>IF(AND(COUNTIFS($B$6:$B$797,B253,$C$6:$C$797,C253)=11,COUNTIFS($B$6:$B$797,B253,$C$6:$C$797,C253,$G$6:$G$797,"REVIEW")=0,COUNTIFS($B$6:$B$797,B253,$C$6:$C$797,C253,$H$6:$H$797,1)=11,COUNTIFS($B$6:$B$797,B253,$C$6:$C$797,C253,$F$6:$F$797,"&gt;0")=11),1,0)</x:f>
        <x:v>1</x:v>
      </x:c>
      <x:c r="J253" s="2" t="n">
        <x:f>COUNTIFS($A$6:$A$797,A253)</x:f>
        <x:v>1</x:v>
      </x:c>
    </x:row>
    <x:row r="254" ht="23" customHeight="1">
      <x:c r="A254" s="2" t="str">
        <x:v>61103099_PK_202505_IMPORT</x:v>
      </x:c>
      <x:c r="B254" s="2" t="n">
        <x:v>202505</x:v>
      </x:c>
      <x:c r="C254" s="2" t="str">
        <x:v>61103099</x:v>
      </x:c>
      <x:c r="D254" s="2" t="str">
        <x:v>Pakistan</x:v>
      </x:c>
      <x:c r="E254" s="16" t="n">
        <x:v>468630</x:v>
      </x:c>
      <x:c r="F254" s="16" t="n">
        <x:v>27817</x:v>
      </x:c>
      <x:c r="G254" s="2" t="str">
        <x:v>WITHIN_BAND</x:v>
      </x:c>
      <x:c r="H254" s="2" t="n">
        <x:v>1</x:v>
      </x:c>
      <x:c r="I254" s="2" t="n">
        <x:f>IF(AND(COUNTIFS($B$6:$B$797,B254,$C$6:$C$797,C254)=11,COUNTIFS($B$6:$B$797,B254,$C$6:$C$797,C254,$G$6:$G$797,"REVIEW")=0,COUNTIFS($B$6:$B$797,B254,$C$6:$C$797,C254,$H$6:$H$797,1)=11,COUNTIFS($B$6:$B$797,B254,$C$6:$C$797,C254,$F$6:$F$797,"&gt;0")=11),1,0)</x:f>
        <x:v>1</x:v>
      </x:c>
      <x:c r="J254" s="2" t="n">
        <x:f>COUNTIFS($A$6:$A$797,A254)</x:f>
        <x:v>1</x:v>
      </x:c>
    </x:row>
    <x:row r="255" ht="23" customHeight="1">
      <x:c r="A255" s="2" t="str">
        <x:v>61103099_LK_202505_IMPORT</x:v>
      </x:c>
      <x:c r="B255" s="2" t="n">
        <x:v>202505</x:v>
      </x:c>
      <x:c r="C255" s="2" t="str">
        <x:v>61103099</x:v>
      </x:c>
      <x:c r="D255" s="2" t="str">
        <x:v>Sri Lanka</x:v>
      </x:c>
      <x:c r="E255" s="16" t="n">
        <x:v>61104</x:v>
      </x:c>
      <x:c r="F255" s="16" t="n">
        <x:v>3651</x:v>
      </x:c>
      <x:c r="G255" s="2" t="str">
        <x:v>WITHIN_BAND</x:v>
      </x:c>
      <x:c r="H255" s="2" t="n">
        <x:v>1</x:v>
      </x:c>
      <x:c r="I255" s="2" t="n">
        <x:f>IF(AND(COUNTIFS($B$6:$B$797,B255,$C$6:$C$797,C255)=11,COUNTIFS($B$6:$B$797,B255,$C$6:$C$797,C255,$G$6:$G$797,"REVIEW")=0,COUNTIFS($B$6:$B$797,B255,$C$6:$C$797,C255,$H$6:$H$797,1)=11,COUNTIFS($B$6:$B$797,B255,$C$6:$C$797,C255,$F$6:$F$797,"&gt;0")=11),1,0)</x:f>
        <x:v>1</x:v>
      </x:c>
      <x:c r="J255" s="2" t="n">
        <x:f>COUNTIFS($A$6:$A$797,A255)</x:f>
        <x:v>1</x:v>
      </x:c>
    </x:row>
    <x:row r="256" ht="23" customHeight="1">
      <x:c r="A256" s="2" t="str">
        <x:v>61103099_TR_202505_IMPORT</x:v>
      </x:c>
      <x:c r="B256" s="2" t="n">
        <x:v>202505</x:v>
      </x:c>
      <x:c r="C256" s="2" t="str">
        <x:v>61103099</x:v>
      </x:c>
      <x:c r="D256" s="2" t="str">
        <x:v>Turkey</x:v>
      </x:c>
      <x:c r="E256" s="16" t="n">
        <x:v>2715855</x:v>
      </x:c>
      <x:c r="F256" s="16" t="n">
        <x:v>117056</x:v>
      </x:c>
      <x:c r="G256" s="2" t="str">
        <x:v>WITHIN_BAND</x:v>
      </x:c>
      <x:c r="H256" s="2" t="n">
        <x:v>1</x:v>
      </x:c>
      <x:c r="I256" s="2" t="n">
        <x:f>IF(AND(COUNTIFS($B$6:$B$797,B256,$C$6:$C$797,C256)=11,COUNTIFS($B$6:$B$797,B256,$C$6:$C$797,C256,$G$6:$G$797,"REVIEW")=0,COUNTIFS($B$6:$B$797,B256,$C$6:$C$797,C256,$H$6:$H$797,1)=11,COUNTIFS($B$6:$B$797,B256,$C$6:$C$797,C256,$F$6:$F$797,"&gt;0")=11),1,0)</x:f>
        <x:v>1</x:v>
      </x:c>
      <x:c r="J256" s="2" t="n">
        <x:f>COUNTIFS($A$6:$A$797,A256)</x:f>
        <x:v>1</x:v>
      </x:c>
    </x:row>
    <x:row r="257" ht="23" customHeight="1">
      <x:c r="A257" s="2" t="str">
        <x:v>61103099_VN_202505_IMPORT</x:v>
      </x:c>
      <x:c r="B257" s="2" t="n">
        <x:v>202505</x:v>
      </x:c>
      <x:c r="C257" s="2" t="str">
        <x:v>61103099</x:v>
      </x:c>
      <x:c r="D257" s="2" t="str">
        <x:v>Vietnam</x:v>
      </x:c>
      <x:c r="E257" s="16" t="n">
        <x:v>680217</x:v>
      </x:c>
      <x:c r="F257" s="16" t="n">
        <x:v>18045</x:v>
      </x:c>
      <x:c r="G257" s="2" t="str">
        <x:v>WITHIN_BAND</x:v>
      </x:c>
      <x:c r="H257" s="2" t="n">
        <x:v>1</x:v>
      </x:c>
      <x:c r="I257" s="2" t="n">
        <x:f>IF(AND(COUNTIFS($B$6:$B$797,B257,$C$6:$C$797,C257)=11,COUNTIFS($B$6:$B$797,B257,$C$6:$C$797,C257,$G$6:$G$797,"REVIEW")=0,COUNTIFS($B$6:$B$797,B257,$C$6:$C$797,C257,$H$6:$H$797,1)=11,COUNTIFS($B$6:$B$797,B257,$C$6:$C$797,C257,$F$6:$F$797,"&gt;0")=11),1,0)</x:f>
        <x:v>1</x:v>
      </x:c>
      <x:c r="J257" s="2" t="n">
        <x:f>COUNTIFS($A$6:$A$797,A257)</x:f>
        <x:v>1</x:v>
      </x:c>
    </x:row>
    <x:row r="258" ht="23" customHeight="1">
      <x:c r="A258" s="2" t="str">
        <x:v>61103099_WORLD_202505_IMPORT</x:v>
      </x:c>
      <x:c r="B258" s="2" t="n">
        <x:v>202505</x:v>
      </x:c>
      <x:c r="C258" s="2" t="str">
        <x:v>61103099</x:v>
      </x:c>
      <x:c r="D258" s="2" t="str">
        <x:v>World</x:v>
      </x:c>
      <x:c r="E258" s="16" t="n">
        <x:v>23022069</x:v>
      </x:c>
      <x:c r="F258" s="16" t="n">
        <x:v>1260517</x:v>
      </x:c>
      <x:c r="G258" s="2" t="str">
        <x:v>WITHIN_BAND</x:v>
      </x:c>
      <x:c r="H258" s="2" t="n">
        <x:v>1</x:v>
      </x:c>
      <x:c r="I258" s="2" t="n">
        <x:f>IF(AND(COUNTIFS($B$6:$B$797,B258,$C$6:$C$797,C258)=11,COUNTIFS($B$6:$B$797,B258,$C$6:$C$797,C258,$G$6:$G$797,"REVIEW")=0,COUNTIFS($B$6:$B$797,B258,$C$6:$C$797,C258,$H$6:$H$797,1)=11,COUNTIFS($B$6:$B$797,B258,$C$6:$C$797,C258,$F$6:$F$797,"&gt;0")=11),1,0)</x:f>
        <x:v>1</x:v>
      </x:c>
      <x:c r="J258" s="2" t="n">
        <x:f>COUNTIFS($A$6:$A$797,A258)</x:f>
        <x:v>1</x:v>
      </x:c>
    </x:row>
    <x:row r="259" ht="23" customHeight="1">
      <x:c r="A259" s="2" t="str">
        <x:v>61103099_BD_202506_IMPORT</x:v>
      </x:c>
      <x:c r="B259" s="2" t="n">
        <x:v>202506</x:v>
      </x:c>
      <x:c r="C259" s="2" t="str">
        <x:v>61103099</x:v>
      </x:c>
      <x:c r="D259" s="2" t="str">
        <x:v>Bangladesh</x:v>
      </x:c>
      <x:c r="E259" s="16" t="n">
        <x:v>9270715</x:v>
      </x:c>
      <x:c r="F259" s="16" t="n">
        <x:v>739072</x:v>
      </x:c>
      <x:c r="G259" s="2" t="str">
        <x:v>WITHIN_BAND</x:v>
      </x:c>
      <x:c r="H259" s="2" t="n">
        <x:v>1</x:v>
      </x:c>
      <x:c r="I259" s="2" t="n">
        <x:f>IF(AND(COUNTIFS($B$6:$B$797,B259,$C$6:$C$797,C259)=11,COUNTIFS($B$6:$B$797,B259,$C$6:$C$797,C259,$G$6:$G$797,"REVIEW")=0,COUNTIFS($B$6:$B$797,B259,$C$6:$C$797,C259,$H$6:$H$797,1)=11,COUNTIFS($B$6:$B$797,B259,$C$6:$C$797,C259,$F$6:$F$797,"&gt;0")=11),1,0)</x:f>
        <x:v>1</x:v>
      </x:c>
      <x:c r="J259" s="2" t="n">
        <x:f>COUNTIFS($A$6:$A$797,A259)</x:f>
        <x:v>1</x:v>
      </x:c>
    </x:row>
    <x:row r="260" ht="23" customHeight="1">
      <x:c r="A260" s="2" t="str">
        <x:v>61103099_KH_202506_IMPORT</x:v>
      </x:c>
      <x:c r="B260" s="2" t="n">
        <x:v>202506</x:v>
      </x:c>
      <x:c r="C260" s="2" t="str">
        <x:v>61103099</x:v>
      </x:c>
      <x:c r="D260" s="2" t="str">
        <x:v>Cambodia</x:v>
      </x:c>
      <x:c r="E260" s="16" t="n">
        <x:v>6495396</x:v>
      </x:c>
      <x:c r="F260" s="16" t="n">
        <x:v>590275</x:v>
      </x:c>
      <x:c r="G260" s="2" t="str">
        <x:v>WITHIN_BAND</x:v>
      </x:c>
      <x:c r="H260" s="2" t="n">
        <x:v>1</x:v>
      </x:c>
      <x:c r="I260" s="2" t="n">
        <x:f>IF(AND(COUNTIFS($B$6:$B$797,B260,$C$6:$C$797,C260)=11,COUNTIFS($B$6:$B$797,B260,$C$6:$C$797,C260,$G$6:$G$797,"REVIEW")=0,COUNTIFS($B$6:$B$797,B260,$C$6:$C$797,C260,$H$6:$H$797,1)=11,COUNTIFS($B$6:$B$797,B260,$C$6:$C$797,C260,$F$6:$F$797,"&gt;0")=11),1,0)</x:f>
        <x:v>1</x:v>
      </x:c>
      <x:c r="J260" s="2" t="n">
        <x:f>COUNTIFS($A$6:$A$797,A260)</x:f>
        <x:v>1</x:v>
      </x:c>
    </x:row>
    <x:row r="261" ht="23" customHeight="1">
      <x:c r="A261" s="2" t="str">
        <x:v>61103099_CN_202506_IMPORT</x:v>
      </x:c>
      <x:c r="B261" s="2" t="n">
        <x:v>202506</x:v>
      </x:c>
      <x:c r="C261" s="2" t="str">
        <x:v>61103099</x:v>
      </x:c>
      <x:c r="D261" s="2" t="str">
        <x:v>China</x:v>
      </x:c>
      <x:c r="E261" s="16" t="n">
        <x:v>8044558</x:v>
      </x:c>
      <x:c r="F261" s="16" t="n">
        <x:v>540943</x:v>
      </x:c>
      <x:c r="G261" s="2" t="str">
        <x:v>WITHIN_BAND</x:v>
      </x:c>
      <x:c r="H261" s="2" t="n">
        <x:v>1</x:v>
      </x:c>
      <x:c r="I261" s="2" t="n">
        <x:f>IF(AND(COUNTIFS($B$6:$B$797,B261,$C$6:$C$797,C261)=11,COUNTIFS($B$6:$B$797,B261,$C$6:$C$797,C261,$G$6:$G$797,"REVIEW")=0,COUNTIFS($B$6:$B$797,B261,$C$6:$C$797,C261,$H$6:$H$797,1)=11,COUNTIFS($B$6:$B$797,B261,$C$6:$C$797,C261,$F$6:$F$797,"&gt;0")=11),1,0)</x:f>
        <x:v>1</x:v>
      </x:c>
      <x:c r="J261" s="2" t="n">
        <x:f>COUNTIFS($A$6:$A$797,A261)</x:f>
        <x:v>1</x:v>
      </x:c>
    </x:row>
    <x:row r="262" ht="23" customHeight="1">
      <x:c r="A262" s="2" t="str">
        <x:v>61103099_IN_202506_IMPORT</x:v>
      </x:c>
      <x:c r="B262" s="2" t="n">
        <x:v>202506</x:v>
      </x:c>
      <x:c r="C262" s="2" t="str">
        <x:v>61103099</x:v>
      </x:c>
      <x:c r="D262" s="2" t="str">
        <x:v>India</x:v>
      </x:c>
      <x:c r="E262" s="16" t="n">
        <x:v>149523</x:v>
      </x:c>
      <x:c r="F262" s="16" t="n">
        <x:v>8873</x:v>
      </x:c>
      <x:c r="G262" s="2" t="str">
        <x:v>WITHIN_BAND</x:v>
      </x:c>
      <x:c r="H262" s="2" t="n">
        <x:v>1</x:v>
      </x:c>
      <x:c r="I262" s="2" t="n">
        <x:f>IF(AND(COUNTIFS($B$6:$B$797,B262,$C$6:$C$797,C262)=11,COUNTIFS($B$6:$B$797,B262,$C$6:$C$797,C262,$G$6:$G$797,"REVIEW")=0,COUNTIFS($B$6:$B$797,B262,$C$6:$C$797,C262,$H$6:$H$797,1)=11,COUNTIFS($B$6:$B$797,B262,$C$6:$C$797,C262,$F$6:$F$797,"&gt;0")=11),1,0)</x:f>
        <x:v>1</x:v>
      </x:c>
      <x:c r="J262" s="2" t="n">
        <x:f>COUNTIFS($A$6:$A$797,A262)</x:f>
        <x:v>1</x:v>
      </x:c>
    </x:row>
    <x:row r="263" ht="23" customHeight="1">
      <x:c r="A263" s="2" t="str">
        <x:v>61103099_MA_202506_IMPORT</x:v>
      </x:c>
      <x:c r="B263" s="2" t="n">
        <x:v>202506</x:v>
      </x:c>
      <x:c r="C263" s="2" t="str">
        <x:v>61103099</x:v>
      </x:c>
      <x:c r="D263" s="2" t="str">
        <x:v>Morocco</x:v>
      </x:c>
      <x:c r="E263" s="16" t="n">
        <x:v>71895</x:v>
      </x:c>
      <x:c r="F263" s="16" t="n">
        <x:v>3800</x:v>
      </x:c>
      <x:c r="G263" s="2" t="str">
        <x:v>WITHIN_BAND</x:v>
      </x:c>
      <x:c r="H263" s="2" t="n">
        <x:v>1</x:v>
      </x:c>
      <x:c r="I263" s="2" t="n">
        <x:f>IF(AND(COUNTIFS($B$6:$B$797,B263,$C$6:$C$797,C263)=11,COUNTIFS($B$6:$B$797,B263,$C$6:$C$797,C263,$G$6:$G$797,"REVIEW")=0,COUNTIFS($B$6:$B$797,B263,$C$6:$C$797,C263,$H$6:$H$797,1)=11,COUNTIFS($B$6:$B$797,B263,$C$6:$C$797,C263,$F$6:$F$797,"&gt;0")=11),1,0)</x:f>
        <x:v>1</x:v>
      </x:c>
      <x:c r="J263" s="2" t="n">
        <x:f>COUNTIFS($A$6:$A$797,A263)</x:f>
        <x:v>1</x:v>
      </x:c>
    </x:row>
    <x:row r="264" ht="23" customHeight="1">
      <x:c r="A264" s="2" t="str">
        <x:v>61103099_MM_202506_IMPORT</x:v>
      </x:c>
      <x:c r="B264" s="2" t="n">
        <x:v>202506</x:v>
      </x:c>
      <x:c r="C264" s="2" t="str">
        <x:v>61103099</x:v>
      </x:c>
      <x:c r="D264" s="2" t="str">
        <x:v>Myanmar</x:v>
      </x:c>
      <x:c r="E264" s="16" t="n">
        <x:v>69478</x:v>
      </x:c>
      <x:c r="F264" s="16" t="n">
        <x:v>4305</x:v>
      </x:c>
      <x:c r="G264" s="2" t="str">
        <x:v>WITHIN_BAND</x:v>
      </x:c>
      <x:c r="H264" s="2" t="n">
        <x:v>1</x:v>
      </x:c>
      <x:c r="I264" s="2" t="n">
        <x:f>IF(AND(COUNTIFS($B$6:$B$797,B264,$C$6:$C$797,C264)=11,COUNTIFS($B$6:$B$797,B264,$C$6:$C$797,C264,$G$6:$G$797,"REVIEW")=0,COUNTIFS($B$6:$B$797,B264,$C$6:$C$797,C264,$H$6:$H$797,1)=11,COUNTIFS($B$6:$B$797,B264,$C$6:$C$797,C264,$F$6:$F$797,"&gt;0")=11),1,0)</x:f>
        <x:v>1</x:v>
      </x:c>
      <x:c r="J264" s="2" t="n">
        <x:f>COUNTIFS($A$6:$A$797,A264)</x:f>
        <x:v>1</x:v>
      </x:c>
    </x:row>
    <x:row r="265" ht="23" customHeight="1">
      <x:c r="A265" s="2" t="str">
        <x:v>61103099_PK_202506_IMPORT</x:v>
      </x:c>
      <x:c r="B265" s="2" t="n">
        <x:v>202506</x:v>
      </x:c>
      <x:c r="C265" s="2" t="str">
        <x:v>61103099</x:v>
      </x:c>
      <x:c r="D265" s="2" t="str">
        <x:v>Pakistan</x:v>
      </x:c>
      <x:c r="E265" s="16" t="n">
        <x:v>232253</x:v>
      </x:c>
      <x:c r="F265" s="16" t="n">
        <x:v>18731</x:v>
      </x:c>
      <x:c r="G265" s="2" t="str">
        <x:v>WITHIN_BAND</x:v>
      </x:c>
      <x:c r="H265" s="2" t="n">
        <x:v>1</x:v>
      </x:c>
      <x:c r="I265" s="2" t="n">
        <x:f>IF(AND(COUNTIFS($B$6:$B$797,B265,$C$6:$C$797,C265)=11,COUNTIFS($B$6:$B$797,B265,$C$6:$C$797,C265,$G$6:$G$797,"REVIEW")=0,COUNTIFS($B$6:$B$797,B265,$C$6:$C$797,C265,$H$6:$H$797,1)=11,COUNTIFS($B$6:$B$797,B265,$C$6:$C$797,C265,$F$6:$F$797,"&gt;0")=11),1,0)</x:f>
        <x:v>1</x:v>
      </x:c>
      <x:c r="J265" s="2" t="n">
        <x:f>COUNTIFS($A$6:$A$797,A265)</x:f>
        <x:v>1</x:v>
      </x:c>
    </x:row>
    <x:row r="266" ht="23" customHeight="1">
      <x:c r="A266" s="2" t="str">
        <x:v>61103099_LK_202506_IMPORT</x:v>
      </x:c>
      <x:c r="B266" s="2" t="n">
        <x:v>202506</x:v>
      </x:c>
      <x:c r="C266" s="2" t="str">
        <x:v>61103099</x:v>
      </x:c>
      <x:c r="D266" s="2" t="str">
        <x:v>Sri Lanka</x:v>
      </x:c>
      <x:c r="E266" s="16" t="n">
        <x:v>77517</x:v>
      </x:c>
      <x:c r="F266" s="16" t="n">
        <x:v>4501</x:v>
      </x:c>
      <x:c r="G266" s="2" t="str">
        <x:v>WITHIN_BAND</x:v>
      </x:c>
      <x:c r="H266" s="2" t="n">
        <x:v>1</x:v>
      </x:c>
      <x:c r="I266" s="2" t="n">
        <x:f>IF(AND(COUNTIFS($B$6:$B$797,B266,$C$6:$C$797,C266)=11,COUNTIFS($B$6:$B$797,B266,$C$6:$C$797,C266,$G$6:$G$797,"REVIEW")=0,COUNTIFS($B$6:$B$797,B266,$C$6:$C$797,C266,$H$6:$H$797,1)=11,COUNTIFS($B$6:$B$797,B266,$C$6:$C$797,C266,$F$6:$F$797,"&gt;0")=11),1,0)</x:f>
        <x:v>1</x:v>
      </x:c>
      <x:c r="J266" s="2" t="n">
        <x:f>COUNTIFS($A$6:$A$797,A266)</x:f>
        <x:v>1</x:v>
      </x:c>
    </x:row>
    <x:row r="267" ht="23" customHeight="1">
      <x:c r="A267" s="2" t="str">
        <x:v>61103099_TR_202506_IMPORT</x:v>
      </x:c>
      <x:c r="B267" s="2" t="n">
        <x:v>202506</x:v>
      </x:c>
      <x:c r="C267" s="2" t="str">
        <x:v>61103099</x:v>
      </x:c>
      <x:c r="D267" s="2" t="str">
        <x:v>Turkey</x:v>
      </x:c>
      <x:c r="E267" s="16" t="n">
        <x:v>3177465</x:v>
      </x:c>
      <x:c r="F267" s="16" t="n">
        <x:v>192015</x:v>
      </x:c>
      <x:c r="G267" s="2" t="str">
        <x:v>WITHIN_BAND</x:v>
      </x:c>
      <x:c r="H267" s="2" t="n">
        <x:v>1</x:v>
      </x:c>
      <x:c r="I267" s="2" t="n">
        <x:f>IF(AND(COUNTIFS($B$6:$B$797,B267,$C$6:$C$797,C267)=11,COUNTIFS($B$6:$B$797,B267,$C$6:$C$797,C267,$G$6:$G$797,"REVIEW")=0,COUNTIFS($B$6:$B$797,B267,$C$6:$C$797,C267,$H$6:$H$797,1)=11,COUNTIFS($B$6:$B$797,B267,$C$6:$C$797,C267,$F$6:$F$797,"&gt;0")=11),1,0)</x:f>
        <x:v>1</x:v>
      </x:c>
      <x:c r="J267" s="2" t="n">
        <x:f>COUNTIFS($A$6:$A$797,A267)</x:f>
        <x:v>1</x:v>
      </x:c>
    </x:row>
    <x:row r="268" ht="23" customHeight="1">
      <x:c r="A268" s="2" t="str">
        <x:v>61103099_VN_202506_IMPORT</x:v>
      </x:c>
      <x:c r="B268" s="2" t="n">
        <x:v>202506</x:v>
      </x:c>
      <x:c r="C268" s="2" t="str">
        <x:v>61103099</x:v>
      </x:c>
      <x:c r="D268" s="2" t="str">
        <x:v>Vietnam</x:v>
      </x:c>
      <x:c r="E268" s="16" t="n">
        <x:v>1263945</x:v>
      </x:c>
      <x:c r="F268" s="16" t="n">
        <x:v>50918</x:v>
      </x:c>
      <x:c r="G268" s="2" t="str">
        <x:v>WITHIN_BAND</x:v>
      </x:c>
      <x:c r="H268" s="2" t="n">
        <x:v>1</x:v>
      </x:c>
      <x:c r="I268" s="2" t="n">
        <x:f>IF(AND(COUNTIFS($B$6:$B$797,B268,$C$6:$C$797,C268)=11,COUNTIFS($B$6:$B$797,B268,$C$6:$C$797,C268,$G$6:$G$797,"REVIEW")=0,COUNTIFS($B$6:$B$797,B268,$C$6:$C$797,C268,$H$6:$H$797,1)=11,COUNTIFS($B$6:$B$797,B268,$C$6:$C$797,C268,$F$6:$F$797,"&gt;0")=11),1,0)</x:f>
        <x:v>1</x:v>
      </x:c>
      <x:c r="J268" s="2" t="n">
        <x:f>COUNTIFS($A$6:$A$797,A268)</x:f>
        <x:v>1</x:v>
      </x:c>
    </x:row>
    <x:row r="269" ht="23" customHeight="1">
      <x:c r="A269" s="2" t="str">
        <x:v>61103099_WORLD_202506_IMPORT</x:v>
      </x:c>
      <x:c r="B269" s="2" t="n">
        <x:v>202506</x:v>
      </x:c>
      <x:c r="C269" s="2" t="str">
        <x:v>61103099</x:v>
      </x:c>
      <x:c r="D269" s="2" t="str">
        <x:v>World</x:v>
      </x:c>
      <x:c r="E269" s="16" t="n">
        <x:v>35066860</x:v>
      </x:c>
      <x:c r="F269" s="16" t="n">
        <x:v>2364969</x:v>
      </x:c>
      <x:c r="G269" s="2" t="str">
        <x:v>WITHIN_BAND</x:v>
      </x:c>
      <x:c r="H269" s="2" t="n">
        <x:v>1</x:v>
      </x:c>
      <x:c r="I269" s="2" t="n">
        <x:f>IF(AND(COUNTIFS($B$6:$B$797,B269,$C$6:$C$797,C269)=11,COUNTIFS($B$6:$B$797,B269,$C$6:$C$797,C269,$G$6:$G$797,"REVIEW")=0,COUNTIFS($B$6:$B$797,B269,$C$6:$C$797,C269,$H$6:$H$797,1)=11,COUNTIFS($B$6:$B$797,B269,$C$6:$C$797,C269,$F$6:$F$797,"&gt;0")=11),1,0)</x:f>
        <x:v>1</x:v>
      </x:c>
      <x:c r="J269" s="2" t="n">
        <x:f>COUNTIFS($A$6:$A$797,A269)</x:f>
        <x:v>1</x:v>
      </x:c>
    </x:row>
    <x:row r="270" ht="23" customHeight="1">
      <x:c r="A270" s="2" t="str">
        <x:v>61103099_BD_202507_IMPORT</x:v>
      </x:c>
      <x:c r="B270" s="2" t="n">
        <x:v>202507</x:v>
      </x:c>
      <x:c r="C270" s="2" t="str">
        <x:v>61103099</x:v>
      </x:c>
      <x:c r="D270" s="2" t="str">
        <x:v>Bangladesh</x:v>
      </x:c>
      <x:c r="E270" s="16" t="n">
        <x:v>18364149</x:v>
      </x:c>
      <x:c r="F270" s="16" t="n">
        <x:v>1278474</x:v>
      </x:c>
      <x:c r="G270" s="2" t="str">
        <x:v>WITHIN_BAND</x:v>
      </x:c>
      <x:c r="H270" s="2" t="n">
        <x:v>1</x:v>
      </x:c>
      <x:c r="I270" s="2" t="n">
        <x:f>IF(AND(COUNTIFS($B$6:$B$797,B270,$C$6:$C$797,C270)=11,COUNTIFS($B$6:$B$797,B270,$C$6:$C$797,C270,$G$6:$G$797,"REVIEW")=0,COUNTIFS($B$6:$B$797,B270,$C$6:$C$797,C270,$H$6:$H$797,1)=11,COUNTIFS($B$6:$B$797,B270,$C$6:$C$797,C270,$F$6:$F$797,"&gt;0")=11),1,0)</x:f>
        <x:v>0</x:v>
      </x:c>
      <x:c r="J270" s="2" t="n">
        <x:f>COUNTIFS($A$6:$A$797,A270)</x:f>
        <x:v>1</x:v>
      </x:c>
    </x:row>
    <x:row r="271" ht="23" customHeight="1">
      <x:c r="A271" s="2" t="str">
        <x:v>61103099_KH_202507_IMPORT</x:v>
      </x:c>
      <x:c r="B271" s="2" t="n">
        <x:v>202507</x:v>
      </x:c>
      <x:c r="C271" s="2" t="str">
        <x:v>61103099</x:v>
      </x:c>
      <x:c r="D271" s="2" t="str">
        <x:v>Cambodia</x:v>
      </x:c>
      <x:c r="E271" s="16" t="n">
        <x:v>6953899</x:v>
      </x:c>
      <x:c r="F271" s="16" t="n">
        <x:v>690995</x:v>
      </x:c>
      <x:c r="G271" s="2" t="str">
        <x:v>WITHIN_BAND</x:v>
      </x:c>
      <x:c r="H271" s="2" t="n">
        <x:v>1</x:v>
      </x:c>
      <x:c r="I271" s="2" t="n">
        <x:f>IF(AND(COUNTIFS($B$6:$B$797,B271,$C$6:$C$797,C271)=11,COUNTIFS($B$6:$B$797,B271,$C$6:$C$797,C271,$G$6:$G$797,"REVIEW")=0,COUNTIFS($B$6:$B$797,B271,$C$6:$C$797,C271,$H$6:$H$797,1)=11,COUNTIFS($B$6:$B$797,B271,$C$6:$C$797,C271,$F$6:$F$797,"&gt;0")=11),1,0)</x:f>
        <x:v>0</x:v>
      </x:c>
      <x:c r="J271" s="2" t="n">
        <x:f>COUNTIFS($A$6:$A$797,A271)</x:f>
        <x:v>1</x:v>
      </x:c>
    </x:row>
    <x:row r="272" ht="23" customHeight="1">
      <x:c r="A272" s="2" t="str">
        <x:v>61103099_CN_202507_IMPORT</x:v>
      </x:c>
      <x:c r="B272" s="2" t="n">
        <x:v>202507</x:v>
      </x:c>
      <x:c r="C272" s="2" t="str">
        <x:v>61103099</x:v>
      </x:c>
      <x:c r="D272" s="2" t="str">
        <x:v>China</x:v>
      </x:c>
      <x:c r="E272" s="16" t="n">
        <x:v>23065185</x:v>
      </x:c>
      <x:c r="F272" s="16" t="n">
        <x:v>1682750</x:v>
      </x:c>
      <x:c r="G272" s="2" t="str">
        <x:v>WITHIN_BAND</x:v>
      </x:c>
      <x:c r="H272" s="2" t="n">
        <x:v>1</x:v>
      </x:c>
      <x:c r="I272" s="2" t="n">
        <x:f>IF(AND(COUNTIFS($B$6:$B$797,B272,$C$6:$C$797,C272)=11,COUNTIFS($B$6:$B$797,B272,$C$6:$C$797,C272,$G$6:$G$797,"REVIEW")=0,COUNTIFS($B$6:$B$797,B272,$C$6:$C$797,C272,$H$6:$H$797,1)=11,COUNTIFS($B$6:$B$797,B272,$C$6:$C$797,C272,$F$6:$F$797,"&gt;0")=11),1,0)</x:f>
        <x:v>0</x:v>
      </x:c>
      <x:c r="J272" s="2" t="n">
        <x:f>COUNTIFS($A$6:$A$797,A272)</x:f>
        <x:v>1</x:v>
      </x:c>
    </x:row>
    <x:row r="273" ht="23" customHeight="1">
      <x:c r="A273" s="2" t="str">
        <x:v>61103099_IN_202507_IMPORT</x:v>
      </x:c>
      <x:c r="B273" s="2" t="n">
        <x:v>202507</x:v>
      </x:c>
      <x:c r="C273" s="2" t="str">
        <x:v>61103099</x:v>
      </x:c>
      <x:c r="D273" s="2" t="str">
        <x:v>India</x:v>
      </x:c>
      <x:c r="E273" s="16" t="n">
        <x:v>201411</x:v>
      </x:c>
      <x:c r="F273" s="16" t="n">
        <x:v>12424</x:v>
      </x:c>
      <x:c r="G273" s="2" t="str">
        <x:v>WITHIN_BAND</x:v>
      </x:c>
      <x:c r="H273" s="2" t="n">
        <x:v>1</x:v>
      </x:c>
      <x:c r="I273" s="2" t="n">
        <x:f>IF(AND(COUNTIFS($B$6:$B$797,B273,$C$6:$C$797,C273)=11,COUNTIFS($B$6:$B$797,B273,$C$6:$C$797,C273,$G$6:$G$797,"REVIEW")=0,COUNTIFS($B$6:$B$797,B273,$C$6:$C$797,C273,$H$6:$H$797,1)=11,COUNTIFS($B$6:$B$797,B273,$C$6:$C$797,C273,$F$6:$F$797,"&gt;0")=11),1,0)</x:f>
        <x:v>0</x:v>
      </x:c>
      <x:c r="J273" s="2" t="n">
        <x:f>COUNTIFS($A$6:$A$797,A273)</x:f>
        <x:v>1</x:v>
      </x:c>
    </x:row>
    <x:row r="274" ht="23" customHeight="1">
      <x:c r="A274" s="2" t="str">
        <x:v>61103099_MA_202507_IMPORT</x:v>
      </x:c>
      <x:c r="B274" s="2" t="n">
        <x:v>202507</x:v>
      </x:c>
      <x:c r="C274" s="2" t="str">
        <x:v>61103099</x:v>
      </x:c>
      <x:c r="D274" s="2" t="str">
        <x:v>Morocco</x:v>
      </x:c>
      <x:c r="E274" s="16" t="n">
        <x:v>25985</x:v>
      </x:c>
      <x:c r="F274" s="16" t="n">
        <x:v>897</x:v>
      </x:c>
      <x:c r="G274" s="2" t="str">
        <x:v>WITHIN_BAND</x:v>
      </x:c>
      <x:c r="H274" s="2" t="n">
        <x:v>1</x:v>
      </x:c>
      <x:c r="I274" s="2" t="n">
        <x:f>IF(AND(COUNTIFS($B$6:$B$797,B274,$C$6:$C$797,C274)=11,COUNTIFS($B$6:$B$797,B274,$C$6:$C$797,C274,$G$6:$G$797,"REVIEW")=0,COUNTIFS($B$6:$B$797,B274,$C$6:$C$797,C274,$H$6:$H$797,1)=11,COUNTIFS($B$6:$B$797,B274,$C$6:$C$797,C274,$F$6:$F$797,"&gt;0")=11),1,0)</x:f>
        <x:v>0</x:v>
      </x:c>
      <x:c r="J274" s="2" t="n">
        <x:f>COUNTIFS($A$6:$A$797,A274)</x:f>
        <x:v>1</x:v>
      </x:c>
    </x:row>
    <x:row r="275" ht="23" customHeight="1">
      <x:c r="A275" s="2" t="str">
        <x:v>61103099_MM_202507_IMPORT</x:v>
      </x:c>
      <x:c r="B275" s="2" t="n">
        <x:v>202507</x:v>
      </x:c>
      <x:c r="C275" s="2" t="str">
        <x:v>61103099</x:v>
      </x:c>
      <x:c r="D275" s="2" t="str">
        <x:v>Myanmar</x:v>
      </x:c>
      <x:c r="E275" s="16" t="n">
        <x:v>894673</x:v>
      </x:c>
      <x:c r="F275" s="16" t="n">
        <x:v>57570</x:v>
      </x:c>
      <x:c r="G275" s="2" t="str">
        <x:v>WITHIN_BAND</x:v>
      </x:c>
      <x:c r="H275" s="2" t="n">
        <x:v>1</x:v>
      </x:c>
      <x:c r="I275" s="2" t="n">
        <x:f>IF(AND(COUNTIFS($B$6:$B$797,B275,$C$6:$C$797,C275)=11,COUNTIFS($B$6:$B$797,B275,$C$6:$C$797,C275,$G$6:$G$797,"REVIEW")=0,COUNTIFS($B$6:$B$797,B275,$C$6:$C$797,C275,$H$6:$H$797,1)=11,COUNTIFS($B$6:$B$797,B275,$C$6:$C$797,C275,$F$6:$F$797,"&gt;0")=11),1,0)</x:f>
        <x:v>0</x:v>
      </x:c>
      <x:c r="J275" s="2" t="n">
        <x:f>COUNTIFS($A$6:$A$797,A275)</x:f>
        <x:v>1</x:v>
      </x:c>
    </x:row>
    <x:row r="276" ht="23" customHeight="1">
      <x:c r="A276" s="2" t="str">
        <x:v>61103099_PK_202507_IMPORT</x:v>
      </x:c>
      <x:c r="B276" s="2" t="n">
        <x:v>202507</x:v>
      </x:c>
      <x:c r="C276" s="2" t="str">
        <x:v>61103099</x:v>
      </x:c>
      <x:c r="D276" s="2" t="str">
        <x:v>Pakistan</x:v>
      </x:c>
      <x:c r="E276" s="16" t="n">
        <x:v>400007</x:v>
      </x:c>
      <x:c r="F276" s="16" t="n">
        <x:v>22916</x:v>
      </x:c>
      <x:c r="G276" s="2" t="str">
        <x:v>WITHIN_BAND</x:v>
      </x:c>
      <x:c r="H276" s="2" t="n">
        <x:v>1</x:v>
      </x:c>
      <x:c r="I276" s="2" t="n">
        <x:f>IF(AND(COUNTIFS($B$6:$B$797,B276,$C$6:$C$797,C276)=11,COUNTIFS($B$6:$B$797,B276,$C$6:$C$797,C276,$G$6:$G$797,"REVIEW")=0,COUNTIFS($B$6:$B$797,B276,$C$6:$C$797,C276,$H$6:$H$797,1)=11,COUNTIFS($B$6:$B$797,B276,$C$6:$C$797,C276,$F$6:$F$797,"&gt;0")=11),1,0)</x:f>
        <x:v>0</x:v>
      </x:c>
      <x:c r="J276" s="2" t="n">
        <x:f>COUNTIFS($A$6:$A$797,A276)</x:f>
        <x:v>1</x:v>
      </x:c>
    </x:row>
    <x:row r="277" ht="23" customHeight="1">
      <x:c r="A277" s="2" t="str">
        <x:v>61103099_LK_202507_IMPORT</x:v>
      </x:c>
      <x:c r="B277" s="2" t="n">
        <x:v>202507</x:v>
      </x:c>
      <x:c r="C277" s="2" t="str">
        <x:v>61103099</x:v>
      </x:c>
      <x:c r="D277" s="2" t="str">
        <x:v>Sri Lanka</x:v>
      </x:c>
      <x:c r="E277" s="16" t="n">
        <x:v>395210</x:v>
      </x:c>
      <x:c r="F277" s="16" t="n">
        <x:v>23898</x:v>
      </x:c>
      <x:c r="G277" s="2" t="str">
        <x:v>WITHIN_BAND</x:v>
      </x:c>
      <x:c r="H277" s="2" t="n">
        <x:v>1</x:v>
      </x:c>
      <x:c r="I277" s="2" t="n">
        <x:f>IF(AND(COUNTIFS($B$6:$B$797,B277,$C$6:$C$797,C277)=11,COUNTIFS($B$6:$B$797,B277,$C$6:$C$797,C277,$G$6:$G$797,"REVIEW")=0,COUNTIFS($B$6:$B$797,B277,$C$6:$C$797,C277,$H$6:$H$797,1)=11,COUNTIFS($B$6:$B$797,B277,$C$6:$C$797,C277,$F$6:$F$797,"&gt;0")=11),1,0)</x:f>
        <x:v>0</x:v>
      </x:c>
      <x:c r="J277" s="2" t="n">
        <x:f>COUNTIFS($A$6:$A$797,A277)</x:f>
        <x:v>1</x:v>
      </x:c>
    </x:row>
    <x:row r="278" ht="23" customHeight="1">
      <x:c r="A278" s="2" t="str">
        <x:v>61103099_TR_202507_IMPORT</x:v>
      </x:c>
      <x:c r="B278" s="2" t="n">
        <x:v>202507</x:v>
      </x:c>
      <x:c r="C278" s="2" t="str">
        <x:v>61103099</x:v>
      </x:c>
      <x:c r="D278" s="2" t="str">
        <x:v>Turkey</x:v>
      </x:c>
      <x:c r="E278" s="16" t="n">
        <x:v>3433516</x:v>
      </x:c>
      <x:c r="F278" s="16" t="n">
        <x:v>2758582</x:v>
      </x:c>
      <x:c r="G278" s="2" t="str">
        <x:v>REVIEW</x:v>
      </x:c>
      <x:c r="H278" s="2" t="n">
        <x:v>1</x:v>
      </x:c>
      <x:c r="I278" s="2" t="n">
        <x:f>IF(AND(COUNTIFS($B$6:$B$797,B278,$C$6:$C$797,C278)=11,COUNTIFS($B$6:$B$797,B278,$C$6:$C$797,C278,$G$6:$G$797,"REVIEW")=0,COUNTIFS($B$6:$B$797,B278,$C$6:$C$797,C278,$H$6:$H$797,1)=11,COUNTIFS($B$6:$B$797,B278,$C$6:$C$797,C278,$F$6:$F$797,"&gt;0")=11),1,0)</x:f>
        <x:v>0</x:v>
      </x:c>
      <x:c r="J278" s="2" t="n">
        <x:f>COUNTIFS($A$6:$A$797,A278)</x:f>
        <x:v>1</x:v>
      </x:c>
    </x:row>
    <x:row r="279" ht="23" customHeight="1">
      <x:c r="A279" s="2" t="str">
        <x:v>61103099_VN_202507_IMPORT</x:v>
      </x:c>
      <x:c r="B279" s="2" t="n">
        <x:v>202507</x:v>
      </x:c>
      <x:c r="C279" s="2" t="str">
        <x:v>61103099</x:v>
      </x:c>
      <x:c r="D279" s="2" t="str">
        <x:v>Vietnam</x:v>
      </x:c>
      <x:c r="E279" s="16" t="n">
        <x:v>811836</x:v>
      </x:c>
      <x:c r="F279" s="16" t="n">
        <x:v>38354</x:v>
      </x:c>
      <x:c r="G279" s="2" t="str">
        <x:v>WITHIN_BAND</x:v>
      </x:c>
      <x:c r="H279" s="2" t="n">
        <x:v>1</x:v>
      </x:c>
      <x:c r="I279" s="2" t="n">
        <x:f>IF(AND(COUNTIFS($B$6:$B$797,B279,$C$6:$C$797,C279)=11,COUNTIFS($B$6:$B$797,B279,$C$6:$C$797,C279,$G$6:$G$797,"REVIEW")=0,COUNTIFS($B$6:$B$797,B279,$C$6:$C$797,C279,$H$6:$H$797,1)=11,COUNTIFS($B$6:$B$797,B279,$C$6:$C$797,C279,$F$6:$F$797,"&gt;0")=11),1,0)</x:f>
        <x:v>0</x:v>
      </x:c>
      <x:c r="J279" s="2" t="n">
        <x:f>COUNTIFS($A$6:$A$797,A279)</x:f>
        <x:v>1</x:v>
      </x:c>
    </x:row>
    <x:row r="280" ht="23" customHeight="1">
      <x:c r="A280" s="2" t="str">
        <x:v>61103099_WORLD_202507_IMPORT</x:v>
      </x:c>
      <x:c r="B280" s="2" t="n">
        <x:v>202507</x:v>
      </x:c>
      <x:c r="C280" s="2" t="str">
        <x:v>61103099</x:v>
      </x:c>
      <x:c r="D280" s="2" t="str">
        <x:v>World</x:v>
      </x:c>
      <x:c r="E280" s="16" t="n">
        <x:v>63059661</x:v>
      </x:c>
      <x:c r="F280" s="16" t="n">
        <x:v>6950782</x:v>
      </x:c>
      <x:c r="G280" s="2" t="str">
        <x:v>WITHIN_BAND</x:v>
      </x:c>
      <x:c r="H280" s="2" t="n">
        <x:v>1</x:v>
      </x:c>
      <x:c r="I280" s="2" t="n">
        <x:f>IF(AND(COUNTIFS($B$6:$B$797,B280,$C$6:$C$797,C280)=11,COUNTIFS($B$6:$B$797,B280,$C$6:$C$797,C280,$G$6:$G$797,"REVIEW")=0,COUNTIFS($B$6:$B$797,B280,$C$6:$C$797,C280,$H$6:$H$797,1)=11,COUNTIFS($B$6:$B$797,B280,$C$6:$C$797,C280,$F$6:$F$797,"&gt;0")=11),1,0)</x:f>
        <x:v>0</x:v>
      </x:c>
      <x:c r="J280" s="2" t="n">
        <x:f>COUNTIFS($A$6:$A$797,A280)</x:f>
        <x:v>1</x:v>
      </x:c>
    </x:row>
    <x:row r="281" ht="23" customHeight="1">
      <x:c r="A281" s="2" t="str">
        <x:v>61103099_BD_202508_IMPORT</x:v>
      </x:c>
      <x:c r="B281" s="2" t="n">
        <x:v>202508</x:v>
      </x:c>
      <x:c r="C281" s="2" t="str">
        <x:v>61103099</x:v>
      </x:c>
      <x:c r="D281" s="2" t="str">
        <x:v>Bangladesh</x:v>
      </x:c>
      <x:c r="E281" s="16" t="n">
        <x:v>18131145</x:v>
      </x:c>
      <x:c r="F281" s="16" t="n">
        <x:v>1436909</x:v>
      </x:c>
      <x:c r="G281" s="2" t="str">
        <x:v>WITHIN_BAND</x:v>
      </x:c>
      <x:c r="H281" s="2" t="n">
        <x:v>1</x:v>
      </x:c>
      <x:c r="I281" s="2" t="n">
        <x:f>IF(AND(COUNTIFS($B$6:$B$797,B281,$C$6:$C$797,C281)=11,COUNTIFS($B$6:$B$797,B281,$C$6:$C$797,C281,$G$6:$G$797,"REVIEW")=0,COUNTIFS($B$6:$B$797,B281,$C$6:$C$797,C281,$H$6:$H$797,1)=11,COUNTIFS($B$6:$B$797,B281,$C$6:$C$797,C281,$F$6:$F$797,"&gt;0")=11),1,0)</x:f>
        <x:v>0</x:v>
      </x:c>
      <x:c r="J281" s="2" t="n">
        <x:f>COUNTIFS($A$6:$A$797,A281)</x:f>
        <x:v>1</x:v>
      </x:c>
    </x:row>
    <x:row r="282" ht="23" customHeight="1">
      <x:c r="A282" s="2" t="str">
        <x:v>61103099_KH_202508_IMPORT</x:v>
      </x:c>
      <x:c r="B282" s="2" t="n">
        <x:v>202508</x:v>
      </x:c>
      <x:c r="C282" s="2" t="str">
        <x:v>61103099</x:v>
      </x:c>
      <x:c r="D282" s="2" t="str">
        <x:v>Cambodia</x:v>
      </x:c>
      <x:c r="E282" s="16" t="n">
        <x:v>9512606</x:v>
      </x:c>
      <x:c r="F282" s="16" t="n">
        <x:v>818492</x:v>
      </x:c>
      <x:c r="G282" s="2" t="str">
        <x:v>WITHIN_BAND</x:v>
      </x:c>
      <x:c r="H282" s="2" t="n">
        <x:v>1</x:v>
      </x:c>
      <x:c r="I282" s="2" t="n">
        <x:f>IF(AND(COUNTIFS($B$6:$B$797,B282,$C$6:$C$797,C282)=11,COUNTIFS($B$6:$B$797,B282,$C$6:$C$797,C282,$G$6:$G$797,"REVIEW")=0,COUNTIFS($B$6:$B$797,B282,$C$6:$C$797,C282,$H$6:$H$797,1)=11,COUNTIFS($B$6:$B$797,B282,$C$6:$C$797,C282,$F$6:$F$797,"&gt;0")=11),1,0)</x:f>
        <x:v>0</x:v>
      </x:c>
      <x:c r="J282" s="2" t="n">
        <x:f>COUNTIFS($A$6:$A$797,A282)</x:f>
        <x:v>1</x:v>
      </x:c>
    </x:row>
    <x:row r="283" ht="23" customHeight="1">
      <x:c r="A283" s="2" t="str">
        <x:v>61103099_CN_202508_IMPORT</x:v>
      </x:c>
      <x:c r="B283" s="2" t="n">
        <x:v>202508</x:v>
      </x:c>
      <x:c r="C283" s="2" t="str">
        <x:v>61103099</x:v>
      </x:c>
      <x:c r="D283" s="2" t="str">
        <x:v>China</x:v>
      </x:c>
      <x:c r="E283" s="16" t="n">
        <x:v>37300013</x:v>
      </x:c>
      <x:c r="F283" s="16" t="n">
        <x:v>2753499</x:v>
      </x:c>
      <x:c r="G283" s="2" t="str">
        <x:v>WITHIN_BAND</x:v>
      </x:c>
      <x:c r="H283" s="2" t="n">
        <x:v>1</x:v>
      </x:c>
      <x:c r="I283" s="2" t="n">
        <x:f>IF(AND(COUNTIFS($B$6:$B$797,B283,$C$6:$C$797,C283)=11,COUNTIFS($B$6:$B$797,B283,$C$6:$C$797,C283,$G$6:$G$797,"REVIEW")=0,COUNTIFS($B$6:$B$797,B283,$C$6:$C$797,C283,$H$6:$H$797,1)=11,COUNTIFS($B$6:$B$797,B283,$C$6:$C$797,C283,$F$6:$F$797,"&gt;0")=11),1,0)</x:f>
        <x:v>0</x:v>
      </x:c>
      <x:c r="J283" s="2" t="n">
        <x:f>COUNTIFS($A$6:$A$797,A283)</x:f>
        <x:v>1</x:v>
      </x:c>
    </x:row>
    <x:row r="284" ht="23" customHeight="1">
      <x:c r="A284" s="2" t="str">
        <x:v>61103099_IN_202508_IMPORT</x:v>
      </x:c>
      <x:c r="B284" s="2" t="n">
        <x:v>202508</x:v>
      </x:c>
      <x:c r="C284" s="2" t="str">
        <x:v>61103099</x:v>
      </x:c>
      <x:c r="D284" s="2" t="str">
        <x:v>India</x:v>
      </x:c>
      <x:c r="E284" s="16" t="n">
        <x:v>163170</x:v>
      </x:c>
      <x:c r="F284" s="16" t="n">
        <x:v>10612</x:v>
      </x:c>
      <x:c r="G284" s="2" t="str">
        <x:v>WITHIN_BAND</x:v>
      </x:c>
      <x:c r="H284" s="2" t="n">
        <x:v>1</x:v>
      </x:c>
      <x:c r="I284" s="2" t="n">
        <x:f>IF(AND(COUNTIFS($B$6:$B$797,B284,$C$6:$C$797,C284)=11,COUNTIFS($B$6:$B$797,B284,$C$6:$C$797,C284,$G$6:$G$797,"REVIEW")=0,COUNTIFS($B$6:$B$797,B284,$C$6:$C$797,C284,$H$6:$H$797,1)=11,COUNTIFS($B$6:$B$797,B284,$C$6:$C$797,C284,$F$6:$F$797,"&gt;0")=11),1,0)</x:f>
        <x:v>0</x:v>
      </x:c>
      <x:c r="J284" s="2" t="n">
        <x:f>COUNTIFS($A$6:$A$797,A284)</x:f>
        <x:v>1</x:v>
      </x:c>
    </x:row>
    <x:row r="285" ht="23" customHeight="1">
      <x:c r="A285" s="2" t="str">
        <x:v>61103099_MA_202508_IMPORT</x:v>
      </x:c>
      <x:c r="B285" s="2" t="n">
        <x:v>202508</x:v>
      </x:c>
      <x:c r="C285" s="2" t="str">
        <x:v>61103099</x:v>
      </x:c>
      <x:c r="D285" s="2" t="str">
        <x:v>Morocco</x:v>
      </x:c>
      <x:c r="E285" s="16" t="n">
        <x:v>7365</x:v>
      </x:c>
      <x:c r="F285" s="16" t="n">
        <x:v>420</x:v>
      </x:c>
      <x:c r="G285" s="2" t="str">
        <x:v>WITHIN_BAND</x:v>
      </x:c>
      <x:c r="H285" s="2" t="n">
        <x:v>1</x:v>
      </x:c>
      <x:c r="I285" s="2" t="n">
        <x:f>IF(AND(COUNTIFS($B$6:$B$797,B285,$C$6:$C$797,C285)=11,COUNTIFS($B$6:$B$797,B285,$C$6:$C$797,C285,$G$6:$G$797,"REVIEW")=0,COUNTIFS($B$6:$B$797,B285,$C$6:$C$797,C285,$H$6:$H$797,1)=11,COUNTIFS($B$6:$B$797,B285,$C$6:$C$797,C285,$F$6:$F$797,"&gt;0")=11),1,0)</x:f>
        <x:v>0</x:v>
      </x:c>
      <x:c r="J285" s="2" t="n">
        <x:f>COUNTIFS($A$6:$A$797,A285)</x:f>
        <x:v>1</x:v>
      </x:c>
    </x:row>
    <x:row r="286" ht="23" customHeight="1">
      <x:c r="A286" s="2" t="str">
        <x:v>61103099_MM_202508_IMPORT</x:v>
      </x:c>
      <x:c r="B286" s="2" t="n">
        <x:v>202508</x:v>
      </x:c>
      <x:c r="C286" s="2" t="str">
        <x:v>61103099</x:v>
      </x:c>
      <x:c r="D286" s="2" t="str">
        <x:v>Myanmar</x:v>
      </x:c>
      <x:c r="E286" s="16" t="n">
        <x:v>1577006</x:v>
      </x:c>
      <x:c r="F286" s="16" t="n">
        <x:v>102987</x:v>
      </x:c>
      <x:c r="G286" s="2" t="str">
        <x:v>WITHIN_BAND</x:v>
      </x:c>
      <x:c r="H286" s="2" t="n">
        <x:v>1</x:v>
      </x:c>
      <x:c r="I286" s="2" t="n">
        <x:f>IF(AND(COUNTIFS($B$6:$B$797,B286,$C$6:$C$797,C286)=11,COUNTIFS($B$6:$B$797,B286,$C$6:$C$797,C286,$G$6:$G$797,"REVIEW")=0,COUNTIFS($B$6:$B$797,B286,$C$6:$C$797,C286,$H$6:$H$797,1)=11,COUNTIFS($B$6:$B$797,B286,$C$6:$C$797,C286,$F$6:$F$797,"&gt;0")=11),1,0)</x:f>
        <x:v>0</x:v>
      </x:c>
      <x:c r="J286" s="2" t="n">
        <x:f>COUNTIFS($A$6:$A$797,A286)</x:f>
        <x:v>1</x:v>
      </x:c>
    </x:row>
    <x:row r="287" ht="23" customHeight="1">
      <x:c r="A287" s="2" t="str">
        <x:v>61103099_PK_202508_IMPORT</x:v>
      </x:c>
      <x:c r="B287" s="2" t="n">
        <x:v>202508</x:v>
      </x:c>
      <x:c r="C287" s="2" t="str">
        <x:v>61103099</x:v>
      </x:c>
      <x:c r="D287" s="2" t="str">
        <x:v>Pakistan</x:v>
      </x:c>
      <x:c r="E287" s="16" t="n">
        <x:v>432077</x:v>
      </x:c>
      <x:c r="F287" s="16" t="n">
        <x:v>36886</x:v>
      </x:c>
      <x:c r="G287" s="2" t="str">
        <x:v>WITHIN_BAND</x:v>
      </x:c>
      <x:c r="H287" s="2" t="n">
        <x:v>1</x:v>
      </x:c>
      <x:c r="I287" s="2" t="n">
        <x:f>IF(AND(COUNTIFS($B$6:$B$797,B287,$C$6:$C$797,C287)=11,COUNTIFS($B$6:$B$797,B287,$C$6:$C$797,C287,$G$6:$G$797,"REVIEW")=0,COUNTIFS($B$6:$B$797,B287,$C$6:$C$797,C287,$H$6:$H$797,1)=11,COUNTIFS($B$6:$B$797,B287,$C$6:$C$797,C287,$F$6:$F$797,"&gt;0")=11),1,0)</x:f>
        <x:v>0</x:v>
      </x:c>
      <x:c r="J287" s="2" t="n">
        <x:f>COUNTIFS($A$6:$A$797,A287)</x:f>
        <x:v>1</x:v>
      </x:c>
    </x:row>
    <x:row r="288" ht="23" customHeight="1">
      <x:c r="A288" s="2" t="str">
        <x:v>61103099_LK_202508_IMPORT</x:v>
      </x:c>
      <x:c r="B288" s="2" t="n">
        <x:v>202508</x:v>
      </x:c>
      <x:c r="C288" s="2" t="str">
        <x:v>61103099</x:v>
      </x:c>
      <x:c r="D288" s="2" t="str">
        <x:v>Sri Lanka</x:v>
      </x:c>
      <x:c r="E288" s="16" t="n">
        <x:v>68911</x:v>
      </x:c>
      <x:c r="F288" s="16" t="n">
        <x:v>3398</x:v>
      </x:c>
      <x:c r="G288" s="2" t="str">
        <x:v>WITHIN_BAND</x:v>
      </x:c>
      <x:c r="H288" s="2" t="n">
        <x:v>1</x:v>
      </x:c>
      <x:c r="I288" s="2" t="n">
        <x:f>IF(AND(COUNTIFS($B$6:$B$797,B288,$C$6:$C$797,C288)=11,COUNTIFS($B$6:$B$797,B288,$C$6:$C$797,C288,$G$6:$G$797,"REVIEW")=0,COUNTIFS($B$6:$B$797,B288,$C$6:$C$797,C288,$H$6:$H$797,1)=11,COUNTIFS($B$6:$B$797,B288,$C$6:$C$797,C288,$F$6:$F$797,"&gt;0")=11),1,0)</x:f>
        <x:v>0</x:v>
      </x:c>
      <x:c r="J288" s="2" t="n">
        <x:f>COUNTIFS($A$6:$A$797,A288)</x:f>
        <x:v>1</x:v>
      </x:c>
    </x:row>
    <x:row r="289" ht="23" customHeight="1">
      <x:c r="A289" s="2" t="str">
        <x:v>61103099_TR_202508_IMPORT</x:v>
      </x:c>
      <x:c r="B289" s="2" t="n">
        <x:v>202508</x:v>
      </x:c>
      <x:c r="C289" s="2" t="str">
        <x:v>61103099</x:v>
      </x:c>
      <x:c r="D289" s="2" t="str">
        <x:v>Turkey</x:v>
      </x:c>
      <x:c r="E289" s="16" t="n">
        <x:v>8488866</x:v>
      </x:c>
      <x:c r="F289" s="16" t="n">
        <x:v>1921449</x:v>
      </x:c>
      <x:c r="G289" s="2" t="str">
        <x:v>REVIEW</x:v>
      </x:c>
      <x:c r="H289" s="2" t="n">
        <x:v>1</x:v>
      </x:c>
      <x:c r="I289" s="2" t="n">
        <x:f>IF(AND(COUNTIFS($B$6:$B$797,B289,$C$6:$C$797,C289)=11,COUNTIFS($B$6:$B$797,B289,$C$6:$C$797,C289,$G$6:$G$797,"REVIEW")=0,COUNTIFS($B$6:$B$797,B289,$C$6:$C$797,C289,$H$6:$H$797,1)=11,COUNTIFS($B$6:$B$797,B289,$C$6:$C$797,C289,$F$6:$F$797,"&gt;0")=11),1,0)</x:f>
        <x:v>0</x:v>
      </x:c>
      <x:c r="J289" s="2" t="n">
        <x:f>COUNTIFS($A$6:$A$797,A289)</x:f>
        <x:v>1</x:v>
      </x:c>
    </x:row>
    <x:row r="290" ht="23" customHeight="1">
      <x:c r="A290" s="2" t="str">
        <x:v>61103099_VN_202508_IMPORT</x:v>
      </x:c>
      <x:c r="B290" s="2" t="n">
        <x:v>202508</x:v>
      </x:c>
      <x:c r="C290" s="2" t="str">
        <x:v>61103099</x:v>
      </x:c>
      <x:c r="D290" s="2" t="str">
        <x:v>Vietnam</x:v>
      </x:c>
      <x:c r="E290" s="16" t="n">
        <x:v>741469</x:v>
      </x:c>
      <x:c r="F290" s="16" t="n">
        <x:v>34307</x:v>
      </x:c>
      <x:c r="G290" s="2" t="str">
        <x:v>WITHIN_BAND</x:v>
      </x:c>
      <x:c r="H290" s="2" t="n">
        <x:v>1</x:v>
      </x:c>
      <x:c r="I290" s="2" t="n">
        <x:f>IF(AND(COUNTIFS($B$6:$B$797,B290,$C$6:$C$797,C290)=11,COUNTIFS($B$6:$B$797,B290,$C$6:$C$797,C290,$G$6:$G$797,"REVIEW")=0,COUNTIFS($B$6:$B$797,B290,$C$6:$C$797,C290,$H$6:$H$797,1)=11,COUNTIFS($B$6:$B$797,B290,$C$6:$C$797,C290,$F$6:$F$797,"&gt;0")=11),1,0)</x:f>
        <x:v>0</x:v>
      </x:c>
      <x:c r="J290" s="2" t="n">
        <x:f>COUNTIFS($A$6:$A$797,A290)</x:f>
        <x:v>1</x:v>
      </x:c>
    </x:row>
    <x:row r="291" ht="23" customHeight="1">
      <x:c r="A291" s="2" t="str">
        <x:v>61103099_WORLD_202508_IMPORT</x:v>
      </x:c>
      <x:c r="B291" s="2" t="n">
        <x:v>202508</x:v>
      </x:c>
      <x:c r="C291" s="2" t="str">
        <x:v>61103099</x:v>
      </x:c>
      <x:c r="D291" s="2" t="str">
        <x:v>World</x:v>
      </x:c>
      <x:c r="E291" s="16" t="n">
        <x:v>91240384</x:v>
      </x:c>
      <x:c r="F291" s="16" t="n">
        <x:v>7683850</x:v>
      </x:c>
      <x:c r="G291" s="2" t="str">
        <x:v>WITHIN_BAND</x:v>
      </x:c>
      <x:c r="H291" s="2" t="n">
        <x:v>1</x:v>
      </x:c>
      <x:c r="I291" s="2" t="n">
        <x:f>IF(AND(COUNTIFS($B$6:$B$797,B291,$C$6:$C$797,C291)=11,COUNTIFS($B$6:$B$797,B291,$C$6:$C$797,C291,$G$6:$G$797,"REVIEW")=0,COUNTIFS($B$6:$B$797,B291,$C$6:$C$797,C291,$H$6:$H$797,1)=11,COUNTIFS($B$6:$B$797,B291,$C$6:$C$797,C291,$F$6:$F$797,"&gt;0")=11),1,0)</x:f>
        <x:v>0</x:v>
      </x:c>
      <x:c r="J291" s="2" t="n">
        <x:f>COUNTIFS($A$6:$A$797,A291)</x:f>
        <x:v>1</x:v>
      </x:c>
    </x:row>
    <x:row r="292" ht="23" customHeight="1">
      <x:c r="A292" s="2" t="str">
        <x:v>61103099_BD_202509_IMPORT</x:v>
      </x:c>
      <x:c r="B292" s="2" t="n">
        <x:v>202509</x:v>
      </x:c>
      <x:c r="C292" s="2" t="str">
        <x:v>61103099</x:v>
      </x:c>
      <x:c r="D292" s="2" t="str">
        <x:v>Bangladesh</x:v>
      </x:c>
      <x:c r="E292" s="16" t="n">
        <x:v>23852860</x:v>
      </x:c>
      <x:c r="F292" s="16" t="n">
        <x:v>2011947</x:v>
      </x:c>
      <x:c r="G292" s="2" t="str">
        <x:v>WITHIN_BAND</x:v>
      </x:c>
      <x:c r="H292" s="2" t="n">
        <x:v>1</x:v>
      </x:c>
      <x:c r="I292" s="2" t="n">
        <x:f>IF(AND(COUNTIFS($B$6:$B$797,B292,$C$6:$C$797,C292)=11,COUNTIFS($B$6:$B$797,B292,$C$6:$C$797,C292,$G$6:$G$797,"REVIEW")=0,COUNTIFS($B$6:$B$797,B292,$C$6:$C$797,C292,$H$6:$H$797,1)=11,COUNTIFS($B$6:$B$797,B292,$C$6:$C$797,C292,$F$6:$F$797,"&gt;0")=11),1,0)</x:f>
        <x:v>0</x:v>
      </x:c>
      <x:c r="J292" s="2" t="n">
        <x:f>COUNTIFS($A$6:$A$797,A292)</x:f>
        <x:v>1</x:v>
      </x:c>
    </x:row>
    <x:row r="293" ht="23" customHeight="1">
      <x:c r="A293" s="2" t="str">
        <x:v>61103099_KH_202509_IMPORT</x:v>
      </x:c>
      <x:c r="B293" s="2" t="n">
        <x:v>202509</x:v>
      </x:c>
      <x:c r="C293" s="2" t="str">
        <x:v>61103099</x:v>
      </x:c>
      <x:c r="D293" s="2" t="str">
        <x:v>Cambodia</x:v>
      </x:c>
      <x:c r="E293" s="16" t="n">
        <x:v>9676676</x:v>
      </x:c>
      <x:c r="F293" s="16" t="n">
        <x:v>904414</x:v>
      </x:c>
      <x:c r="G293" s="2" t="str">
        <x:v>WITHIN_BAND</x:v>
      </x:c>
      <x:c r="H293" s="2" t="n">
        <x:v>1</x:v>
      </x:c>
      <x:c r="I293" s="2" t="n">
        <x:f>IF(AND(COUNTIFS($B$6:$B$797,B293,$C$6:$C$797,C293)=11,COUNTIFS($B$6:$B$797,B293,$C$6:$C$797,C293,$G$6:$G$797,"REVIEW")=0,COUNTIFS($B$6:$B$797,B293,$C$6:$C$797,C293,$H$6:$H$797,1)=11,COUNTIFS($B$6:$B$797,B293,$C$6:$C$797,C293,$F$6:$F$797,"&gt;0")=11),1,0)</x:f>
        <x:v>0</x:v>
      </x:c>
      <x:c r="J293" s="2" t="n">
        <x:f>COUNTIFS($A$6:$A$797,A293)</x:f>
        <x:v>1</x:v>
      </x:c>
    </x:row>
    <x:row r="294" ht="23" customHeight="1">
      <x:c r="A294" s="2" t="str">
        <x:v>61103099_CN_202509_IMPORT</x:v>
      </x:c>
      <x:c r="B294" s="2" t="n">
        <x:v>202509</x:v>
      </x:c>
      <x:c r="C294" s="2" t="str">
        <x:v>61103099</x:v>
      </x:c>
      <x:c r="D294" s="2" t="str">
        <x:v>China</x:v>
      </x:c>
      <x:c r="E294" s="16" t="n">
        <x:v>37774855</x:v>
      </x:c>
      <x:c r="F294" s="16" t="n">
        <x:v>2854925</x:v>
      </x:c>
      <x:c r="G294" s="2" t="str">
        <x:v>WITHIN_BAND</x:v>
      </x:c>
      <x:c r="H294" s="2" t="n">
        <x:v>1</x:v>
      </x:c>
      <x:c r="I294" s="2" t="n">
        <x:f>IF(AND(COUNTIFS($B$6:$B$797,B294,$C$6:$C$797,C294)=11,COUNTIFS($B$6:$B$797,B294,$C$6:$C$797,C294,$G$6:$G$797,"REVIEW")=0,COUNTIFS($B$6:$B$797,B294,$C$6:$C$797,C294,$H$6:$H$797,1)=11,COUNTIFS($B$6:$B$797,B294,$C$6:$C$797,C294,$F$6:$F$797,"&gt;0")=11),1,0)</x:f>
        <x:v>0</x:v>
      </x:c>
      <x:c r="J294" s="2" t="n">
        <x:f>COUNTIFS($A$6:$A$797,A294)</x:f>
        <x:v>1</x:v>
      </x:c>
    </x:row>
    <x:row r="295" ht="23" customHeight="1">
      <x:c r="A295" s="2" t="str">
        <x:v>61103099_IN_202509_IMPORT</x:v>
      </x:c>
      <x:c r="B295" s="2" t="n">
        <x:v>202509</x:v>
      </x:c>
      <x:c r="C295" s="2" t="str">
        <x:v>61103099</x:v>
      </x:c>
      <x:c r="D295" s="2" t="str">
        <x:v>India</x:v>
      </x:c>
      <x:c r="E295" s="16" t="n">
        <x:v>231117</x:v>
      </x:c>
      <x:c r="F295" s="16" t="n">
        <x:v>20388</x:v>
      </x:c>
      <x:c r="G295" s="2" t="str">
        <x:v>WITHIN_BAND</x:v>
      </x:c>
      <x:c r="H295" s="2" t="n">
        <x:v>1</x:v>
      </x:c>
      <x:c r="I295" s="2" t="n">
        <x:f>IF(AND(COUNTIFS($B$6:$B$797,B295,$C$6:$C$797,C295)=11,COUNTIFS($B$6:$B$797,B295,$C$6:$C$797,C295,$G$6:$G$797,"REVIEW")=0,COUNTIFS($B$6:$B$797,B295,$C$6:$C$797,C295,$H$6:$H$797,1)=11,COUNTIFS($B$6:$B$797,B295,$C$6:$C$797,C295,$F$6:$F$797,"&gt;0")=11),1,0)</x:f>
        <x:v>0</x:v>
      </x:c>
      <x:c r="J295" s="2" t="n">
        <x:f>COUNTIFS($A$6:$A$797,A295)</x:f>
        <x:v>1</x:v>
      </x:c>
    </x:row>
    <x:row r="296" ht="23" customHeight="1">
      <x:c r="A296" s="2" t="str">
        <x:v>61103099_MA_202509_IMPORT</x:v>
      </x:c>
      <x:c r="B296" s="2" t="n">
        <x:v>202509</x:v>
      </x:c>
      <x:c r="C296" s="2" t="str">
        <x:v>61103099</x:v>
      </x:c>
      <x:c r="D296" s="2" t="str">
        <x:v>Morocco</x:v>
      </x:c>
      <x:c r="E296" s="16" t="n">
        <x:v>31882</x:v>
      </x:c>
      <x:c r="F296" s="16" t="n">
        <x:v>780</x:v>
      </x:c>
      <x:c r="G296" s="2" t="str">
        <x:v>REVIEW</x:v>
      </x:c>
      <x:c r="H296" s="2" t="n">
        <x:v>1</x:v>
      </x:c>
      <x:c r="I296" s="2" t="n">
        <x:f>IF(AND(COUNTIFS($B$6:$B$797,B296,$C$6:$C$797,C296)=11,COUNTIFS($B$6:$B$797,B296,$C$6:$C$797,C296,$G$6:$G$797,"REVIEW")=0,COUNTIFS($B$6:$B$797,B296,$C$6:$C$797,C296,$H$6:$H$797,1)=11,COUNTIFS($B$6:$B$797,B296,$C$6:$C$797,C296,$F$6:$F$797,"&gt;0")=11),1,0)</x:f>
        <x:v>0</x:v>
      </x:c>
      <x:c r="J296" s="2" t="n">
        <x:f>COUNTIFS($A$6:$A$797,A296)</x:f>
        <x:v>1</x:v>
      </x:c>
    </x:row>
    <x:row r="297" ht="23" customHeight="1">
      <x:c r="A297" s="2" t="str">
        <x:v>61103099_MM_202509_IMPORT</x:v>
      </x:c>
      <x:c r="B297" s="2" t="n">
        <x:v>202509</x:v>
      </x:c>
      <x:c r="C297" s="2" t="str">
        <x:v>61103099</x:v>
      </x:c>
      <x:c r="D297" s="2" t="str">
        <x:v>Myanmar</x:v>
      </x:c>
      <x:c r="E297" s="16" t="n">
        <x:v>1065081</x:v>
      </x:c>
      <x:c r="F297" s="16" t="n">
        <x:v>65094</x:v>
      </x:c>
      <x:c r="G297" s="2" t="str">
        <x:v>WITHIN_BAND</x:v>
      </x:c>
      <x:c r="H297" s="2" t="n">
        <x:v>1</x:v>
      </x:c>
      <x:c r="I297" s="2" t="n">
        <x:f>IF(AND(COUNTIFS($B$6:$B$797,B297,$C$6:$C$797,C297)=11,COUNTIFS($B$6:$B$797,B297,$C$6:$C$797,C297,$G$6:$G$797,"REVIEW")=0,COUNTIFS($B$6:$B$797,B297,$C$6:$C$797,C297,$H$6:$H$797,1)=11,COUNTIFS($B$6:$B$797,B297,$C$6:$C$797,C297,$F$6:$F$797,"&gt;0")=11),1,0)</x:f>
        <x:v>0</x:v>
      </x:c>
      <x:c r="J297" s="2" t="n">
        <x:f>COUNTIFS($A$6:$A$797,A297)</x:f>
        <x:v>1</x:v>
      </x:c>
    </x:row>
    <x:row r="298" ht="23" customHeight="1">
      <x:c r="A298" s="2" t="str">
        <x:v>61103099_PK_202509_IMPORT</x:v>
      </x:c>
      <x:c r="B298" s="2" t="n">
        <x:v>202509</x:v>
      </x:c>
      <x:c r="C298" s="2" t="str">
        <x:v>61103099</x:v>
      </x:c>
      <x:c r="D298" s="2" t="str">
        <x:v>Pakistan</x:v>
      </x:c>
      <x:c r="E298" s="16" t="n">
        <x:v>359476</x:v>
      </x:c>
      <x:c r="F298" s="16" t="n">
        <x:v>28322</x:v>
      </x:c>
      <x:c r="G298" s="2" t="str">
        <x:v>WITHIN_BAND</x:v>
      </x:c>
      <x:c r="H298" s="2" t="n">
        <x:v>1</x:v>
      </x:c>
      <x:c r="I298" s="2" t="n">
        <x:f>IF(AND(COUNTIFS($B$6:$B$797,B298,$C$6:$C$797,C298)=11,COUNTIFS($B$6:$B$797,B298,$C$6:$C$797,C298,$G$6:$G$797,"REVIEW")=0,COUNTIFS($B$6:$B$797,B298,$C$6:$C$797,C298,$H$6:$H$797,1)=11,COUNTIFS($B$6:$B$797,B298,$C$6:$C$797,C298,$F$6:$F$797,"&gt;0")=11),1,0)</x:f>
        <x:v>0</x:v>
      </x:c>
      <x:c r="J298" s="2" t="n">
        <x:f>COUNTIFS($A$6:$A$797,A298)</x:f>
        <x:v>1</x:v>
      </x:c>
    </x:row>
    <x:row r="299" ht="23" customHeight="1">
      <x:c r="A299" s="2" t="str">
        <x:v>61103099_LK_202509_IMPORT</x:v>
      </x:c>
      <x:c r="B299" s="2" t="n">
        <x:v>202509</x:v>
      </x:c>
      <x:c r="C299" s="2" t="str">
        <x:v>61103099</x:v>
      </x:c>
      <x:c r="D299" s="2" t="str">
        <x:v>Sri Lanka</x:v>
      </x:c>
      <x:c r="E299" s="16" t="n">
        <x:v>140764</x:v>
      </x:c>
      <x:c r="F299" s="16" t="n">
        <x:v>9396</x:v>
      </x:c>
      <x:c r="G299" s="2" t="str">
        <x:v>WITHIN_BAND</x:v>
      </x:c>
      <x:c r="H299" s="2" t="n">
        <x:v>1</x:v>
      </x:c>
      <x:c r="I299" s="2" t="n">
        <x:f>IF(AND(COUNTIFS($B$6:$B$797,B299,$C$6:$C$797,C299)=11,COUNTIFS($B$6:$B$797,B299,$C$6:$C$797,C299,$G$6:$G$797,"REVIEW")=0,COUNTIFS($B$6:$B$797,B299,$C$6:$C$797,C299,$H$6:$H$797,1)=11,COUNTIFS($B$6:$B$797,B299,$C$6:$C$797,C299,$F$6:$F$797,"&gt;0")=11),1,0)</x:f>
        <x:v>0</x:v>
      </x:c>
      <x:c r="J299" s="2" t="n">
        <x:f>COUNTIFS($A$6:$A$797,A299)</x:f>
        <x:v>1</x:v>
      </x:c>
    </x:row>
    <x:row r="300" ht="23" customHeight="1">
      <x:c r="A300" s="2" t="str">
        <x:v>61103099_TR_202509_IMPORT</x:v>
      </x:c>
      <x:c r="B300" s="2" t="n">
        <x:v>202509</x:v>
      </x:c>
      <x:c r="C300" s="2" t="str">
        <x:v>61103099</x:v>
      </x:c>
      <x:c r="D300" s="2" t="str">
        <x:v>Turkey</x:v>
      </x:c>
      <x:c r="E300" s="16" t="n">
        <x:v>7090362</x:v>
      </x:c>
      <x:c r="F300" s="16" t="n">
        <x:v>472002</x:v>
      </x:c>
      <x:c r="G300" s="2" t="str">
        <x:v>WITHIN_BAND</x:v>
      </x:c>
      <x:c r="H300" s="2" t="n">
        <x:v>1</x:v>
      </x:c>
      <x:c r="I300" s="2" t="n">
        <x:f>IF(AND(COUNTIFS($B$6:$B$797,B300,$C$6:$C$797,C300)=11,COUNTIFS($B$6:$B$797,B300,$C$6:$C$797,C300,$G$6:$G$797,"REVIEW")=0,COUNTIFS($B$6:$B$797,B300,$C$6:$C$797,C300,$H$6:$H$797,1)=11,COUNTIFS($B$6:$B$797,B300,$C$6:$C$797,C300,$F$6:$F$797,"&gt;0")=11),1,0)</x:f>
        <x:v>0</x:v>
      </x:c>
      <x:c r="J300" s="2" t="n">
        <x:f>COUNTIFS($A$6:$A$797,A300)</x:f>
        <x:v>1</x:v>
      </x:c>
    </x:row>
    <x:row r="301" ht="23" customHeight="1">
      <x:c r="A301" s="2" t="str">
        <x:v>61103099_VN_202509_IMPORT</x:v>
      </x:c>
      <x:c r="B301" s="2" t="n">
        <x:v>202509</x:v>
      </x:c>
      <x:c r="C301" s="2" t="str">
        <x:v>61103099</x:v>
      </x:c>
      <x:c r="D301" s="2" t="str">
        <x:v>Vietnam</x:v>
      </x:c>
      <x:c r="E301" s="16" t="n">
        <x:v>1114920</x:v>
      </x:c>
      <x:c r="F301" s="16" t="n">
        <x:v>46262</x:v>
      </x:c>
      <x:c r="G301" s="2" t="str">
        <x:v>WITHIN_BAND</x:v>
      </x:c>
      <x:c r="H301" s="2" t="n">
        <x:v>1</x:v>
      </x:c>
      <x:c r="I301" s="2" t="n">
        <x:f>IF(AND(COUNTIFS($B$6:$B$797,B301,$C$6:$C$797,C301)=11,COUNTIFS($B$6:$B$797,B301,$C$6:$C$797,C301,$G$6:$G$797,"REVIEW")=0,COUNTIFS($B$6:$B$797,B301,$C$6:$C$797,C301,$H$6:$H$797,1)=11,COUNTIFS($B$6:$B$797,B301,$C$6:$C$797,C301,$F$6:$F$797,"&gt;0")=11),1,0)</x:f>
        <x:v>0</x:v>
      </x:c>
      <x:c r="J301" s="2" t="n">
        <x:f>COUNTIFS($A$6:$A$797,A301)</x:f>
        <x:v>1</x:v>
      </x:c>
    </x:row>
    <x:row r="302" ht="23" customHeight="1">
      <x:c r="A302" s="2" t="str">
        <x:v>61103099_WORLD_202509_IMPORT</x:v>
      </x:c>
      <x:c r="B302" s="2" t="n">
        <x:v>202509</x:v>
      </x:c>
      <x:c r="C302" s="2" t="str">
        <x:v>61103099</x:v>
      </x:c>
      <x:c r="D302" s="2" t="str">
        <x:v>World</x:v>
      </x:c>
      <x:c r="E302" s="16" t="n">
        <x:v>100361337</x:v>
      </x:c>
      <x:c r="F302" s="16" t="n">
        <x:v>7237379</x:v>
      </x:c>
      <x:c r="G302" s="2" t="str">
        <x:v>WITHIN_BAND</x:v>
      </x:c>
      <x:c r="H302" s="2" t="n">
        <x:v>1</x:v>
      </x:c>
      <x:c r="I302" s="2" t="n">
        <x:f>IF(AND(COUNTIFS($B$6:$B$797,B302,$C$6:$C$797,C302)=11,COUNTIFS($B$6:$B$797,B302,$C$6:$C$797,C302,$G$6:$G$797,"REVIEW")=0,COUNTIFS($B$6:$B$797,B302,$C$6:$C$797,C302,$H$6:$H$797,1)=11,COUNTIFS($B$6:$B$797,B302,$C$6:$C$797,C302,$F$6:$F$797,"&gt;0")=11),1,0)</x:f>
        <x:v>0</x:v>
      </x:c>
      <x:c r="J302" s="2" t="n">
        <x:f>COUNTIFS($A$6:$A$797,A302)</x:f>
        <x:v>1</x:v>
      </x:c>
    </x:row>
    <x:row r="303" ht="23" customHeight="1">
      <x:c r="A303" s="2" t="str">
        <x:v>61103099_BD_202510_IMPORT</x:v>
      </x:c>
      <x:c r="B303" s="2" t="n">
        <x:v>202510</x:v>
      </x:c>
      <x:c r="C303" s="2" t="str">
        <x:v>61103099</x:v>
      </x:c>
      <x:c r="D303" s="2" t="str">
        <x:v>Bangladesh</x:v>
      </x:c>
      <x:c r="E303" s="16" t="n">
        <x:v>27270957</x:v>
      </x:c>
      <x:c r="F303" s="16" t="n">
        <x:v>2244331</x:v>
      </x:c>
      <x:c r="G303" s="2" t="str">
        <x:v>WITHIN_BAND</x:v>
      </x:c>
      <x:c r="H303" s="2" t="n">
        <x:v>1</x:v>
      </x:c>
      <x:c r="I303" s="2" t="n">
        <x:f>IF(AND(COUNTIFS($B$6:$B$797,B303,$C$6:$C$797,C303)=11,COUNTIFS($B$6:$B$797,B303,$C$6:$C$797,C303,$G$6:$G$797,"REVIEW")=0,COUNTIFS($B$6:$B$797,B303,$C$6:$C$797,C303,$H$6:$H$797,1)=11,COUNTIFS($B$6:$B$797,B303,$C$6:$C$797,C303,$F$6:$F$797,"&gt;0")=11),1,0)</x:f>
        <x:v>1</x:v>
      </x:c>
      <x:c r="J303" s="2" t="n">
        <x:f>COUNTIFS($A$6:$A$797,A303)</x:f>
        <x:v>1</x:v>
      </x:c>
    </x:row>
    <x:row r="304" ht="23" customHeight="1">
      <x:c r="A304" s="2" t="str">
        <x:v>61103099_KH_202510_IMPORT</x:v>
      </x:c>
      <x:c r="B304" s="2" t="n">
        <x:v>202510</x:v>
      </x:c>
      <x:c r="C304" s="2" t="str">
        <x:v>61103099</x:v>
      </x:c>
      <x:c r="D304" s="2" t="str">
        <x:v>Cambodia</x:v>
      </x:c>
      <x:c r="E304" s="16" t="n">
        <x:v>8431674</x:v>
      </x:c>
      <x:c r="F304" s="16" t="n">
        <x:v>680292</x:v>
      </x:c>
      <x:c r="G304" s="2" t="str">
        <x:v>WITHIN_BAND</x:v>
      </x:c>
      <x:c r="H304" s="2" t="n">
        <x:v>1</x:v>
      </x:c>
      <x:c r="I304" s="2" t="n">
        <x:f>IF(AND(COUNTIFS($B$6:$B$797,B304,$C$6:$C$797,C304)=11,COUNTIFS($B$6:$B$797,B304,$C$6:$C$797,C304,$G$6:$G$797,"REVIEW")=0,COUNTIFS($B$6:$B$797,B304,$C$6:$C$797,C304,$H$6:$H$797,1)=11,COUNTIFS($B$6:$B$797,B304,$C$6:$C$797,C304,$F$6:$F$797,"&gt;0")=11),1,0)</x:f>
        <x:v>1</x:v>
      </x:c>
      <x:c r="J304" s="2" t="n">
        <x:f>COUNTIFS($A$6:$A$797,A304)</x:f>
        <x:v>1</x:v>
      </x:c>
    </x:row>
    <x:row r="305" ht="23" customHeight="1">
      <x:c r="A305" s="2" t="str">
        <x:v>61103099_CN_202510_IMPORT</x:v>
      </x:c>
      <x:c r="B305" s="2" t="n">
        <x:v>202510</x:v>
      </x:c>
      <x:c r="C305" s="2" t="str">
        <x:v>61103099</x:v>
      </x:c>
      <x:c r="D305" s="2" t="str">
        <x:v>China</x:v>
      </x:c>
      <x:c r="E305" s="16" t="n">
        <x:v>38578336</x:v>
      </x:c>
      <x:c r="F305" s="16" t="n">
        <x:v>2827955</x:v>
      </x:c>
      <x:c r="G305" s="2" t="str">
        <x:v>WITHIN_BAND</x:v>
      </x:c>
      <x:c r="H305" s="2" t="n">
        <x:v>1</x:v>
      </x:c>
      <x:c r="I305" s="2" t="n">
        <x:f>IF(AND(COUNTIFS($B$6:$B$797,B305,$C$6:$C$797,C305)=11,COUNTIFS($B$6:$B$797,B305,$C$6:$C$797,C305,$G$6:$G$797,"REVIEW")=0,COUNTIFS($B$6:$B$797,B305,$C$6:$C$797,C305,$H$6:$H$797,1)=11,COUNTIFS($B$6:$B$797,B305,$C$6:$C$797,C305,$F$6:$F$797,"&gt;0")=11),1,0)</x:f>
        <x:v>1</x:v>
      </x:c>
      <x:c r="J305" s="2" t="n">
        <x:f>COUNTIFS($A$6:$A$797,A305)</x:f>
        <x:v>1</x:v>
      </x:c>
    </x:row>
    <x:row r="306" ht="23" customHeight="1">
      <x:c r="A306" s="2" t="str">
        <x:v>61103099_IN_202510_IMPORT</x:v>
      </x:c>
      <x:c r="B306" s="2" t="n">
        <x:v>202510</x:v>
      </x:c>
      <x:c r="C306" s="2" t="str">
        <x:v>61103099</x:v>
      </x:c>
      <x:c r="D306" s="2" t="str">
        <x:v>India</x:v>
      </x:c>
      <x:c r="E306" s="16" t="n">
        <x:v>198871</x:v>
      </x:c>
      <x:c r="F306" s="16" t="n">
        <x:v>11890</x:v>
      </x:c>
      <x:c r="G306" s="2" t="str">
        <x:v>WITHIN_BAND</x:v>
      </x:c>
      <x:c r="H306" s="2" t="n">
        <x:v>1</x:v>
      </x:c>
      <x:c r="I306" s="2" t="n">
        <x:f>IF(AND(COUNTIFS($B$6:$B$797,B306,$C$6:$C$797,C306)=11,COUNTIFS($B$6:$B$797,B306,$C$6:$C$797,C306,$G$6:$G$797,"REVIEW")=0,COUNTIFS($B$6:$B$797,B306,$C$6:$C$797,C306,$H$6:$H$797,1)=11,COUNTIFS($B$6:$B$797,B306,$C$6:$C$797,C306,$F$6:$F$797,"&gt;0")=11),1,0)</x:f>
        <x:v>1</x:v>
      </x:c>
      <x:c r="J306" s="2" t="n">
        <x:f>COUNTIFS($A$6:$A$797,A306)</x:f>
        <x:v>1</x:v>
      </x:c>
    </x:row>
    <x:row r="307" ht="23" customHeight="1">
      <x:c r="A307" s="2" t="str">
        <x:v>61103099_MA_202510_IMPORT</x:v>
      </x:c>
      <x:c r="B307" s="2" t="n">
        <x:v>202510</x:v>
      </x:c>
      <x:c r="C307" s="2" t="str">
        <x:v>61103099</x:v>
      </x:c>
      <x:c r="D307" s="2" t="str">
        <x:v>Morocco</x:v>
      </x:c>
      <x:c r="E307" s="16" t="n">
        <x:v>35459</x:v>
      </x:c>
      <x:c r="F307" s="16" t="n">
        <x:v>1279</x:v>
      </x:c>
      <x:c r="G307" s="2" t="str">
        <x:v>WITHIN_BAND</x:v>
      </x:c>
      <x:c r="H307" s="2" t="n">
        <x:v>1</x:v>
      </x:c>
      <x:c r="I307" s="2" t="n">
        <x:f>IF(AND(COUNTIFS($B$6:$B$797,B307,$C$6:$C$797,C307)=11,COUNTIFS($B$6:$B$797,B307,$C$6:$C$797,C307,$G$6:$G$797,"REVIEW")=0,COUNTIFS($B$6:$B$797,B307,$C$6:$C$797,C307,$H$6:$H$797,1)=11,COUNTIFS($B$6:$B$797,B307,$C$6:$C$797,C307,$F$6:$F$797,"&gt;0")=11),1,0)</x:f>
        <x:v>1</x:v>
      </x:c>
      <x:c r="J307" s="2" t="n">
        <x:f>COUNTIFS($A$6:$A$797,A307)</x:f>
        <x:v>1</x:v>
      </x:c>
    </x:row>
    <x:row r="308" ht="23" customHeight="1">
      <x:c r="A308" s="2" t="str">
        <x:v>61103099_MM_202510_IMPORT</x:v>
      </x:c>
      <x:c r="B308" s="2" t="n">
        <x:v>202510</x:v>
      </x:c>
      <x:c r="C308" s="2" t="str">
        <x:v>61103099</x:v>
      </x:c>
      <x:c r="D308" s="2" t="str">
        <x:v>Myanmar</x:v>
      </x:c>
      <x:c r="E308" s="16" t="n">
        <x:v>1259915</x:v>
      </x:c>
      <x:c r="F308" s="16" t="n">
        <x:v>76911</x:v>
      </x:c>
      <x:c r="G308" s="2" t="str">
        <x:v>WITHIN_BAND</x:v>
      </x:c>
      <x:c r="H308" s="2" t="n">
        <x:v>1</x:v>
      </x:c>
      <x:c r="I308" s="2" t="n">
        <x:f>IF(AND(COUNTIFS($B$6:$B$797,B308,$C$6:$C$797,C308)=11,COUNTIFS($B$6:$B$797,B308,$C$6:$C$797,C308,$G$6:$G$797,"REVIEW")=0,COUNTIFS($B$6:$B$797,B308,$C$6:$C$797,C308,$H$6:$H$797,1)=11,COUNTIFS($B$6:$B$797,B308,$C$6:$C$797,C308,$F$6:$F$797,"&gt;0")=11),1,0)</x:f>
        <x:v>1</x:v>
      </x:c>
      <x:c r="J308" s="2" t="n">
        <x:f>COUNTIFS($A$6:$A$797,A308)</x:f>
        <x:v>1</x:v>
      </x:c>
    </x:row>
    <x:row r="309" ht="23" customHeight="1">
      <x:c r="A309" s="2" t="str">
        <x:v>61103099_PK_202510_IMPORT</x:v>
      </x:c>
      <x:c r="B309" s="2" t="n">
        <x:v>202510</x:v>
      </x:c>
      <x:c r="C309" s="2" t="str">
        <x:v>61103099</x:v>
      </x:c>
      <x:c r="D309" s="2" t="str">
        <x:v>Pakistan</x:v>
      </x:c>
      <x:c r="E309" s="16" t="n">
        <x:v>419266</x:v>
      </x:c>
      <x:c r="F309" s="16" t="n">
        <x:v>30502</x:v>
      </x:c>
      <x:c r="G309" s="2" t="str">
        <x:v>WITHIN_BAND</x:v>
      </x:c>
      <x:c r="H309" s="2" t="n">
        <x:v>1</x:v>
      </x:c>
      <x:c r="I309" s="2" t="n">
        <x:f>IF(AND(COUNTIFS($B$6:$B$797,B309,$C$6:$C$797,C309)=11,COUNTIFS($B$6:$B$797,B309,$C$6:$C$797,C309,$G$6:$G$797,"REVIEW")=0,COUNTIFS($B$6:$B$797,B309,$C$6:$C$797,C309,$H$6:$H$797,1)=11,COUNTIFS($B$6:$B$797,B309,$C$6:$C$797,C309,$F$6:$F$797,"&gt;0")=11),1,0)</x:f>
        <x:v>1</x:v>
      </x:c>
      <x:c r="J309" s="2" t="n">
        <x:f>COUNTIFS($A$6:$A$797,A309)</x:f>
        <x:v>1</x:v>
      </x:c>
    </x:row>
    <x:row r="310" ht="23" customHeight="1">
      <x:c r="A310" s="2" t="str">
        <x:v>61103099_LK_202510_IMPORT</x:v>
      </x:c>
      <x:c r="B310" s="2" t="n">
        <x:v>202510</x:v>
      </x:c>
      <x:c r="C310" s="2" t="str">
        <x:v>61103099</x:v>
      </x:c>
      <x:c r="D310" s="2" t="str">
        <x:v>Sri Lanka</x:v>
      </x:c>
      <x:c r="E310" s="16" t="n">
        <x:v>185390</x:v>
      </x:c>
      <x:c r="F310" s="16" t="n">
        <x:v>7228</x:v>
      </x:c>
      <x:c r="G310" s="2" t="str">
        <x:v>WITHIN_BAND</x:v>
      </x:c>
      <x:c r="H310" s="2" t="n">
        <x:v>1</x:v>
      </x:c>
      <x:c r="I310" s="2" t="n">
        <x:f>IF(AND(COUNTIFS($B$6:$B$797,B310,$C$6:$C$797,C310)=11,COUNTIFS($B$6:$B$797,B310,$C$6:$C$797,C310,$G$6:$G$797,"REVIEW")=0,COUNTIFS($B$6:$B$797,B310,$C$6:$C$797,C310,$H$6:$H$797,1)=11,COUNTIFS($B$6:$B$797,B310,$C$6:$C$797,C310,$F$6:$F$797,"&gt;0")=11),1,0)</x:f>
        <x:v>1</x:v>
      </x:c>
      <x:c r="J310" s="2" t="n">
        <x:f>COUNTIFS($A$6:$A$797,A310)</x:f>
        <x:v>1</x:v>
      </x:c>
    </x:row>
    <x:row r="311" ht="23" customHeight="1">
      <x:c r="A311" s="2" t="str">
        <x:v>61103099_TR_202510_IMPORT</x:v>
      </x:c>
      <x:c r="B311" s="2" t="n">
        <x:v>202510</x:v>
      </x:c>
      <x:c r="C311" s="2" t="str">
        <x:v>61103099</x:v>
      </x:c>
      <x:c r="D311" s="2" t="str">
        <x:v>Turkey</x:v>
      </x:c>
      <x:c r="E311" s="16" t="n">
        <x:v>9021102</x:v>
      </x:c>
      <x:c r="F311" s="16" t="n">
        <x:v>566413</x:v>
      </x:c>
      <x:c r="G311" s="2" t="str">
        <x:v>WITHIN_BAND</x:v>
      </x:c>
      <x:c r="H311" s="2" t="n">
        <x:v>1</x:v>
      </x:c>
      <x:c r="I311" s="2" t="n">
        <x:f>IF(AND(COUNTIFS($B$6:$B$797,B311,$C$6:$C$797,C311)=11,COUNTIFS($B$6:$B$797,B311,$C$6:$C$797,C311,$G$6:$G$797,"REVIEW")=0,COUNTIFS($B$6:$B$797,B311,$C$6:$C$797,C311,$H$6:$H$797,1)=11,COUNTIFS($B$6:$B$797,B311,$C$6:$C$797,C311,$F$6:$F$797,"&gt;0")=11),1,0)</x:f>
        <x:v>1</x:v>
      </x:c>
      <x:c r="J311" s="2" t="n">
        <x:f>COUNTIFS($A$6:$A$797,A311)</x:f>
        <x:v>1</x:v>
      </x:c>
    </x:row>
    <x:row r="312" ht="23" customHeight="1">
      <x:c r="A312" s="2" t="str">
        <x:v>61103099_VN_202510_IMPORT</x:v>
      </x:c>
      <x:c r="B312" s="2" t="n">
        <x:v>202510</x:v>
      </x:c>
      <x:c r="C312" s="2" t="str">
        <x:v>61103099</x:v>
      </x:c>
      <x:c r="D312" s="2" t="str">
        <x:v>Vietnam</x:v>
      </x:c>
      <x:c r="E312" s="16" t="n">
        <x:v>960926</x:v>
      </x:c>
      <x:c r="F312" s="16" t="n">
        <x:v>39945</x:v>
      </x:c>
      <x:c r="G312" s="2" t="str">
        <x:v>WITHIN_BAND</x:v>
      </x:c>
      <x:c r="H312" s="2" t="n">
        <x:v>1</x:v>
      </x:c>
      <x:c r="I312" s="2" t="n">
        <x:f>IF(AND(COUNTIFS($B$6:$B$797,B312,$C$6:$C$797,C312)=11,COUNTIFS($B$6:$B$797,B312,$C$6:$C$797,C312,$G$6:$G$797,"REVIEW")=0,COUNTIFS($B$6:$B$797,B312,$C$6:$C$797,C312,$H$6:$H$797,1)=11,COUNTIFS($B$6:$B$797,B312,$C$6:$C$797,C312,$F$6:$F$797,"&gt;0")=11),1,0)</x:f>
        <x:v>1</x:v>
      </x:c>
      <x:c r="J312" s="2" t="n">
        <x:f>COUNTIFS($A$6:$A$797,A312)</x:f>
        <x:v>1</x:v>
      </x:c>
    </x:row>
    <x:row r="313" ht="23" customHeight="1">
      <x:c r="A313" s="2" t="str">
        <x:v>61103099_WORLD_202510_IMPORT</x:v>
      </x:c>
      <x:c r="B313" s="2" t="n">
        <x:v>202510</x:v>
      </x:c>
      <x:c r="C313" s="2" t="str">
        <x:v>61103099</x:v>
      </x:c>
      <x:c r="D313" s="2" t="str">
        <x:v>World</x:v>
      </x:c>
      <x:c r="E313" s="16" t="n">
        <x:v>109007704</x:v>
      </x:c>
      <x:c r="F313" s="16" t="n">
        <x:v>7465799</x:v>
      </x:c>
      <x:c r="G313" s="2" t="str">
        <x:v>WITHIN_BAND</x:v>
      </x:c>
      <x:c r="H313" s="2" t="n">
        <x:v>1</x:v>
      </x:c>
      <x:c r="I313" s="2" t="n">
        <x:f>IF(AND(COUNTIFS($B$6:$B$797,B313,$C$6:$C$797,C313)=11,COUNTIFS($B$6:$B$797,B313,$C$6:$C$797,C313,$G$6:$G$797,"REVIEW")=0,COUNTIFS($B$6:$B$797,B313,$C$6:$C$797,C313,$H$6:$H$797,1)=11,COUNTIFS($B$6:$B$797,B313,$C$6:$C$797,C313,$F$6:$F$797,"&gt;0")=11),1,0)</x:f>
        <x:v>1</x:v>
      </x:c>
      <x:c r="J313" s="2" t="n">
        <x:f>COUNTIFS($A$6:$A$797,A313)</x:f>
        <x:v>1</x:v>
      </x:c>
    </x:row>
    <x:row r="314" ht="23" customHeight="1">
      <x:c r="A314" s="2" t="str">
        <x:v>61103099_BD_202511_IMPORT</x:v>
      </x:c>
      <x:c r="B314" s="2" t="n">
        <x:v>202511</x:v>
      </x:c>
      <x:c r="C314" s="2" t="str">
        <x:v>61103099</x:v>
      </x:c>
      <x:c r="D314" s="2" t="str">
        <x:v>Bangladesh</x:v>
      </x:c>
      <x:c r="E314" s="16" t="n">
        <x:v>19225452</x:v>
      </x:c>
      <x:c r="F314" s="16" t="n">
        <x:v>1600777</x:v>
      </x:c>
      <x:c r="G314" s="2" t="str">
        <x:v>WITHIN_BAND</x:v>
      </x:c>
      <x:c r="H314" s="2" t="n">
        <x:v>1</x:v>
      </x:c>
      <x:c r="I314" s="2" t="n">
        <x:f>IF(AND(COUNTIFS($B$6:$B$797,B314,$C$6:$C$797,C314)=11,COUNTIFS($B$6:$B$797,B314,$C$6:$C$797,C314,$G$6:$G$797,"REVIEW")=0,COUNTIFS($B$6:$B$797,B314,$C$6:$C$797,C314,$H$6:$H$797,1)=11,COUNTIFS($B$6:$B$797,B314,$C$6:$C$797,C314,$F$6:$F$797,"&gt;0")=11),1,0)</x:f>
        <x:v>1</x:v>
      </x:c>
      <x:c r="J314" s="2" t="n">
        <x:f>COUNTIFS($A$6:$A$797,A314)</x:f>
        <x:v>1</x:v>
      </x:c>
    </x:row>
    <x:row r="315" ht="23" customHeight="1">
      <x:c r="A315" s="2" t="str">
        <x:v>61103099_KH_202511_IMPORT</x:v>
      </x:c>
      <x:c r="B315" s="2" t="n">
        <x:v>202511</x:v>
      </x:c>
      <x:c r="C315" s="2" t="str">
        <x:v>61103099</x:v>
      </x:c>
      <x:c r="D315" s="2" t="str">
        <x:v>Cambodia</x:v>
      </x:c>
      <x:c r="E315" s="16" t="n">
        <x:v>6042295</x:v>
      </x:c>
      <x:c r="F315" s="16" t="n">
        <x:v>462161</x:v>
      </x:c>
      <x:c r="G315" s="2" t="str">
        <x:v>WITHIN_BAND</x:v>
      </x:c>
      <x:c r="H315" s="2" t="n">
        <x:v>1</x:v>
      </x:c>
      <x:c r="I315" s="2" t="n">
        <x:f>IF(AND(COUNTIFS($B$6:$B$797,B315,$C$6:$C$797,C315)=11,COUNTIFS($B$6:$B$797,B315,$C$6:$C$797,C315,$G$6:$G$797,"REVIEW")=0,COUNTIFS($B$6:$B$797,B315,$C$6:$C$797,C315,$H$6:$H$797,1)=11,COUNTIFS($B$6:$B$797,B315,$C$6:$C$797,C315,$F$6:$F$797,"&gt;0")=11),1,0)</x:f>
        <x:v>1</x:v>
      </x:c>
      <x:c r="J315" s="2" t="n">
        <x:f>COUNTIFS($A$6:$A$797,A315)</x:f>
        <x:v>1</x:v>
      </x:c>
    </x:row>
    <x:row r="316" ht="23" customHeight="1">
      <x:c r="A316" s="2" t="str">
        <x:v>61103099_CN_202511_IMPORT</x:v>
      </x:c>
      <x:c r="B316" s="2" t="n">
        <x:v>202511</x:v>
      </x:c>
      <x:c r="C316" s="2" t="str">
        <x:v>61103099</x:v>
      </x:c>
      <x:c r="D316" s="2" t="str">
        <x:v>China</x:v>
      </x:c>
      <x:c r="E316" s="16" t="n">
        <x:v>26940430</x:v>
      </x:c>
      <x:c r="F316" s="16" t="n">
        <x:v>1969281</x:v>
      </x:c>
      <x:c r="G316" s="2" t="str">
        <x:v>WITHIN_BAND</x:v>
      </x:c>
      <x:c r="H316" s="2" t="n">
        <x:v>1</x:v>
      </x:c>
      <x:c r="I316" s="2" t="n">
        <x:f>IF(AND(COUNTIFS($B$6:$B$797,B316,$C$6:$C$797,C316)=11,COUNTIFS($B$6:$B$797,B316,$C$6:$C$797,C316,$G$6:$G$797,"REVIEW")=0,COUNTIFS($B$6:$B$797,B316,$C$6:$C$797,C316,$H$6:$H$797,1)=11,COUNTIFS($B$6:$B$797,B316,$C$6:$C$797,C316,$F$6:$F$797,"&gt;0")=11),1,0)</x:f>
        <x:v>1</x:v>
      </x:c>
      <x:c r="J316" s="2" t="n">
        <x:f>COUNTIFS($A$6:$A$797,A316)</x:f>
        <x:v>1</x:v>
      </x:c>
    </x:row>
    <x:row r="317" ht="23" customHeight="1">
      <x:c r="A317" s="2" t="str">
        <x:v>61103099_IN_202511_IMPORT</x:v>
      </x:c>
      <x:c r="B317" s="2" t="n">
        <x:v>202511</x:v>
      </x:c>
      <x:c r="C317" s="2" t="str">
        <x:v>61103099</x:v>
      </x:c>
      <x:c r="D317" s="2" t="str">
        <x:v>India</x:v>
      </x:c>
      <x:c r="E317" s="16" t="n">
        <x:v>192721</x:v>
      </x:c>
      <x:c r="F317" s="16" t="n">
        <x:v>14570</x:v>
      </x:c>
      <x:c r="G317" s="2" t="str">
        <x:v>WITHIN_BAND</x:v>
      </x:c>
      <x:c r="H317" s="2" t="n">
        <x:v>1</x:v>
      </x:c>
      <x:c r="I317" s="2" t="n">
        <x:f>IF(AND(COUNTIFS($B$6:$B$797,B317,$C$6:$C$797,C317)=11,COUNTIFS($B$6:$B$797,B317,$C$6:$C$797,C317,$G$6:$G$797,"REVIEW")=0,COUNTIFS($B$6:$B$797,B317,$C$6:$C$797,C317,$H$6:$H$797,1)=11,COUNTIFS($B$6:$B$797,B317,$C$6:$C$797,C317,$F$6:$F$797,"&gt;0")=11),1,0)</x:f>
        <x:v>1</x:v>
      </x:c>
      <x:c r="J317" s="2" t="n">
        <x:f>COUNTIFS($A$6:$A$797,A317)</x:f>
        <x:v>1</x:v>
      </x:c>
    </x:row>
    <x:row r="318" ht="23" customHeight="1">
      <x:c r="A318" s="2" t="str">
        <x:v>61103099_MA_202511_IMPORT</x:v>
      </x:c>
      <x:c r="B318" s="2" t="n">
        <x:v>202511</x:v>
      </x:c>
      <x:c r="C318" s="2" t="str">
        <x:v>61103099</x:v>
      </x:c>
      <x:c r="D318" s="2" t="str">
        <x:v>Morocco</x:v>
      </x:c>
      <x:c r="E318" s="16" t="n">
        <x:v>49056</x:v>
      </x:c>
      <x:c r="F318" s="16" t="n">
        <x:v>1623</x:v>
      </x:c>
      <x:c r="G318" s="2" t="str">
        <x:v>WITHIN_BAND</x:v>
      </x:c>
      <x:c r="H318" s="2" t="n">
        <x:v>1</x:v>
      </x:c>
      <x:c r="I318" s="2" t="n">
        <x:f>IF(AND(COUNTIFS($B$6:$B$797,B318,$C$6:$C$797,C318)=11,COUNTIFS($B$6:$B$797,B318,$C$6:$C$797,C318,$G$6:$G$797,"REVIEW")=0,COUNTIFS($B$6:$B$797,B318,$C$6:$C$797,C318,$H$6:$H$797,1)=11,COUNTIFS($B$6:$B$797,B318,$C$6:$C$797,C318,$F$6:$F$797,"&gt;0")=11),1,0)</x:f>
        <x:v>1</x:v>
      </x:c>
      <x:c r="J318" s="2" t="n">
        <x:f>COUNTIFS($A$6:$A$797,A318)</x:f>
        <x:v>1</x:v>
      </x:c>
    </x:row>
    <x:row r="319" ht="23" customHeight="1">
      <x:c r="A319" s="2" t="str">
        <x:v>61103099_MM_202511_IMPORT</x:v>
      </x:c>
      <x:c r="B319" s="2" t="n">
        <x:v>202511</x:v>
      </x:c>
      <x:c r="C319" s="2" t="str">
        <x:v>61103099</x:v>
      </x:c>
      <x:c r="D319" s="2" t="str">
        <x:v>Myanmar</x:v>
      </x:c>
      <x:c r="E319" s="16" t="n">
        <x:v>982223</x:v>
      </x:c>
      <x:c r="F319" s="16" t="n">
        <x:v>66279</x:v>
      </x:c>
      <x:c r="G319" s="2" t="str">
        <x:v>WITHIN_BAND</x:v>
      </x:c>
      <x:c r="H319" s="2" t="n">
        <x:v>1</x:v>
      </x:c>
      <x:c r="I319" s="2" t="n">
        <x:f>IF(AND(COUNTIFS($B$6:$B$797,B319,$C$6:$C$797,C319)=11,COUNTIFS($B$6:$B$797,B319,$C$6:$C$797,C319,$G$6:$G$797,"REVIEW")=0,COUNTIFS($B$6:$B$797,B319,$C$6:$C$797,C319,$H$6:$H$797,1)=11,COUNTIFS($B$6:$B$797,B319,$C$6:$C$797,C319,$F$6:$F$797,"&gt;0")=11),1,0)</x:f>
        <x:v>1</x:v>
      </x:c>
      <x:c r="J319" s="2" t="n">
        <x:f>COUNTIFS($A$6:$A$797,A319)</x:f>
        <x:v>1</x:v>
      </x:c>
    </x:row>
    <x:row r="320" ht="23" customHeight="1">
      <x:c r="A320" s="2" t="str">
        <x:v>61103099_PK_202511_IMPORT</x:v>
      </x:c>
      <x:c r="B320" s="2" t="n">
        <x:v>202511</x:v>
      </x:c>
      <x:c r="C320" s="2" t="str">
        <x:v>61103099</x:v>
      </x:c>
      <x:c r="D320" s="2" t="str">
        <x:v>Pakistan</x:v>
      </x:c>
      <x:c r="E320" s="16" t="n">
        <x:v>578975</x:v>
      </x:c>
      <x:c r="F320" s="16" t="n">
        <x:v>49130</x:v>
      </x:c>
      <x:c r="G320" s="2" t="str">
        <x:v>WITHIN_BAND</x:v>
      </x:c>
      <x:c r="H320" s="2" t="n">
        <x:v>1</x:v>
      </x:c>
      <x:c r="I320" s="2" t="n">
        <x:f>IF(AND(COUNTIFS($B$6:$B$797,B320,$C$6:$C$797,C320)=11,COUNTIFS($B$6:$B$797,B320,$C$6:$C$797,C320,$G$6:$G$797,"REVIEW")=0,COUNTIFS($B$6:$B$797,B320,$C$6:$C$797,C320,$H$6:$H$797,1)=11,COUNTIFS($B$6:$B$797,B320,$C$6:$C$797,C320,$F$6:$F$797,"&gt;0")=11),1,0)</x:f>
        <x:v>1</x:v>
      </x:c>
      <x:c r="J320" s="2" t="n">
        <x:f>COUNTIFS($A$6:$A$797,A320)</x:f>
        <x:v>1</x:v>
      </x:c>
    </x:row>
    <x:row r="321" ht="23" customHeight="1">
      <x:c r="A321" s="2" t="str">
        <x:v>61103099_LK_202511_IMPORT</x:v>
      </x:c>
      <x:c r="B321" s="2" t="n">
        <x:v>202511</x:v>
      </x:c>
      <x:c r="C321" s="2" t="str">
        <x:v>61103099</x:v>
      </x:c>
      <x:c r="D321" s="2" t="str">
        <x:v>Sri Lanka</x:v>
      </x:c>
      <x:c r="E321" s="16" t="n">
        <x:v>256452</x:v>
      </x:c>
      <x:c r="F321" s="16" t="n">
        <x:v>16083</x:v>
      </x:c>
      <x:c r="G321" s="2" t="str">
        <x:v>WITHIN_BAND</x:v>
      </x:c>
      <x:c r="H321" s="2" t="n">
        <x:v>1</x:v>
      </x:c>
      <x:c r="I321" s="2" t="n">
        <x:f>IF(AND(COUNTIFS($B$6:$B$797,B321,$C$6:$C$797,C321)=11,COUNTIFS($B$6:$B$797,B321,$C$6:$C$797,C321,$G$6:$G$797,"REVIEW")=0,COUNTIFS($B$6:$B$797,B321,$C$6:$C$797,C321,$H$6:$H$797,1)=11,COUNTIFS($B$6:$B$797,B321,$C$6:$C$797,C321,$F$6:$F$797,"&gt;0")=11),1,0)</x:f>
        <x:v>1</x:v>
      </x:c>
      <x:c r="J321" s="2" t="n">
        <x:f>COUNTIFS($A$6:$A$797,A321)</x:f>
        <x:v>1</x:v>
      </x:c>
    </x:row>
    <x:row r="322" ht="23" customHeight="1">
      <x:c r="A322" s="2" t="str">
        <x:v>61103099_TR_202511_IMPORT</x:v>
      </x:c>
      <x:c r="B322" s="2" t="n">
        <x:v>202511</x:v>
      </x:c>
      <x:c r="C322" s="2" t="str">
        <x:v>61103099</x:v>
      </x:c>
      <x:c r="D322" s="2" t="str">
        <x:v>Turkey</x:v>
      </x:c>
      <x:c r="E322" s="16" t="n">
        <x:v>5837646</x:v>
      </x:c>
      <x:c r="F322" s="16" t="n">
        <x:v>274136</x:v>
      </x:c>
      <x:c r="G322" s="2" t="str">
        <x:v>WITHIN_BAND</x:v>
      </x:c>
      <x:c r="H322" s="2" t="n">
        <x:v>1</x:v>
      </x:c>
      <x:c r="I322" s="2" t="n">
        <x:f>IF(AND(COUNTIFS($B$6:$B$797,B322,$C$6:$C$797,C322)=11,COUNTIFS($B$6:$B$797,B322,$C$6:$C$797,C322,$G$6:$G$797,"REVIEW")=0,COUNTIFS($B$6:$B$797,B322,$C$6:$C$797,C322,$H$6:$H$797,1)=11,COUNTIFS($B$6:$B$797,B322,$C$6:$C$797,C322,$F$6:$F$797,"&gt;0")=11),1,0)</x:f>
        <x:v>1</x:v>
      </x:c>
      <x:c r="J322" s="2" t="n">
        <x:f>COUNTIFS($A$6:$A$797,A322)</x:f>
        <x:v>1</x:v>
      </x:c>
    </x:row>
    <x:row r="323" ht="23" customHeight="1">
      <x:c r="A323" s="2" t="str">
        <x:v>61103099_VN_202511_IMPORT</x:v>
      </x:c>
      <x:c r="B323" s="2" t="n">
        <x:v>202511</x:v>
      </x:c>
      <x:c r="C323" s="2" t="str">
        <x:v>61103099</x:v>
      </x:c>
      <x:c r="D323" s="2" t="str">
        <x:v>Vietnam</x:v>
      </x:c>
      <x:c r="E323" s="16" t="n">
        <x:v>1149971</x:v>
      </x:c>
      <x:c r="F323" s="16" t="n">
        <x:v>44176</x:v>
      </x:c>
      <x:c r="G323" s="2" t="str">
        <x:v>WITHIN_BAND</x:v>
      </x:c>
      <x:c r="H323" s="2" t="n">
        <x:v>1</x:v>
      </x:c>
      <x:c r="I323" s="2" t="n">
        <x:f>IF(AND(COUNTIFS($B$6:$B$797,B323,$C$6:$C$797,C323)=11,COUNTIFS($B$6:$B$797,B323,$C$6:$C$797,C323,$G$6:$G$797,"REVIEW")=0,COUNTIFS($B$6:$B$797,B323,$C$6:$C$797,C323,$H$6:$H$797,1)=11,COUNTIFS($B$6:$B$797,B323,$C$6:$C$797,C323,$F$6:$F$797,"&gt;0")=11),1,0)</x:f>
        <x:v>1</x:v>
      </x:c>
      <x:c r="J323" s="2" t="n">
        <x:f>COUNTIFS($A$6:$A$797,A323)</x:f>
        <x:v>1</x:v>
      </x:c>
    </x:row>
    <x:row r="324" ht="23" customHeight="1">
      <x:c r="A324" s="2" t="str">
        <x:v>61103099_WORLD_202511_IMPORT</x:v>
      </x:c>
      <x:c r="B324" s="2" t="n">
        <x:v>202511</x:v>
      </x:c>
      <x:c r="C324" s="2" t="str">
        <x:v>61103099</x:v>
      </x:c>
      <x:c r="D324" s="2" t="str">
        <x:v>World</x:v>
      </x:c>
      <x:c r="E324" s="16" t="n">
        <x:v>79498140</x:v>
      </x:c>
      <x:c r="F324" s="16" t="n">
        <x:v>5290631</x:v>
      </x:c>
      <x:c r="G324" s="2" t="str">
        <x:v>WITHIN_BAND</x:v>
      </x:c>
      <x:c r="H324" s="2" t="n">
        <x:v>1</x:v>
      </x:c>
      <x:c r="I324" s="2" t="n">
        <x:f>IF(AND(COUNTIFS($B$6:$B$797,B324,$C$6:$C$797,C324)=11,COUNTIFS($B$6:$B$797,B324,$C$6:$C$797,C324,$G$6:$G$797,"REVIEW")=0,COUNTIFS($B$6:$B$797,B324,$C$6:$C$797,C324,$H$6:$H$797,1)=11,COUNTIFS($B$6:$B$797,B324,$C$6:$C$797,C324,$F$6:$F$797,"&gt;0")=11),1,0)</x:f>
        <x:v>1</x:v>
      </x:c>
      <x:c r="J324" s="2" t="n">
        <x:f>COUNTIFS($A$6:$A$797,A324)</x:f>
        <x:v>1</x:v>
      </x:c>
    </x:row>
    <x:row r="325" ht="23" customHeight="1">
      <x:c r="A325" s="2" t="str">
        <x:v>61103099_BD_202512_IMPORT</x:v>
      </x:c>
      <x:c r="B325" s="2" t="n">
        <x:v>202512</x:v>
      </x:c>
      <x:c r="C325" s="2" t="str">
        <x:v>61103099</x:v>
      </x:c>
      <x:c r="D325" s="2" t="str">
        <x:v>Bangladesh</x:v>
      </x:c>
      <x:c r="E325" s="16" t="n">
        <x:v>14760003</x:v>
      </x:c>
      <x:c r="F325" s="16" t="n">
        <x:v>1249823</x:v>
      </x:c>
      <x:c r="G325" s="2" t="str">
        <x:v>WITHIN_BAND</x:v>
      </x:c>
      <x:c r="H325" s="2" t="n">
        <x:v>1</x:v>
      </x:c>
      <x:c r="I325" s="2" t="n">
        <x:f>IF(AND(COUNTIFS($B$6:$B$797,B325,$C$6:$C$797,C325)=11,COUNTIFS($B$6:$B$797,B325,$C$6:$C$797,C325,$G$6:$G$797,"REVIEW")=0,COUNTIFS($B$6:$B$797,B325,$C$6:$C$797,C325,$H$6:$H$797,1)=11,COUNTIFS($B$6:$B$797,B325,$C$6:$C$797,C325,$F$6:$F$797,"&gt;0")=11),1,0)</x:f>
        <x:v>1</x:v>
      </x:c>
      <x:c r="J325" s="2" t="n">
        <x:f>COUNTIFS($A$6:$A$797,A325)</x:f>
        <x:v>1</x:v>
      </x:c>
    </x:row>
    <x:row r="326" ht="23" customHeight="1">
      <x:c r="A326" s="2" t="str">
        <x:v>61103099_KH_202512_IMPORT</x:v>
      </x:c>
      <x:c r="B326" s="2" t="n">
        <x:v>202512</x:v>
      </x:c>
      <x:c r="C326" s="2" t="str">
        <x:v>61103099</x:v>
      </x:c>
      <x:c r="D326" s="2" t="str">
        <x:v>Cambodia</x:v>
      </x:c>
      <x:c r="E326" s="16" t="n">
        <x:v>5695663</x:v>
      </x:c>
      <x:c r="F326" s="16" t="n">
        <x:v>444259</x:v>
      </x:c>
      <x:c r="G326" s="2" t="str">
        <x:v>WITHIN_BAND</x:v>
      </x:c>
      <x:c r="H326" s="2" t="n">
        <x:v>1</x:v>
      </x:c>
      <x:c r="I326" s="2" t="n">
        <x:f>IF(AND(COUNTIFS($B$6:$B$797,B326,$C$6:$C$797,C326)=11,COUNTIFS($B$6:$B$797,B326,$C$6:$C$797,C326,$G$6:$G$797,"REVIEW")=0,COUNTIFS($B$6:$B$797,B326,$C$6:$C$797,C326,$H$6:$H$797,1)=11,COUNTIFS($B$6:$B$797,B326,$C$6:$C$797,C326,$F$6:$F$797,"&gt;0")=11),1,0)</x:f>
        <x:v>1</x:v>
      </x:c>
      <x:c r="J326" s="2" t="n">
        <x:f>COUNTIFS($A$6:$A$797,A326)</x:f>
        <x:v>1</x:v>
      </x:c>
    </x:row>
    <x:row r="327" ht="23" customHeight="1">
      <x:c r="A327" s="2" t="str">
        <x:v>61103099_CN_202512_IMPORT</x:v>
      </x:c>
      <x:c r="B327" s="2" t="n">
        <x:v>202512</x:v>
      </x:c>
      <x:c r="C327" s="2" t="str">
        <x:v>61103099</x:v>
      </x:c>
      <x:c r="D327" s="2" t="str">
        <x:v>China</x:v>
      </x:c>
      <x:c r="E327" s="16" t="n">
        <x:v>23700504</x:v>
      </x:c>
      <x:c r="F327" s="16" t="n">
        <x:v>1541294</x:v>
      </x:c>
      <x:c r="G327" s="2" t="str">
        <x:v>WITHIN_BAND</x:v>
      </x:c>
      <x:c r="H327" s="2" t="n">
        <x:v>1</x:v>
      </x:c>
      <x:c r="I327" s="2" t="n">
        <x:f>IF(AND(COUNTIFS($B$6:$B$797,B327,$C$6:$C$797,C327)=11,COUNTIFS($B$6:$B$797,B327,$C$6:$C$797,C327,$G$6:$G$797,"REVIEW")=0,COUNTIFS($B$6:$B$797,B327,$C$6:$C$797,C327,$H$6:$H$797,1)=11,COUNTIFS($B$6:$B$797,B327,$C$6:$C$797,C327,$F$6:$F$797,"&gt;0")=11),1,0)</x:f>
        <x:v>1</x:v>
      </x:c>
      <x:c r="J327" s="2" t="n">
        <x:f>COUNTIFS($A$6:$A$797,A327)</x:f>
        <x:v>1</x:v>
      </x:c>
    </x:row>
    <x:row r="328" ht="23" customHeight="1">
      <x:c r="A328" s="2" t="str">
        <x:v>61103099_IN_202512_IMPORT</x:v>
      </x:c>
      <x:c r="B328" s="2" t="n">
        <x:v>202512</x:v>
      </x:c>
      <x:c r="C328" s="2" t="str">
        <x:v>61103099</x:v>
      </x:c>
      <x:c r="D328" s="2" t="str">
        <x:v>India</x:v>
      </x:c>
      <x:c r="E328" s="16" t="n">
        <x:v>339367</x:v>
      </x:c>
      <x:c r="F328" s="16" t="n">
        <x:v>24281</x:v>
      </x:c>
      <x:c r="G328" s="2" t="str">
        <x:v>WITHIN_BAND</x:v>
      </x:c>
      <x:c r="H328" s="2" t="n">
        <x:v>1</x:v>
      </x:c>
      <x:c r="I328" s="2" t="n">
        <x:f>IF(AND(COUNTIFS($B$6:$B$797,B328,$C$6:$C$797,C328)=11,COUNTIFS($B$6:$B$797,B328,$C$6:$C$797,C328,$G$6:$G$797,"REVIEW")=0,COUNTIFS($B$6:$B$797,B328,$C$6:$C$797,C328,$H$6:$H$797,1)=11,COUNTIFS($B$6:$B$797,B328,$C$6:$C$797,C328,$F$6:$F$797,"&gt;0")=11),1,0)</x:f>
        <x:v>1</x:v>
      </x:c>
      <x:c r="J328" s="2" t="n">
        <x:f>COUNTIFS($A$6:$A$797,A328)</x:f>
        <x:v>1</x:v>
      </x:c>
    </x:row>
    <x:row r="329" ht="23" customHeight="1">
      <x:c r="A329" s="2" t="str">
        <x:v>61103099_MA_202512_IMPORT</x:v>
      </x:c>
      <x:c r="B329" s="2" t="n">
        <x:v>202512</x:v>
      </x:c>
      <x:c r="C329" s="2" t="str">
        <x:v>61103099</x:v>
      </x:c>
      <x:c r="D329" s="2" t="str">
        <x:v>Morocco</x:v>
      </x:c>
      <x:c r="E329" s="16" t="n">
        <x:v>62154</x:v>
      </x:c>
      <x:c r="F329" s="16" t="n">
        <x:v>1852</x:v>
      </x:c>
      <x:c r="G329" s="2" t="str">
        <x:v>WITHIN_BAND</x:v>
      </x:c>
      <x:c r="H329" s="2" t="n">
        <x:v>1</x:v>
      </x:c>
      <x:c r="I329" s="2" t="n">
        <x:f>IF(AND(COUNTIFS($B$6:$B$797,B329,$C$6:$C$797,C329)=11,COUNTIFS($B$6:$B$797,B329,$C$6:$C$797,C329,$G$6:$G$797,"REVIEW")=0,COUNTIFS($B$6:$B$797,B329,$C$6:$C$797,C329,$H$6:$H$797,1)=11,COUNTIFS($B$6:$B$797,B329,$C$6:$C$797,C329,$F$6:$F$797,"&gt;0")=11),1,0)</x:f>
        <x:v>1</x:v>
      </x:c>
      <x:c r="J329" s="2" t="n">
        <x:f>COUNTIFS($A$6:$A$797,A329)</x:f>
        <x:v>1</x:v>
      </x:c>
    </x:row>
    <x:row r="330" ht="23" customHeight="1">
      <x:c r="A330" s="2" t="str">
        <x:v>61103099_MM_202512_IMPORT</x:v>
      </x:c>
      <x:c r="B330" s="2" t="n">
        <x:v>202512</x:v>
      </x:c>
      <x:c r="C330" s="2" t="str">
        <x:v>61103099</x:v>
      </x:c>
      <x:c r="D330" s="2" t="str">
        <x:v>Myanmar</x:v>
      </x:c>
      <x:c r="E330" s="16" t="n">
        <x:v>1076130</x:v>
      </x:c>
      <x:c r="F330" s="16" t="n">
        <x:v>64841</x:v>
      </x:c>
      <x:c r="G330" s="2" t="str">
        <x:v>WITHIN_BAND</x:v>
      </x:c>
      <x:c r="H330" s="2" t="n">
        <x:v>1</x:v>
      </x:c>
      <x:c r="I330" s="2" t="n">
        <x:f>IF(AND(COUNTIFS($B$6:$B$797,B330,$C$6:$C$797,C330)=11,COUNTIFS($B$6:$B$797,B330,$C$6:$C$797,C330,$G$6:$G$797,"REVIEW")=0,COUNTIFS($B$6:$B$797,B330,$C$6:$C$797,C330,$H$6:$H$797,1)=11,COUNTIFS($B$6:$B$797,B330,$C$6:$C$797,C330,$F$6:$F$797,"&gt;0")=11),1,0)</x:f>
        <x:v>1</x:v>
      </x:c>
      <x:c r="J330" s="2" t="n">
        <x:f>COUNTIFS($A$6:$A$797,A330)</x:f>
        <x:v>1</x:v>
      </x:c>
    </x:row>
    <x:row r="331" ht="23" customHeight="1">
      <x:c r="A331" s="2" t="str">
        <x:v>61103099_PK_202512_IMPORT</x:v>
      </x:c>
      <x:c r="B331" s="2" t="n">
        <x:v>202512</x:v>
      </x:c>
      <x:c r="C331" s="2" t="str">
        <x:v>61103099</x:v>
      </x:c>
      <x:c r="D331" s="2" t="str">
        <x:v>Pakistan</x:v>
      </x:c>
      <x:c r="E331" s="16" t="n">
        <x:v>701062</x:v>
      </x:c>
      <x:c r="F331" s="16" t="n">
        <x:v>50482</x:v>
      </x:c>
      <x:c r="G331" s="2" t="str">
        <x:v>WITHIN_BAND</x:v>
      </x:c>
      <x:c r="H331" s="2" t="n">
        <x:v>1</x:v>
      </x:c>
      <x:c r="I331" s="2" t="n">
        <x:f>IF(AND(COUNTIFS($B$6:$B$797,B331,$C$6:$C$797,C331)=11,COUNTIFS($B$6:$B$797,B331,$C$6:$C$797,C331,$G$6:$G$797,"REVIEW")=0,COUNTIFS($B$6:$B$797,B331,$C$6:$C$797,C331,$H$6:$H$797,1)=11,COUNTIFS($B$6:$B$797,B331,$C$6:$C$797,C331,$F$6:$F$797,"&gt;0")=11),1,0)</x:f>
        <x:v>1</x:v>
      </x:c>
      <x:c r="J331" s="2" t="n">
        <x:f>COUNTIFS($A$6:$A$797,A331)</x:f>
        <x:v>1</x:v>
      </x:c>
    </x:row>
    <x:row r="332" ht="23" customHeight="1">
      <x:c r="A332" s="2" t="str">
        <x:v>61103099_LK_202512_IMPORT</x:v>
      </x:c>
      <x:c r="B332" s="2" t="n">
        <x:v>202512</x:v>
      </x:c>
      <x:c r="C332" s="2" t="str">
        <x:v>61103099</x:v>
      </x:c>
      <x:c r="D332" s="2" t="str">
        <x:v>Sri Lanka</x:v>
      </x:c>
      <x:c r="E332" s="16" t="n">
        <x:v>46278</x:v>
      </x:c>
      <x:c r="F332" s="16" t="n">
        <x:v>2950</x:v>
      </x:c>
      <x:c r="G332" s="2" t="str">
        <x:v>WITHIN_BAND</x:v>
      </x:c>
      <x:c r="H332" s="2" t="n">
        <x:v>1</x:v>
      </x:c>
      <x:c r="I332" s="2" t="n">
        <x:f>IF(AND(COUNTIFS($B$6:$B$797,B332,$C$6:$C$797,C332)=11,COUNTIFS($B$6:$B$797,B332,$C$6:$C$797,C332,$G$6:$G$797,"REVIEW")=0,COUNTIFS($B$6:$B$797,B332,$C$6:$C$797,C332,$H$6:$H$797,1)=11,COUNTIFS($B$6:$B$797,B332,$C$6:$C$797,C332,$F$6:$F$797,"&gt;0")=11),1,0)</x:f>
        <x:v>1</x:v>
      </x:c>
      <x:c r="J332" s="2" t="n">
        <x:f>COUNTIFS($A$6:$A$797,A332)</x:f>
        <x:v>1</x:v>
      </x:c>
    </x:row>
    <x:row r="333" ht="23" customHeight="1">
      <x:c r="A333" s="2" t="str">
        <x:v>61103099_TR_202512_IMPORT</x:v>
      </x:c>
      <x:c r="B333" s="2" t="n">
        <x:v>202512</x:v>
      </x:c>
      <x:c r="C333" s="2" t="str">
        <x:v>61103099</x:v>
      </x:c>
      <x:c r="D333" s="2" t="str">
        <x:v>Turkey</x:v>
      </x:c>
      <x:c r="E333" s="16" t="n">
        <x:v>5169246</x:v>
      </x:c>
      <x:c r="F333" s="16" t="n">
        <x:v>267936</x:v>
      </x:c>
      <x:c r="G333" s="2" t="str">
        <x:v>WITHIN_BAND</x:v>
      </x:c>
      <x:c r="H333" s="2" t="n">
        <x:v>1</x:v>
      </x:c>
      <x:c r="I333" s="2" t="n">
        <x:f>IF(AND(COUNTIFS($B$6:$B$797,B333,$C$6:$C$797,C333)=11,COUNTIFS($B$6:$B$797,B333,$C$6:$C$797,C333,$G$6:$G$797,"REVIEW")=0,COUNTIFS($B$6:$B$797,B333,$C$6:$C$797,C333,$H$6:$H$797,1)=11,COUNTIFS($B$6:$B$797,B333,$C$6:$C$797,C333,$F$6:$F$797,"&gt;0")=11),1,0)</x:f>
        <x:v>1</x:v>
      </x:c>
      <x:c r="J333" s="2" t="n">
        <x:f>COUNTIFS($A$6:$A$797,A333)</x:f>
        <x:v>1</x:v>
      </x:c>
    </x:row>
    <x:row r="334" ht="23" customHeight="1">
      <x:c r="A334" s="2" t="str">
        <x:v>61103099_VN_202512_IMPORT</x:v>
      </x:c>
      <x:c r="B334" s="2" t="n">
        <x:v>202512</x:v>
      </x:c>
      <x:c r="C334" s="2" t="str">
        <x:v>61103099</x:v>
      </x:c>
      <x:c r="D334" s="2" t="str">
        <x:v>Vietnam</x:v>
      </x:c>
      <x:c r="E334" s="16" t="n">
        <x:v>1301524</x:v>
      </x:c>
      <x:c r="F334" s="16" t="n">
        <x:v>42116</x:v>
      </x:c>
      <x:c r="G334" s="2" t="str">
        <x:v>WITHIN_BAND</x:v>
      </x:c>
      <x:c r="H334" s="2" t="n">
        <x:v>1</x:v>
      </x:c>
      <x:c r="I334" s="2" t="n">
        <x:f>IF(AND(COUNTIFS($B$6:$B$797,B334,$C$6:$C$797,C334)=11,COUNTIFS($B$6:$B$797,B334,$C$6:$C$797,C334,$G$6:$G$797,"REVIEW")=0,COUNTIFS($B$6:$B$797,B334,$C$6:$C$797,C334,$H$6:$H$797,1)=11,COUNTIFS($B$6:$B$797,B334,$C$6:$C$797,C334,$F$6:$F$797,"&gt;0")=11),1,0)</x:f>
        <x:v>1</x:v>
      </x:c>
      <x:c r="J334" s="2" t="n">
        <x:f>COUNTIFS($A$6:$A$797,A334)</x:f>
        <x:v>1</x:v>
      </x:c>
    </x:row>
    <x:row r="335" ht="23" customHeight="1">
      <x:c r="A335" s="2" t="str">
        <x:v>61103099_WORLD_202512_IMPORT</x:v>
      </x:c>
      <x:c r="B335" s="2" t="n">
        <x:v>202512</x:v>
      </x:c>
      <x:c r="C335" s="2" t="str">
        <x:v>61103099</x:v>
      </x:c>
      <x:c r="D335" s="2" t="str">
        <x:v>World</x:v>
      </x:c>
      <x:c r="E335" s="16" t="n">
        <x:v>73662454</x:v>
      </x:c>
      <x:c r="F335" s="16" t="n">
        <x:v>4564185</x:v>
      </x:c>
      <x:c r="G335" s="2" t="str">
        <x:v>WITHIN_BAND</x:v>
      </x:c>
      <x:c r="H335" s="2" t="n">
        <x:v>1</x:v>
      </x:c>
      <x:c r="I335" s="2" t="n">
        <x:f>IF(AND(COUNTIFS($B$6:$B$797,B335,$C$6:$C$797,C335)=11,COUNTIFS($B$6:$B$797,B335,$C$6:$C$797,C335,$G$6:$G$797,"REVIEW")=0,COUNTIFS($B$6:$B$797,B335,$C$6:$C$797,C335,$H$6:$H$797,1)=11,COUNTIFS($B$6:$B$797,B335,$C$6:$C$797,C335,$F$6:$F$797,"&gt;0")=11),1,0)</x:f>
        <x:v>1</x:v>
      </x:c>
      <x:c r="J335" s="2" t="n">
        <x:f>COUNTIFS($A$6:$A$797,A335)</x:f>
        <x:v>1</x:v>
      </x:c>
    </x:row>
    <x:row r="336" ht="23" customHeight="1">
      <x:c r="A336" s="2" t="str">
        <x:v>61103099_BD_202601_IMPORT</x:v>
      </x:c>
      <x:c r="B336" s="2" t="n">
        <x:v>202601</x:v>
      </x:c>
      <x:c r="C336" s="2" t="str">
        <x:v>61103099</x:v>
      </x:c>
      <x:c r="D336" s="2" t="str">
        <x:v>Bangladesh</x:v>
      </x:c>
      <x:c r="E336" s="16" t="n">
        <x:v>9756684</x:v>
      </x:c>
      <x:c r="F336" s="16" t="n">
        <x:v>771311</x:v>
      </x:c>
      <x:c r="G336" s="2" t="str">
        <x:v>WITHIN_BAND</x:v>
      </x:c>
      <x:c r="H336" s="2" t="n">
        <x:v>1</x:v>
      </x:c>
      <x:c r="I336" s="2" t="n">
        <x:f>IF(AND(COUNTIFS($B$6:$B$797,B336,$C$6:$C$797,C336)=11,COUNTIFS($B$6:$B$797,B336,$C$6:$C$797,C336,$G$6:$G$797,"REVIEW")=0,COUNTIFS($B$6:$B$797,B336,$C$6:$C$797,C336,$H$6:$H$797,1)=11,COUNTIFS($B$6:$B$797,B336,$C$6:$C$797,C336,$F$6:$F$797,"&gt;0")=11),1,0)</x:f>
        <x:v>1</x:v>
      </x:c>
      <x:c r="J336" s="2" t="n">
        <x:f>COUNTIFS($A$6:$A$797,A336)</x:f>
        <x:v>1</x:v>
      </x:c>
    </x:row>
    <x:row r="337" ht="23" customHeight="1">
      <x:c r="A337" s="2" t="str">
        <x:v>61103099_KH_202601_IMPORT</x:v>
      </x:c>
      <x:c r="B337" s="2" t="n">
        <x:v>202601</x:v>
      </x:c>
      <x:c r="C337" s="2" t="str">
        <x:v>61103099</x:v>
      </x:c>
      <x:c r="D337" s="2" t="str">
        <x:v>Cambodia</x:v>
      </x:c>
      <x:c r="E337" s="16" t="n">
        <x:v>3322781</x:v>
      </x:c>
      <x:c r="F337" s="16" t="n">
        <x:v>303236</x:v>
      </x:c>
      <x:c r="G337" s="2" t="str">
        <x:v>WITHIN_BAND</x:v>
      </x:c>
      <x:c r="H337" s="2" t="n">
        <x:v>1</x:v>
      </x:c>
      <x:c r="I337" s="2" t="n">
        <x:f>IF(AND(COUNTIFS($B$6:$B$797,B337,$C$6:$C$797,C337)=11,COUNTIFS($B$6:$B$797,B337,$C$6:$C$797,C337,$G$6:$G$797,"REVIEW")=0,COUNTIFS($B$6:$B$797,B337,$C$6:$C$797,C337,$H$6:$H$797,1)=11,COUNTIFS($B$6:$B$797,B337,$C$6:$C$797,C337,$F$6:$F$797,"&gt;0")=11),1,0)</x:f>
        <x:v>1</x:v>
      </x:c>
      <x:c r="J337" s="2" t="n">
        <x:f>COUNTIFS($A$6:$A$797,A337)</x:f>
        <x:v>1</x:v>
      </x:c>
    </x:row>
    <x:row r="338" ht="23" customHeight="1">
      <x:c r="A338" s="2" t="str">
        <x:v>61103099_CN_202601_IMPORT</x:v>
      </x:c>
      <x:c r="B338" s="2" t="n">
        <x:v>202601</x:v>
      </x:c>
      <x:c r="C338" s="2" t="str">
        <x:v>61103099</x:v>
      </x:c>
      <x:c r="D338" s="2" t="str">
        <x:v>China</x:v>
      </x:c>
      <x:c r="E338" s="16" t="n">
        <x:v>14953519</x:v>
      </x:c>
      <x:c r="F338" s="16" t="n">
        <x:v>887350</x:v>
      </x:c>
      <x:c r="G338" s="2" t="str">
        <x:v>WITHIN_BAND</x:v>
      </x:c>
      <x:c r="H338" s="2" t="n">
        <x:v>1</x:v>
      </x:c>
      <x:c r="I338" s="2" t="n">
        <x:f>IF(AND(COUNTIFS($B$6:$B$797,B338,$C$6:$C$797,C338)=11,COUNTIFS($B$6:$B$797,B338,$C$6:$C$797,C338,$G$6:$G$797,"REVIEW")=0,COUNTIFS($B$6:$B$797,B338,$C$6:$C$797,C338,$H$6:$H$797,1)=11,COUNTIFS($B$6:$B$797,B338,$C$6:$C$797,C338,$F$6:$F$797,"&gt;0")=11),1,0)</x:f>
        <x:v>1</x:v>
      </x:c>
      <x:c r="J338" s="2" t="n">
        <x:f>COUNTIFS($A$6:$A$797,A338)</x:f>
        <x:v>1</x:v>
      </x:c>
    </x:row>
    <x:row r="339" ht="23" customHeight="1">
      <x:c r="A339" s="2" t="str">
        <x:v>61103099_IN_202601_IMPORT</x:v>
      </x:c>
      <x:c r="B339" s="2" t="n">
        <x:v>202601</x:v>
      </x:c>
      <x:c r="C339" s="2" t="str">
        <x:v>61103099</x:v>
      </x:c>
      <x:c r="D339" s="2" t="str">
        <x:v>India</x:v>
      </x:c>
      <x:c r="E339" s="16" t="n">
        <x:v>106371</x:v>
      </x:c>
      <x:c r="F339" s="16" t="n">
        <x:v>6085</x:v>
      </x:c>
      <x:c r="G339" s="2" t="str">
        <x:v>WITHIN_BAND</x:v>
      </x:c>
      <x:c r="H339" s="2" t="n">
        <x:v>1</x:v>
      </x:c>
      <x:c r="I339" s="2" t="n">
        <x:f>IF(AND(COUNTIFS($B$6:$B$797,B339,$C$6:$C$797,C339)=11,COUNTIFS($B$6:$B$797,B339,$C$6:$C$797,C339,$G$6:$G$797,"REVIEW")=0,COUNTIFS($B$6:$B$797,B339,$C$6:$C$797,C339,$H$6:$H$797,1)=11,COUNTIFS($B$6:$B$797,B339,$C$6:$C$797,C339,$F$6:$F$797,"&gt;0")=11),1,0)</x:f>
        <x:v>1</x:v>
      </x:c>
      <x:c r="J339" s="2" t="n">
        <x:f>COUNTIFS($A$6:$A$797,A339)</x:f>
        <x:v>1</x:v>
      </x:c>
    </x:row>
    <x:row r="340" ht="23" customHeight="1">
      <x:c r="A340" s="2" t="str">
        <x:v>61103099_MA_202601_IMPORT</x:v>
      </x:c>
      <x:c r="B340" s="2" t="n">
        <x:v>202601</x:v>
      </x:c>
      <x:c r="C340" s="2" t="str">
        <x:v>61103099</x:v>
      </x:c>
      <x:c r="D340" s="2" t="str">
        <x:v>Morocco</x:v>
      </x:c>
      <x:c r="E340" s="16" t="n">
        <x:v>11177</x:v>
      </x:c>
      <x:c r="F340" s="16" t="n">
        <x:v>351</x:v>
      </x:c>
      <x:c r="G340" s="2" t="str">
        <x:v>WITHIN_BAND</x:v>
      </x:c>
      <x:c r="H340" s="2" t="n">
        <x:v>1</x:v>
      </x:c>
      <x:c r="I340" s="2" t="n">
        <x:f>IF(AND(COUNTIFS($B$6:$B$797,B340,$C$6:$C$797,C340)=11,COUNTIFS($B$6:$B$797,B340,$C$6:$C$797,C340,$G$6:$G$797,"REVIEW")=0,COUNTIFS($B$6:$B$797,B340,$C$6:$C$797,C340,$H$6:$H$797,1)=11,COUNTIFS($B$6:$B$797,B340,$C$6:$C$797,C340,$F$6:$F$797,"&gt;0")=11),1,0)</x:f>
        <x:v>1</x:v>
      </x:c>
      <x:c r="J340" s="2" t="n">
        <x:f>COUNTIFS($A$6:$A$797,A340)</x:f>
        <x:v>1</x:v>
      </x:c>
    </x:row>
    <x:row r="341" ht="23" customHeight="1">
      <x:c r="A341" s="2" t="str">
        <x:v>61103099_MM_202601_IMPORT</x:v>
      </x:c>
      <x:c r="B341" s="2" t="n">
        <x:v>202601</x:v>
      </x:c>
      <x:c r="C341" s="2" t="str">
        <x:v>61103099</x:v>
      </x:c>
      <x:c r="D341" s="2" t="str">
        <x:v>Myanmar</x:v>
      </x:c>
      <x:c r="E341" s="16" t="n">
        <x:v>254662</x:v>
      </x:c>
      <x:c r="F341" s="16" t="n">
        <x:v>16809</x:v>
      </x:c>
      <x:c r="G341" s="2" t="str">
        <x:v>WITHIN_BAND</x:v>
      </x:c>
      <x:c r="H341" s="2" t="n">
        <x:v>1</x:v>
      </x:c>
      <x:c r="I341" s="2" t="n">
        <x:f>IF(AND(COUNTIFS($B$6:$B$797,B341,$C$6:$C$797,C341)=11,COUNTIFS($B$6:$B$797,B341,$C$6:$C$797,C341,$G$6:$G$797,"REVIEW")=0,COUNTIFS($B$6:$B$797,B341,$C$6:$C$797,C341,$H$6:$H$797,1)=11,COUNTIFS($B$6:$B$797,B341,$C$6:$C$797,C341,$F$6:$F$797,"&gt;0")=11),1,0)</x:f>
        <x:v>1</x:v>
      </x:c>
      <x:c r="J341" s="2" t="n">
        <x:f>COUNTIFS($A$6:$A$797,A341)</x:f>
        <x:v>1</x:v>
      </x:c>
    </x:row>
    <x:row r="342" ht="23" customHeight="1">
      <x:c r="A342" s="2" t="str">
        <x:v>61103099_PK_202601_IMPORT</x:v>
      </x:c>
      <x:c r="B342" s="2" t="n">
        <x:v>202601</x:v>
      </x:c>
      <x:c r="C342" s="2" t="str">
        <x:v>61103099</x:v>
      </x:c>
      <x:c r="D342" s="2" t="str">
        <x:v>Pakistan</x:v>
      </x:c>
      <x:c r="E342" s="16" t="n">
        <x:v>670269</x:v>
      </x:c>
      <x:c r="F342" s="16" t="n">
        <x:v>54749</x:v>
      </x:c>
      <x:c r="G342" s="2" t="str">
        <x:v>WITHIN_BAND</x:v>
      </x:c>
      <x:c r="H342" s="2" t="n">
        <x:v>1</x:v>
      </x:c>
      <x:c r="I342" s="2" t="n">
        <x:f>IF(AND(COUNTIFS($B$6:$B$797,B342,$C$6:$C$797,C342)=11,COUNTIFS($B$6:$B$797,B342,$C$6:$C$797,C342,$G$6:$G$797,"REVIEW")=0,COUNTIFS($B$6:$B$797,B342,$C$6:$C$797,C342,$H$6:$H$797,1)=11,COUNTIFS($B$6:$B$797,B342,$C$6:$C$797,C342,$F$6:$F$797,"&gt;0")=11),1,0)</x:f>
        <x:v>1</x:v>
      </x:c>
      <x:c r="J342" s="2" t="n">
        <x:f>COUNTIFS($A$6:$A$797,A342)</x:f>
        <x:v>1</x:v>
      </x:c>
    </x:row>
    <x:row r="343" ht="23" customHeight="1">
      <x:c r="A343" s="2" t="str">
        <x:v>61103099_LK_202601_IMPORT</x:v>
      </x:c>
      <x:c r="B343" s="2" t="n">
        <x:v>202601</x:v>
      </x:c>
      <x:c r="C343" s="2" t="str">
        <x:v>61103099</x:v>
      </x:c>
      <x:c r="D343" s="2" t="str">
        <x:v>Sri Lanka</x:v>
      </x:c>
      <x:c r="E343" s="16" t="n">
        <x:v>72165</x:v>
      </x:c>
      <x:c r="F343" s="16" t="n">
        <x:v>3651</x:v>
      </x:c>
      <x:c r="G343" s="2" t="str">
        <x:v>WITHIN_BAND</x:v>
      </x:c>
      <x:c r="H343" s="2" t="n">
        <x:v>1</x:v>
      </x:c>
      <x:c r="I343" s="2" t="n">
        <x:f>IF(AND(COUNTIFS($B$6:$B$797,B343,$C$6:$C$797,C343)=11,COUNTIFS($B$6:$B$797,B343,$C$6:$C$797,C343,$G$6:$G$797,"REVIEW")=0,COUNTIFS($B$6:$B$797,B343,$C$6:$C$797,C343,$H$6:$H$797,1)=11,COUNTIFS($B$6:$B$797,B343,$C$6:$C$797,C343,$F$6:$F$797,"&gt;0")=11),1,0)</x:f>
        <x:v>1</x:v>
      </x:c>
      <x:c r="J343" s="2" t="n">
        <x:f>COUNTIFS($A$6:$A$797,A343)</x:f>
        <x:v>1</x:v>
      </x:c>
    </x:row>
    <x:row r="344" ht="23" customHeight="1">
      <x:c r="A344" s="2" t="str">
        <x:v>61103099_TR_202601_IMPORT</x:v>
      </x:c>
      <x:c r="B344" s="2" t="n">
        <x:v>202601</x:v>
      </x:c>
      <x:c r="C344" s="2" t="str">
        <x:v>61103099</x:v>
      </x:c>
      <x:c r="D344" s="2" t="str">
        <x:v>Turkey</x:v>
      </x:c>
      <x:c r="E344" s="16" t="n">
        <x:v>5104824</x:v>
      </x:c>
      <x:c r="F344" s="16" t="n">
        <x:v>624406</x:v>
      </x:c>
      <x:c r="G344" s="2" t="str">
        <x:v>WITHIN_BAND</x:v>
      </x:c>
      <x:c r="H344" s="2" t="n">
        <x:v>1</x:v>
      </x:c>
      <x:c r="I344" s="2" t="n">
        <x:f>IF(AND(COUNTIFS($B$6:$B$797,B344,$C$6:$C$797,C344)=11,COUNTIFS($B$6:$B$797,B344,$C$6:$C$797,C344,$G$6:$G$797,"REVIEW")=0,COUNTIFS($B$6:$B$797,B344,$C$6:$C$797,C344,$H$6:$H$797,1)=11,COUNTIFS($B$6:$B$797,B344,$C$6:$C$797,C344,$F$6:$F$797,"&gt;0")=11),1,0)</x:f>
        <x:v>1</x:v>
      </x:c>
      <x:c r="J344" s="2" t="n">
        <x:f>COUNTIFS($A$6:$A$797,A344)</x:f>
        <x:v>1</x:v>
      </x:c>
    </x:row>
    <x:row r="345" ht="23" customHeight="1">
      <x:c r="A345" s="2" t="str">
        <x:v>61103099_VN_202601_IMPORT</x:v>
      </x:c>
      <x:c r="B345" s="2" t="n">
        <x:v>202601</x:v>
      </x:c>
      <x:c r="C345" s="2" t="str">
        <x:v>61103099</x:v>
      </x:c>
      <x:c r="D345" s="2" t="str">
        <x:v>Vietnam</x:v>
      </x:c>
      <x:c r="E345" s="16" t="n">
        <x:v>1109154</x:v>
      </x:c>
      <x:c r="F345" s="16" t="n">
        <x:v>39241</x:v>
      </x:c>
      <x:c r="G345" s="2" t="str">
        <x:v>WITHIN_BAND</x:v>
      </x:c>
      <x:c r="H345" s="2" t="n">
        <x:v>1</x:v>
      </x:c>
      <x:c r="I345" s="2" t="n">
        <x:f>IF(AND(COUNTIFS($B$6:$B$797,B345,$C$6:$C$797,C345)=11,COUNTIFS($B$6:$B$797,B345,$C$6:$C$797,C345,$G$6:$G$797,"REVIEW")=0,COUNTIFS($B$6:$B$797,B345,$C$6:$C$797,C345,$H$6:$H$797,1)=11,COUNTIFS($B$6:$B$797,B345,$C$6:$C$797,C345,$F$6:$F$797,"&gt;0")=11),1,0)</x:f>
        <x:v>1</x:v>
      </x:c>
      <x:c r="J345" s="2" t="n">
        <x:f>COUNTIFS($A$6:$A$797,A345)</x:f>
        <x:v>1</x:v>
      </x:c>
    </x:row>
    <x:row r="346" ht="23" customHeight="1">
      <x:c r="A346" s="2" t="str">
        <x:v>61103099_WORLD_202601_IMPORT</x:v>
      </x:c>
      <x:c r="B346" s="2" t="n">
        <x:v>202601</x:v>
      </x:c>
      <x:c r="C346" s="2" t="str">
        <x:v>61103099</x:v>
      </x:c>
      <x:c r="D346" s="2" t="str">
        <x:v>World</x:v>
      </x:c>
      <x:c r="E346" s="16" t="n">
        <x:v>50038211</x:v>
      </x:c>
      <x:c r="F346" s="16" t="n">
        <x:v>3251392</x:v>
      </x:c>
      <x:c r="G346" s="2" t="str">
        <x:v>WITHIN_BAND</x:v>
      </x:c>
      <x:c r="H346" s="2" t="n">
        <x:v>1</x:v>
      </x:c>
      <x:c r="I346" s="2" t="n">
        <x:f>IF(AND(COUNTIFS($B$6:$B$797,B346,$C$6:$C$797,C346)=11,COUNTIFS($B$6:$B$797,B346,$C$6:$C$797,C346,$G$6:$G$797,"REVIEW")=0,COUNTIFS($B$6:$B$797,B346,$C$6:$C$797,C346,$H$6:$H$797,1)=11,COUNTIFS($B$6:$B$797,B346,$C$6:$C$797,C346,$F$6:$F$797,"&gt;0")=11),1,0)</x:f>
        <x:v>1</x:v>
      </x:c>
      <x:c r="J346" s="2" t="n">
        <x:f>COUNTIFS($A$6:$A$797,A346)</x:f>
        <x:v>1</x:v>
      </x:c>
    </x:row>
    <x:row r="347" ht="23" customHeight="1">
      <x:c r="A347" s="2" t="str">
        <x:v>61103099_BD_202602_IMPORT</x:v>
      </x:c>
      <x:c r="B347" s="2" t="n">
        <x:v>202602</x:v>
      </x:c>
      <x:c r="C347" s="2" t="str">
        <x:v>61103099</x:v>
      </x:c>
      <x:c r="D347" s="2" t="str">
        <x:v>Bangladesh</x:v>
      </x:c>
      <x:c r="E347" s="16" t="n">
        <x:v>6993782</x:v>
      </x:c>
      <x:c r="F347" s="16" t="n">
        <x:v>582981</x:v>
      </x:c>
      <x:c r="G347" s="2" t="str">
        <x:v>WITHIN_BAND</x:v>
      </x:c>
      <x:c r="H347" s="2" t="n">
        <x:v>1</x:v>
      </x:c>
      <x:c r="I347" s="2" t="n">
        <x:f>IF(AND(COUNTIFS($B$6:$B$797,B347,$C$6:$C$797,C347)=11,COUNTIFS($B$6:$B$797,B347,$C$6:$C$797,C347,$G$6:$G$797,"REVIEW")=0,COUNTIFS($B$6:$B$797,B347,$C$6:$C$797,C347,$H$6:$H$797,1)=11,COUNTIFS($B$6:$B$797,B347,$C$6:$C$797,C347,$F$6:$F$797,"&gt;0")=11),1,0)</x:f>
        <x:v>0</x:v>
      </x:c>
      <x:c r="J347" s="2" t="n">
        <x:f>COUNTIFS($A$6:$A$797,A347)</x:f>
        <x:v>1</x:v>
      </x:c>
    </x:row>
    <x:row r="348" ht="23" customHeight="1">
      <x:c r="A348" s="2" t="str">
        <x:v>61103099_KH_202602_IMPORT</x:v>
      </x:c>
      <x:c r="B348" s="2" t="n">
        <x:v>202602</x:v>
      </x:c>
      <x:c r="C348" s="2" t="str">
        <x:v>61103099</x:v>
      </x:c>
      <x:c r="D348" s="2" t="str">
        <x:v>Cambodia</x:v>
      </x:c>
      <x:c r="E348" s="16" t="n">
        <x:v>3194700</x:v>
      </x:c>
      <x:c r="F348" s="16" t="n">
        <x:v>257696</x:v>
      </x:c>
      <x:c r="G348" s="2" t="str">
        <x:v>WITHIN_BAND</x:v>
      </x:c>
      <x:c r="H348" s="2" t="n">
        <x:v>1</x:v>
      </x:c>
      <x:c r="I348" s="2" t="n">
        <x:f>IF(AND(COUNTIFS($B$6:$B$797,B348,$C$6:$C$797,C348)=11,COUNTIFS($B$6:$B$797,B348,$C$6:$C$797,C348,$G$6:$G$797,"REVIEW")=0,COUNTIFS($B$6:$B$797,B348,$C$6:$C$797,C348,$H$6:$H$797,1)=11,COUNTIFS($B$6:$B$797,B348,$C$6:$C$797,C348,$F$6:$F$797,"&gt;0")=11),1,0)</x:f>
        <x:v>0</x:v>
      </x:c>
      <x:c r="J348" s="2" t="n">
        <x:f>COUNTIFS($A$6:$A$797,A348)</x:f>
        <x:v>1</x:v>
      </x:c>
    </x:row>
    <x:row r="349" ht="23" customHeight="1">
      <x:c r="A349" s="2" t="str">
        <x:v>61103099_CN_202602_IMPORT</x:v>
      </x:c>
      <x:c r="B349" s="2" t="n">
        <x:v>202602</x:v>
      </x:c>
      <x:c r="C349" s="2" t="str">
        <x:v>61103099</x:v>
      </x:c>
      <x:c r="D349" s="2" t="str">
        <x:v>China</x:v>
      </x:c>
      <x:c r="E349" s="16" t="n">
        <x:v>8197224</x:v>
      </x:c>
      <x:c r="F349" s="16" t="n">
        <x:v>475930</x:v>
      </x:c>
      <x:c r="G349" s="2" t="str">
        <x:v>WITHIN_BAND</x:v>
      </x:c>
      <x:c r="H349" s="2" t="n">
        <x:v>1</x:v>
      </x:c>
      <x:c r="I349" s="2" t="n">
        <x:f>IF(AND(COUNTIFS($B$6:$B$797,B349,$C$6:$C$797,C349)=11,COUNTIFS($B$6:$B$797,B349,$C$6:$C$797,C349,$G$6:$G$797,"REVIEW")=0,COUNTIFS($B$6:$B$797,B349,$C$6:$C$797,C349,$H$6:$H$797,1)=11,COUNTIFS($B$6:$B$797,B349,$C$6:$C$797,C349,$F$6:$F$797,"&gt;0")=11),1,0)</x:f>
        <x:v>0</x:v>
      </x:c>
      <x:c r="J349" s="2" t="n">
        <x:f>COUNTIFS($A$6:$A$797,A349)</x:f>
        <x:v>1</x:v>
      </x:c>
    </x:row>
    <x:row r="350" ht="23" customHeight="1">
      <x:c r="A350" s="2" t="str">
        <x:v>61103099_IN_202602_IMPORT</x:v>
      </x:c>
      <x:c r="B350" s="2" t="n">
        <x:v>202602</x:v>
      </x:c>
      <x:c r="C350" s="2" t="str">
        <x:v>61103099</x:v>
      </x:c>
      <x:c r="D350" s="2" t="str">
        <x:v>India</x:v>
      </x:c>
      <x:c r="E350" s="16" t="n">
        <x:v>72298</x:v>
      </x:c>
      <x:c r="F350" s="16" t="n">
        <x:v>3662</x:v>
      </x:c>
      <x:c r="G350" s="2" t="str">
        <x:v>WITHIN_BAND</x:v>
      </x:c>
      <x:c r="H350" s="2" t="n">
        <x:v>1</x:v>
      </x:c>
      <x:c r="I350" s="2" t="n">
        <x:f>IF(AND(COUNTIFS($B$6:$B$797,B350,$C$6:$C$797,C350)=11,COUNTIFS($B$6:$B$797,B350,$C$6:$C$797,C350,$G$6:$G$797,"REVIEW")=0,COUNTIFS($B$6:$B$797,B350,$C$6:$C$797,C350,$H$6:$H$797,1)=11,COUNTIFS($B$6:$B$797,B350,$C$6:$C$797,C350,$F$6:$F$797,"&gt;0")=11),1,0)</x:f>
        <x:v>0</x:v>
      </x:c>
      <x:c r="J350" s="2" t="n">
        <x:f>COUNTIFS($A$6:$A$797,A350)</x:f>
        <x:v>1</x:v>
      </x:c>
    </x:row>
    <x:row r="351" ht="23" customHeight="1">
      <x:c r="A351" s="2" t="str">
        <x:v>61103099_MA_202602_IMPORT</x:v>
      </x:c>
      <x:c r="B351" s="2" t="n">
        <x:v>202602</x:v>
      </x:c>
      <x:c r="C351" s="2" t="str">
        <x:v>61103099</x:v>
      </x:c>
      <x:c r="D351" s="2" t="str">
        <x:v>Morocco</x:v>
      </x:c>
      <x:c r="E351" s="16" t="n">
        <x:v>1014</x:v>
      </x:c>
      <x:c r="F351" s="16" t="n">
        <x:v>42</x:v>
      </x:c>
      <x:c r="G351" s="2" t="str">
        <x:v>WITHIN_BAND</x:v>
      </x:c>
      <x:c r="H351" s="2" t="n">
        <x:v>1</x:v>
      </x:c>
      <x:c r="I351" s="2" t="n">
        <x:f>IF(AND(COUNTIFS($B$6:$B$797,B351,$C$6:$C$797,C351)=11,COUNTIFS($B$6:$B$797,B351,$C$6:$C$797,C351,$G$6:$G$797,"REVIEW")=0,COUNTIFS($B$6:$B$797,B351,$C$6:$C$797,C351,$H$6:$H$797,1)=11,COUNTIFS($B$6:$B$797,B351,$C$6:$C$797,C351,$F$6:$F$797,"&gt;0")=11),1,0)</x:f>
        <x:v>0</x:v>
      </x:c>
      <x:c r="J351" s="2" t="n">
        <x:f>COUNTIFS($A$6:$A$797,A351)</x:f>
        <x:v>1</x:v>
      </x:c>
    </x:row>
    <x:row r="352" ht="23" customHeight="1">
      <x:c r="A352" s="2" t="str">
        <x:v>61103099_MM_202602_IMPORT</x:v>
      </x:c>
      <x:c r="B352" s="2" t="n">
        <x:v>202602</x:v>
      </x:c>
      <x:c r="C352" s="2" t="str">
        <x:v>61103099</x:v>
      </x:c>
      <x:c r="D352" s="2" t="str">
        <x:v>Myanmar</x:v>
      </x:c>
      <x:c r="E352" s="16" t="n">
        <x:v>166388</x:v>
      </x:c>
      <x:c r="F352" s="16" t="n">
        <x:v>13634</x:v>
      </x:c>
      <x:c r="G352" s="2" t="str">
        <x:v>WITHIN_BAND</x:v>
      </x:c>
      <x:c r="H352" s="2" t="n">
        <x:v>1</x:v>
      </x:c>
      <x:c r="I352" s="2" t="n">
        <x:f>IF(AND(COUNTIFS($B$6:$B$797,B352,$C$6:$C$797,C352)=11,COUNTIFS($B$6:$B$797,B352,$C$6:$C$797,C352,$G$6:$G$797,"REVIEW")=0,COUNTIFS($B$6:$B$797,B352,$C$6:$C$797,C352,$H$6:$H$797,1)=11,COUNTIFS($B$6:$B$797,B352,$C$6:$C$797,C352,$F$6:$F$797,"&gt;0")=11),1,0)</x:f>
        <x:v>0</x:v>
      </x:c>
      <x:c r="J352" s="2" t="n">
        <x:f>COUNTIFS($A$6:$A$797,A352)</x:f>
        <x:v>1</x:v>
      </x:c>
    </x:row>
    <x:row r="353" ht="23" customHeight="1">
      <x:c r="A353" s="2" t="str">
        <x:v>61103099_PK_202602_IMPORT</x:v>
      </x:c>
      <x:c r="B353" s="2" t="n">
        <x:v>202602</x:v>
      </x:c>
      <x:c r="C353" s="2" t="str">
        <x:v>61103099</x:v>
      </x:c>
      <x:c r="D353" s="2" t="str">
        <x:v>Pakistan</x:v>
      </x:c>
      <x:c r="E353" s="16" t="n">
        <x:v>566497</x:v>
      </x:c>
      <x:c r="F353" s="16" t="n">
        <x:v>39832</x:v>
      </x:c>
      <x:c r="G353" s="2" t="str">
        <x:v>WITHIN_BAND</x:v>
      </x:c>
      <x:c r="H353" s="2" t="n">
        <x:v>1</x:v>
      </x:c>
      <x:c r="I353" s="2" t="n">
        <x:f>IF(AND(COUNTIFS($B$6:$B$797,B353,$C$6:$C$797,C353)=11,COUNTIFS($B$6:$B$797,B353,$C$6:$C$797,C353,$G$6:$G$797,"REVIEW")=0,COUNTIFS($B$6:$B$797,B353,$C$6:$C$797,C353,$H$6:$H$797,1)=11,COUNTIFS($B$6:$B$797,B353,$C$6:$C$797,C353,$F$6:$F$797,"&gt;0")=11),1,0)</x:f>
        <x:v>0</x:v>
      </x:c>
      <x:c r="J353" s="2" t="n">
        <x:f>COUNTIFS($A$6:$A$797,A353)</x:f>
        <x:v>1</x:v>
      </x:c>
    </x:row>
    <x:row r="354" ht="23" customHeight="1">
      <x:c r="A354" s="2" t="str">
        <x:v>61103099_LK_202602_IMPORT</x:v>
      </x:c>
      <x:c r="B354" s="2" t="n">
        <x:v>202602</x:v>
      </x:c>
      <x:c r="C354" s="2" t="str">
        <x:v>61103099</x:v>
      </x:c>
      <x:c r="D354" s="2" t="str">
        <x:v>Sri Lanka</x:v>
      </x:c>
      <x:c r="E354" s="16" t="n">
        <x:v>91056</x:v>
      </x:c>
      <x:c r="F354" s="16" t="n">
        <x:v>4297</x:v>
      </x:c>
      <x:c r="G354" s="2" t="str">
        <x:v>WITHIN_BAND</x:v>
      </x:c>
      <x:c r="H354" s="2" t="n">
        <x:v>1</x:v>
      </x:c>
      <x:c r="I354" s="2" t="n">
        <x:f>IF(AND(COUNTIFS($B$6:$B$797,B354,$C$6:$C$797,C354)=11,COUNTIFS($B$6:$B$797,B354,$C$6:$C$797,C354,$G$6:$G$797,"REVIEW")=0,COUNTIFS($B$6:$B$797,B354,$C$6:$C$797,C354,$H$6:$H$797,1)=11,COUNTIFS($B$6:$B$797,B354,$C$6:$C$797,C354,$F$6:$F$797,"&gt;0")=11),1,0)</x:f>
        <x:v>0</x:v>
      </x:c>
      <x:c r="J354" s="2" t="n">
        <x:f>COUNTIFS($A$6:$A$797,A354)</x:f>
        <x:v>1</x:v>
      </x:c>
    </x:row>
    <x:row r="355" ht="23" customHeight="1">
      <x:c r="A355" s="2" t="str">
        <x:v>61103099_TR_202602_IMPORT</x:v>
      </x:c>
      <x:c r="B355" s="2" t="n">
        <x:v>202602</x:v>
      </x:c>
      <x:c r="C355" s="2" t="str">
        <x:v>61103099</x:v>
      </x:c>
      <x:c r="D355" s="2" t="str">
        <x:v>Turkey</x:v>
      </x:c>
      <x:c r="E355" s="16" t="n">
        <x:v>2293378</x:v>
      </x:c>
      <x:c r="F355" s="16" t="n">
        <x:v>497945</x:v>
      </x:c>
      <x:c r="G355" s="2" t="str">
        <x:v>REVIEW</x:v>
      </x:c>
      <x:c r="H355" s="2" t="n">
        <x:v>1</x:v>
      </x:c>
      <x:c r="I355" s="2" t="n">
        <x:f>IF(AND(COUNTIFS($B$6:$B$797,B355,$C$6:$C$797,C355)=11,COUNTIFS($B$6:$B$797,B355,$C$6:$C$797,C355,$G$6:$G$797,"REVIEW")=0,COUNTIFS($B$6:$B$797,B355,$C$6:$C$797,C355,$H$6:$H$797,1)=11,COUNTIFS($B$6:$B$797,B355,$C$6:$C$797,C355,$F$6:$F$797,"&gt;0")=11),1,0)</x:f>
        <x:v>0</x:v>
      </x:c>
      <x:c r="J355" s="2" t="n">
        <x:f>COUNTIFS($A$6:$A$797,A355)</x:f>
        <x:v>1</x:v>
      </x:c>
    </x:row>
    <x:row r="356" ht="23" customHeight="1">
      <x:c r="A356" s="2" t="str">
        <x:v>61103099_VN_202602_IMPORT</x:v>
      </x:c>
      <x:c r="B356" s="2" t="n">
        <x:v>202602</x:v>
      </x:c>
      <x:c r="C356" s="2" t="str">
        <x:v>61103099</x:v>
      </x:c>
      <x:c r="D356" s="2" t="str">
        <x:v>Vietnam</x:v>
      </x:c>
      <x:c r="E356" s="16" t="n">
        <x:v>736085</x:v>
      </x:c>
      <x:c r="F356" s="16" t="n">
        <x:v>127878</x:v>
      </x:c>
      <x:c r="G356" s="2" t="str">
        <x:v>REVIEW</x:v>
      </x:c>
      <x:c r="H356" s="2" t="n">
        <x:v>1</x:v>
      </x:c>
      <x:c r="I356" s="2" t="n">
        <x:f>IF(AND(COUNTIFS($B$6:$B$797,B356,$C$6:$C$797,C356)=11,COUNTIFS($B$6:$B$797,B356,$C$6:$C$797,C356,$G$6:$G$797,"REVIEW")=0,COUNTIFS($B$6:$B$797,B356,$C$6:$C$797,C356,$H$6:$H$797,1)=11,COUNTIFS($B$6:$B$797,B356,$C$6:$C$797,C356,$F$6:$F$797,"&gt;0")=11),1,0)</x:f>
        <x:v>0</x:v>
      </x:c>
      <x:c r="J356" s="2" t="n">
        <x:f>COUNTIFS($A$6:$A$797,A356)</x:f>
        <x:v>1</x:v>
      </x:c>
    </x:row>
    <x:row r="357" ht="23" customHeight="1">
      <x:c r="A357" s="2" t="str">
        <x:v>61103099_WORLD_202602_IMPORT</x:v>
      </x:c>
      <x:c r="B357" s="2" t="n">
        <x:v>202602</x:v>
      </x:c>
      <x:c r="C357" s="2" t="str">
        <x:v>61103099</x:v>
      </x:c>
      <x:c r="D357" s="2" t="str">
        <x:v>World</x:v>
      </x:c>
      <x:c r="E357" s="16" t="n">
        <x:v>32530004</x:v>
      </x:c>
      <x:c r="F357" s="16" t="n">
        <x:v>2404908</x:v>
      </x:c>
      <x:c r="G357" s="2" t="str">
        <x:v>WITHIN_BAND</x:v>
      </x:c>
      <x:c r="H357" s="2" t="n">
        <x:v>1</x:v>
      </x:c>
      <x:c r="I357" s="2" t="n">
        <x:f>IF(AND(COUNTIFS($B$6:$B$797,B357,$C$6:$C$797,C357)=11,COUNTIFS($B$6:$B$797,B357,$C$6:$C$797,C357,$G$6:$G$797,"REVIEW")=0,COUNTIFS($B$6:$B$797,B357,$C$6:$C$797,C357,$H$6:$H$797,1)=11,COUNTIFS($B$6:$B$797,B357,$C$6:$C$797,C357,$F$6:$F$797,"&gt;0")=11),1,0)</x:f>
        <x:v>0</x:v>
      </x:c>
      <x:c r="J357" s="2" t="n">
        <x:f>COUNTIFS($A$6:$A$797,A357)</x:f>
        <x:v>1</x:v>
      </x:c>
    </x:row>
    <x:row r="358" ht="23" customHeight="1">
      <x:c r="A358" s="2" t="str">
        <x:v>61103099_BD_202603_IMPORT</x:v>
      </x:c>
      <x:c r="B358" s="2" t="n">
        <x:v>202603</x:v>
      </x:c>
      <x:c r="C358" s="2" t="str">
        <x:v>61103099</x:v>
      </x:c>
      <x:c r="D358" s="2" t="str">
        <x:v>Bangladesh</x:v>
      </x:c>
      <x:c r="E358" s="16" t="n">
        <x:v>4999375</x:v>
      </x:c>
      <x:c r="F358" s="16" t="n">
        <x:v>400259</x:v>
      </x:c>
      <x:c r="G358" s="2" t="str">
        <x:v>WITHIN_BAND</x:v>
      </x:c>
      <x:c r="H358" s="2" t="n">
        <x:v>1</x:v>
      </x:c>
      <x:c r="I358" s="2" t="n">
        <x:f>IF(AND(COUNTIFS($B$6:$B$797,B358,$C$6:$C$797,C358)=11,COUNTIFS($B$6:$B$797,B358,$C$6:$C$797,C358,$G$6:$G$797,"REVIEW")=0,COUNTIFS($B$6:$B$797,B358,$C$6:$C$797,C358,$H$6:$H$797,1)=11,COUNTIFS($B$6:$B$797,B358,$C$6:$C$797,C358,$F$6:$F$797,"&gt;0")=11),1,0)</x:f>
        <x:v>1</x:v>
      </x:c>
      <x:c r="J358" s="2" t="n">
        <x:f>COUNTIFS($A$6:$A$797,A358)</x:f>
        <x:v>1</x:v>
      </x:c>
    </x:row>
    <x:row r="359" ht="23" customHeight="1">
      <x:c r="A359" s="2" t="str">
        <x:v>61103099_KH_202603_IMPORT</x:v>
      </x:c>
      <x:c r="B359" s="2" t="n">
        <x:v>202603</x:v>
      </x:c>
      <x:c r="C359" s="2" t="str">
        <x:v>61103099</x:v>
      </x:c>
      <x:c r="D359" s="2" t="str">
        <x:v>Cambodia</x:v>
      </x:c>
      <x:c r="E359" s="16" t="n">
        <x:v>3454738</x:v>
      </x:c>
      <x:c r="F359" s="16" t="n">
        <x:v>373688</x:v>
      </x:c>
      <x:c r="G359" s="2" t="str">
        <x:v>WITHIN_BAND</x:v>
      </x:c>
      <x:c r="H359" s="2" t="n">
        <x:v>1</x:v>
      </x:c>
      <x:c r="I359" s="2" t="n">
        <x:f>IF(AND(COUNTIFS($B$6:$B$797,B359,$C$6:$C$797,C359)=11,COUNTIFS($B$6:$B$797,B359,$C$6:$C$797,C359,$G$6:$G$797,"REVIEW")=0,COUNTIFS($B$6:$B$797,B359,$C$6:$C$797,C359,$H$6:$H$797,1)=11,COUNTIFS($B$6:$B$797,B359,$C$6:$C$797,C359,$F$6:$F$797,"&gt;0")=11),1,0)</x:f>
        <x:v>1</x:v>
      </x:c>
      <x:c r="J359" s="2" t="n">
        <x:f>COUNTIFS($A$6:$A$797,A359)</x:f>
        <x:v>1</x:v>
      </x:c>
    </x:row>
    <x:row r="360" ht="23" customHeight="1">
      <x:c r="A360" s="2" t="str">
        <x:v>61103099_CN_202603_IMPORT</x:v>
      </x:c>
      <x:c r="B360" s="2" t="n">
        <x:v>202603</x:v>
      </x:c>
      <x:c r="C360" s="2" t="str">
        <x:v>61103099</x:v>
      </x:c>
      <x:c r="D360" s="2" t="str">
        <x:v>China</x:v>
      </x:c>
      <x:c r="E360" s="16" t="n">
        <x:v>5320757</x:v>
      </x:c>
      <x:c r="F360" s="16" t="n">
        <x:v>304066</x:v>
      </x:c>
      <x:c r="G360" s="2" t="str">
        <x:v>WITHIN_BAND</x:v>
      </x:c>
      <x:c r="H360" s="2" t="n">
        <x:v>1</x:v>
      </x:c>
      <x:c r="I360" s="2" t="n">
        <x:f>IF(AND(COUNTIFS($B$6:$B$797,B360,$C$6:$C$797,C360)=11,COUNTIFS($B$6:$B$797,B360,$C$6:$C$797,C360,$G$6:$G$797,"REVIEW")=0,COUNTIFS($B$6:$B$797,B360,$C$6:$C$797,C360,$H$6:$H$797,1)=11,COUNTIFS($B$6:$B$797,B360,$C$6:$C$797,C360,$F$6:$F$797,"&gt;0")=11),1,0)</x:f>
        <x:v>1</x:v>
      </x:c>
      <x:c r="J360" s="2" t="n">
        <x:f>COUNTIFS($A$6:$A$797,A360)</x:f>
        <x:v>1</x:v>
      </x:c>
    </x:row>
    <x:row r="361" ht="23" customHeight="1">
      <x:c r="A361" s="2" t="str">
        <x:v>61103099_IN_202603_IMPORT</x:v>
      </x:c>
      <x:c r="B361" s="2" t="n">
        <x:v>202603</x:v>
      </x:c>
      <x:c r="C361" s="2" t="str">
        <x:v>61103099</x:v>
      </x:c>
      <x:c r="D361" s="2" t="str">
        <x:v>India</x:v>
      </x:c>
      <x:c r="E361" s="16" t="n">
        <x:v>114099</x:v>
      </x:c>
      <x:c r="F361" s="16" t="n">
        <x:v>8728</x:v>
      </x:c>
      <x:c r="G361" s="2" t="str">
        <x:v>WITHIN_BAND</x:v>
      </x:c>
      <x:c r="H361" s="2" t="n">
        <x:v>1</x:v>
      </x:c>
      <x:c r="I361" s="2" t="n">
        <x:f>IF(AND(COUNTIFS($B$6:$B$797,B361,$C$6:$C$797,C361)=11,COUNTIFS($B$6:$B$797,B361,$C$6:$C$797,C361,$G$6:$G$797,"REVIEW")=0,COUNTIFS($B$6:$B$797,B361,$C$6:$C$797,C361,$H$6:$H$797,1)=11,COUNTIFS($B$6:$B$797,B361,$C$6:$C$797,C361,$F$6:$F$797,"&gt;0")=11),1,0)</x:f>
        <x:v>1</x:v>
      </x:c>
      <x:c r="J361" s="2" t="n">
        <x:f>COUNTIFS($A$6:$A$797,A361)</x:f>
        <x:v>1</x:v>
      </x:c>
    </x:row>
    <x:row r="362" ht="23" customHeight="1">
      <x:c r="A362" s="2" t="str">
        <x:v>61103099_MA_202603_IMPORT</x:v>
      </x:c>
      <x:c r="B362" s="2" t="n">
        <x:v>202603</x:v>
      </x:c>
      <x:c r="C362" s="2" t="str">
        <x:v>61103099</x:v>
      </x:c>
      <x:c r="D362" s="2" t="str">
        <x:v>Morocco</x:v>
      </x:c>
      <x:c r="E362" s="16" t="n">
        <x:v>38706</x:v>
      </x:c>
      <x:c r="F362" s="16" t="n">
        <x:v>1191</x:v>
      </x:c>
      <x:c r="G362" s="2" t="str">
        <x:v>WITHIN_BAND</x:v>
      </x:c>
      <x:c r="H362" s="2" t="n">
        <x:v>1</x:v>
      </x:c>
      <x:c r="I362" s="2" t="n">
        <x:f>IF(AND(COUNTIFS($B$6:$B$797,B362,$C$6:$C$797,C362)=11,COUNTIFS($B$6:$B$797,B362,$C$6:$C$797,C362,$G$6:$G$797,"REVIEW")=0,COUNTIFS($B$6:$B$797,B362,$C$6:$C$797,C362,$H$6:$H$797,1)=11,COUNTIFS($B$6:$B$797,B362,$C$6:$C$797,C362,$F$6:$F$797,"&gt;0")=11),1,0)</x:f>
        <x:v>1</x:v>
      </x:c>
      <x:c r="J362" s="2" t="n">
        <x:f>COUNTIFS($A$6:$A$797,A362)</x:f>
        <x:v>1</x:v>
      </x:c>
    </x:row>
    <x:row r="363" ht="23" customHeight="1">
      <x:c r="A363" s="2" t="str">
        <x:v>61103099_MM_202603_IMPORT</x:v>
      </x:c>
      <x:c r="B363" s="2" t="n">
        <x:v>202603</x:v>
      </x:c>
      <x:c r="C363" s="2" t="str">
        <x:v>61103099</x:v>
      </x:c>
      <x:c r="D363" s="2" t="str">
        <x:v>Myanmar</x:v>
      </x:c>
      <x:c r="E363" s="16" t="n">
        <x:v>185347</x:v>
      </x:c>
      <x:c r="F363" s="16" t="n">
        <x:v>14601</x:v>
      </x:c>
      <x:c r="G363" s="2" t="str">
        <x:v>WITHIN_BAND</x:v>
      </x:c>
      <x:c r="H363" s="2" t="n">
        <x:v>1</x:v>
      </x:c>
      <x:c r="I363" s="2" t="n">
        <x:f>IF(AND(COUNTIFS($B$6:$B$797,B363,$C$6:$C$797,C363)=11,COUNTIFS($B$6:$B$797,B363,$C$6:$C$797,C363,$G$6:$G$797,"REVIEW")=0,COUNTIFS($B$6:$B$797,B363,$C$6:$C$797,C363,$H$6:$H$797,1)=11,COUNTIFS($B$6:$B$797,B363,$C$6:$C$797,C363,$F$6:$F$797,"&gt;0")=11),1,0)</x:f>
        <x:v>1</x:v>
      </x:c>
      <x:c r="J363" s="2" t="n">
        <x:f>COUNTIFS($A$6:$A$797,A363)</x:f>
        <x:v>1</x:v>
      </x:c>
    </x:row>
    <x:row r="364" ht="23" customHeight="1">
      <x:c r="A364" s="2" t="str">
        <x:v>61103099_PK_202603_IMPORT</x:v>
      </x:c>
      <x:c r="B364" s="2" t="n">
        <x:v>202603</x:v>
      </x:c>
      <x:c r="C364" s="2" t="str">
        <x:v>61103099</x:v>
      </x:c>
      <x:c r="D364" s="2" t="str">
        <x:v>Pakistan</x:v>
      </x:c>
      <x:c r="E364" s="16" t="n">
        <x:v>473191</x:v>
      </x:c>
      <x:c r="F364" s="16" t="n">
        <x:v>30055</x:v>
      </x:c>
      <x:c r="G364" s="2" t="str">
        <x:v>WITHIN_BAND</x:v>
      </x:c>
      <x:c r="H364" s="2" t="n">
        <x:v>1</x:v>
      </x:c>
      <x:c r="I364" s="2" t="n">
        <x:f>IF(AND(COUNTIFS($B$6:$B$797,B364,$C$6:$C$797,C364)=11,COUNTIFS($B$6:$B$797,B364,$C$6:$C$797,C364,$G$6:$G$797,"REVIEW")=0,COUNTIFS($B$6:$B$797,B364,$C$6:$C$797,C364,$H$6:$H$797,1)=11,COUNTIFS($B$6:$B$797,B364,$C$6:$C$797,C364,$F$6:$F$797,"&gt;0")=11),1,0)</x:f>
        <x:v>1</x:v>
      </x:c>
      <x:c r="J364" s="2" t="n">
        <x:f>COUNTIFS($A$6:$A$797,A364)</x:f>
        <x:v>1</x:v>
      </x:c>
    </x:row>
    <x:row r="365" ht="23" customHeight="1">
      <x:c r="A365" s="2" t="str">
        <x:v>61103099_LK_202603_IMPORT</x:v>
      </x:c>
      <x:c r="B365" s="2" t="n">
        <x:v>202603</x:v>
      </x:c>
      <x:c r="C365" s="2" t="str">
        <x:v>61103099</x:v>
      </x:c>
      <x:c r="D365" s="2" t="str">
        <x:v>Sri Lanka</x:v>
      </x:c>
      <x:c r="E365" s="16" t="n">
        <x:v>100320</x:v>
      </x:c>
      <x:c r="F365" s="16" t="n">
        <x:v>4422</x:v>
      </x:c>
      <x:c r="G365" s="2" t="str">
        <x:v>WITHIN_BAND</x:v>
      </x:c>
      <x:c r="H365" s="2" t="n">
        <x:v>1</x:v>
      </x:c>
      <x:c r="I365" s="2" t="n">
        <x:f>IF(AND(COUNTIFS($B$6:$B$797,B365,$C$6:$C$797,C365)=11,COUNTIFS($B$6:$B$797,B365,$C$6:$C$797,C365,$G$6:$G$797,"REVIEW")=0,COUNTIFS($B$6:$B$797,B365,$C$6:$C$797,C365,$H$6:$H$797,1)=11,COUNTIFS($B$6:$B$797,B365,$C$6:$C$797,C365,$F$6:$F$797,"&gt;0")=11),1,0)</x:f>
        <x:v>1</x:v>
      </x:c>
      <x:c r="J365" s="2" t="n">
        <x:f>COUNTIFS($A$6:$A$797,A365)</x:f>
        <x:v>1</x:v>
      </x:c>
    </x:row>
    <x:row r="366" ht="23" customHeight="1">
      <x:c r="A366" s="2" t="str">
        <x:v>61103099_TR_202603_IMPORT</x:v>
      </x:c>
      <x:c r="B366" s="2" t="n">
        <x:v>202603</x:v>
      </x:c>
      <x:c r="C366" s="2" t="str">
        <x:v>61103099</x:v>
      </x:c>
      <x:c r="D366" s="2" t="str">
        <x:v>Turkey</x:v>
      </x:c>
      <x:c r="E366" s="16" t="n">
        <x:v>1753510</x:v>
      </x:c>
      <x:c r="F366" s="16" t="n">
        <x:v>83691</x:v>
      </x:c>
      <x:c r="G366" s="2" t="str">
        <x:v>WITHIN_BAND</x:v>
      </x:c>
      <x:c r="H366" s="2" t="n">
        <x:v>1</x:v>
      </x:c>
      <x:c r="I366" s="2" t="n">
        <x:f>IF(AND(COUNTIFS($B$6:$B$797,B366,$C$6:$C$797,C366)=11,COUNTIFS($B$6:$B$797,B366,$C$6:$C$797,C366,$G$6:$G$797,"REVIEW")=0,COUNTIFS($B$6:$B$797,B366,$C$6:$C$797,C366,$H$6:$H$797,1)=11,COUNTIFS($B$6:$B$797,B366,$C$6:$C$797,C366,$F$6:$F$797,"&gt;0")=11),1,0)</x:f>
        <x:v>1</x:v>
      </x:c>
      <x:c r="J366" s="2" t="n">
        <x:f>COUNTIFS($A$6:$A$797,A366)</x:f>
        <x:v>1</x:v>
      </x:c>
    </x:row>
    <x:row r="367" ht="23" customHeight="1">
      <x:c r="A367" s="2" t="str">
        <x:v>61103099_VN_202603_IMPORT</x:v>
      </x:c>
      <x:c r="B367" s="2" t="n">
        <x:v>202603</x:v>
      </x:c>
      <x:c r="C367" s="2" t="str">
        <x:v>61103099</x:v>
      </x:c>
      <x:c r="D367" s="2" t="str">
        <x:v>Vietnam</x:v>
      </x:c>
      <x:c r="E367" s="16" t="n">
        <x:v>1461622</x:v>
      </x:c>
      <x:c r="F367" s="16" t="n">
        <x:v>36569</x:v>
      </x:c>
      <x:c r="G367" s="2" t="str">
        <x:v>WITHIN_BAND</x:v>
      </x:c>
      <x:c r="H367" s="2" t="n">
        <x:v>1</x:v>
      </x:c>
      <x:c r="I367" s="2" t="n">
        <x:f>IF(AND(COUNTIFS($B$6:$B$797,B367,$C$6:$C$797,C367)=11,COUNTIFS($B$6:$B$797,B367,$C$6:$C$797,C367,$G$6:$G$797,"REVIEW")=0,COUNTIFS($B$6:$B$797,B367,$C$6:$C$797,C367,$H$6:$H$797,1)=11,COUNTIFS($B$6:$B$797,B367,$C$6:$C$797,C367,$F$6:$F$797,"&gt;0")=11),1,0)</x:f>
        <x:v>1</x:v>
      </x:c>
      <x:c r="J367" s="2" t="n">
        <x:f>COUNTIFS($A$6:$A$797,A367)</x:f>
        <x:v>1</x:v>
      </x:c>
    </x:row>
    <x:row r="368" ht="23" customHeight="1">
      <x:c r="A368" s="2" t="str">
        <x:v>61103099_WORLD_202603_IMPORT</x:v>
      </x:c>
      <x:c r="B368" s="2" t="n">
        <x:v>202603</x:v>
      </x:c>
      <x:c r="C368" s="2" t="str">
        <x:v>61103099</x:v>
      </x:c>
      <x:c r="D368" s="2" t="str">
        <x:v>World</x:v>
      </x:c>
      <x:c r="E368" s="16" t="n">
        <x:v>27630122</x:v>
      </x:c>
      <x:c r="F368" s="16" t="n">
        <x:v>1590654</x:v>
      </x:c>
      <x:c r="G368" s="2" t="str">
        <x:v>WITHIN_BAND</x:v>
      </x:c>
      <x:c r="H368" s="2" t="n">
        <x:v>1</x:v>
      </x:c>
      <x:c r="I368" s="2" t="n">
        <x:f>IF(AND(COUNTIFS($B$6:$B$797,B368,$C$6:$C$797,C368)=11,COUNTIFS($B$6:$B$797,B368,$C$6:$C$797,C368,$G$6:$G$797,"REVIEW")=0,COUNTIFS($B$6:$B$797,B368,$C$6:$C$797,C368,$H$6:$H$797,1)=11,COUNTIFS($B$6:$B$797,B368,$C$6:$C$797,C368,$F$6:$F$797,"&gt;0")=11),1,0)</x:f>
        <x:v>1</x:v>
      </x:c>
      <x:c r="J368" s="2" t="n">
        <x:f>COUNTIFS($A$6:$A$797,A368)</x:f>
        <x:v>1</x:v>
      </x:c>
    </x:row>
    <x:row r="369" ht="23" customHeight="1">
      <x:c r="A369" s="2" t="str">
        <x:v>61103099_BD_202604_IMPORT</x:v>
      </x:c>
      <x:c r="B369" s="2" t="n">
        <x:v>202604</x:v>
      </x:c>
      <x:c r="C369" s="2" t="str">
        <x:v>61103099</x:v>
      </x:c>
      <x:c r="D369" s="2" t="str">
        <x:v>Bangladesh</x:v>
      </x:c>
      <x:c r="E369" s="16" t="n">
        <x:v>5124631</x:v>
      </x:c>
      <x:c r="F369" s="16" t="n">
        <x:v>417371</x:v>
      </x:c>
      <x:c r="G369" s="2" t="str">
        <x:v>WITHIN_BAND</x:v>
      </x:c>
      <x:c r="H369" s="2" t="n">
        <x:v>1</x:v>
      </x:c>
      <x:c r="I369" s="2" t="n">
        <x:f>IF(AND(COUNTIFS($B$6:$B$797,B369,$C$6:$C$797,C369)=11,COUNTIFS($B$6:$B$797,B369,$C$6:$C$797,C369,$G$6:$G$797,"REVIEW")=0,COUNTIFS($B$6:$B$797,B369,$C$6:$C$797,C369,$H$6:$H$797,1)=11,COUNTIFS($B$6:$B$797,B369,$C$6:$C$797,C369,$F$6:$F$797,"&gt;0")=11),1,0)</x:f>
        <x:v>0</x:v>
      </x:c>
      <x:c r="J369" s="2" t="n">
        <x:f>COUNTIFS($A$6:$A$797,A369)</x:f>
        <x:v>1</x:v>
      </x:c>
    </x:row>
    <x:row r="370" ht="23" customHeight="1">
      <x:c r="A370" s="2" t="str">
        <x:v>61103099_KH_202604_IMPORT</x:v>
      </x:c>
      <x:c r="B370" s="2" t="n">
        <x:v>202604</x:v>
      </x:c>
      <x:c r="C370" s="2" t="str">
        <x:v>61103099</x:v>
      </x:c>
      <x:c r="D370" s="2" t="str">
        <x:v>Cambodia</x:v>
      </x:c>
      <x:c r="E370" s="16" t="n">
        <x:v>1681792</x:v>
      </x:c>
      <x:c r="F370" s="16" t="n">
        <x:v>149559</x:v>
      </x:c>
      <x:c r="G370" s="2" t="str">
        <x:v>WITHIN_BAND</x:v>
      </x:c>
      <x:c r="H370" s="2" t="n">
        <x:v>1</x:v>
      </x:c>
      <x:c r="I370" s="2" t="n">
        <x:f>IF(AND(COUNTIFS($B$6:$B$797,B370,$C$6:$C$797,C370)=11,COUNTIFS($B$6:$B$797,B370,$C$6:$C$797,C370,$G$6:$G$797,"REVIEW")=0,COUNTIFS($B$6:$B$797,B370,$C$6:$C$797,C370,$H$6:$H$797,1)=11,COUNTIFS($B$6:$B$797,B370,$C$6:$C$797,C370,$F$6:$F$797,"&gt;0")=11),1,0)</x:f>
        <x:v>0</x:v>
      </x:c>
      <x:c r="J370" s="2" t="n">
        <x:f>COUNTIFS($A$6:$A$797,A370)</x:f>
        <x:v>1</x:v>
      </x:c>
    </x:row>
    <x:row r="371" ht="23" customHeight="1">
      <x:c r="A371" s="2" t="str">
        <x:v>61103099_CN_202604_IMPORT</x:v>
      </x:c>
      <x:c r="B371" s="2" t="n">
        <x:v>202604</x:v>
      </x:c>
      <x:c r="C371" s="2" t="str">
        <x:v>61103099</x:v>
      </x:c>
      <x:c r="D371" s="2" t="str">
        <x:v>China</x:v>
      </x:c>
      <x:c r="E371" s="16" t="n">
        <x:v>4811473</x:v>
      </x:c>
      <x:c r="F371" s="16" t="n">
        <x:v>243515</x:v>
      </x:c>
      <x:c r="G371" s="2" t="str">
        <x:v>WITHIN_BAND</x:v>
      </x:c>
      <x:c r="H371" s="2" t="n">
        <x:v>1</x:v>
      </x:c>
      <x:c r="I371" s="2" t="n">
        <x:f>IF(AND(COUNTIFS($B$6:$B$797,B371,$C$6:$C$797,C371)=11,COUNTIFS($B$6:$B$797,B371,$C$6:$C$797,C371,$G$6:$G$797,"REVIEW")=0,COUNTIFS($B$6:$B$797,B371,$C$6:$C$797,C371,$H$6:$H$797,1)=11,COUNTIFS($B$6:$B$797,B371,$C$6:$C$797,C371,$F$6:$F$797,"&gt;0")=11),1,0)</x:f>
        <x:v>0</x:v>
      </x:c>
      <x:c r="J371" s="2" t="n">
        <x:f>COUNTIFS($A$6:$A$797,A371)</x:f>
        <x:v>1</x:v>
      </x:c>
    </x:row>
    <x:row r="372" ht="23" customHeight="1">
      <x:c r="A372" s="2" t="str">
        <x:v>61103099_IN_202604_IMPORT</x:v>
      </x:c>
      <x:c r="B372" s="2" t="n">
        <x:v>202604</x:v>
      </x:c>
      <x:c r="C372" s="2" t="str">
        <x:v>61103099</x:v>
      </x:c>
      <x:c r="D372" s="2" t="str">
        <x:v>India</x:v>
      </x:c>
      <x:c r="E372" s="16" t="n">
        <x:v>143998</x:v>
      </x:c>
      <x:c r="F372" s="16" t="n">
        <x:v>9255</x:v>
      </x:c>
      <x:c r="G372" s="2" t="str">
        <x:v>WITHIN_BAND</x:v>
      </x:c>
      <x:c r="H372" s="2" t="n">
        <x:v>1</x:v>
      </x:c>
      <x:c r="I372" s="2" t="n">
        <x:f>IF(AND(COUNTIFS($B$6:$B$797,B372,$C$6:$C$797,C372)=11,COUNTIFS($B$6:$B$797,B372,$C$6:$C$797,C372,$G$6:$G$797,"REVIEW")=0,COUNTIFS($B$6:$B$797,B372,$C$6:$C$797,C372,$H$6:$H$797,1)=11,COUNTIFS($B$6:$B$797,B372,$C$6:$C$797,C372,$F$6:$F$797,"&gt;0")=11),1,0)</x:f>
        <x:v>0</x:v>
      </x:c>
      <x:c r="J372" s="2" t="n">
        <x:f>COUNTIFS($A$6:$A$797,A372)</x:f>
        <x:v>1</x:v>
      </x:c>
    </x:row>
    <x:row r="373" ht="23" customHeight="1">
      <x:c r="A373" s="2" t="str">
        <x:v>61103099_MA_202604_IMPORT</x:v>
      </x:c>
      <x:c r="B373" s="2" t="n">
        <x:v>202604</x:v>
      </x:c>
      <x:c r="C373" s="2" t="str">
        <x:v>61103099</x:v>
      </x:c>
      <x:c r="D373" s="2" t="str">
        <x:v>Morocco</x:v>
      </x:c>
      <x:c r="E373" s="16" t="n">
        <x:v>14565</x:v>
      </x:c>
      <x:c r="F373" s="16" t="n">
        <x:v>430</x:v>
      </x:c>
      <x:c r="G373" s="2" t="str">
        <x:v>WITHIN_BAND</x:v>
      </x:c>
      <x:c r="H373" s="2" t="n">
        <x:v>1</x:v>
      </x:c>
      <x:c r="I373" s="2" t="n">
        <x:f>IF(AND(COUNTIFS($B$6:$B$797,B373,$C$6:$C$797,C373)=11,COUNTIFS($B$6:$B$797,B373,$C$6:$C$797,C373,$G$6:$G$797,"REVIEW")=0,COUNTIFS($B$6:$B$797,B373,$C$6:$C$797,C373,$H$6:$H$797,1)=11,COUNTIFS($B$6:$B$797,B373,$C$6:$C$797,C373,$F$6:$F$797,"&gt;0")=11),1,0)</x:f>
        <x:v>0</x:v>
      </x:c>
      <x:c r="J373" s="2" t="n">
        <x:f>COUNTIFS($A$6:$A$797,A373)</x:f>
        <x:v>1</x:v>
      </x:c>
    </x:row>
    <x:row r="374" ht="23" customHeight="1">
      <x:c r="A374" s="2" t="str">
        <x:v>61103099_MM_202604_IMPORT</x:v>
      </x:c>
      <x:c r="B374" s="2" t="n">
        <x:v>202604</x:v>
      </x:c>
      <x:c r="C374" s="2" t="str">
        <x:v>61103099</x:v>
      </x:c>
      <x:c r="D374" s="2" t="str">
        <x:v>Myanmar</x:v>
      </x:c>
      <x:c r="E374" s="16" t="n">
        <x:v>53407</x:v>
      </x:c>
      <x:c r="F374" s="16" t="n">
        <x:v>3714</x:v>
      </x:c>
      <x:c r="G374" s="2" t="str">
        <x:v>WITHIN_BAND</x:v>
      </x:c>
      <x:c r="H374" s="2" t="n">
        <x:v>1</x:v>
      </x:c>
      <x:c r="I374" s="2" t="n">
        <x:f>IF(AND(COUNTIFS($B$6:$B$797,B374,$C$6:$C$797,C374)=11,COUNTIFS($B$6:$B$797,B374,$C$6:$C$797,C374,$G$6:$G$797,"REVIEW")=0,COUNTIFS($B$6:$B$797,B374,$C$6:$C$797,C374,$H$6:$H$797,1)=11,COUNTIFS($B$6:$B$797,B374,$C$6:$C$797,C374,$F$6:$F$797,"&gt;0")=11),1,0)</x:f>
        <x:v>0</x:v>
      </x:c>
      <x:c r="J374" s="2" t="n">
        <x:f>COUNTIFS($A$6:$A$797,A374)</x:f>
        <x:v>1</x:v>
      </x:c>
    </x:row>
    <x:row r="375" ht="23" customHeight="1">
      <x:c r="A375" s="2" t="str">
        <x:v>61103099_PK_202604_IMPORT</x:v>
      </x:c>
      <x:c r="B375" s="2" t="n">
        <x:v>202604</x:v>
      </x:c>
      <x:c r="C375" s="2" t="str">
        <x:v>61103099</x:v>
      </x:c>
      <x:c r="D375" s="2" t="str">
        <x:v>Pakistan</x:v>
      </x:c>
      <x:c r="E375" s="16" t="n">
        <x:v>115457</x:v>
      </x:c>
      <x:c r="F375" s="16" t="n">
        <x:v>8356</x:v>
      </x:c>
      <x:c r="G375" s="2" t="str">
        <x:v>WITHIN_BAND</x:v>
      </x:c>
      <x:c r="H375" s="2" t="n">
        <x:v>1</x:v>
      </x:c>
      <x:c r="I375" s="2" t="n">
        <x:f>IF(AND(COUNTIFS($B$6:$B$797,B375,$C$6:$C$797,C375)=11,COUNTIFS($B$6:$B$797,B375,$C$6:$C$797,C375,$G$6:$G$797,"REVIEW")=0,COUNTIFS($B$6:$B$797,B375,$C$6:$C$797,C375,$H$6:$H$797,1)=11,COUNTIFS($B$6:$B$797,B375,$C$6:$C$797,C375,$F$6:$F$797,"&gt;0")=11),1,0)</x:f>
        <x:v>0</x:v>
      </x:c>
      <x:c r="J375" s="2" t="n">
        <x:f>COUNTIFS($A$6:$A$797,A375)</x:f>
        <x:v>1</x:v>
      </x:c>
    </x:row>
    <x:row r="376" ht="23" customHeight="1">
      <x:c r="A376" s="2" t="str">
        <x:v>61103099_LK_202604_IMPORT</x:v>
      </x:c>
      <x:c r="B376" s="2" t="n">
        <x:v>202604</x:v>
      </x:c>
      <x:c r="C376" s="2" t="str">
        <x:v>61103099</x:v>
      </x:c>
      <x:c r="D376" s="2" t="str">
        <x:v>Sri Lanka</x:v>
      </x:c>
      <x:c r="E376" s="16" t="n">
        <x:v>121436</x:v>
      </x:c>
      <x:c r="F376" s="16" t="n">
        <x:v>7292</x:v>
      </x:c>
      <x:c r="G376" s="2" t="str">
        <x:v>WITHIN_BAND</x:v>
      </x:c>
      <x:c r="H376" s="2" t="n">
        <x:v>1</x:v>
      </x:c>
      <x:c r="I376" s="2" t="n">
        <x:f>IF(AND(COUNTIFS($B$6:$B$797,B376,$C$6:$C$797,C376)=11,COUNTIFS($B$6:$B$797,B376,$C$6:$C$797,C376,$G$6:$G$797,"REVIEW")=0,COUNTIFS($B$6:$B$797,B376,$C$6:$C$797,C376,$H$6:$H$797,1)=11,COUNTIFS($B$6:$B$797,B376,$C$6:$C$797,C376,$F$6:$F$797,"&gt;0")=11),1,0)</x:f>
        <x:v>0</x:v>
      </x:c>
      <x:c r="J376" s="2" t="n">
        <x:f>COUNTIFS($A$6:$A$797,A376)</x:f>
        <x:v>1</x:v>
      </x:c>
    </x:row>
    <x:row r="377" ht="23" customHeight="1">
      <x:c r="A377" s="2" t="str">
        <x:v>61103099_TR_202604_IMPORT</x:v>
      </x:c>
      <x:c r="B377" s="2" t="n">
        <x:v>202604</x:v>
      </x:c>
      <x:c r="C377" s="2" t="str">
        <x:v>61103099</x:v>
      </x:c>
      <x:c r="D377" s="2" t="str">
        <x:v>Turkey</x:v>
      </x:c>
      <x:c r="E377" s="16" t="n">
        <x:v>2467717</x:v>
      </x:c>
      <x:c r="F377" s="16" t="n">
        <x:v>448534</x:v>
      </x:c>
      <x:c r="G377" s="2" t="str">
        <x:v>REVIEW</x:v>
      </x:c>
      <x:c r="H377" s="2" t="n">
        <x:v>1</x:v>
      </x:c>
      <x:c r="I377" s="2" t="n">
        <x:f>IF(AND(COUNTIFS($B$6:$B$797,B377,$C$6:$C$797,C377)=11,COUNTIFS($B$6:$B$797,B377,$C$6:$C$797,C377,$G$6:$G$797,"REVIEW")=0,COUNTIFS($B$6:$B$797,B377,$C$6:$C$797,C377,$H$6:$H$797,1)=11,COUNTIFS($B$6:$B$797,B377,$C$6:$C$797,C377,$F$6:$F$797,"&gt;0")=11),1,0)</x:f>
        <x:v>0</x:v>
      </x:c>
      <x:c r="J377" s="2" t="n">
        <x:f>COUNTIFS($A$6:$A$797,A377)</x:f>
        <x:v>1</x:v>
      </x:c>
    </x:row>
    <x:row r="378" ht="23" customHeight="1">
      <x:c r="A378" s="2" t="str">
        <x:v>61103099_VN_202604_IMPORT</x:v>
      </x:c>
      <x:c r="B378" s="2" t="n">
        <x:v>202604</x:v>
      </x:c>
      <x:c r="C378" s="2" t="str">
        <x:v>61103099</x:v>
      </x:c>
      <x:c r="D378" s="2" t="str">
        <x:v>Vietnam</x:v>
      </x:c>
      <x:c r="E378" s="16" t="n">
        <x:v>716947</x:v>
      </x:c>
      <x:c r="F378" s="16" t="n">
        <x:v>24825</x:v>
      </x:c>
      <x:c r="G378" s="2" t="str">
        <x:v>WITHIN_BAND</x:v>
      </x:c>
      <x:c r="H378" s="2" t="n">
        <x:v>1</x:v>
      </x:c>
      <x:c r="I378" s="2" t="n">
        <x:f>IF(AND(COUNTIFS($B$6:$B$797,B378,$C$6:$C$797,C378)=11,COUNTIFS($B$6:$B$797,B378,$C$6:$C$797,C378,$G$6:$G$797,"REVIEW")=0,COUNTIFS($B$6:$B$797,B378,$C$6:$C$797,C378,$H$6:$H$797,1)=11,COUNTIFS($B$6:$B$797,B378,$C$6:$C$797,C378,$F$6:$F$797,"&gt;0")=11),1,0)</x:f>
        <x:v>0</x:v>
      </x:c>
      <x:c r="J378" s="2" t="n">
        <x:f>COUNTIFS($A$6:$A$797,A378)</x:f>
        <x:v>1</x:v>
      </x:c>
    </x:row>
    <x:row r="379" ht="23" customHeight="1">
      <x:c r="A379" s="2" t="str">
        <x:v>61103099_WORLD_202604_IMPORT</x:v>
      </x:c>
      <x:c r="B379" s="2" t="n">
        <x:v>202604</x:v>
      </x:c>
      <x:c r="C379" s="2" t="str">
        <x:v>61103099</x:v>
      </x:c>
      <x:c r="D379" s="2" t="str">
        <x:v>World</x:v>
      </x:c>
      <x:c r="E379" s="16" t="n">
        <x:v>22255068</x:v>
      </x:c>
      <x:c r="F379" s="16" t="n">
        <x:v>1553468</x:v>
      </x:c>
      <x:c r="G379" s="2" t="str">
        <x:v>WITHIN_BAND</x:v>
      </x:c>
      <x:c r="H379" s="2" t="n">
        <x:v>1</x:v>
      </x:c>
      <x:c r="I379" s="2" t="n">
        <x:f>IF(AND(COUNTIFS($B$6:$B$797,B379,$C$6:$C$797,C379)=11,COUNTIFS($B$6:$B$797,B379,$C$6:$C$797,C379,$G$6:$G$797,"REVIEW")=0,COUNTIFS($B$6:$B$797,B379,$C$6:$C$797,C379,$H$6:$H$797,1)=11,COUNTIFS($B$6:$B$797,B379,$C$6:$C$797,C379,$F$6:$F$797,"&gt;0")=11),1,0)</x:f>
        <x:v>0</x:v>
      </x:c>
      <x:c r="J379" s="2" t="n">
        <x:f>COUNTIFS($A$6:$A$797,A379)</x:f>
        <x:v>1</x:v>
      </x:c>
    </x:row>
    <x:row r="380" ht="23" customHeight="1">
      <x:c r="A380" s="2" t="str">
        <x:v>61103099_BD_202605_IMPORT</x:v>
      </x:c>
      <x:c r="B380" s="2" t="n">
        <x:v>202605</x:v>
      </x:c>
      <x:c r="C380" s="2" t="str">
        <x:v>61103099</x:v>
      </x:c>
      <x:c r="D380" s="2" t="str">
        <x:v>Bangladesh</x:v>
      </x:c>
      <x:c r="E380" s="16" t="n">
        <x:v>3949172</x:v>
      </x:c>
      <x:c r="F380" s="16" t="n">
        <x:v>308227</x:v>
      </x:c>
      <x:c r="G380" s="2" t="str">
        <x:v>WITHIN_BAND</x:v>
      </x:c>
      <x:c r="H380" s="2" t="n">
        <x:v>1</x:v>
      </x:c>
      <x:c r="I380" s="2" t="n">
        <x:f>IF(AND(COUNTIFS($B$6:$B$797,B380,$C$6:$C$797,C380)=11,COUNTIFS($B$6:$B$797,B380,$C$6:$C$797,C380,$G$6:$G$797,"REVIEW")=0,COUNTIFS($B$6:$B$797,B380,$C$6:$C$797,C380,$H$6:$H$797,1)=11,COUNTIFS($B$6:$B$797,B380,$C$6:$C$797,C380,$F$6:$F$797,"&gt;0")=11),1,0)</x:f>
        <x:v>0</x:v>
      </x:c>
      <x:c r="J380" s="2" t="n">
        <x:f>COUNTIFS($A$6:$A$797,A380)</x:f>
        <x:v>1</x:v>
      </x:c>
    </x:row>
    <x:row r="381" ht="23" customHeight="1">
      <x:c r="A381" s="2" t="str">
        <x:v>61103099_KH_202605_IMPORT</x:v>
      </x:c>
      <x:c r="B381" s="2" t="n">
        <x:v>202605</x:v>
      </x:c>
      <x:c r="C381" s="2" t="str">
        <x:v>61103099</x:v>
      </x:c>
      <x:c r="D381" s="2" t="str">
        <x:v>Cambodia</x:v>
      </x:c>
      <x:c r="E381" s="16" t="n">
        <x:v>2129706</x:v>
      </x:c>
      <x:c r="F381" s="16" t="n">
        <x:v>164991</x:v>
      </x:c>
      <x:c r="G381" s="2" t="str">
        <x:v>WITHIN_BAND</x:v>
      </x:c>
      <x:c r="H381" s="2" t="n">
        <x:v>1</x:v>
      </x:c>
      <x:c r="I381" s="2" t="n">
        <x:f>IF(AND(COUNTIFS($B$6:$B$797,B381,$C$6:$C$797,C381)=11,COUNTIFS($B$6:$B$797,B381,$C$6:$C$797,C381,$G$6:$G$797,"REVIEW")=0,COUNTIFS($B$6:$B$797,B381,$C$6:$C$797,C381,$H$6:$H$797,1)=11,COUNTIFS($B$6:$B$797,B381,$C$6:$C$797,C381,$F$6:$F$797,"&gt;0")=11),1,0)</x:f>
        <x:v>0</x:v>
      </x:c>
      <x:c r="J381" s="2" t="n">
        <x:f>COUNTIFS($A$6:$A$797,A381)</x:f>
        <x:v>1</x:v>
      </x:c>
    </x:row>
    <x:row r="382" ht="23" customHeight="1">
      <x:c r="A382" s="2" t="str">
        <x:v>61103099_CN_202605_IMPORT</x:v>
      </x:c>
      <x:c r="B382" s="2" t="n">
        <x:v>202605</x:v>
      </x:c>
      <x:c r="C382" s="2" t="str">
        <x:v>61103099</x:v>
      </x:c>
      <x:c r="D382" s="2" t="str">
        <x:v>China</x:v>
      </x:c>
      <x:c r="E382" s="16" t="n">
        <x:v>4491895</x:v>
      </x:c>
      <x:c r="F382" s="16" t="n">
        <x:v>256989</x:v>
      </x:c>
      <x:c r="G382" s="2" t="str">
        <x:v>WITHIN_BAND</x:v>
      </x:c>
      <x:c r="H382" s="2" t="n">
        <x:v>1</x:v>
      </x:c>
      <x:c r="I382" s="2" t="n">
        <x:f>IF(AND(COUNTIFS($B$6:$B$797,B382,$C$6:$C$797,C382)=11,COUNTIFS($B$6:$B$797,B382,$C$6:$C$797,C382,$G$6:$G$797,"REVIEW")=0,COUNTIFS($B$6:$B$797,B382,$C$6:$C$797,C382,$H$6:$H$797,1)=11,COUNTIFS($B$6:$B$797,B382,$C$6:$C$797,C382,$F$6:$F$797,"&gt;0")=11),1,0)</x:f>
        <x:v>0</x:v>
      </x:c>
      <x:c r="J382" s="2" t="n">
        <x:f>COUNTIFS($A$6:$A$797,A382)</x:f>
        <x:v>1</x:v>
      </x:c>
    </x:row>
    <x:row r="383" ht="23" customHeight="1">
      <x:c r="A383" s="2" t="str">
        <x:v>61103099_IN_202605_IMPORT</x:v>
      </x:c>
      <x:c r="B383" s="2" t="n">
        <x:v>202605</x:v>
      </x:c>
      <x:c r="C383" s="2" t="str">
        <x:v>61103099</x:v>
      </x:c>
      <x:c r="D383" s="2" t="str">
        <x:v>India</x:v>
      </x:c>
      <x:c r="E383" s="16" t="n">
        <x:v>88834</x:v>
      </x:c>
      <x:c r="F383" s="16" t="n">
        <x:v>6363</x:v>
      </x:c>
      <x:c r="G383" s="2" t="str">
        <x:v>WITHIN_BAND</x:v>
      </x:c>
      <x:c r="H383" s="2" t="n">
        <x:v>1</x:v>
      </x:c>
      <x:c r="I383" s="2" t="n">
        <x:f>IF(AND(COUNTIFS($B$6:$B$797,B383,$C$6:$C$797,C383)=11,COUNTIFS($B$6:$B$797,B383,$C$6:$C$797,C383,$G$6:$G$797,"REVIEW")=0,COUNTIFS($B$6:$B$797,B383,$C$6:$C$797,C383,$H$6:$H$797,1)=11,COUNTIFS($B$6:$B$797,B383,$C$6:$C$797,C383,$F$6:$F$797,"&gt;0")=11),1,0)</x:f>
        <x:v>0</x:v>
      </x:c>
      <x:c r="J383" s="2" t="n">
        <x:f>COUNTIFS($A$6:$A$797,A383)</x:f>
        <x:v>1</x:v>
      </x:c>
    </x:row>
    <x:row r="384" ht="23" customHeight="1">
      <x:c r="A384" s="2" t="str">
        <x:v>61103099_MA_202605_IMPORT</x:v>
      </x:c>
      <x:c r="B384" s="2" t="n">
        <x:v>202605</x:v>
      </x:c>
      <x:c r="C384" s="2" t="str">
        <x:v>61103099</x:v>
      </x:c>
      <x:c r="D384" s="2" t="str">
        <x:v>Morocco</x:v>
      </x:c>
      <x:c r="E384" s="16" t="n">
        <x:v>1916</x:v>
      </x:c>
      <x:c r="F384" s="16" t="n">
        <x:v>164</x:v>
      </x:c>
      <x:c r="G384" s="2" t="str">
        <x:v>WITHIN_BAND</x:v>
      </x:c>
      <x:c r="H384" s="2" t="n">
        <x:v>1</x:v>
      </x:c>
      <x:c r="I384" s="2" t="n">
        <x:f>IF(AND(COUNTIFS($B$6:$B$797,B384,$C$6:$C$797,C384)=11,COUNTIFS($B$6:$B$797,B384,$C$6:$C$797,C384,$G$6:$G$797,"REVIEW")=0,COUNTIFS($B$6:$B$797,B384,$C$6:$C$797,C384,$H$6:$H$797,1)=11,COUNTIFS($B$6:$B$797,B384,$C$6:$C$797,C384,$F$6:$F$797,"&gt;0")=11),1,0)</x:f>
        <x:v>0</x:v>
      </x:c>
      <x:c r="J384" s="2" t="n">
        <x:f>COUNTIFS($A$6:$A$797,A384)</x:f>
        <x:v>1</x:v>
      </x:c>
    </x:row>
    <x:row r="385" ht="23" customHeight="1">
      <x:c r="A385" s="2" t="str">
        <x:v>61103099_MM_202605_IMPORT</x:v>
      </x:c>
      <x:c r="B385" s="2" t="n">
        <x:v>202605</x:v>
      </x:c>
      <x:c r="C385" s="2" t="str">
        <x:v>61103099</x:v>
      </x:c>
      <x:c r="D385" s="2" t="str">
        <x:v>Myanmar</x:v>
      </x:c>
      <x:c r="E385" s="16" t="n">
        <x:v>249665</x:v>
      </x:c>
      <x:c r="F385" s="16" t="n">
        <x:v>17826</x:v>
      </x:c>
      <x:c r="G385" s="2" t="str">
        <x:v>WITHIN_BAND</x:v>
      </x:c>
      <x:c r="H385" s="2" t="n">
        <x:v>1</x:v>
      </x:c>
      <x:c r="I385" s="2" t="n">
        <x:f>IF(AND(COUNTIFS($B$6:$B$797,B385,$C$6:$C$797,C385)=11,COUNTIFS($B$6:$B$797,B385,$C$6:$C$797,C385,$G$6:$G$797,"REVIEW")=0,COUNTIFS($B$6:$B$797,B385,$C$6:$C$797,C385,$H$6:$H$797,1)=11,COUNTIFS($B$6:$B$797,B385,$C$6:$C$797,C385,$F$6:$F$797,"&gt;0")=11),1,0)</x:f>
        <x:v>0</x:v>
      </x:c>
      <x:c r="J385" s="2" t="n">
        <x:f>COUNTIFS($A$6:$A$797,A385)</x:f>
        <x:v>1</x:v>
      </x:c>
    </x:row>
    <x:row r="386" ht="23" customHeight="1">
      <x:c r="A386" s="2" t="str">
        <x:v>61103099_PK_202605_IMPORT</x:v>
      </x:c>
      <x:c r="B386" s="2" t="n">
        <x:v>202605</x:v>
      </x:c>
      <x:c r="C386" s="2" t="str">
        <x:v>61103099</x:v>
      </x:c>
      <x:c r="D386" s="2" t="str">
        <x:v>Pakistan</x:v>
      </x:c>
      <x:c r="E386" s="16" t="n">
        <x:v>551309</x:v>
      </x:c>
      <x:c r="F386" s="16" t="n">
        <x:v>29781</x:v>
      </x:c>
      <x:c r="G386" s="2" t="str">
        <x:v>WITHIN_BAND</x:v>
      </x:c>
      <x:c r="H386" s="2" t="n">
        <x:v>1</x:v>
      </x:c>
      <x:c r="I386" s="2" t="n">
        <x:f>IF(AND(COUNTIFS($B$6:$B$797,B386,$C$6:$C$797,C386)=11,COUNTIFS($B$6:$B$797,B386,$C$6:$C$797,C386,$G$6:$G$797,"REVIEW")=0,COUNTIFS($B$6:$B$797,B386,$C$6:$C$797,C386,$H$6:$H$797,1)=11,COUNTIFS($B$6:$B$797,B386,$C$6:$C$797,C386,$F$6:$F$797,"&gt;0")=11),1,0)</x:f>
        <x:v>0</x:v>
      </x:c>
      <x:c r="J386" s="2" t="n">
        <x:f>COUNTIFS($A$6:$A$797,A386)</x:f>
        <x:v>1</x:v>
      </x:c>
    </x:row>
    <x:row r="387" ht="23" customHeight="1">
      <x:c r="A387" s="2" t="str">
        <x:v>61103099_LK_202605_IMPORT</x:v>
      </x:c>
      <x:c r="B387" s="2" t="n">
        <x:v>202605</x:v>
      </x:c>
      <x:c r="C387" s="2" t="str">
        <x:v>61103099</x:v>
      </x:c>
      <x:c r="D387" s="2" t="str">
        <x:v>Sri Lanka</x:v>
      </x:c>
      <x:c r="E387" s="16" t="n">
        <x:v>193270</x:v>
      </x:c>
      <x:c r="F387" s="16" t="n">
        <x:v>9088</x:v>
      </x:c>
      <x:c r="G387" s="2" t="str">
        <x:v>WITHIN_BAND</x:v>
      </x:c>
      <x:c r="H387" s="2" t="n">
        <x:v>1</x:v>
      </x:c>
      <x:c r="I387" s="2" t="n">
        <x:f>IF(AND(COUNTIFS($B$6:$B$797,B387,$C$6:$C$797,C387)=11,COUNTIFS($B$6:$B$797,B387,$C$6:$C$797,C387,$G$6:$G$797,"REVIEW")=0,COUNTIFS($B$6:$B$797,B387,$C$6:$C$797,C387,$H$6:$H$797,1)=11,COUNTIFS($B$6:$B$797,B387,$C$6:$C$797,C387,$F$6:$F$797,"&gt;0")=11),1,0)</x:f>
        <x:v>0</x:v>
      </x:c>
      <x:c r="J387" s="2" t="n">
        <x:f>COUNTIFS($A$6:$A$797,A387)</x:f>
        <x:v>1</x:v>
      </x:c>
    </x:row>
    <x:row r="388" ht="23" customHeight="1">
      <x:c r="A388" s="2" t="str">
        <x:v>61103099_TR_202605_IMPORT</x:v>
      </x:c>
      <x:c r="B388" s="2" t="n">
        <x:v>202605</x:v>
      </x:c>
      <x:c r="C388" s="2" t="str">
        <x:v>61103099</x:v>
      </x:c>
      <x:c r="D388" s="2" t="str">
        <x:v>Turkey</x:v>
      </x:c>
      <x:c r="E388" s="16" t="n">
        <x:v>2191814</x:v>
      </x:c>
      <x:c r="F388" s="16" t="n">
        <x:v>631864</x:v>
      </x:c>
      <x:c r="G388" s="2" t="str">
        <x:v>REVIEW</x:v>
      </x:c>
      <x:c r="H388" s="2" t="n">
        <x:v>1</x:v>
      </x:c>
      <x:c r="I388" s="2" t="n">
        <x:f>IF(AND(COUNTIFS($B$6:$B$797,B388,$C$6:$C$797,C388)=11,COUNTIFS($B$6:$B$797,B388,$C$6:$C$797,C388,$G$6:$G$797,"REVIEW")=0,COUNTIFS($B$6:$B$797,B388,$C$6:$C$797,C388,$H$6:$H$797,1)=11,COUNTIFS($B$6:$B$797,B388,$C$6:$C$797,C388,$F$6:$F$797,"&gt;0")=11),1,0)</x:f>
        <x:v>0</x:v>
      </x:c>
      <x:c r="J388" s="2" t="n">
        <x:f>COUNTIFS($A$6:$A$797,A388)</x:f>
        <x:v>1</x:v>
      </x:c>
    </x:row>
    <x:row r="389" ht="23" customHeight="1">
      <x:c r="A389" s="2" t="str">
        <x:v>61103099_VN_202605_IMPORT</x:v>
      </x:c>
      <x:c r="B389" s="2" t="n">
        <x:v>202605</x:v>
      </x:c>
      <x:c r="C389" s="2" t="str">
        <x:v>61103099</x:v>
      </x:c>
      <x:c r="D389" s="2" t="str">
        <x:v>Vietnam</x:v>
      </x:c>
      <x:c r="E389" s="16" t="n">
        <x:v>1313624</x:v>
      </x:c>
      <x:c r="F389" s="16" t="n">
        <x:v>39935</x:v>
      </x:c>
      <x:c r="G389" s="2" t="str">
        <x:v>WITHIN_BAND</x:v>
      </x:c>
      <x:c r="H389" s="2" t="n">
        <x:v>1</x:v>
      </x:c>
      <x:c r="I389" s="2" t="n">
        <x:f>IF(AND(COUNTIFS($B$6:$B$797,B389,$C$6:$C$797,C389)=11,COUNTIFS($B$6:$B$797,B389,$C$6:$C$797,C389,$G$6:$G$797,"REVIEW")=0,COUNTIFS($B$6:$B$797,B389,$C$6:$C$797,C389,$H$6:$H$797,1)=11,COUNTIFS($B$6:$B$797,B389,$C$6:$C$797,C389,$F$6:$F$797,"&gt;0")=11),1,0)</x:f>
        <x:v>0</x:v>
      </x:c>
      <x:c r="J389" s="2" t="n">
        <x:f>COUNTIFS($A$6:$A$797,A389)</x:f>
        <x:v>1</x:v>
      </x:c>
    </x:row>
    <x:row r="390" ht="23" customHeight="1">
      <x:c r="A390" s="2" t="str">
        <x:v>61103099_WORLD_202605_IMPORT</x:v>
      </x:c>
      <x:c r="B390" s="2" t="n">
        <x:v>202605</x:v>
      </x:c>
      <x:c r="C390" s="2" t="str">
        <x:v>61103099</x:v>
      </x:c>
      <x:c r="D390" s="2" t="str">
        <x:v>World</x:v>
      </x:c>
      <x:c r="E390" s="16" t="n">
        <x:v>23331579</x:v>
      </x:c>
      <x:c r="F390" s="16" t="n">
        <x:v>1766138</x:v>
      </x:c>
      <x:c r="G390" s="2" t="str">
        <x:v>WITHIN_BAND</x:v>
      </x:c>
      <x:c r="H390" s="2" t="n">
        <x:v>1</x:v>
      </x:c>
      <x:c r="I390" s="2" t="n">
        <x:f>IF(AND(COUNTIFS($B$6:$B$797,B390,$C$6:$C$797,C390)=11,COUNTIFS($B$6:$B$797,B390,$C$6:$C$797,C390,$G$6:$G$797,"REVIEW")=0,COUNTIFS($B$6:$B$797,B390,$C$6:$C$797,C390,$H$6:$H$797,1)=11,COUNTIFS($B$6:$B$797,B390,$C$6:$C$797,C390,$F$6:$F$797,"&gt;0")=11),1,0)</x:f>
        <x:v>0</x:v>
      </x:c>
      <x:c r="J390" s="2" t="n">
        <x:f>COUNTIFS($A$6:$A$797,A390)</x:f>
        <x:v>1</x:v>
      </x:c>
    </x:row>
    <x:row r="391" ht="23" customHeight="1">
      <x:c r="A391" s="2" t="str">
        <x:v>61103099_BD_202606_IMPORT</x:v>
      </x:c>
      <x:c r="B391" s="2" t="n">
        <x:v>202606</x:v>
      </x:c>
      <x:c r="C391" s="2" t="str">
        <x:v>61103099</x:v>
      </x:c>
      <x:c r="D391" s="2" t="str">
        <x:v>Bangladesh</x:v>
      </x:c>
      <x:c r="E391" s="16" t="n">
        <x:v>10282822</x:v>
      </x:c>
      <x:c r="F391" s="16" t="n">
        <x:v>860225</x:v>
      </x:c>
      <x:c r="G391" s="2" t="str">
        <x:v>WITHIN_BAND</x:v>
      </x:c>
      <x:c r="H391" s="2" t="n">
        <x:v>1</x:v>
      </x:c>
      <x:c r="I391" s="2" t="n">
        <x:f>IF(AND(COUNTIFS($B$6:$B$797,B391,$C$6:$C$797,C391)=11,COUNTIFS($B$6:$B$797,B391,$C$6:$C$797,C391,$G$6:$G$797,"REVIEW")=0,COUNTIFS($B$6:$B$797,B391,$C$6:$C$797,C391,$H$6:$H$797,1)=11,COUNTIFS($B$6:$B$797,B391,$C$6:$C$797,C391,$F$6:$F$797,"&gt;0")=11),1,0)</x:f>
        <x:v>1</x:v>
      </x:c>
      <x:c r="J391" s="2" t="n">
        <x:f>COUNTIFS($A$6:$A$797,A391)</x:f>
        <x:v>1</x:v>
      </x:c>
    </x:row>
    <x:row r="392" ht="23" customHeight="1">
      <x:c r="A392" s="2" t="str">
        <x:v>61103099_KH_202606_IMPORT</x:v>
      </x:c>
      <x:c r="B392" s="2" t="n">
        <x:v>202606</x:v>
      </x:c>
      <x:c r="C392" s="2" t="str">
        <x:v>61103099</x:v>
      </x:c>
      <x:c r="D392" s="2" t="str">
        <x:v>Cambodia</x:v>
      </x:c>
      <x:c r="E392" s="16" t="n">
        <x:v>6491901</x:v>
      </x:c>
      <x:c r="F392" s="16" t="n">
        <x:v>555368</x:v>
      </x:c>
      <x:c r="G392" s="2" t="str">
        <x:v>WITHIN_BAND</x:v>
      </x:c>
      <x:c r="H392" s="2" t="n">
        <x:v>1</x:v>
      </x:c>
      <x:c r="I392" s="2" t="n">
        <x:f>IF(AND(COUNTIFS($B$6:$B$797,B392,$C$6:$C$797,C392)=11,COUNTIFS($B$6:$B$797,B392,$C$6:$C$797,C392,$G$6:$G$797,"REVIEW")=0,COUNTIFS($B$6:$B$797,B392,$C$6:$C$797,C392,$H$6:$H$797,1)=11,COUNTIFS($B$6:$B$797,B392,$C$6:$C$797,C392,$F$6:$F$797,"&gt;0")=11),1,0)</x:f>
        <x:v>1</x:v>
      </x:c>
      <x:c r="J392" s="2" t="n">
        <x:f>COUNTIFS($A$6:$A$797,A392)</x:f>
        <x:v>1</x:v>
      </x:c>
    </x:row>
    <x:row r="393" ht="23" customHeight="1">
      <x:c r="A393" s="2" t="str">
        <x:v>61103099_CN_202606_IMPORT</x:v>
      </x:c>
      <x:c r="B393" s="2" t="n">
        <x:v>202606</x:v>
      </x:c>
      <x:c r="C393" s="2" t="str">
        <x:v>61103099</x:v>
      </x:c>
      <x:c r="D393" s="2" t="str">
        <x:v>China</x:v>
      </x:c>
      <x:c r="E393" s="16" t="n">
        <x:v>6740184</x:v>
      </x:c>
      <x:c r="F393" s="16" t="n">
        <x:v>440948</x:v>
      </x:c>
      <x:c r="G393" s="2" t="str">
        <x:v>WITHIN_BAND</x:v>
      </x:c>
      <x:c r="H393" s="2" t="n">
        <x:v>1</x:v>
      </x:c>
      <x:c r="I393" s="2" t="n">
        <x:f>IF(AND(COUNTIFS($B$6:$B$797,B393,$C$6:$C$797,C393)=11,COUNTIFS($B$6:$B$797,B393,$C$6:$C$797,C393,$G$6:$G$797,"REVIEW")=0,COUNTIFS($B$6:$B$797,B393,$C$6:$C$797,C393,$H$6:$H$797,1)=11,COUNTIFS($B$6:$B$797,B393,$C$6:$C$797,C393,$F$6:$F$797,"&gt;0")=11),1,0)</x:f>
        <x:v>1</x:v>
      </x:c>
      <x:c r="J393" s="2" t="n">
        <x:f>COUNTIFS($A$6:$A$797,A393)</x:f>
        <x:v>1</x:v>
      </x:c>
    </x:row>
    <x:row r="394" ht="23" customHeight="1">
      <x:c r="A394" s="2" t="str">
        <x:v>61103099_IN_202606_IMPORT</x:v>
      </x:c>
      <x:c r="B394" s="2" t="n">
        <x:v>202606</x:v>
      </x:c>
      <x:c r="C394" s="2" t="str">
        <x:v>61103099</x:v>
      </x:c>
      <x:c r="D394" s="2" t="str">
        <x:v>India</x:v>
      </x:c>
      <x:c r="E394" s="16" t="n">
        <x:v>184144</x:v>
      </x:c>
      <x:c r="F394" s="16" t="n">
        <x:v>12806</x:v>
      </x:c>
      <x:c r="G394" s="2" t="str">
        <x:v>WITHIN_BAND</x:v>
      </x:c>
      <x:c r="H394" s="2" t="n">
        <x:v>1</x:v>
      </x:c>
      <x:c r="I394" s="2" t="n">
        <x:f>IF(AND(COUNTIFS($B$6:$B$797,B394,$C$6:$C$797,C394)=11,COUNTIFS($B$6:$B$797,B394,$C$6:$C$797,C394,$G$6:$G$797,"REVIEW")=0,COUNTIFS($B$6:$B$797,B394,$C$6:$C$797,C394,$H$6:$H$797,1)=11,COUNTIFS($B$6:$B$797,B394,$C$6:$C$797,C394,$F$6:$F$797,"&gt;0")=11),1,0)</x:f>
        <x:v>1</x:v>
      </x:c>
      <x:c r="J394" s="2" t="n">
        <x:f>COUNTIFS($A$6:$A$797,A394)</x:f>
        <x:v>1</x:v>
      </x:c>
    </x:row>
    <x:row r="395" ht="23" customHeight="1">
      <x:c r="A395" s="2" t="str">
        <x:v>61103099_MA_202606_IMPORT</x:v>
      </x:c>
      <x:c r="B395" s="2" t="n">
        <x:v>202606</x:v>
      </x:c>
      <x:c r="C395" s="2" t="str">
        <x:v>61103099</x:v>
      </x:c>
      <x:c r="D395" s="2" t="str">
        <x:v>Morocco</x:v>
      </x:c>
      <x:c r="E395" s="16" t="n">
        <x:v>27165</x:v>
      </x:c>
      <x:c r="F395" s="16" t="n">
        <x:v>1262</x:v>
      </x:c>
      <x:c r="G395" s="2" t="str">
        <x:v>WITHIN_BAND</x:v>
      </x:c>
      <x:c r="H395" s="2" t="n">
        <x:v>1</x:v>
      </x:c>
      <x:c r="I395" s="2" t="n">
        <x:f>IF(AND(COUNTIFS($B$6:$B$797,B395,$C$6:$C$797,C395)=11,COUNTIFS($B$6:$B$797,B395,$C$6:$C$797,C395,$G$6:$G$797,"REVIEW")=0,COUNTIFS($B$6:$B$797,B395,$C$6:$C$797,C395,$H$6:$H$797,1)=11,COUNTIFS($B$6:$B$797,B395,$C$6:$C$797,C395,$F$6:$F$797,"&gt;0")=11),1,0)</x:f>
        <x:v>1</x:v>
      </x:c>
      <x:c r="J395" s="2" t="n">
        <x:f>COUNTIFS($A$6:$A$797,A395)</x:f>
        <x:v>1</x:v>
      </x:c>
    </x:row>
    <x:row r="396" ht="23" customHeight="1">
      <x:c r="A396" s="2" t="str">
        <x:v>61103099_MM_202606_IMPORT</x:v>
      </x:c>
      <x:c r="B396" s="2" t="n">
        <x:v>202606</x:v>
      </x:c>
      <x:c r="C396" s="2" t="str">
        <x:v>61103099</x:v>
      </x:c>
      <x:c r="D396" s="2" t="str">
        <x:v>Myanmar</x:v>
      </x:c>
      <x:c r="E396" s="16" t="n">
        <x:v>110126</x:v>
      </x:c>
      <x:c r="F396" s="16" t="n">
        <x:v>5416</x:v>
      </x:c>
      <x:c r="G396" s="2" t="str">
        <x:v>WITHIN_BAND</x:v>
      </x:c>
      <x:c r="H396" s="2" t="n">
        <x:v>1</x:v>
      </x:c>
      <x:c r="I396" s="2" t="n">
        <x:f>IF(AND(COUNTIFS($B$6:$B$797,B396,$C$6:$C$797,C396)=11,COUNTIFS($B$6:$B$797,B396,$C$6:$C$797,C396,$G$6:$G$797,"REVIEW")=0,COUNTIFS($B$6:$B$797,B396,$C$6:$C$797,C396,$H$6:$H$797,1)=11,COUNTIFS($B$6:$B$797,B396,$C$6:$C$797,C396,$F$6:$F$797,"&gt;0")=11),1,0)</x:f>
        <x:v>1</x:v>
      </x:c>
      <x:c r="J396" s="2" t="n">
        <x:f>COUNTIFS($A$6:$A$797,A396)</x:f>
        <x:v>1</x:v>
      </x:c>
    </x:row>
    <x:row r="397" ht="23" customHeight="1">
      <x:c r="A397" s="2" t="str">
        <x:v>61103099_PK_202606_IMPORT</x:v>
      </x:c>
      <x:c r="B397" s="2" t="n">
        <x:v>202606</x:v>
      </x:c>
      <x:c r="C397" s="2" t="str">
        <x:v>61103099</x:v>
      </x:c>
      <x:c r="D397" s="2" t="str">
        <x:v>Pakistan</x:v>
      </x:c>
      <x:c r="E397" s="16" t="n">
        <x:v>421038</x:v>
      </x:c>
      <x:c r="F397" s="16" t="n">
        <x:v>26332</x:v>
      </x:c>
      <x:c r="G397" s="2" t="str">
        <x:v>WITHIN_BAND</x:v>
      </x:c>
      <x:c r="H397" s="2" t="n">
        <x:v>1</x:v>
      </x:c>
      <x:c r="I397" s="2" t="n">
        <x:f>IF(AND(COUNTIFS($B$6:$B$797,B397,$C$6:$C$797,C397)=11,COUNTIFS($B$6:$B$797,B397,$C$6:$C$797,C397,$G$6:$G$797,"REVIEW")=0,COUNTIFS($B$6:$B$797,B397,$C$6:$C$797,C397,$H$6:$H$797,1)=11,COUNTIFS($B$6:$B$797,B397,$C$6:$C$797,C397,$F$6:$F$797,"&gt;0")=11),1,0)</x:f>
        <x:v>1</x:v>
      </x:c>
      <x:c r="J397" s="2" t="n">
        <x:f>COUNTIFS($A$6:$A$797,A397)</x:f>
        <x:v>1</x:v>
      </x:c>
    </x:row>
    <x:row r="398" ht="23" customHeight="1">
      <x:c r="A398" s="2" t="str">
        <x:v>61103099_LK_202606_IMPORT</x:v>
      </x:c>
      <x:c r="B398" s="2" t="n">
        <x:v>202606</x:v>
      </x:c>
      <x:c r="C398" s="2" t="str">
        <x:v>61103099</x:v>
      </x:c>
      <x:c r="D398" s="2" t="str">
        <x:v>Sri Lanka</x:v>
      </x:c>
      <x:c r="E398" s="16" t="n">
        <x:v>154342</x:v>
      </x:c>
      <x:c r="F398" s="16" t="n">
        <x:v>6007</x:v>
      </x:c>
      <x:c r="G398" s="2" t="str">
        <x:v>WITHIN_BAND</x:v>
      </x:c>
      <x:c r="H398" s="2" t="n">
        <x:v>1</x:v>
      </x:c>
      <x:c r="I398" s="2" t="n">
        <x:f>IF(AND(COUNTIFS($B$6:$B$797,B398,$C$6:$C$797,C398)=11,COUNTIFS($B$6:$B$797,B398,$C$6:$C$797,C398,$G$6:$G$797,"REVIEW")=0,COUNTIFS($B$6:$B$797,B398,$C$6:$C$797,C398,$H$6:$H$797,1)=11,COUNTIFS($B$6:$B$797,B398,$C$6:$C$797,C398,$F$6:$F$797,"&gt;0")=11),1,0)</x:f>
        <x:v>1</x:v>
      </x:c>
      <x:c r="J398" s="2" t="n">
        <x:f>COUNTIFS($A$6:$A$797,A398)</x:f>
        <x:v>1</x:v>
      </x:c>
    </x:row>
    <x:row r="399" ht="23" customHeight="1">
      <x:c r="A399" s="2" t="str">
        <x:v>61103099_TR_202606_IMPORT</x:v>
      </x:c>
      <x:c r="B399" s="2" t="n">
        <x:v>202606</x:v>
      </x:c>
      <x:c r="C399" s="2" t="str">
        <x:v>61103099</x:v>
      </x:c>
      <x:c r="D399" s="2" t="str">
        <x:v>Turkey</x:v>
      </x:c>
      <x:c r="E399" s="16" t="n">
        <x:v>2137912</x:v>
      </x:c>
      <x:c r="F399" s="16" t="n">
        <x:v>127263</x:v>
      </x:c>
      <x:c r="G399" s="2" t="str">
        <x:v>WITHIN_BAND</x:v>
      </x:c>
      <x:c r="H399" s="2" t="n">
        <x:v>1</x:v>
      </x:c>
      <x:c r="I399" s="2" t="n">
        <x:f>IF(AND(COUNTIFS($B$6:$B$797,B399,$C$6:$C$797,C399)=11,COUNTIFS($B$6:$B$797,B399,$C$6:$C$797,C399,$G$6:$G$797,"REVIEW")=0,COUNTIFS($B$6:$B$797,B399,$C$6:$C$797,C399,$H$6:$H$797,1)=11,COUNTIFS($B$6:$B$797,B399,$C$6:$C$797,C399,$F$6:$F$797,"&gt;0")=11),1,0)</x:f>
        <x:v>1</x:v>
      </x:c>
      <x:c r="J399" s="2" t="n">
        <x:f>COUNTIFS($A$6:$A$797,A399)</x:f>
        <x:v>1</x:v>
      </x:c>
    </x:row>
    <x:row r="400" ht="23" customHeight="1">
      <x:c r="A400" s="2" t="str">
        <x:v>61103099_VN_202606_IMPORT</x:v>
      </x:c>
      <x:c r="B400" s="2" t="n">
        <x:v>202606</x:v>
      </x:c>
      <x:c r="C400" s="2" t="str">
        <x:v>61103099</x:v>
      </x:c>
      <x:c r="D400" s="2" t="str">
        <x:v>Vietnam</x:v>
      </x:c>
      <x:c r="E400" s="16" t="n">
        <x:v>923845</x:v>
      </x:c>
      <x:c r="F400" s="16" t="n">
        <x:v>23839</x:v>
      </x:c>
      <x:c r="G400" s="2" t="str">
        <x:v>WITHIN_BAND</x:v>
      </x:c>
      <x:c r="H400" s="2" t="n">
        <x:v>1</x:v>
      </x:c>
      <x:c r="I400" s="2" t="n">
        <x:f>IF(AND(COUNTIFS($B$6:$B$797,B400,$C$6:$C$797,C400)=11,COUNTIFS($B$6:$B$797,B400,$C$6:$C$797,C400,$G$6:$G$797,"REVIEW")=0,COUNTIFS($B$6:$B$797,B400,$C$6:$C$797,C400,$H$6:$H$797,1)=11,COUNTIFS($B$6:$B$797,B400,$C$6:$C$797,C400,$F$6:$F$797,"&gt;0")=11),1,0)</x:f>
        <x:v>1</x:v>
      </x:c>
      <x:c r="J400" s="2" t="n">
        <x:f>COUNTIFS($A$6:$A$797,A400)</x:f>
        <x:v>1</x:v>
      </x:c>
    </x:row>
    <x:row r="401" ht="23" customHeight="1">
      <x:c r="A401" s="2" t="str">
        <x:v>61103099_WORLD_202606_IMPORT</x:v>
      </x:c>
      <x:c r="B401" s="2" t="n">
        <x:v>202606</x:v>
      </x:c>
      <x:c r="C401" s="2" t="str">
        <x:v>61103099</x:v>
      </x:c>
      <x:c r="D401" s="2" t="str">
        <x:v>World</x:v>
      </x:c>
      <x:c r="E401" s="16" t="n">
        <x:v>34636977</x:v>
      </x:c>
      <x:c r="F401" s="16" t="n">
        <x:v>2431050</x:v>
      </x:c>
      <x:c r="G401" s="2" t="str">
        <x:v>WITHIN_BAND</x:v>
      </x:c>
      <x:c r="H401" s="2" t="n">
        <x:v>1</x:v>
      </x:c>
      <x:c r="I401" s="2" t="n">
        <x:f>IF(AND(COUNTIFS($B$6:$B$797,B401,$C$6:$C$797,C401)=11,COUNTIFS($B$6:$B$797,B401,$C$6:$C$797,C401,$G$6:$G$797,"REVIEW")=0,COUNTIFS($B$6:$B$797,B401,$C$6:$C$797,C401,$H$6:$H$797,1)=11,COUNTIFS($B$6:$B$797,B401,$C$6:$C$797,C401,$F$6:$F$797,"&gt;0")=11),1,0)</x:f>
        <x:v>1</x:v>
      </x:c>
      <x:c r="J401" s="2" t="n">
        <x:f>COUNTIFS($A$6:$A$797,A401)</x:f>
        <x:v>1</x:v>
      </x:c>
    </x:row>
    <x:row r="402" ht="23" customHeight="1">
      <x:c r="A402" s="2" t="str">
        <x:v>62044300_BD_202501_IMPORT</x:v>
      </x:c>
      <x:c r="B402" s="2" t="n">
        <x:v>202501</x:v>
      </x:c>
      <x:c r="C402" s="2" t="str">
        <x:v>62044300</x:v>
      </x:c>
      <x:c r="D402" s="2" t="str">
        <x:v>Bangladesh</x:v>
      </x:c>
      <x:c r="E402" s="16" t="n">
        <x:v>589186</x:v>
      </x:c>
      <x:c r="F402" s="16" t="n">
        <x:v>32441</x:v>
      </x:c>
      <x:c r="G402" s="2" t="str">
        <x:v>WITHIN_BAND</x:v>
      </x:c>
      <x:c r="H402" s="2" t="n">
        <x:v>1</x:v>
      </x:c>
      <x:c r="I402" s="2" t="n">
        <x:f>IF(AND(COUNTIFS($B$6:$B$797,B402,$C$6:$C$797,C402)=11,COUNTIFS($B$6:$B$797,B402,$C$6:$C$797,C402,$G$6:$G$797,"REVIEW")=0,COUNTIFS($B$6:$B$797,B402,$C$6:$C$797,C402,$H$6:$H$797,1)=11,COUNTIFS($B$6:$B$797,B402,$C$6:$C$797,C402,$F$6:$F$797,"&gt;0")=11),1,0)</x:f>
        <x:v>1</x:v>
      </x:c>
      <x:c r="J402" s="2" t="n">
        <x:f>COUNTIFS($A$6:$A$797,A402)</x:f>
        <x:v>1</x:v>
      </x:c>
    </x:row>
    <x:row r="403" ht="23" customHeight="1">
      <x:c r="A403" s="2" t="str">
        <x:v>62044300_KH_202501_IMPORT</x:v>
      </x:c>
      <x:c r="B403" s="2" t="n">
        <x:v>202501</x:v>
      </x:c>
      <x:c r="C403" s="2" t="str">
        <x:v>62044300</x:v>
      </x:c>
      <x:c r="D403" s="2" t="str">
        <x:v>Cambodia</x:v>
      </x:c>
      <x:c r="E403" s="16" t="n">
        <x:v>93792</x:v>
      </x:c>
      <x:c r="F403" s="16" t="n">
        <x:v>4569</x:v>
      </x:c>
      <x:c r="G403" s="2" t="str">
        <x:v>WITHIN_BAND</x:v>
      </x:c>
      <x:c r="H403" s="2" t="n">
        <x:v>1</x:v>
      </x:c>
      <x:c r="I403" s="2" t="n">
        <x:f>IF(AND(COUNTIFS($B$6:$B$797,B403,$C$6:$C$797,C403)=11,COUNTIFS($B$6:$B$797,B403,$C$6:$C$797,C403,$G$6:$G$797,"REVIEW")=0,COUNTIFS($B$6:$B$797,B403,$C$6:$C$797,C403,$H$6:$H$797,1)=11,COUNTIFS($B$6:$B$797,B403,$C$6:$C$797,C403,$F$6:$F$797,"&gt;0")=11),1,0)</x:f>
        <x:v>1</x:v>
      </x:c>
      <x:c r="J403" s="2" t="n">
        <x:f>COUNTIFS($A$6:$A$797,A403)</x:f>
        <x:v>1</x:v>
      </x:c>
    </x:row>
    <x:row r="404" ht="23" customHeight="1">
      <x:c r="A404" s="2" t="str">
        <x:v>62044300_CN_202501_IMPORT</x:v>
      </x:c>
      <x:c r="B404" s="2" t="n">
        <x:v>202501</x:v>
      </x:c>
      <x:c r="C404" s="2" t="str">
        <x:v>62044300</x:v>
      </x:c>
      <x:c r="D404" s="2" t="str">
        <x:v>China</x:v>
      </x:c>
      <x:c r="E404" s="16" t="n">
        <x:v>8463720</x:v>
      </x:c>
      <x:c r="F404" s="16" t="n">
        <x:v>262408</x:v>
      </x:c>
      <x:c r="G404" s="2" t="str">
        <x:v>WITHIN_BAND</x:v>
      </x:c>
      <x:c r="H404" s="2" t="n">
        <x:v>1</x:v>
      </x:c>
      <x:c r="I404" s="2" t="n">
        <x:f>IF(AND(COUNTIFS($B$6:$B$797,B404,$C$6:$C$797,C404)=11,COUNTIFS($B$6:$B$797,B404,$C$6:$C$797,C404,$G$6:$G$797,"REVIEW")=0,COUNTIFS($B$6:$B$797,B404,$C$6:$C$797,C404,$H$6:$H$797,1)=11,COUNTIFS($B$6:$B$797,B404,$C$6:$C$797,C404,$F$6:$F$797,"&gt;0")=11),1,0)</x:f>
        <x:v>1</x:v>
      </x:c>
      <x:c r="J404" s="2" t="n">
        <x:f>COUNTIFS($A$6:$A$797,A404)</x:f>
        <x:v>1</x:v>
      </x:c>
    </x:row>
    <x:row r="405" ht="23" customHeight="1">
      <x:c r="A405" s="2" t="str">
        <x:v>62044300_IN_202501_IMPORT</x:v>
      </x:c>
      <x:c r="B405" s="2" t="n">
        <x:v>202501</x:v>
      </x:c>
      <x:c r="C405" s="2" t="str">
        <x:v>62044300</x:v>
      </x:c>
      <x:c r="D405" s="2" t="str">
        <x:v>India</x:v>
      </x:c>
      <x:c r="E405" s="16" t="n">
        <x:v>2513659</x:v>
      </x:c>
      <x:c r="F405" s="16" t="n">
        <x:v>81159</x:v>
      </x:c>
      <x:c r="G405" s="2" t="str">
        <x:v>WITHIN_BAND</x:v>
      </x:c>
      <x:c r="H405" s="2" t="n">
        <x:v>1</x:v>
      </x:c>
      <x:c r="I405" s="2" t="n">
        <x:f>IF(AND(COUNTIFS($B$6:$B$797,B405,$C$6:$C$797,C405)=11,COUNTIFS($B$6:$B$797,B405,$C$6:$C$797,C405,$G$6:$G$797,"REVIEW")=0,COUNTIFS($B$6:$B$797,B405,$C$6:$C$797,C405,$H$6:$H$797,1)=11,COUNTIFS($B$6:$B$797,B405,$C$6:$C$797,C405,$F$6:$F$797,"&gt;0")=11),1,0)</x:f>
        <x:v>1</x:v>
      </x:c>
      <x:c r="J405" s="2" t="n">
        <x:f>COUNTIFS($A$6:$A$797,A405)</x:f>
        <x:v>1</x:v>
      </x:c>
    </x:row>
    <x:row r="406" ht="23" customHeight="1">
      <x:c r="A406" s="2" t="str">
        <x:v>62044300_MA_202501_IMPORT</x:v>
      </x:c>
      <x:c r="B406" s="2" t="n">
        <x:v>202501</x:v>
      </x:c>
      <x:c r="C406" s="2" t="str">
        <x:v>62044300</x:v>
      </x:c>
      <x:c r="D406" s="2" t="str">
        <x:v>Morocco</x:v>
      </x:c>
      <x:c r="E406" s="16" t="n">
        <x:v>1070168</x:v>
      </x:c>
      <x:c r="F406" s="16" t="n">
        <x:v>48052</x:v>
      </x:c>
      <x:c r="G406" s="2" t="str">
        <x:v>WITHIN_BAND</x:v>
      </x:c>
      <x:c r="H406" s="2" t="n">
        <x:v>1</x:v>
      </x:c>
      <x:c r="I406" s="2" t="n">
        <x:f>IF(AND(COUNTIFS($B$6:$B$797,B406,$C$6:$C$797,C406)=11,COUNTIFS($B$6:$B$797,B406,$C$6:$C$797,C406,$G$6:$G$797,"REVIEW")=0,COUNTIFS($B$6:$B$797,B406,$C$6:$C$797,C406,$H$6:$H$797,1)=11,COUNTIFS($B$6:$B$797,B406,$C$6:$C$797,C406,$F$6:$F$797,"&gt;0")=11),1,0)</x:f>
        <x:v>1</x:v>
      </x:c>
      <x:c r="J406" s="2" t="n">
        <x:f>COUNTIFS($A$6:$A$797,A406)</x:f>
        <x:v>1</x:v>
      </x:c>
    </x:row>
    <x:row r="407" ht="23" customHeight="1">
      <x:c r="A407" s="2" t="str">
        <x:v>62044300_MM_202501_IMPORT</x:v>
      </x:c>
      <x:c r="B407" s="2" t="n">
        <x:v>202501</x:v>
      </x:c>
      <x:c r="C407" s="2" t="str">
        <x:v>62044300</x:v>
      </x:c>
      <x:c r="D407" s="2" t="str">
        <x:v>Myanmar</x:v>
      </x:c>
      <x:c r="E407" s="16" t="n">
        <x:v>537876</x:v>
      </x:c>
      <x:c r="F407" s="16" t="n">
        <x:v>7439</x:v>
      </x:c>
      <x:c r="G407" s="2" t="str">
        <x:v>WITHIN_BAND</x:v>
      </x:c>
      <x:c r="H407" s="2" t="n">
        <x:v>1</x:v>
      </x:c>
      <x:c r="I407" s="2" t="n">
        <x:f>IF(AND(COUNTIFS($B$6:$B$797,B407,$C$6:$C$797,C407)=11,COUNTIFS($B$6:$B$797,B407,$C$6:$C$797,C407,$G$6:$G$797,"REVIEW")=0,COUNTIFS($B$6:$B$797,B407,$C$6:$C$797,C407,$H$6:$H$797,1)=11,COUNTIFS($B$6:$B$797,B407,$C$6:$C$797,C407,$F$6:$F$797,"&gt;0")=11),1,0)</x:f>
        <x:v>1</x:v>
      </x:c>
      <x:c r="J407" s="2" t="n">
        <x:f>COUNTIFS($A$6:$A$797,A407)</x:f>
        <x:v>1</x:v>
      </x:c>
    </x:row>
    <x:row r="408" ht="23" customHeight="1">
      <x:c r="A408" s="2" t="str">
        <x:v>62044300_PK_202501_IMPORT</x:v>
      </x:c>
      <x:c r="B408" s="2" t="n">
        <x:v>202501</x:v>
      </x:c>
      <x:c r="C408" s="2" t="str">
        <x:v>62044300</x:v>
      </x:c>
      <x:c r="D408" s="2" t="str">
        <x:v>Pakistan</x:v>
      </x:c>
      <x:c r="E408" s="16" t="n">
        <x:v>207731</x:v>
      </x:c>
      <x:c r="F408" s="16" t="n">
        <x:v>8259</x:v>
      </x:c>
      <x:c r="G408" s="2" t="str">
        <x:v>WITHIN_BAND</x:v>
      </x:c>
      <x:c r="H408" s="2" t="n">
        <x:v>1</x:v>
      </x:c>
      <x:c r="I408" s="2" t="n">
        <x:f>IF(AND(COUNTIFS($B$6:$B$797,B408,$C$6:$C$797,C408)=11,COUNTIFS($B$6:$B$797,B408,$C$6:$C$797,C408,$G$6:$G$797,"REVIEW")=0,COUNTIFS($B$6:$B$797,B408,$C$6:$C$797,C408,$H$6:$H$797,1)=11,COUNTIFS($B$6:$B$797,B408,$C$6:$C$797,C408,$F$6:$F$797,"&gt;0")=11),1,0)</x:f>
        <x:v>1</x:v>
      </x:c>
      <x:c r="J408" s="2" t="n">
        <x:f>COUNTIFS($A$6:$A$797,A408)</x:f>
        <x:v>1</x:v>
      </x:c>
    </x:row>
    <x:row r="409" ht="23" customHeight="1">
      <x:c r="A409" s="2" t="str">
        <x:v>62044300_LK_202501_IMPORT</x:v>
      </x:c>
      <x:c r="B409" s="2" t="n">
        <x:v>202501</x:v>
      </x:c>
      <x:c r="C409" s="2" t="str">
        <x:v>62044300</x:v>
      </x:c>
      <x:c r="D409" s="2" t="str">
        <x:v>Sri Lanka</x:v>
      </x:c>
      <x:c r="E409" s="16" t="n">
        <x:v>829838</x:v>
      </x:c>
      <x:c r="F409" s="16" t="n">
        <x:v>37582</x:v>
      </x:c>
      <x:c r="G409" s="2" t="str">
        <x:v>WITHIN_BAND</x:v>
      </x:c>
      <x:c r="H409" s="2" t="n">
        <x:v>1</x:v>
      </x:c>
      <x:c r="I409" s="2" t="n">
        <x:f>IF(AND(COUNTIFS($B$6:$B$797,B409,$C$6:$C$797,C409)=11,COUNTIFS($B$6:$B$797,B409,$C$6:$C$797,C409,$G$6:$G$797,"REVIEW")=0,COUNTIFS($B$6:$B$797,B409,$C$6:$C$797,C409,$H$6:$H$797,1)=11,COUNTIFS($B$6:$B$797,B409,$C$6:$C$797,C409,$F$6:$F$797,"&gt;0")=11),1,0)</x:f>
        <x:v>1</x:v>
      </x:c>
      <x:c r="J409" s="2" t="n">
        <x:f>COUNTIFS($A$6:$A$797,A409)</x:f>
        <x:v>1</x:v>
      </x:c>
    </x:row>
    <x:row r="410" ht="23" customHeight="1">
      <x:c r="A410" s="2" t="str">
        <x:v>62044300_TR_202501_IMPORT</x:v>
      </x:c>
      <x:c r="B410" s="2" t="n">
        <x:v>202501</x:v>
      </x:c>
      <x:c r="C410" s="2" t="str">
        <x:v>62044300</x:v>
      </x:c>
      <x:c r="D410" s="2" t="str">
        <x:v>Turkey</x:v>
      </x:c>
      <x:c r="E410" s="16" t="n">
        <x:v>924890</x:v>
      </x:c>
      <x:c r="F410" s="16" t="n">
        <x:v>25248</x:v>
      </x:c>
      <x:c r="G410" s="2" t="str">
        <x:v>WITHIN_BAND</x:v>
      </x:c>
      <x:c r="H410" s="2" t="n">
        <x:v>1</x:v>
      </x:c>
      <x:c r="I410" s="2" t="n">
        <x:f>IF(AND(COUNTIFS($B$6:$B$797,B410,$C$6:$C$797,C410)=11,COUNTIFS($B$6:$B$797,B410,$C$6:$C$797,C410,$G$6:$G$797,"REVIEW")=0,COUNTIFS($B$6:$B$797,B410,$C$6:$C$797,C410,$H$6:$H$797,1)=11,COUNTIFS($B$6:$B$797,B410,$C$6:$C$797,C410,$F$6:$F$797,"&gt;0")=11),1,0)</x:f>
        <x:v>1</x:v>
      </x:c>
      <x:c r="J410" s="2" t="n">
        <x:f>COUNTIFS($A$6:$A$797,A410)</x:f>
        <x:v>1</x:v>
      </x:c>
    </x:row>
    <x:row r="411" ht="23" customHeight="1">
      <x:c r="A411" s="2" t="str">
        <x:v>62044300_VN_202501_IMPORT</x:v>
      </x:c>
      <x:c r="B411" s="2" t="n">
        <x:v>202501</x:v>
      </x:c>
      <x:c r="C411" s="2" t="str">
        <x:v>62044300</x:v>
      </x:c>
      <x:c r="D411" s="2" t="str">
        <x:v>Vietnam</x:v>
      </x:c>
      <x:c r="E411" s="16" t="n">
        <x:v>872493</x:v>
      </x:c>
      <x:c r="F411" s="16" t="n">
        <x:v>30995</x:v>
      </x:c>
      <x:c r="G411" s="2" t="str">
        <x:v>WITHIN_BAND</x:v>
      </x:c>
      <x:c r="H411" s="2" t="n">
        <x:v>1</x:v>
      </x:c>
      <x:c r="I411" s="2" t="n">
        <x:f>IF(AND(COUNTIFS($B$6:$B$797,B411,$C$6:$C$797,C411)=11,COUNTIFS($B$6:$B$797,B411,$C$6:$C$797,C411,$G$6:$G$797,"REVIEW")=0,COUNTIFS($B$6:$B$797,B411,$C$6:$C$797,C411,$H$6:$H$797,1)=11,COUNTIFS($B$6:$B$797,B411,$C$6:$C$797,C411,$F$6:$F$797,"&gt;0")=11),1,0)</x:f>
        <x:v>1</x:v>
      </x:c>
      <x:c r="J411" s="2" t="n">
        <x:f>COUNTIFS($A$6:$A$797,A411)</x:f>
        <x:v>1</x:v>
      </x:c>
    </x:row>
    <x:row r="412" ht="23" customHeight="1">
      <x:c r="A412" s="2" t="str">
        <x:v>62044300_WORLD_202501_IMPORT</x:v>
      </x:c>
      <x:c r="B412" s="2" t="n">
        <x:v>202501</x:v>
      </x:c>
      <x:c r="C412" s="2" t="str">
        <x:v>62044300</x:v>
      </x:c>
      <x:c r="D412" s="2" t="str">
        <x:v>World</x:v>
      </x:c>
      <x:c r="E412" s="16" t="n">
        <x:v>25940775</x:v>
      </x:c>
      <x:c r="F412" s="16" t="n">
        <x:v>712071</x:v>
      </x:c>
      <x:c r="G412" s="2" t="str">
        <x:v>WITHIN_BAND</x:v>
      </x:c>
      <x:c r="H412" s="2" t="n">
        <x:v>1</x:v>
      </x:c>
      <x:c r="I412" s="2" t="n">
        <x:f>IF(AND(COUNTIFS($B$6:$B$797,B412,$C$6:$C$797,C412)=11,COUNTIFS($B$6:$B$797,B412,$C$6:$C$797,C412,$G$6:$G$797,"REVIEW")=0,COUNTIFS($B$6:$B$797,B412,$C$6:$C$797,C412,$H$6:$H$797,1)=11,COUNTIFS($B$6:$B$797,B412,$C$6:$C$797,C412,$F$6:$F$797,"&gt;0")=11),1,0)</x:f>
        <x:v>1</x:v>
      </x:c>
      <x:c r="J412" s="2" t="n">
        <x:f>COUNTIFS($A$6:$A$797,A412)</x:f>
        <x:v>1</x:v>
      </x:c>
    </x:row>
    <x:row r="413" ht="23" customHeight="1">
      <x:c r="A413" s="2" t="str">
        <x:v>62044300_BD_202502_IMPORT</x:v>
      </x:c>
      <x:c r="B413" s="2" t="n">
        <x:v>202502</x:v>
      </x:c>
      <x:c r="C413" s="2" t="str">
        <x:v>62044300</x:v>
      </x:c>
      <x:c r="D413" s="2" t="str">
        <x:v>Bangladesh</x:v>
      </x:c>
      <x:c r="E413" s="16" t="n">
        <x:v>799940</x:v>
      </x:c>
      <x:c r="F413" s="16" t="n">
        <x:v>49961</x:v>
      </x:c>
      <x:c r="G413" s="2" t="str">
        <x:v>WITHIN_BAND</x:v>
      </x:c>
      <x:c r="H413" s="2" t="n">
        <x:v>1</x:v>
      </x:c>
      <x:c r="I413" s="2" t="n">
        <x:f>IF(AND(COUNTIFS($B$6:$B$797,B413,$C$6:$C$797,C413)=11,COUNTIFS($B$6:$B$797,B413,$C$6:$C$797,C413,$G$6:$G$797,"REVIEW")=0,COUNTIFS($B$6:$B$797,B413,$C$6:$C$797,C413,$H$6:$H$797,1)=11,COUNTIFS($B$6:$B$797,B413,$C$6:$C$797,C413,$F$6:$F$797,"&gt;0")=11),1,0)</x:f>
        <x:v>1</x:v>
      </x:c>
      <x:c r="J413" s="2" t="n">
        <x:f>COUNTIFS($A$6:$A$797,A413)</x:f>
        <x:v>1</x:v>
      </x:c>
    </x:row>
    <x:row r="414" ht="23" customHeight="1">
      <x:c r="A414" s="2" t="str">
        <x:v>62044300_KH_202502_IMPORT</x:v>
      </x:c>
      <x:c r="B414" s="2" t="n">
        <x:v>202502</x:v>
      </x:c>
      <x:c r="C414" s="2" t="str">
        <x:v>62044300</x:v>
      </x:c>
      <x:c r="D414" s="2" t="str">
        <x:v>Cambodia</x:v>
      </x:c>
      <x:c r="E414" s="16" t="n">
        <x:v>173367</x:v>
      </x:c>
      <x:c r="F414" s="16" t="n">
        <x:v>8697</x:v>
      </x:c>
      <x:c r="G414" s="2" t="str">
        <x:v>WITHIN_BAND</x:v>
      </x:c>
      <x:c r="H414" s="2" t="n">
        <x:v>1</x:v>
      </x:c>
      <x:c r="I414" s="2" t="n">
        <x:f>IF(AND(COUNTIFS($B$6:$B$797,B414,$C$6:$C$797,C414)=11,COUNTIFS($B$6:$B$797,B414,$C$6:$C$797,C414,$G$6:$G$797,"REVIEW")=0,COUNTIFS($B$6:$B$797,B414,$C$6:$C$797,C414,$H$6:$H$797,1)=11,COUNTIFS($B$6:$B$797,B414,$C$6:$C$797,C414,$F$6:$F$797,"&gt;0")=11),1,0)</x:f>
        <x:v>1</x:v>
      </x:c>
      <x:c r="J414" s="2" t="n">
        <x:f>COUNTIFS($A$6:$A$797,A414)</x:f>
        <x:v>1</x:v>
      </x:c>
    </x:row>
    <x:row r="415" ht="23" customHeight="1">
      <x:c r="A415" s="2" t="str">
        <x:v>62044300_CN_202502_IMPORT</x:v>
      </x:c>
      <x:c r="B415" s="2" t="n">
        <x:v>202502</x:v>
      </x:c>
      <x:c r="C415" s="2" t="str">
        <x:v>62044300</x:v>
      </x:c>
      <x:c r="D415" s="2" t="str">
        <x:v>China</x:v>
      </x:c>
      <x:c r="E415" s="16" t="n">
        <x:v>6795662</x:v>
      </x:c>
      <x:c r="F415" s="16" t="n">
        <x:v>238621</x:v>
      </x:c>
      <x:c r="G415" s="2" t="str">
        <x:v>WITHIN_BAND</x:v>
      </x:c>
      <x:c r="H415" s="2" t="n">
        <x:v>1</x:v>
      </x:c>
      <x:c r="I415" s="2" t="n">
        <x:f>IF(AND(COUNTIFS($B$6:$B$797,B415,$C$6:$C$797,C415)=11,COUNTIFS($B$6:$B$797,B415,$C$6:$C$797,C415,$G$6:$G$797,"REVIEW")=0,COUNTIFS($B$6:$B$797,B415,$C$6:$C$797,C415,$H$6:$H$797,1)=11,COUNTIFS($B$6:$B$797,B415,$C$6:$C$797,C415,$F$6:$F$797,"&gt;0")=11),1,0)</x:f>
        <x:v>1</x:v>
      </x:c>
      <x:c r="J415" s="2" t="n">
        <x:f>COUNTIFS($A$6:$A$797,A415)</x:f>
        <x:v>1</x:v>
      </x:c>
    </x:row>
    <x:row r="416" ht="23" customHeight="1">
      <x:c r="A416" s="2" t="str">
        <x:v>62044300_IN_202502_IMPORT</x:v>
      </x:c>
      <x:c r="B416" s="2" t="n">
        <x:v>202502</x:v>
      </x:c>
      <x:c r="C416" s="2" t="str">
        <x:v>62044300</x:v>
      </x:c>
      <x:c r="D416" s="2" t="str">
        <x:v>India</x:v>
      </x:c>
      <x:c r="E416" s="16" t="n">
        <x:v>3352893</x:v>
      </x:c>
      <x:c r="F416" s="16" t="n">
        <x:v>99883</x:v>
      </x:c>
      <x:c r="G416" s="2" t="str">
        <x:v>WITHIN_BAND</x:v>
      </x:c>
      <x:c r="H416" s="2" t="n">
        <x:v>1</x:v>
      </x:c>
      <x:c r="I416" s="2" t="n">
        <x:f>IF(AND(COUNTIFS($B$6:$B$797,B416,$C$6:$C$797,C416)=11,COUNTIFS($B$6:$B$797,B416,$C$6:$C$797,C416,$G$6:$G$797,"REVIEW")=0,COUNTIFS($B$6:$B$797,B416,$C$6:$C$797,C416,$H$6:$H$797,1)=11,COUNTIFS($B$6:$B$797,B416,$C$6:$C$797,C416,$F$6:$F$797,"&gt;0")=11),1,0)</x:f>
        <x:v>1</x:v>
      </x:c>
      <x:c r="J416" s="2" t="n">
        <x:f>COUNTIFS($A$6:$A$797,A416)</x:f>
        <x:v>1</x:v>
      </x:c>
    </x:row>
    <x:row r="417" ht="23" customHeight="1">
      <x:c r="A417" s="2" t="str">
        <x:v>62044300_MA_202502_IMPORT</x:v>
      </x:c>
      <x:c r="B417" s="2" t="n">
        <x:v>202502</x:v>
      </x:c>
      <x:c r="C417" s="2" t="str">
        <x:v>62044300</x:v>
      </x:c>
      <x:c r="D417" s="2" t="str">
        <x:v>Morocco</x:v>
      </x:c>
      <x:c r="E417" s="16" t="n">
        <x:v>754757</x:v>
      </x:c>
      <x:c r="F417" s="16" t="n">
        <x:v>34489</x:v>
      </x:c>
      <x:c r="G417" s="2" t="str">
        <x:v>WITHIN_BAND</x:v>
      </x:c>
      <x:c r="H417" s="2" t="n">
        <x:v>1</x:v>
      </x:c>
      <x:c r="I417" s="2" t="n">
        <x:f>IF(AND(COUNTIFS($B$6:$B$797,B417,$C$6:$C$797,C417)=11,COUNTIFS($B$6:$B$797,B417,$C$6:$C$797,C417,$G$6:$G$797,"REVIEW")=0,COUNTIFS($B$6:$B$797,B417,$C$6:$C$797,C417,$H$6:$H$797,1)=11,COUNTIFS($B$6:$B$797,B417,$C$6:$C$797,C417,$F$6:$F$797,"&gt;0")=11),1,0)</x:f>
        <x:v>1</x:v>
      </x:c>
      <x:c r="J417" s="2" t="n">
        <x:f>COUNTIFS($A$6:$A$797,A417)</x:f>
        <x:v>1</x:v>
      </x:c>
    </x:row>
    <x:row r="418" ht="23" customHeight="1">
      <x:c r="A418" s="2" t="str">
        <x:v>62044300_MM_202502_IMPORT</x:v>
      </x:c>
      <x:c r="B418" s="2" t="n">
        <x:v>202502</x:v>
      </x:c>
      <x:c r="C418" s="2" t="str">
        <x:v>62044300</x:v>
      </x:c>
      <x:c r="D418" s="2" t="str">
        <x:v>Myanmar</x:v>
      </x:c>
      <x:c r="E418" s="16" t="n">
        <x:v>229004</x:v>
      </x:c>
      <x:c r="F418" s="16" t="n">
        <x:v>5515</x:v>
      </x:c>
      <x:c r="G418" s="2" t="str">
        <x:v>WITHIN_BAND</x:v>
      </x:c>
      <x:c r="H418" s="2" t="n">
        <x:v>1</x:v>
      </x:c>
      <x:c r="I418" s="2" t="n">
        <x:f>IF(AND(COUNTIFS($B$6:$B$797,B418,$C$6:$C$797,C418)=11,COUNTIFS($B$6:$B$797,B418,$C$6:$C$797,C418,$G$6:$G$797,"REVIEW")=0,COUNTIFS($B$6:$B$797,B418,$C$6:$C$797,C418,$H$6:$H$797,1)=11,COUNTIFS($B$6:$B$797,B418,$C$6:$C$797,C418,$F$6:$F$797,"&gt;0")=11),1,0)</x:f>
        <x:v>1</x:v>
      </x:c>
      <x:c r="J418" s="2" t="n">
        <x:f>COUNTIFS($A$6:$A$797,A418)</x:f>
        <x:v>1</x:v>
      </x:c>
    </x:row>
    <x:row r="419" ht="23" customHeight="1">
      <x:c r="A419" s="2" t="str">
        <x:v>62044300_PK_202502_IMPORT</x:v>
      </x:c>
      <x:c r="B419" s="2" t="n">
        <x:v>202502</x:v>
      </x:c>
      <x:c r="C419" s="2" t="str">
        <x:v>62044300</x:v>
      </x:c>
      <x:c r="D419" s="2" t="str">
        <x:v>Pakistan</x:v>
      </x:c>
      <x:c r="E419" s="16" t="n">
        <x:v>111161</x:v>
      </x:c>
      <x:c r="F419" s="16" t="n">
        <x:v>2885</x:v>
      </x:c>
      <x:c r="G419" s="2" t="str">
        <x:v>WITHIN_BAND</x:v>
      </x:c>
      <x:c r="H419" s="2" t="n">
        <x:v>1</x:v>
      </x:c>
      <x:c r="I419" s="2" t="n">
        <x:f>IF(AND(COUNTIFS($B$6:$B$797,B419,$C$6:$C$797,C419)=11,COUNTIFS($B$6:$B$797,B419,$C$6:$C$797,C419,$G$6:$G$797,"REVIEW")=0,COUNTIFS($B$6:$B$797,B419,$C$6:$C$797,C419,$H$6:$H$797,1)=11,COUNTIFS($B$6:$B$797,B419,$C$6:$C$797,C419,$F$6:$F$797,"&gt;0")=11),1,0)</x:f>
        <x:v>1</x:v>
      </x:c>
      <x:c r="J419" s="2" t="n">
        <x:f>COUNTIFS($A$6:$A$797,A419)</x:f>
        <x:v>1</x:v>
      </x:c>
    </x:row>
    <x:row r="420" ht="23" customHeight="1">
      <x:c r="A420" s="2" t="str">
        <x:v>62044300_LK_202502_IMPORT</x:v>
      </x:c>
      <x:c r="B420" s="2" t="n">
        <x:v>202502</x:v>
      </x:c>
      <x:c r="C420" s="2" t="str">
        <x:v>62044300</x:v>
      </x:c>
      <x:c r="D420" s="2" t="str">
        <x:v>Sri Lanka</x:v>
      </x:c>
      <x:c r="E420" s="16" t="n">
        <x:v>721739</x:v>
      </x:c>
      <x:c r="F420" s="16" t="n">
        <x:v>49296</x:v>
      </x:c>
      <x:c r="G420" s="2" t="str">
        <x:v>WITHIN_BAND</x:v>
      </x:c>
      <x:c r="H420" s="2" t="n">
        <x:v>1</x:v>
      </x:c>
      <x:c r="I420" s="2" t="n">
        <x:f>IF(AND(COUNTIFS($B$6:$B$797,B420,$C$6:$C$797,C420)=11,COUNTIFS($B$6:$B$797,B420,$C$6:$C$797,C420,$G$6:$G$797,"REVIEW")=0,COUNTIFS($B$6:$B$797,B420,$C$6:$C$797,C420,$H$6:$H$797,1)=11,COUNTIFS($B$6:$B$797,B420,$C$6:$C$797,C420,$F$6:$F$797,"&gt;0")=11),1,0)</x:f>
        <x:v>1</x:v>
      </x:c>
      <x:c r="J420" s="2" t="n">
        <x:f>COUNTIFS($A$6:$A$797,A420)</x:f>
        <x:v>1</x:v>
      </x:c>
    </x:row>
    <x:row r="421" ht="23" customHeight="1">
      <x:c r="A421" s="2" t="str">
        <x:v>62044300_TR_202502_IMPORT</x:v>
      </x:c>
      <x:c r="B421" s="2" t="n">
        <x:v>202502</x:v>
      </x:c>
      <x:c r="C421" s="2" t="str">
        <x:v>62044300</x:v>
      </x:c>
      <x:c r="D421" s="2" t="str">
        <x:v>Turkey</x:v>
      </x:c>
      <x:c r="E421" s="16" t="n">
        <x:v>857879</x:v>
      </x:c>
      <x:c r="F421" s="16" t="n">
        <x:v>24744</x:v>
      </x:c>
      <x:c r="G421" s="2" t="str">
        <x:v>WITHIN_BAND</x:v>
      </x:c>
      <x:c r="H421" s="2" t="n">
        <x:v>1</x:v>
      </x:c>
      <x:c r="I421" s="2" t="n">
        <x:f>IF(AND(COUNTIFS($B$6:$B$797,B421,$C$6:$C$797,C421)=11,COUNTIFS($B$6:$B$797,B421,$C$6:$C$797,C421,$G$6:$G$797,"REVIEW")=0,COUNTIFS($B$6:$B$797,B421,$C$6:$C$797,C421,$H$6:$H$797,1)=11,COUNTIFS($B$6:$B$797,B421,$C$6:$C$797,C421,$F$6:$F$797,"&gt;0")=11),1,0)</x:f>
        <x:v>1</x:v>
      </x:c>
      <x:c r="J421" s="2" t="n">
        <x:f>COUNTIFS($A$6:$A$797,A421)</x:f>
        <x:v>1</x:v>
      </x:c>
    </x:row>
    <x:row r="422" ht="23" customHeight="1">
      <x:c r="A422" s="2" t="str">
        <x:v>62044300_VN_202502_IMPORT</x:v>
      </x:c>
      <x:c r="B422" s="2" t="n">
        <x:v>202502</x:v>
      </x:c>
      <x:c r="C422" s="2" t="str">
        <x:v>62044300</x:v>
      </x:c>
      <x:c r="D422" s="2" t="str">
        <x:v>Vietnam</x:v>
      </x:c>
      <x:c r="E422" s="16" t="n">
        <x:v>420206</x:v>
      </x:c>
      <x:c r="F422" s="16" t="n">
        <x:v>15738</x:v>
      </x:c>
      <x:c r="G422" s="2" t="str">
        <x:v>WITHIN_BAND</x:v>
      </x:c>
      <x:c r="H422" s="2" t="n">
        <x:v>1</x:v>
      </x:c>
      <x:c r="I422" s="2" t="n">
        <x:f>IF(AND(COUNTIFS($B$6:$B$797,B422,$C$6:$C$797,C422)=11,COUNTIFS($B$6:$B$797,B422,$C$6:$C$797,C422,$G$6:$G$797,"REVIEW")=0,COUNTIFS($B$6:$B$797,B422,$C$6:$C$797,C422,$H$6:$H$797,1)=11,COUNTIFS($B$6:$B$797,B422,$C$6:$C$797,C422,$F$6:$F$797,"&gt;0")=11),1,0)</x:f>
        <x:v>1</x:v>
      </x:c>
      <x:c r="J422" s="2" t="n">
        <x:f>COUNTIFS($A$6:$A$797,A422)</x:f>
        <x:v>1</x:v>
      </x:c>
    </x:row>
    <x:row r="423" ht="23" customHeight="1">
      <x:c r="A423" s="2" t="str">
        <x:v>62044300_WORLD_202502_IMPORT</x:v>
      </x:c>
      <x:c r="B423" s="2" t="n">
        <x:v>202502</x:v>
      </x:c>
      <x:c r="C423" s="2" t="str">
        <x:v>62044300</x:v>
      </x:c>
      <x:c r="D423" s="2" t="str">
        <x:v>World</x:v>
      </x:c>
      <x:c r="E423" s="16" t="n">
        <x:v>25262401</x:v>
      </x:c>
      <x:c r="F423" s="16" t="n">
        <x:v>709632</x:v>
      </x:c>
      <x:c r="G423" s="2" t="str">
        <x:v>WITHIN_BAND</x:v>
      </x:c>
      <x:c r="H423" s="2" t="n">
        <x:v>1</x:v>
      </x:c>
      <x:c r="I423" s="2" t="n">
        <x:f>IF(AND(COUNTIFS($B$6:$B$797,B423,$C$6:$C$797,C423)=11,COUNTIFS($B$6:$B$797,B423,$C$6:$C$797,C423,$G$6:$G$797,"REVIEW")=0,COUNTIFS($B$6:$B$797,B423,$C$6:$C$797,C423,$H$6:$H$797,1)=11,COUNTIFS($B$6:$B$797,B423,$C$6:$C$797,C423,$F$6:$F$797,"&gt;0")=11),1,0)</x:f>
        <x:v>1</x:v>
      </x:c>
      <x:c r="J423" s="2" t="n">
        <x:f>COUNTIFS($A$6:$A$797,A423)</x:f>
        <x:v>1</x:v>
      </x:c>
    </x:row>
    <x:row r="424" ht="23" customHeight="1">
      <x:c r="A424" s="2" t="str">
        <x:v>62044300_BD_202503_IMPORT</x:v>
      </x:c>
      <x:c r="B424" s="2" t="n">
        <x:v>202503</x:v>
      </x:c>
      <x:c r="C424" s="2" t="str">
        <x:v>62044300</x:v>
      </x:c>
      <x:c r="D424" s="2" t="str">
        <x:v>Bangladesh</x:v>
      </x:c>
      <x:c r="E424" s="16" t="n">
        <x:v>1545036</x:v>
      </x:c>
      <x:c r="F424" s="16" t="n">
        <x:v>87064</x:v>
      </x:c>
      <x:c r="G424" s="2" t="str">
        <x:v>WITHIN_BAND</x:v>
      </x:c>
      <x:c r="H424" s="2" t="n">
        <x:v>1</x:v>
      </x:c>
      <x:c r="I424" s="2" t="n">
        <x:f>IF(AND(COUNTIFS($B$6:$B$797,B424,$C$6:$C$797,C424)=11,COUNTIFS($B$6:$B$797,B424,$C$6:$C$797,C424,$G$6:$G$797,"REVIEW")=0,COUNTIFS($B$6:$B$797,B424,$C$6:$C$797,C424,$H$6:$H$797,1)=11,COUNTIFS($B$6:$B$797,B424,$C$6:$C$797,C424,$F$6:$F$797,"&gt;0")=11),1,0)</x:f>
        <x:v>1</x:v>
      </x:c>
      <x:c r="J424" s="2" t="n">
        <x:f>COUNTIFS($A$6:$A$797,A424)</x:f>
        <x:v>1</x:v>
      </x:c>
    </x:row>
    <x:row r="425" ht="23" customHeight="1">
      <x:c r="A425" s="2" t="str">
        <x:v>62044300_KH_202503_IMPORT</x:v>
      </x:c>
      <x:c r="B425" s="2" t="n">
        <x:v>202503</x:v>
      </x:c>
      <x:c r="C425" s="2" t="str">
        <x:v>62044300</x:v>
      </x:c>
      <x:c r="D425" s="2" t="str">
        <x:v>Cambodia</x:v>
      </x:c>
      <x:c r="E425" s="16" t="n">
        <x:v>265650</x:v>
      </x:c>
      <x:c r="F425" s="16" t="n">
        <x:v>16043</x:v>
      </x:c>
      <x:c r="G425" s="2" t="str">
        <x:v>WITHIN_BAND</x:v>
      </x:c>
      <x:c r="H425" s="2" t="n">
        <x:v>1</x:v>
      </x:c>
      <x:c r="I425" s="2" t="n">
        <x:f>IF(AND(COUNTIFS($B$6:$B$797,B425,$C$6:$C$797,C425)=11,COUNTIFS($B$6:$B$797,B425,$C$6:$C$797,C425,$G$6:$G$797,"REVIEW")=0,COUNTIFS($B$6:$B$797,B425,$C$6:$C$797,C425,$H$6:$H$797,1)=11,COUNTIFS($B$6:$B$797,B425,$C$6:$C$797,C425,$F$6:$F$797,"&gt;0")=11),1,0)</x:f>
        <x:v>1</x:v>
      </x:c>
      <x:c r="J425" s="2" t="n">
        <x:f>COUNTIFS($A$6:$A$797,A425)</x:f>
        <x:v>1</x:v>
      </x:c>
    </x:row>
    <x:row r="426" ht="23" customHeight="1">
      <x:c r="A426" s="2" t="str">
        <x:v>62044300_CN_202503_IMPORT</x:v>
      </x:c>
      <x:c r="B426" s="2" t="n">
        <x:v>202503</x:v>
      </x:c>
      <x:c r="C426" s="2" t="str">
        <x:v>62044300</x:v>
      </x:c>
      <x:c r="D426" s="2" t="str">
        <x:v>China</x:v>
      </x:c>
      <x:c r="E426" s="16" t="n">
        <x:v>8765717</x:v>
      </x:c>
      <x:c r="F426" s="16" t="n">
        <x:v>294313</x:v>
      </x:c>
      <x:c r="G426" s="2" t="str">
        <x:v>WITHIN_BAND</x:v>
      </x:c>
      <x:c r="H426" s="2" t="n">
        <x:v>1</x:v>
      </x:c>
      <x:c r="I426" s="2" t="n">
        <x:f>IF(AND(COUNTIFS($B$6:$B$797,B426,$C$6:$C$797,C426)=11,COUNTIFS($B$6:$B$797,B426,$C$6:$C$797,C426,$G$6:$G$797,"REVIEW")=0,COUNTIFS($B$6:$B$797,B426,$C$6:$C$797,C426,$H$6:$H$797,1)=11,COUNTIFS($B$6:$B$797,B426,$C$6:$C$797,C426,$F$6:$F$797,"&gt;0")=11),1,0)</x:f>
        <x:v>1</x:v>
      </x:c>
      <x:c r="J426" s="2" t="n">
        <x:f>COUNTIFS($A$6:$A$797,A426)</x:f>
        <x:v>1</x:v>
      </x:c>
    </x:row>
    <x:row r="427" ht="23" customHeight="1">
      <x:c r="A427" s="2" t="str">
        <x:v>62044300_IN_202503_IMPORT</x:v>
      </x:c>
      <x:c r="B427" s="2" t="n">
        <x:v>202503</x:v>
      </x:c>
      <x:c r="C427" s="2" t="str">
        <x:v>62044300</x:v>
      </x:c>
      <x:c r="D427" s="2" t="str">
        <x:v>India</x:v>
      </x:c>
      <x:c r="E427" s="16" t="n">
        <x:v>3694960</x:v>
      </x:c>
      <x:c r="F427" s="16" t="n">
        <x:v>135592</x:v>
      </x:c>
      <x:c r="G427" s="2" t="str">
        <x:v>WITHIN_BAND</x:v>
      </x:c>
      <x:c r="H427" s="2" t="n">
        <x:v>1</x:v>
      </x:c>
      <x:c r="I427" s="2" t="n">
        <x:f>IF(AND(COUNTIFS($B$6:$B$797,B427,$C$6:$C$797,C427)=11,COUNTIFS($B$6:$B$797,B427,$C$6:$C$797,C427,$G$6:$G$797,"REVIEW")=0,COUNTIFS($B$6:$B$797,B427,$C$6:$C$797,C427,$H$6:$H$797,1)=11,COUNTIFS($B$6:$B$797,B427,$C$6:$C$797,C427,$F$6:$F$797,"&gt;0")=11),1,0)</x:f>
        <x:v>1</x:v>
      </x:c>
      <x:c r="J427" s="2" t="n">
        <x:f>COUNTIFS($A$6:$A$797,A427)</x:f>
        <x:v>1</x:v>
      </x:c>
    </x:row>
    <x:row r="428" ht="23" customHeight="1">
      <x:c r="A428" s="2" t="str">
        <x:v>62044300_MA_202503_IMPORT</x:v>
      </x:c>
      <x:c r="B428" s="2" t="n">
        <x:v>202503</x:v>
      </x:c>
      <x:c r="C428" s="2" t="str">
        <x:v>62044300</x:v>
      </x:c>
      <x:c r="D428" s="2" t="str">
        <x:v>Morocco</x:v>
      </x:c>
      <x:c r="E428" s="16" t="n">
        <x:v>866061</x:v>
      </x:c>
      <x:c r="F428" s="16" t="n">
        <x:v>38454</x:v>
      </x:c>
      <x:c r="G428" s="2" t="str">
        <x:v>WITHIN_BAND</x:v>
      </x:c>
      <x:c r="H428" s="2" t="n">
        <x:v>1</x:v>
      </x:c>
      <x:c r="I428" s="2" t="n">
        <x:f>IF(AND(COUNTIFS($B$6:$B$797,B428,$C$6:$C$797,C428)=11,COUNTIFS($B$6:$B$797,B428,$C$6:$C$797,C428,$G$6:$G$797,"REVIEW")=0,COUNTIFS($B$6:$B$797,B428,$C$6:$C$797,C428,$H$6:$H$797,1)=11,COUNTIFS($B$6:$B$797,B428,$C$6:$C$797,C428,$F$6:$F$797,"&gt;0")=11),1,0)</x:f>
        <x:v>1</x:v>
      </x:c>
      <x:c r="J428" s="2" t="n">
        <x:f>COUNTIFS($A$6:$A$797,A428)</x:f>
        <x:v>1</x:v>
      </x:c>
    </x:row>
    <x:row r="429" ht="23" customHeight="1">
      <x:c r="A429" s="2" t="str">
        <x:v>62044300_MM_202503_IMPORT</x:v>
      </x:c>
      <x:c r="B429" s="2" t="n">
        <x:v>202503</x:v>
      </x:c>
      <x:c r="C429" s="2" t="str">
        <x:v>62044300</x:v>
      </x:c>
      <x:c r="D429" s="2" t="str">
        <x:v>Myanmar</x:v>
      </x:c>
      <x:c r="E429" s="16" t="n">
        <x:v>313685</x:v>
      </x:c>
      <x:c r="F429" s="16" t="n">
        <x:v>5939</x:v>
      </x:c>
      <x:c r="G429" s="2" t="str">
        <x:v>WITHIN_BAND</x:v>
      </x:c>
      <x:c r="H429" s="2" t="n">
        <x:v>1</x:v>
      </x:c>
      <x:c r="I429" s="2" t="n">
        <x:f>IF(AND(COUNTIFS($B$6:$B$797,B429,$C$6:$C$797,C429)=11,COUNTIFS($B$6:$B$797,B429,$C$6:$C$797,C429,$G$6:$G$797,"REVIEW")=0,COUNTIFS($B$6:$B$797,B429,$C$6:$C$797,C429,$H$6:$H$797,1)=11,COUNTIFS($B$6:$B$797,B429,$C$6:$C$797,C429,$F$6:$F$797,"&gt;0")=11),1,0)</x:f>
        <x:v>1</x:v>
      </x:c>
      <x:c r="J429" s="2" t="n">
        <x:f>COUNTIFS($A$6:$A$797,A429)</x:f>
        <x:v>1</x:v>
      </x:c>
    </x:row>
    <x:row r="430" ht="23" customHeight="1">
      <x:c r="A430" s="2" t="str">
        <x:v>62044300_PK_202503_IMPORT</x:v>
      </x:c>
      <x:c r="B430" s="2" t="n">
        <x:v>202503</x:v>
      </x:c>
      <x:c r="C430" s="2" t="str">
        <x:v>62044300</x:v>
      </x:c>
      <x:c r="D430" s="2" t="str">
        <x:v>Pakistan</x:v>
      </x:c>
      <x:c r="E430" s="16" t="n">
        <x:v>231366</x:v>
      </x:c>
      <x:c r="F430" s="16" t="n">
        <x:v>12914</x:v>
      </x:c>
      <x:c r="G430" s="2" t="str">
        <x:v>WITHIN_BAND</x:v>
      </x:c>
      <x:c r="H430" s="2" t="n">
        <x:v>1</x:v>
      </x:c>
      <x:c r="I430" s="2" t="n">
        <x:f>IF(AND(COUNTIFS($B$6:$B$797,B430,$C$6:$C$797,C430)=11,COUNTIFS($B$6:$B$797,B430,$C$6:$C$797,C430,$G$6:$G$797,"REVIEW")=0,COUNTIFS($B$6:$B$797,B430,$C$6:$C$797,C430,$H$6:$H$797,1)=11,COUNTIFS($B$6:$B$797,B430,$C$6:$C$797,C430,$F$6:$F$797,"&gt;0")=11),1,0)</x:f>
        <x:v>1</x:v>
      </x:c>
      <x:c r="J430" s="2" t="n">
        <x:f>COUNTIFS($A$6:$A$797,A430)</x:f>
        <x:v>1</x:v>
      </x:c>
    </x:row>
    <x:row r="431" ht="23" customHeight="1">
      <x:c r="A431" s="2" t="str">
        <x:v>62044300_LK_202503_IMPORT</x:v>
      </x:c>
      <x:c r="B431" s="2" t="n">
        <x:v>202503</x:v>
      </x:c>
      <x:c r="C431" s="2" t="str">
        <x:v>62044300</x:v>
      </x:c>
      <x:c r="D431" s="2" t="str">
        <x:v>Sri Lanka</x:v>
      </x:c>
      <x:c r="E431" s="16" t="n">
        <x:v>1073789</x:v>
      </x:c>
      <x:c r="F431" s="16" t="n">
        <x:v>46243</x:v>
      </x:c>
      <x:c r="G431" s="2" t="str">
        <x:v>WITHIN_BAND</x:v>
      </x:c>
      <x:c r="H431" s="2" t="n">
        <x:v>1</x:v>
      </x:c>
      <x:c r="I431" s="2" t="n">
        <x:f>IF(AND(COUNTIFS($B$6:$B$797,B431,$C$6:$C$797,C431)=11,COUNTIFS($B$6:$B$797,B431,$C$6:$C$797,C431,$G$6:$G$797,"REVIEW")=0,COUNTIFS($B$6:$B$797,B431,$C$6:$C$797,C431,$H$6:$H$797,1)=11,COUNTIFS($B$6:$B$797,B431,$C$6:$C$797,C431,$F$6:$F$797,"&gt;0")=11),1,0)</x:f>
        <x:v>1</x:v>
      </x:c>
      <x:c r="J431" s="2" t="n">
        <x:f>COUNTIFS($A$6:$A$797,A431)</x:f>
        <x:v>1</x:v>
      </x:c>
    </x:row>
    <x:row r="432" ht="23" customHeight="1">
      <x:c r="A432" s="2" t="str">
        <x:v>62044300_TR_202503_IMPORT</x:v>
      </x:c>
      <x:c r="B432" s="2" t="n">
        <x:v>202503</x:v>
      </x:c>
      <x:c r="C432" s="2" t="str">
        <x:v>62044300</x:v>
      </x:c>
      <x:c r="D432" s="2" t="str">
        <x:v>Turkey</x:v>
      </x:c>
      <x:c r="E432" s="16" t="n">
        <x:v>1426874</x:v>
      </x:c>
      <x:c r="F432" s="16" t="n">
        <x:v>29768</x:v>
      </x:c>
      <x:c r="G432" s="2" t="str">
        <x:v>WITHIN_BAND</x:v>
      </x:c>
      <x:c r="H432" s="2" t="n">
        <x:v>1</x:v>
      </x:c>
      <x:c r="I432" s="2" t="n">
        <x:f>IF(AND(COUNTIFS($B$6:$B$797,B432,$C$6:$C$797,C432)=11,COUNTIFS($B$6:$B$797,B432,$C$6:$C$797,C432,$G$6:$G$797,"REVIEW")=0,COUNTIFS($B$6:$B$797,B432,$C$6:$C$797,C432,$H$6:$H$797,1)=11,COUNTIFS($B$6:$B$797,B432,$C$6:$C$797,C432,$F$6:$F$797,"&gt;0")=11),1,0)</x:f>
        <x:v>1</x:v>
      </x:c>
      <x:c r="J432" s="2" t="n">
        <x:f>COUNTIFS($A$6:$A$797,A432)</x:f>
        <x:v>1</x:v>
      </x:c>
    </x:row>
    <x:row r="433" ht="23" customHeight="1">
      <x:c r="A433" s="2" t="str">
        <x:v>62044300_VN_202503_IMPORT</x:v>
      </x:c>
      <x:c r="B433" s="2" t="n">
        <x:v>202503</x:v>
      </x:c>
      <x:c r="C433" s="2" t="str">
        <x:v>62044300</x:v>
      </x:c>
      <x:c r="D433" s="2" t="str">
        <x:v>Vietnam</x:v>
      </x:c>
      <x:c r="E433" s="16" t="n">
        <x:v>512965</x:v>
      </x:c>
      <x:c r="F433" s="16" t="n">
        <x:v>18082</x:v>
      </x:c>
      <x:c r="G433" s="2" t="str">
        <x:v>WITHIN_BAND</x:v>
      </x:c>
      <x:c r="H433" s="2" t="n">
        <x:v>1</x:v>
      </x:c>
      <x:c r="I433" s="2" t="n">
        <x:f>IF(AND(COUNTIFS($B$6:$B$797,B433,$C$6:$C$797,C433)=11,COUNTIFS($B$6:$B$797,B433,$C$6:$C$797,C433,$G$6:$G$797,"REVIEW")=0,COUNTIFS($B$6:$B$797,B433,$C$6:$C$797,C433,$H$6:$H$797,1)=11,COUNTIFS($B$6:$B$797,B433,$C$6:$C$797,C433,$F$6:$F$797,"&gt;0")=11),1,0)</x:f>
        <x:v>1</x:v>
      </x:c>
      <x:c r="J433" s="2" t="n">
        <x:f>COUNTIFS($A$6:$A$797,A433)</x:f>
        <x:v>1</x:v>
      </x:c>
    </x:row>
    <x:row r="434" ht="23" customHeight="1">
      <x:c r="A434" s="2" t="str">
        <x:v>62044300_WORLD_202503_IMPORT</x:v>
      </x:c>
      <x:c r="B434" s="2" t="n">
        <x:v>202503</x:v>
      </x:c>
      <x:c r="C434" s="2" t="str">
        <x:v>62044300</x:v>
      </x:c>
      <x:c r="D434" s="2" t="str">
        <x:v>World</x:v>
      </x:c>
      <x:c r="E434" s="16" t="n">
        <x:v>30959359</x:v>
      </x:c>
      <x:c r="F434" s="16" t="n">
        <x:v>895057</x:v>
      </x:c>
      <x:c r="G434" s="2" t="str">
        <x:v>WITHIN_BAND</x:v>
      </x:c>
      <x:c r="H434" s="2" t="n">
        <x:v>1</x:v>
      </x:c>
      <x:c r="I434" s="2" t="n">
        <x:f>IF(AND(COUNTIFS($B$6:$B$797,B434,$C$6:$C$797,C434)=11,COUNTIFS($B$6:$B$797,B434,$C$6:$C$797,C434,$G$6:$G$797,"REVIEW")=0,COUNTIFS($B$6:$B$797,B434,$C$6:$C$797,C434,$H$6:$H$797,1)=11,COUNTIFS($B$6:$B$797,B434,$C$6:$C$797,C434,$F$6:$F$797,"&gt;0")=11),1,0)</x:f>
        <x:v>1</x:v>
      </x:c>
      <x:c r="J434" s="2" t="n">
        <x:f>COUNTIFS($A$6:$A$797,A434)</x:f>
        <x:v>1</x:v>
      </x:c>
    </x:row>
    <x:row r="435" ht="23" customHeight="1">
      <x:c r="A435" s="2" t="str">
        <x:v>62044300_BD_202504_IMPORT</x:v>
      </x:c>
      <x:c r="B435" s="2" t="n">
        <x:v>202504</x:v>
      </x:c>
      <x:c r="C435" s="2" t="str">
        <x:v>62044300</x:v>
      </x:c>
      <x:c r="D435" s="2" t="str">
        <x:v>Bangladesh</x:v>
      </x:c>
      <x:c r="E435" s="16" t="n">
        <x:v>1631300</x:v>
      </x:c>
      <x:c r="F435" s="16" t="n">
        <x:v>98377</x:v>
      </x:c>
      <x:c r="G435" s="2" t="str">
        <x:v>WITHIN_BAND</x:v>
      </x:c>
      <x:c r="H435" s="2" t="n">
        <x:v>1</x:v>
      </x:c>
      <x:c r="I435" s="2" t="n">
        <x:f>IF(AND(COUNTIFS($B$6:$B$797,B435,$C$6:$C$797,C435)=11,COUNTIFS($B$6:$B$797,B435,$C$6:$C$797,C435,$G$6:$G$797,"REVIEW")=0,COUNTIFS($B$6:$B$797,B435,$C$6:$C$797,C435,$H$6:$H$797,1)=11,COUNTIFS($B$6:$B$797,B435,$C$6:$C$797,C435,$F$6:$F$797,"&gt;0")=11),1,0)</x:f>
        <x:v>1</x:v>
      </x:c>
      <x:c r="J435" s="2" t="n">
        <x:f>COUNTIFS($A$6:$A$797,A435)</x:f>
        <x:v>1</x:v>
      </x:c>
    </x:row>
    <x:row r="436" ht="23" customHeight="1">
      <x:c r="A436" s="2" t="str">
        <x:v>62044300_KH_202504_IMPORT</x:v>
      </x:c>
      <x:c r="B436" s="2" t="n">
        <x:v>202504</x:v>
      </x:c>
      <x:c r="C436" s="2" t="str">
        <x:v>62044300</x:v>
      </x:c>
      <x:c r="D436" s="2" t="str">
        <x:v>Cambodia</x:v>
      </x:c>
      <x:c r="E436" s="16" t="n">
        <x:v>247950</x:v>
      </x:c>
      <x:c r="F436" s="16" t="n">
        <x:v>15033</x:v>
      </x:c>
      <x:c r="G436" s="2" t="str">
        <x:v>WITHIN_BAND</x:v>
      </x:c>
      <x:c r="H436" s="2" t="n">
        <x:v>1</x:v>
      </x:c>
      <x:c r="I436" s="2" t="n">
        <x:f>IF(AND(COUNTIFS($B$6:$B$797,B436,$C$6:$C$797,C436)=11,COUNTIFS($B$6:$B$797,B436,$C$6:$C$797,C436,$G$6:$G$797,"REVIEW")=0,COUNTIFS($B$6:$B$797,B436,$C$6:$C$797,C436,$H$6:$H$797,1)=11,COUNTIFS($B$6:$B$797,B436,$C$6:$C$797,C436,$F$6:$F$797,"&gt;0")=11),1,0)</x:f>
        <x:v>1</x:v>
      </x:c>
      <x:c r="J436" s="2" t="n">
        <x:f>COUNTIFS($A$6:$A$797,A436)</x:f>
        <x:v>1</x:v>
      </x:c>
    </x:row>
    <x:row r="437" ht="23" customHeight="1">
      <x:c r="A437" s="2" t="str">
        <x:v>62044300_CN_202504_IMPORT</x:v>
      </x:c>
      <x:c r="B437" s="2" t="n">
        <x:v>202504</x:v>
      </x:c>
      <x:c r="C437" s="2" t="str">
        <x:v>62044300</x:v>
      </x:c>
      <x:c r="D437" s="2" t="str">
        <x:v>China</x:v>
      </x:c>
      <x:c r="E437" s="16" t="n">
        <x:v>8109859</x:v>
      </x:c>
      <x:c r="F437" s="16" t="n">
        <x:v>284274</x:v>
      </x:c>
      <x:c r="G437" s="2" t="str">
        <x:v>WITHIN_BAND</x:v>
      </x:c>
      <x:c r="H437" s="2" t="n">
        <x:v>1</x:v>
      </x:c>
      <x:c r="I437" s="2" t="n">
        <x:f>IF(AND(COUNTIFS($B$6:$B$797,B437,$C$6:$C$797,C437)=11,COUNTIFS($B$6:$B$797,B437,$C$6:$C$797,C437,$G$6:$G$797,"REVIEW")=0,COUNTIFS($B$6:$B$797,B437,$C$6:$C$797,C437,$H$6:$H$797,1)=11,COUNTIFS($B$6:$B$797,B437,$C$6:$C$797,C437,$F$6:$F$797,"&gt;0")=11),1,0)</x:f>
        <x:v>1</x:v>
      </x:c>
      <x:c r="J437" s="2" t="n">
        <x:f>COUNTIFS($A$6:$A$797,A437)</x:f>
        <x:v>1</x:v>
      </x:c>
    </x:row>
    <x:row r="438" ht="23" customHeight="1">
      <x:c r="A438" s="2" t="str">
        <x:v>62044300_IN_202504_IMPORT</x:v>
      </x:c>
      <x:c r="B438" s="2" t="n">
        <x:v>202504</x:v>
      </x:c>
      <x:c r="C438" s="2" t="str">
        <x:v>62044300</x:v>
      </x:c>
      <x:c r="D438" s="2" t="str">
        <x:v>India</x:v>
      </x:c>
      <x:c r="E438" s="16" t="n">
        <x:v>4044322</x:v>
      </x:c>
      <x:c r="F438" s="16" t="n">
        <x:v>171258</x:v>
      </x:c>
      <x:c r="G438" s="2" t="str">
        <x:v>WITHIN_BAND</x:v>
      </x:c>
      <x:c r="H438" s="2" t="n">
        <x:v>1</x:v>
      </x:c>
      <x:c r="I438" s="2" t="n">
        <x:f>IF(AND(COUNTIFS($B$6:$B$797,B438,$C$6:$C$797,C438)=11,COUNTIFS($B$6:$B$797,B438,$C$6:$C$797,C438,$G$6:$G$797,"REVIEW")=0,COUNTIFS($B$6:$B$797,B438,$C$6:$C$797,C438,$H$6:$H$797,1)=11,COUNTIFS($B$6:$B$797,B438,$C$6:$C$797,C438,$F$6:$F$797,"&gt;0")=11),1,0)</x:f>
        <x:v>1</x:v>
      </x:c>
      <x:c r="J438" s="2" t="n">
        <x:f>COUNTIFS($A$6:$A$797,A438)</x:f>
        <x:v>1</x:v>
      </x:c>
    </x:row>
    <x:row r="439" ht="23" customHeight="1">
      <x:c r="A439" s="2" t="str">
        <x:v>62044300_MA_202504_IMPORT</x:v>
      </x:c>
      <x:c r="B439" s="2" t="n">
        <x:v>202504</x:v>
      </x:c>
      <x:c r="C439" s="2" t="str">
        <x:v>62044300</x:v>
      </x:c>
      <x:c r="D439" s="2" t="str">
        <x:v>Morocco</x:v>
      </x:c>
      <x:c r="E439" s="16" t="n">
        <x:v>902705</x:v>
      </x:c>
      <x:c r="F439" s="16" t="n">
        <x:v>44420</x:v>
      </x:c>
      <x:c r="G439" s="2" t="str">
        <x:v>WITHIN_BAND</x:v>
      </x:c>
      <x:c r="H439" s="2" t="n">
        <x:v>1</x:v>
      </x:c>
      <x:c r="I439" s="2" t="n">
        <x:f>IF(AND(COUNTIFS($B$6:$B$797,B439,$C$6:$C$797,C439)=11,COUNTIFS($B$6:$B$797,B439,$C$6:$C$797,C439,$G$6:$G$797,"REVIEW")=0,COUNTIFS($B$6:$B$797,B439,$C$6:$C$797,C439,$H$6:$H$797,1)=11,COUNTIFS($B$6:$B$797,B439,$C$6:$C$797,C439,$F$6:$F$797,"&gt;0")=11),1,0)</x:f>
        <x:v>1</x:v>
      </x:c>
      <x:c r="J439" s="2" t="n">
        <x:f>COUNTIFS($A$6:$A$797,A439)</x:f>
        <x:v>1</x:v>
      </x:c>
    </x:row>
    <x:row r="440" ht="23" customHeight="1">
      <x:c r="A440" s="2" t="str">
        <x:v>62044300_MM_202504_IMPORT</x:v>
      </x:c>
      <x:c r="B440" s="2" t="n">
        <x:v>202504</x:v>
      </x:c>
      <x:c r="C440" s="2" t="str">
        <x:v>62044300</x:v>
      </x:c>
      <x:c r="D440" s="2" t="str">
        <x:v>Myanmar</x:v>
      </x:c>
      <x:c r="E440" s="16" t="n">
        <x:v>249887</x:v>
      </x:c>
      <x:c r="F440" s="16" t="n">
        <x:v>6436</x:v>
      </x:c>
      <x:c r="G440" s="2" t="str">
        <x:v>WITHIN_BAND</x:v>
      </x:c>
      <x:c r="H440" s="2" t="n">
        <x:v>1</x:v>
      </x:c>
      <x:c r="I440" s="2" t="n">
        <x:f>IF(AND(COUNTIFS($B$6:$B$797,B440,$C$6:$C$797,C440)=11,COUNTIFS($B$6:$B$797,B440,$C$6:$C$797,C440,$G$6:$G$797,"REVIEW")=0,COUNTIFS($B$6:$B$797,B440,$C$6:$C$797,C440,$H$6:$H$797,1)=11,COUNTIFS($B$6:$B$797,B440,$C$6:$C$797,C440,$F$6:$F$797,"&gt;0")=11),1,0)</x:f>
        <x:v>1</x:v>
      </x:c>
      <x:c r="J440" s="2" t="n">
        <x:f>COUNTIFS($A$6:$A$797,A440)</x:f>
        <x:v>1</x:v>
      </x:c>
    </x:row>
    <x:row r="441" ht="23" customHeight="1">
      <x:c r="A441" s="2" t="str">
        <x:v>62044300_PK_202504_IMPORT</x:v>
      </x:c>
      <x:c r="B441" s="2" t="n">
        <x:v>202504</x:v>
      </x:c>
      <x:c r="C441" s="2" t="str">
        <x:v>62044300</x:v>
      </x:c>
      <x:c r="D441" s="2" t="str">
        <x:v>Pakistan</x:v>
      </x:c>
      <x:c r="E441" s="16" t="n">
        <x:v>106331</x:v>
      </x:c>
      <x:c r="F441" s="16" t="n">
        <x:v>4353</x:v>
      </x:c>
      <x:c r="G441" s="2" t="str">
        <x:v>WITHIN_BAND</x:v>
      </x:c>
      <x:c r="H441" s="2" t="n">
        <x:v>1</x:v>
      </x:c>
      <x:c r="I441" s="2" t="n">
        <x:f>IF(AND(COUNTIFS($B$6:$B$797,B441,$C$6:$C$797,C441)=11,COUNTIFS($B$6:$B$797,B441,$C$6:$C$797,C441,$G$6:$G$797,"REVIEW")=0,COUNTIFS($B$6:$B$797,B441,$C$6:$C$797,C441,$H$6:$H$797,1)=11,COUNTIFS($B$6:$B$797,B441,$C$6:$C$797,C441,$F$6:$F$797,"&gt;0")=11),1,0)</x:f>
        <x:v>1</x:v>
      </x:c>
      <x:c r="J441" s="2" t="n">
        <x:f>COUNTIFS($A$6:$A$797,A441)</x:f>
        <x:v>1</x:v>
      </x:c>
    </x:row>
    <x:row r="442" ht="23" customHeight="1">
      <x:c r="A442" s="2" t="str">
        <x:v>62044300_LK_202504_IMPORT</x:v>
      </x:c>
      <x:c r="B442" s="2" t="n">
        <x:v>202504</x:v>
      </x:c>
      <x:c r="C442" s="2" t="str">
        <x:v>62044300</x:v>
      </x:c>
      <x:c r="D442" s="2" t="str">
        <x:v>Sri Lanka</x:v>
      </x:c>
      <x:c r="E442" s="16" t="n">
        <x:v>1304355</x:v>
      </x:c>
      <x:c r="F442" s="16" t="n">
        <x:v>80451</x:v>
      </x:c>
      <x:c r="G442" s="2" t="str">
        <x:v>WITHIN_BAND</x:v>
      </x:c>
      <x:c r="H442" s="2" t="n">
        <x:v>1</x:v>
      </x:c>
      <x:c r="I442" s="2" t="n">
        <x:f>IF(AND(COUNTIFS($B$6:$B$797,B442,$C$6:$C$797,C442)=11,COUNTIFS($B$6:$B$797,B442,$C$6:$C$797,C442,$G$6:$G$797,"REVIEW")=0,COUNTIFS($B$6:$B$797,B442,$C$6:$C$797,C442,$H$6:$H$797,1)=11,COUNTIFS($B$6:$B$797,B442,$C$6:$C$797,C442,$F$6:$F$797,"&gt;0")=11),1,0)</x:f>
        <x:v>1</x:v>
      </x:c>
      <x:c r="J442" s="2" t="n">
        <x:f>COUNTIFS($A$6:$A$797,A442)</x:f>
        <x:v>1</x:v>
      </x:c>
    </x:row>
    <x:row r="443" ht="23" customHeight="1">
      <x:c r="A443" s="2" t="str">
        <x:v>62044300_TR_202504_IMPORT</x:v>
      </x:c>
      <x:c r="B443" s="2" t="n">
        <x:v>202504</x:v>
      </x:c>
      <x:c r="C443" s="2" t="str">
        <x:v>62044300</x:v>
      </x:c>
      <x:c r="D443" s="2" t="str">
        <x:v>Turkey</x:v>
      </x:c>
      <x:c r="E443" s="16" t="n">
        <x:v>794719</x:v>
      </x:c>
      <x:c r="F443" s="16" t="n">
        <x:v>25960</x:v>
      </x:c>
      <x:c r="G443" s="2" t="str">
        <x:v>WITHIN_BAND</x:v>
      </x:c>
      <x:c r="H443" s="2" t="n">
        <x:v>1</x:v>
      </x:c>
      <x:c r="I443" s="2" t="n">
        <x:f>IF(AND(COUNTIFS($B$6:$B$797,B443,$C$6:$C$797,C443)=11,COUNTIFS($B$6:$B$797,B443,$C$6:$C$797,C443,$G$6:$G$797,"REVIEW")=0,COUNTIFS($B$6:$B$797,B443,$C$6:$C$797,C443,$H$6:$H$797,1)=11,COUNTIFS($B$6:$B$797,B443,$C$6:$C$797,C443,$F$6:$F$797,"&gt;0")=11),1,0)</x:f>
        <x:v>1</x:v>
      </x:c>
      <x:c r="J443" s="2" t="n">
        <x:f>COUNTIFS($A$6:$A$797,A443)</x:f>
        <x:v>1</x:v>
      </x:c>
    </x:row>
    <x:row r="444" ht="23" customHeight="1">
      <x:c r="A444" s="2" t="str">
        <x:v>62044300_VN_202504_IMPORT</x:v>
      </x:c>
      <x:c r="B444" s="2" t="n">
        <x:v>202504</x:v>
      </x:c>
      <x:c r="C444" s="2" t="str">
        <x:v>62044300</x:v>
      </x:c>
      <x:c r="D444" s="2" t="str">
        <x:v>Vietnam</x:v>
      </x:c>
      <x:c r="E444" s="16" t="n">
        <x:v>916128</x:v>
      </x:c>
      <x:c r="F444" s="16" t="n">
        <x:v>34290</x:v>
      </x:c>
      <x:c r="G444" s="2" t="str">
        <x:v>WITHIN_BAND</x:v>
      </x:c>
      <x:c r="H444" s="2" t="n">
        <x:v>1</x:v>
      </x:c>
      <x:c r="I444" s="2" t="n">
        <x:f>IF(AND(COUNTIFS($B$6:$B$797,B444,$C$6:$C$797,C444)=11,COUNTIFS($B$6:$B$797,B444,$C$6:$C$797,C444,$G$6:$G$797,"REVIEW")=0,COUNTIFS($B$6:$B$797,B444,$C$6:$C$797,C444,$H$6:$H$797,1)=11,COUNTIFS($B$6:$B$797,B444,$C$6:$C$797,C444,$F$6:$F$797,"&gt;0")=11),1,0)</x:f>
        <x:v>1</x:v>
      </x:c>
      <x:c r="J444" s="2" t="n">
        <x:f>COUNTIFS($A$6:$A$797,A444)</x:f>
        <x:v>1</x:v>
      </x:c>
    </x:row>
    <x:row r="445" ht="23" customHeight="1">
      <x:c r="A445" s="2" t="str">
        <x:v>62044300_WORLD_202504_IMPORT</x:v>
      </x:c>
      <x:c r="B445" s="2" t="n">
        <x:v>202504</x:v>
      </x:c>
      <x:c r="C445" s="2" t="str">
        <x:v>62044300</x:v>
      </x:c>
      <x:c r="D445" s="2" t="str">
        <x:v>World</x:v>
      </x:c>
      <x:c r="E445" s="16" t="n">
        <x:v>30033977</x:v>
      </x:c>
      <x:c r="F445" s="16" t="n">
        <x:v>955936</x:v>
      </x:c>
      <x:c r="G445" s="2" t="str">
        <x:v>WITHIN_BAND</x:v>
      </x:c>
      <x:c r="H445" s="2" t="n">
        <x:v>1</x:v>
      </x:c>
      <x:c r="I445" s="2" t="n">
        <x:f>IF(AND(COUNTIFS($B$6:$B$797,B445,$C$6:$C$797,C445)=11,COUNTIFS($B$6:$B$797,B445,$C$6:$C$797,C445,$G$6:$G$797,"REVIEW")=0,COUNTIFS($B$6:$B$797,B445,$C$6:$C$797,C445,$H$6:$H$797,1)=11,COUNTIFS($B$6:$B$797,B445,$C$6:$C$797,C445,$F$6:$F$797,"&gt;0")=11),1,0)</x:f>
        <x:v>1</x:v>
      </x:c>
      <x:c r="J445" s="2" t="n">
        <x:f>COUNTIFS($A$6:$A$797,A445)</x:f>
        <x:v>1</x:v>
      </x:c>
    </x:row>
    <x:row r="446" ht="23" customHeight="1">
      <x:c r="A446" s="2" t="str">
        <x:v>62044300_BD_202505_IMPORT</x:v>
      </x:c>
      <x:c r="B446" s="2" t="n">
        <x:v>202505</x:v>
      </x:c>
      <x:c r="C446" s="2" t="str">
        <x:v>62044300</x:v>
      </x:c>
      <x:c r="D446" s="2" t="str">
        <x:v>Bangladesh</x:v>
      </x:c>
      <x:c r="E446" s="16" t="n">
        <x:v>1563541</x:v>
      </x:c>
      <x:c r="F446" s="16" t="n">
        <x:v>92021</x:v>
      </x:c>
      <x:c r="G446" s="2" t="str">
        <x:v>WITHIN_BAND</x:v>
      </x:c>
      <x:c r="H446" s="2" t="n">
        <x:v>1</x:v>
      </x:c>
      <x:c r="I446" s="2" t="n">
        <x:f>IF(AND(COUNTIFS($B$6:$B$797,B446,$C$6:$C$797,C446)=11,COUNTIFS($B$6:$B$797,B446,$C$6:$C$797,C446,$G$6:$G$797,"REVIEW")=0,COUNTIFS($B$6:$B$797,B446,$C$6:$C$797,C446,$H$6:$H$797,1)=11,COUNTIFS($B$6:$B$797,B446,$C$6:$C$797,C446,$F$6:$F$797,"&gt;0")=11),1,0)</x:f>
        <x:v>1</x:v>
      </x:c>
      <x:c r="J446" s="2" t="n">
        <x:f>COUNTIFS($A$6:$A$797,A446)</x:f>
        <x:v>1</x:v>
      </x:c>
    </x:row>
    <x:row r="447" ht="23" customHeight="1">
      <x:c r="A447" s="2" t="str">
        <x:v>62044300_KH_202505_IMPORT</x:v>
      </x:c>
      <x:c r="B447" s="2" t="n">
        <x:v>202505</x:v>
      </x:c>
      <x:c r="C447" s="2" t="str">
        <x:v>62044300</x:v>
      </x:c>
      <x:c r="D447" s="2" t="str">
        <x:v>Cambodia</x:v>
      </x:c>
      <x:c r="E447" s="16" t="n">
        <x:v>837194</x:v>
      </x:c>
      <x:c r="F447" s="16" t="n">
        <x:v>56550</x:v>
      </x:c>
      <x:c r="G447" s="2" t="str">
        <x:v>WITHIN_BAND</x:v>
      </x:c>
      <x:c r="H447" s="2" t="n">
        <x:v>1</x:v>
      </x:c>
      <x:c r="I447" s="2" t="n">
        <x:f>IF(AND(COUNTIFS($B$6:$B$797,B447,$C$6:$C$797,C447)=11,COUNTIFS($B$6:$B$797,B447,$C$6:$C$797,C447,$G$6:$G$797,"REVIEW")=0,COUNTIFS($B$6:$B$797,B447,$C$6:$C$797,C447,$H$6:$H$797,1)=11,COUNTIFS($B$6:$B$797,B447,$C$6:$C$797,C447,$F$6:$F$797,"&gt;0")=11),1,0)</x:f>
        <x:v>1</x:v>
      </x:c>
      <x:c r="J447" s="2" t="n">
        <x:f>COUNTIFS($A$6:$A$797,A447)</x:f>
        <x:v>1</x:v>
      </x:c>
    </x:row>
    <x:row r="448" ht="23" customHeight="1">
      <x:c r="A448" s="2" t="str">
        <x:v>62044300_CN_202505_IMPORT</x:v>
      </x:c>
      <x:c r="B448" s="2" t="n">
        <x:v>202505</x:v>
      </x:c>
      <x:c r="C448" s="2" t="str">
        <x:v>62044300</x:v>
      </x:c>
      <x:c r="D448" s="2" t="str">
        <x:v>China</x:v>
      </x:c>
      <x:c r="E448" s="16" t="n">
        <x:v>9366163</x:v>
      </x:c>
      <x:c r="F448" s="16" t="n">
        <x:v>350636</x:v>
      </x:c>
      <x:c r="G448" s="2" t="str">
        <x:v>WITHIN_BAND</x:v>
      </x:c>
      <x:c r="H448" s="2" t="n">
        <x:v>1</x:v>
      </x:c>
      <x:c r="I448" s="2" t="n">
        <x:f>IF(AND(COUNTIFS($B$6:$B$797,B448,$C$6:$C$797,C448)=11,COUNTIFS($B$6:$B$797,B448,$C$6:$C$797,C448,$G$6:$G$797,"REVIEW")=0,COUNTIFS($B$6:$B$797,B448,$C$6:$C$797,C448,$H$6:$H$797,1)=11,COUNTIFS($B$6:$B$797,B448,$C$6:$C$797,C448,$F$6:$F$797,"&gt;0")=11),1,0)</x:f>
        <x:v>1</x:v>
      </x:c>
      <x:c r="J448" s="2" t="n">
        <x:f>COUNTIFS($A$6:$A$797,A448)</x:f>
        <x:v>1</x:v>
      </x:c>
    </x:row>
    <x:row r="449" ht="23" customHeight="1">
      <x:c r="A449" s="2" t="str">
        <x:v>62044300_IN_202505_IMPORT</x:v>
      </x:c>
      <x:c r="B449" s="2" t="n">
        <x:v>202505</x:v>
      </x:c>
      <x:c r="C449" s="2" t="str">
        <x:v>62044300</x:v>
      </x:c>
      <x:c r="D449" s="2" t="str">
        <x:v>India</x:v>
      </x:c>
      <x:c r="E449" s="16" t="n">
        <x:v>4799200</x:v>
      </x:c>
      <x:c r="F449" s="16" t="n">
        <x:v>177854</x:v>
      </x:c>
      <x:c r="G449" s="2" t="str">
        <x:v>WITHIN_BAND</x:v>
      </x:c>
      <x:c r="H449" s="2" t="n">
        <x:v>1</x:v>
      </x:c>
      <x:c r="I449" s="2" t="n">
        <x:f>IF(AND(COUNTIFS($B$6:$B$797,B449,$C$6:$C$797,C449)=11,COUNTIFS($B$6:$B$797,B449,$C$6:$C$797,C449,$G$6:$G$797,"REVIEW")=0,COUNTIFS($B$6:$B$797,B449,$C$6:$C$797,C449,$H$6:$H$797,1)=11,COUNTIFS($B$6:$B$797,B449,$C$6:$C$797,C449,$F$6:$F$797,"&gt;0")=11),1,0)</x:f>
        <x:v>1</x:v>
      </x:c>
      <x:c r="J449" s="2" t="n">
        <x:f>COUNTIFS($A$6:$A$797,A449)</x:f>
        <x:v>1</x:v>
      </x:c>
    </x:row>
    <x:row r="450" ht="23" customHeight="1">
      <x:c r="A450" s="2" t="str">
        <x:v>62044300_MA_202505_IMPORT</x:v>
      </x:c>
      <x:c r="B450" s="2" t="n">
        <x:v>202505</x:v>
      </x:c>
      <x:c r="C450" s="2" t="str">
        <x:v>62044300</x:v>
      </x:c>
      <x:c r="D450" s="2" t="str">
        <x:v>Morocco</x:v>
      </x:c>
      <x:c r="E450" s="16" t="n">
        <x:v>1589641</x:v>
      </x:c>
      <x:c r="F450" s="16" t="n">
        <x:v>75969</x:v>
      </x:c>
      <x:c r="G450" s="2" t="str">
        <x:v>WITHIN_BAND</x:v>
      </x:c>
      <x:c r="H450" s="2" t="n">
        <x:v>1</x:v>
      </x:c>
      <x:c r="I450" s="2" t="n">
        <x:f>IF(AND(COUNTIFS($B$6:$B$797,B450,$C$6:$C$797,C450)=11,COUNTIFS($B$6:$B$797,B450,$C$6:$C$797,C450,$G$6:$G$797,"REVIEW")=0,COUNTIFS($B$6:$B$797,B450,$C$6:$C$797,C450,$H$6:$H$797,1)=11,COUNTIFS($B$6:$B$797,B450,$C$6:$C$797,C450,$F$6:$F$797,"&gt;0")=11),1,0)</x:f>
        <x:v>1</x:v>
      </x:c>
      <x:c r="J450" s="2" t="n">
        <x:f>COUNTIFS($A$6:$A$797,A450)</x:f>
        <x:v>1</x:v>
      </x:c>
    </x:row>
    <x:row r="451" ht="23" customHeight="1">
      <x:c r="A451" s="2" t="str">
        <x:v>62044300_MM_202505_IMPORT</x:v>
      </x:c>
      <x:c r="B451" s="2" t="n">
        <x:v>202505</x:v>
      </x:c>
      <x:c r="C451" s="2" t="str">
        <x:v>62044300</x:v>
      </x:c>
      <x:c r="D451" s="2" t="str">
        <x:v>Myanmar</x:v>
      </x:c>
      <x:c r="E451" s="16" t="n">
        <x:v>404121</x:v>
      </x:c>
      <x:c r="F451" s="16" t="n">
        <x:v>11427</x:v>
      </x:c>
      <x:c r="G451" s="2" t="str">
        <x:v>WITHIN_BAND</x:v>
      </x:c>
      <x:c r="H451" s="2" t="n">
        <x:v>1</x:v>
      </x:c>
      <x:c r="I451" s="2" t="n">
        <x:f>IF(AND(COUNTIFS($B$6:$B$797,B451,$C$6:$C$797,C451)=11,COUNTIFS($B$6:$B$797,B451,$C$6:$C$797,C451,$G$6:$G$797,"REVIEW")=0,COUNTIFS($B$6:$B$797,B451,$C$6:$C$797,C451,$H$6:$H$797,1)=11,COUNTIFS($B$6:$B$797,B451,$C$6:$C$797,C451,$F$6:$F$797,"&gt;0")=11),1,0)</x:f>
        <x:v>1</x:v>
      </x:c>
      <x:c r="J451" s="2" t="n">
        <x:f>COUNTIFS($A$6:$A$797,A451)</x:f>
        <x:v>1</x:v>
      </x:c>
    </x:row>
    <x:row r="452" ht="23" customHeight="1">
      <x:c r="A452" s="2" t="str">
        <x:v>62044300_PK_202505_IMPORT</x:v>
      </x:c>
      <x:c r="B452" s="2" t="n">
        <x:v>202505</x:v>
      </x:c>
      <x:c r="C452" s="2" t="str">
        <x:v>62044300</x:v>
      </x:c>
      <x:c r="D452" s="2" t="str">
        <x:v>Pakistan</x:v>
      </x:c>
      <x:c r="E452" s="16" t="n">
        <x:v>217737</x:v>
      </x:c>
      <x:c r="F452" s="16" t="n">
        <x:v>13349</x:v>
      </x:c>
      <x:c r="G452" s="2" t="str">
        <x:v>WITHIN_BAND</x:v>
      </x:c>
      <x:c r="H452" s="2" t="n">
        <x:v>1</x:v>
      </x:c>
      <x:c r="I452" s="2" t="n">
        <x:f>IF(AND(COUNTIFS($B$6:$B$797,B452,$C$6:$C$797,C452)=11,COUNTIFS($B$6:$B$797,B452,$C$6:$C$797,C452,$G$6:$G$797,"REVIEW")=0,COUNTIFS($B$6:$B$797,B452,$C$6:$C$797,C452,$H$6:$H$797,1)=11,COUNTIFS($B$6:$B$797,B452,$C$6:$C$797,C452,$F$6:$F$797,"&gt;0")=11),1,0)</x:f>
        <x:v>1</x:v>
      </x:c>
      <x:c r="J452" s="2" t="n">
        <x:f>COUNTIFS($A$6:$A$797,A452)</x:f>
        <x:v>1</x:v>
      </x:c>
    </x:row>
    <x:row r="453" ht="23" customHeight="1">
      <x:c r="A453" s="2" t="str">
        <x:v>62044300_LK_202505_IMPORT</x:v>
      </x:c>
      <x:c r="B453" s="2" t="n">
        <x:v>202505</x:v>
      </x:c>
      <x:c r="C453" s="2" t="str">
        <x:v>62044300</x:v>
      </x:c>
      <x:c r="D453" s="2" t="str">
        <x:v>Sri Lanka</x:v>
      </x:c>
      <x:c r="E453" s="16" t="n">
        <x:v>2301792</x:v>
      </x:c>
      <x:c r="F453" s="16" t="n">
        <x:v>145045</x:v>
      </x:c>
      <x:c r="G453" s="2" t="str">
        <x:v>WITHIN_BAND</x:v>
      </x:c>
      <x:c r="H453" s="2" t="n">
        <x:v>1</x:v>
      </x:c>
      <x:c r="I453" s="2" t="n">
        <x:f>IF(AND(COUNTIFS($B$6:$B$797,B453,$C$6:$C$797,C453)=11,COUNTIFS($B$6:$B$797,B453,$C$6:$C$797,C453,$G$6:$G$797,"REVIEW")=0,COUNTIFS($B$6:$B$797,B453,$C$6:$C$797,C453,$H$6:$H$797,1)=11,COUNTIFS($B$6:$B$797,B453,$C$6:$C$797,C453,$F$6:$F$797,"&gt;0")=11),1,0)</x:f>
        <x:v>1</x:v>
      </x:c>
      <x:c r="J453" s="2" t="n">
        <x:f>COUNTIFS($A$6:$A$797,A453)</x:f>
        <x:v>1</x:v>
      </x:c>
    </x:row>
    <x:row r="454" ht="23" customHeight="1">
      <x:c r="A454" s="2" t="str">
        <x:v>62044300_TR_202505_IMPORT</x:v>
      </x:c>
      <x:c r="B454" s="2" t="n">
        <x:v>202505</x:v>
      </x:c>
      <x:c r="C454" s="2" t="str">
        <x:v>62044300</x:v>
      </x:c>
      <x:c r="D454" s="2" t="str">
        <x:v>Turkey</x:v>
      </x:c>
      <x:c r="E454" s="16" t="n">
        <x:v>1049930</x:v>
      </x:c>
      <x:c r="F454" s="16" t="n">
        <x:v>27030</x:v>
      </x:c>
      <x:c r="G454" s="2" t="str">
        <x:v>WITHIN_BAND</x:v>
      </x:c>
      <x:c r="H454" s="2" t="n">
        <x:v>1</x:v>
      </x:c>
      <x:c r="I454" s="2" t="n">
        <x:f>IF(AND(COUNTIFS($B$6:$B$797,B454,$C$6:$C$797,C454)=11,COUNTIFS($B$6:$B$797,B454,$C$6:$C$797,C454,$G$6:$G$797,"REVIEW")=0,COUNTIFS($B$6:$B$797,B454,$C$6:$C$797,C454,$H$6:$H$797,1)=11,COUNTIFS($B$6:$B$797,B454,$C$6:$C$797,C454,$F$6:$F$797,"&gt;0")=11),1,0)</x:f>
        <x:v>1</x:v>
      </x:c>
      <x:c r="J454" s="2" t="n">
        <x:f>COUNTIFS($A$6:$A$797,A454)</x:f>
        <x:v>1</x:v>
      </x:c>
    </x:row>
    <x:row r="455" ht="23" customHeight="1">
      <x:c r="A455" s="2" t="str">
        <x:v>62044300_VN_202505_IMPORT</x:v>
      </x:c>
      <x:c r="B455" s="2" t="n">
        <x:v>202505</x:v>
      </x:c>
      <x:c r="C455" s="2" t="str">
        <x:v>62044300</x:v>
      </x:c>
      <x:c r="D455" s="2" t="str">
        <x:v>Vietnam</x:v>
      </x:c>
      <x:c r="E455" s="16" t="n">
        <x:v>839203</x:v>
      </x:c>
      <x:c r="F455" s="16" t="n">
        <x:v>36883</x:v>
      </x:c>
      <x:c r="G455" s="2" t="str">
        <x:v>WITHIN_BAND</x:v>
      </x:c>
      <x:c r="H455" s="2" t="n">
        <x:v>1</x:v>
      </x:c>
      <x:c r="I455" s="2" t="n">
        <x:f>IF(AND(COUNTIFS($B$6:$B$797,B455,$C$6:$C$797,C455)=11,COUNTIFS($B$6:$B$797,B455,$C$6:$C$797,C455,$G$6:$G$797,"REVIEW")=0,COUNTIFS($B$6:$B$797,B455,$C$6:$C$797,C455,$H$6:$H$797,1)=11,COUNTIFS($B$6:$B$797,B455,$C$6:$C$797,C455,$F$6:$F$797,"&gt;0")=11),1,0)</x:f>
        <x:v>1</x:v>
      </x:c>
      <x:c r="J455" s="2" t="n">
        <x:f>COUNTIFS($A$6:$A$797,A455)</x:f>
        <x:v>1</x:v>
      </x:c>
    </x:row>
    <x:row r="456" ht="23" customHeight="1">
      <x:c r="A456" s="2" t="str">
        <x:v>62044300_WORLD_202505_IMPORT</x:v>
      </x:c>
      <x:c r="B456" s="2" t="n">
        <x:v>202505</x:v>
      </x:c>
      <x:c r="C456" s="2" t="str">
        <x:v>62044300</x:v>
      </x:c>
      <x:c r="D456" s="2" t="str">
        <x:v>World</x:v>
      </x:c>
      <x:c r="E456" s="16" t="n">
        <x:v>36508617</x:v>
      </x:c>
      <x:c r="F456" s="16" t="n">
        <x:v>1216202</x:v>
      </x:c>
      <x:c r="G456" s="2" t="str">
        <x:v>WITHIN_BAND</x:v>
      </x:c>
      <x:c r="H456" s="2" t="n">
        <x:v>1</x:v>
      </x:c>
      <x:c r="I456" s="2" t="n">
        <x:f>IF(AND(COUNTIFS($B$6:$B$797,B456,$C$6:$C$797,C456)=11,COUNTIFS($B$6:$B$797,B456,$C$6:$C$797,C456,$G$6:$G$797,"REVIEW")=0,COUNTIFS($B$6:$B$797,B456,$C$6:$C$797,C456,$H$6:$H$797,1)=11,COUNTIFS($B$6:$B$797,B456,$C$6:$C$797,C456,$F$6:$F$797,"&gt;0")=11),1,0)</x:f>
        <x:v>1</x:v>
      </x:c>
      <x:c r="J456" s="2" t="n">
        <x:f>COUNTIFS($A$6:$A$797,A456)</x:f>
        <x:v>1</x:v>
      </x:c>
    </x:row>
    <x:row r="457" ht="23" customHeight="1">
      <x:c r="A457" s="2" t="str">
        <x:v>62044300_BD_202506_IMPORT</x:v>
      </x:c>
      <x:c r="B457" s="2" t="n">
        <x:v>202506</x:v>
      </x:c>
      <x:c r="C457" s="2" t="str">
        <x:v>62044300</x:v>
      </x:c>
      <x:c r="D457" s="2" t="str">
        <x:v>Bangladesh</x:v>
      </x:c>
      <x:c r="E457" s="16" t="n">
        <x:v>509431</x:v>
      </x:c>
      <x:c r="F457" s="16" t="n">
        <x:v>35719</x:v>
      </x:c>
      <x:c r="G457" s="2" t="str">
        <x:v>WITHIN_BAND</x:v>
      </x:c>
      <x:c r="H457" s="2" t="n">
        <x:v>1</x:v>
      </x:c>
      <x:c r="I457" s="2" t="n">
        <x:f>IF(AND(COUNTIFS($B$6:$B$797,B457,$C$6:$C$797,C457)=11,COUNTIFS($B$6:$B$797,B457,$C$6:$C$797,C457,$G$6:$G$797,"REVIEW")=0,COUNTIFS($B$6:$B$797,B457,$C$6:$C$797,C457,$H$6:$H$797,1)=11,COUNTIFS($B$6:$B$797,B457,$C$6:$C$797,C457,$F$6:$F$797,"&gt;0")=11),1,0)</x:f>
        <x:v>1</x:v>
      </x:c>
      <x:c r="J457" s="2" t="n">
        <x:f>COUNTIFS($A$6:$A$797,A457)</x:f>
        <x:v>1</x:v>
      </x:c>
    </x:row>
    <x:row r="458" ht="23" customHeight="1">
      <x:c r="A458" s="2" t="str">
        <x:v>62044300_KH_202506_IMPORT</x:v>
      </x:c>
      <x:c r="B458" s="2" t="n">
        <x:v>202506</x:v>
      </x:c>
      <x:c r="C458" s="2" t="str">
        <x:v>62044300</x:v>
      </x:c>
      <x:c r="D458" s="2" t="str">
        <x:v>Cambodia</x:v>
      </x:c>
      <x:c r="E458" s="16" t="n">
        <x:v>349539</x:v>
      </x:c>
      <x:c r="F458" s="16" t="n">
        <x:v>13893</x:v>
      </x:c>
      <x:c r="G458" s="2" t="str">
        <x:v>WITHIN_BAND</x:v>
      </x:c>
      <x:c r="H458" s="2" t="n">
        <x:v>1</x:v>
      </x:c>
      <x:c r="I458" s="2" t="n">
        <x:f>IF(AND(COUNTIFS($B$6:$B$797,B458,$C$6:$C$797,C458)=11,COUNTIFS($B$6:$B$797,B458,$C$6:$C$797,C458,$G$6:$G$797,"REVIEW")=0,COUNTIFS($B$6:$B$797,B458,$C$6:$C$797,C458,$H$6:$H$797,1)=11,COUNTIFS($B$6:$B$797,B458,$C$6:$C$797,C458,$F$6:$F$797,"&gt;0")=11),1,0)</x:f>
        <x:v>1</x:v>
      </x:c>
      <x:c r="J458" s="2" t="n">
        <x:f>COUNTIFS($A$6:$A$797,A458)</x:f>
        <x:v>1</x:v>
      </x:c>
    </x:row>
    <x:row r="459" ht="23" customHeight="1">
      <x:c r="A459" s="2" t="str">
        <x:v>62044300_CN_202506_IMPORT</x:v>
      </x:c>
      <x:c r="B459" s="2" t="n">
        <x:v>202506</x:v>
      </x:c>
      <x:c r="C459" s="2" t="str">
        <x:v>62044300</x:v>
      </x:c>
      <x:c r="D459" s="2" t="str">
        <x:v>China</x:v>
      </x:c>
      <x:c r="E459" s="16" t="n">
        <x:v>8022775</x:v>
      </x:c>
      <x:c r="F459" s="16" t="n">
        <x:v>320801</x:v>
      </x:c>
      <x:c r="G459" s="2" t="str">
        <x:v>WITHIN_BAND</x:v>
      </x:c>
      <x:c r="H459" s="2" t="n">
        <x:v>1</x:v>
      </x:c>
      <x:c r="I459" s="2" t="n">
        <x:f>IF(AND(COUNTIFS($B$6:$B$797,B459,$C$6:$C$797,C459)=11,COUNTIFS($B$6:$B$797,B459,$C$6:$C$797,C459,$G$6:$G$797,"REVIEW")=0,COUNTIFS($B$6:$B$797,B459,$C$6:$C$797,C459,$H$6:$H$797,1)=11,COUNTIFS($B$6:$B$797,B459,$C$6:$C$797,C459,$F$6:$F$797,"&gt;0")=11),1,0)</x:f>
        <x:v>1</x:v>
      </x:c>
      <x:c r="J459" s="2" t="n">
        <x:f>COUNTIFS($A$6:$A$797,A459)</x:f>
        <x:v>1</x:v>
      </x:c>
    </x:row>
    <x:row r="460" ht="23" customHeight="1">
      <x:c r="A460" s="2" t="str">
        <x:v>62044300_IN_202506_IMPORT</x:v>
      </x:c>
      <x:c r="B460" s="2" t="n">
        <x:v>202506</x:v>
      </x:c>
      <x:c r="C460" s="2" t="str">
        <x:v>62044300</x:v>
      </x:c>
      <x:c r="D460" s="2" t="str">
        <x:v>India</x:v>
      </x:c>
      <x:c r="E460" s="16" t="n">
        <x:v>2489582</x:v>
      </x:c>
      <x:c r="F460" s="16" t="n">
        <x:v>80628</x:v>
      </x:c>
      <x:c r="G460" s="2" t="str">
        <x:v>WITHIN_BAND</x:v>
      </x:c>
      <x:c r="H460" s="2" t="n">
        <x:v>1</x:v>
      </x:c>
      <x:c r="I460" s="2" t="n">
        <x:f>IF(AND(COUNTIFS($B$6:$B$797,B460,$C$6:$C$797,C460)=11,COUNTIFS($B$6:$B$797,B460,$C$6:$C$797,C460,$G$6:$G$797,"REVIEW")=0,COUNTIFS($B$6:$B$797,B460,$C$6:$C$797,C460,$H$6:$H$797,1)=11,COUNTIFS($B$6:$B$797,B460,$C$6:$C$797,C460,$F$6:$F$797,"&gt;0")=11),1,0)</x:f>
        <x:v>1</x:v>
      </x:c>
      <x:c r="J460" s="2" t="n">
        <x:f>COUNTIFS($A$6:$A$797,A460)</x:f>
        <x:v>1</x:v>
      </x:c>
    </x:row>
    <x:row r="461" ht="23" customHeight="1">
      <x:c r="A461" s="2" t="str">
        <x:v>62044300_MA_202506_IMPORT</x:v>
      </x:c>
      <x:c r="B461" s="2" t="n">
        <x:v>202506</x:v>
      </x:c>
      <x:c r="C461" s="2" t="str">
        <x:v>62044300</x:v>
      </x:c>
      <x:c r="D461" s="2" t="str">
        <x:v>Morocco</x:v>
      </x:c>
      <x:c r="E461" s="16" t="n">
        <x:v>1413316</x:v>
      </x:c>
      <x:c r="F461" s="16" t="n">
        <x:v>72265</x:v>
      </x:c>
      <x:c r="G461" s="2" t="str">
        <x:v>WITHIN_BAND</x:v>
      </x:c>
      <x:c r="H461" s="2" t="n">
        <x:v>1</x:v>
      </x:c>
      <x:c r="I461" s="2" t="n">
        <x:f>IF(AND(COUNTIFS($B$6:$B$797,B461,$C$6:$C$797,C461)=11,COUNTIFS($B$6:$B$797,B461,$C$6:$C$797,C461,$G$6:$G$797,"REVIEW")=0,COUNTIFS($B$6:$B$797,B461,$C$6:$C$797,C461,$H$6:$H$797,1)=11,COUNTIFS($B$6:$B$797,B461,$C$6:$C$797,C461,$F$6:$F$797,"&gt;0")=11),1,0)</x:f>
        <x:v>1</x:v>
      </x:c>
      <x:c r="J461" s="2" t="n">
        <x:f>COUNTIFS($A$6:$A$797,A461)</x:f>
        <x:v>1</x:v>
      </x:c>
    </x:row>
    <x:row r="462" ht="23" customHeight="1">
      <x:c r="A462" s="2" t="str">
        <x:v>62044300_MM_202506_IMPORT</x:v>
      </x:c>
      <x:c r="B462" s="2" t="n">
        <x:v>202506</x:v>
      </x:c>
      <x:c r="C462" s="2" t="str">
        <x:v>62044300</x:v>
      </x:c>
      <x:c r="D462" s="2" t="str">
        <x:v>Myanmar</x:v>
      </x:c>
      <x:c r="E462" s="16" t="n">
        <x:v>423834</x:v>
      </x:c>
      <x:c r="F462" s="16" t="n">
        <x:v>11274</x:v>
      </x:c>
      <x:c r="G462" s="2" t="str">
        <x:v>WITHIN_BAND</x:v>
      </x:c>
      <x:c r="H462" s="2" t="n">
        <x:v>1</x:v>
      </x:c>
      <x:c r="I462" s="2" t="n">
        <x:f>IF(AND(COUNTIFS($B$6:$B$797,B462,$C$6:$C$797,C462)=11,COUNTIFS($B$6:$B$797,B462,$C$6:$C$797,C462,$G$6:$G$797,"REVIEW")=0,COUNTIFS($B$6:$B$797,B462,$C$6:$C$797,C462,$H$6:$H$797,1)=11,COUNTIFS($B$6:$B$797,B462,$C$6:$C$797,C462,$F$6:$F$797,"&gt;0")=11),1,0)</x:f>
        <x:v>1</x:v>
      </x:c>
      <x:c r="J462" s="2" t="n">
        <x:f>COUNTIFS($A$6:$A$797,A462)</x:f>
        <x:v>1</x:v>
      </x:c>
    </x:row>
    <x:row r="463" ht="23" customHeight="1">
      <x:c r="A463" s="2" t="str">
        <x:v>62044300_PK_202506_IMPORT</x:v>
      </x:c>
      <x:c r="B463" s="2" t="n">
        <x:v>202506</x:v>
      </x:c>
      <x:c r="C463" s="2" t="str">
        <x:v>62044300</x:v>
      </x:c>
      <x:c r="D463" s="2" t="str">
        <x:v>Pakistan</x:v>
      </x:c>
      <x:c r="E463" s="16" t="n">
        <x:v>118889</x:v>
      </x:c>
      <x:c r="F463" s="16" t="n">
        <x:v>6747</x:v>
      </x:c>
      <x:c r="G463" s="2" t="str">
        <x:v>WITHIN_BAND</x:v>
      </x:c>
      <x:c r="H463" s="2" t="n">
        <x:v>1</x:v>
      </x:c>
      <x:c r="I463" s="2" t="n">
        <x:f>IF(AND(COUNTIFS($B$6:$B$797,B463,$C$6:$C$797,C463)=11,COUNTIFS($B$6:$B$797,B463,$C$6:$C$797,C463,$G$6:$G$797,"REVIEW")=0,COUNTIFS($B$6:$B$797,B463,$C$6:$C$797,C463,$H$6:$H$797,1)=11,COUNTIFS($B$6:$B$797,B463,$C$6:$C$797,C463,$F$6:$F$797,"&gt;0")=11),1,0)</x:f>
        <x:v>1</x:v>
      </x:c>
      <x:c r="J463" s="2" t="n">
        <x:f>COUNTIFS($A$6:$A$797,A463)</x:f>
        <x:v>1</x:v>
      </x:c>
    </x:row>
    <x:row r="464" ht="23" customHeight="1">
      <x:c r="A464" s="2" t="str">
        <x:v>62044300_LK_202506_IMPORT</x:v>
      </x:c>
      <x:c r="B464" s="2" t="n">
        <x:v>202506</x:v>
      </x:c>
      <x:c r="C464" s="2" t="str">
        <x:v>62044300</x:v>
      </x:c>
      <x:c r="D464" s="2" t="str">
        <x:v>Sri Lanka</x:v>
      </x:c>
      <x:c r="E464" s="16" t="n">
        <x:v>1034433</x:v>
      </x:c>
      <x:c r="F464" s="16" t="n">
        <x:v>61054</x:v>
      </x:c>
      <x:c r="G464" s="2" t="str">
        <x:v>WITHIN_BAND</x:v>
      </x:c>
      <x:c r="H464" s="2" t="n">
        <x:v>1</x:v>
      </x:c>
      <x:c r="I464" s="2" t="n">
        <x:f>IF(AND(COUNTIFS($B$6:$B$797,B464,$C$6:$C$797,C464)=11,COUNTIFS($B$6:$B$797,B464,$C$6:$C$797,C464,$G$6:$G$797,"REVIEW")=0,COUNTIFS($B$6:$B$797,B464,$C$6:$C$797,C464,$H$6:$H$797,1)=11,COUNTIFS($B$6:$B$797,B464,$C$6:$C$797,C464,$F$6:$F$797,"&gt;0")=11),1,0)</x:f>
        <x:v>1</x:v>
      </x:c>
      <x:c r="J464" s="2" t="n">
        <x:f>COUNTIFS($A$6:$A$797,A464)</x:f>
        <x:v>1</x:v>
      </x:c>
    </x:row>
    <x:row r="465" ht="23" customHeight="1">
      <x:c r="A465" s="2" t="str">
        <x:v>62044300_TR_202506_IMPORT</x:v>
      </x:c>
      <x:c r="B465" s="2" t="n">
        <x:v>202506</x:v>
      </x:c>
      <x:c r="C465" s="2" t="str">
        <x:v>62044300</x:v>
      </x:c>
      <x:c r="D465" s="2" t="str">
        <x:v>Turkey</x:v>
      </x:c>
      <x:c r="E465" s="16" t="n">
        <x:v>814700</x:v>
      </x:c>
      <x:c r="F465" s="16" t="n">
        <x:v>25903</x:v>
      </x:c>
      <x:c r="G465" s="2" t="str">
        <x:v>WITHIN_BAND</x:v>
      </x:c>
      <x:c r="H465" s="2" t="n">
        <x:v>1</x:v>
      </x:c>
      <x:c r="I465" s="2" t="n">
        <x:f>IF(AND(COUNTIFS($B$6:$B$797,B465,$C$6:$C$797,C465)=11,COUNTIFS($B$6:$B$797,B465,$C$6:$C$797,C465,$G$6:$G$797,"REVIEW")=0,COUNTIFS($B$6:$B$797,B465,$C$6:$C$797,C465,$H$6:$H$797,1)=11,COUNTIFS($B$6:$B$797,B465,$C$6:$C$797,C465,$F$6:$F$797,"&gt;0")=11),1,0)</x:f>
        <x:v>1</x:v>
      </x:c>
      <x:c r="J465" s="2" t="n">
        <x:f>COUNTIFS($A$6:$A$797,A465)</x:f>
        <x:v>1</x:v>
      </x:c>
    </x:row>
    <x:row r="466" ht="23" customHeight="1">
      <x:c r="A466" s="2" t="str">
        <x:v>62044300_VN_202506_IMPORT</x:v>
      </x:c>
      <x:c r="B466" s="2" t="n">
        <x:v>202506</x:v>
      </x:c>
      <x:c r="C466" s="2" t="str">
        <x:v>62044300</x:v>
      </x:c>
      <x:c r="D466" s="2" t="str">
        <x:v>Vietnam</x:v>
      </x:c>
      <x:c r="E466" s="16" t="n">
        <x:v>594147</x:v>
      </x:c>
      <x:c r="F466" s="16" t="n">
        <x:v>34612</x:v>
      </x:c>
      <x:c r="G466" s="2" t="str">
        <x:v>WITHIN_BAND</x:v>
      </x:c>
      <x:c r="H466" s="2" t="n">
        <x:v>1</x:v>
      </x:c>
      <x:c r="I466" s="2" t="n">
        <x:f>IF(AND(COUNTIFS($B$6:$B$797,B466,$C$6:$C$797,C466)=11,COUNTIFS($B$6:$B$797,B466,$C$6:$C$797,C466,$G$6:$G$797,"REVIEW")=0,COUNTIFS($B$6:$B$797,B466,$C$6:$C$797,C466,$H$6:$H$797,1)=11,COUNTIFS($B$6:$B$797,B466,$C$6:$C$797,C466,$F$6:$F$797,"&gt;0")=11),1,0)</x:f>
        <x:v>1</x:v>
      </x:c>
      <x:c r="J466" s="2" t="n">
        <x:f>COUNTIFS($A$6:$A$797,A466)</x:f>
        <x:v>1</x:v>
      </x:c>
    </x:row>
    <x:row r="467" ht="23" customHeight="1">
      <x:c r="A467" s="2" t="str">
        <x:v>62044300_WORLD_202506_IMPORT</x:v>
      </x:c>
      <x:c r="B467" s="2" t="n">
        <x:v>202506</x:v>
      </x:c>
      <x:c r="C467" s="2" t="str">
        <x:v>62044300</x:v>
      </x:c>
      <x:c r="D467" s="2" t="str">
        <x:v>World</x:v>
      </x:c>
      <x:c r="E467" s="16" t="n">
        <x:v>27969754</x:v>
      </x:c>
      <x:c r="F467" s="16" t="n">
        <x:v>861779</x:v>
      </x:c>
      <x:c r="G467" s="2" t="str">
        <x:v>WITHIN_BAND</x:v>
      </x:c>
      <x:c r="H467" s="2" t="n">
        <x:v>1</x:v>
      </x:c>
      <x:c r="I467" s="2" t="n">
        <x:f>IF(AND(COUNTIFS($B$6:$B$797,B467,$C$6:$C$797,C467)=11,COUNTIFS($B$6:$B$797,B467,$C$6:$C$797,C467,$G$6:$G$797,"REVIEW")=0,COUNTIFS($B$6:$B$797,B467,$C$6:$C$797,C467,$H$6:$H$797,1)=11,COUNTIFS($B$6:$B$797,B467,$C$6:$C$797,C467,$F$6:$F$797,"&gt;0")=11),1,0)</x:f>
        <x:v>1</x:v>
      </x:c>
      <x:c r="J467" s="2" t="n">
        <x:f>COUNTIFS($A$6:$A$797,A467)</x:f>
        <x:v>1</x:v>
      </x:c>
    </x:row>
    <x:row r="468" ht="23" customHeight="1">
      <x:c r="A468" s="2" t="str">
        <x:v>62044300_BD_202507_IMPORT</x:v>
      </x:c>
      <x:c r="B468" s="2" t="n">
        <x:v>202507</x:v>
      </x:c>
      <x:c r="C468" s="2" t="str">
        <x:v>62044300</x:v>
      </x:c>
      <x:c r="D468" s="2" t="str">
        <x:v>Bangladesh</x:v>
      </x:c>
      <x:c r="E468" s="16" t="n">
        <x:v>883437</x:v>
      </x:c>
      <x:c r="F468" s="16" t="n">
        <x:v>66909</x:v>
      </x:c>
      <x:c r="G468" s="2" t="str">
        <x:v>WITHIN_BAND</x:v>
      </x:c>
      <x:c r="H468" s="2" t="n">
        <x:v>1</x:v>
      </x:c>
      <x:c r="I468" s="2" t="n">
        <x:f>IF(AND(COUNTIFS($B$6:$B$797,B468,$C$6:$C$797,C468)=11,COUNTIFS($B$6:$B$797,B468,$C$6:$C$797,C468,$G$6:$G$797,"REVIEW")=0,COUNTIFS($B$6:$B$797,B468,$C$6:$C$797,C468,$H$6:$H$797,1)=11,COUNTIFS($B$6:$B$797,B468,$C$6:$C$797,C468,$F$6:$F$797,"&gt;0")=11),1,0)</x:f>
        <x:v>1</x:v>
      </x:c>
      <x:c r="J468" s="2" t="n">
        <x:f>COUNTIFS($A$6:$A$797,A468)</x:f>
        <x:v>1</x:v>
      </x:c>
    </x:row>
    <x:row r="469" ht="23" customHeight="1">
      <x:c r="A469" s="2" t="str">
        <x:v>62044300_KH_202507_IMPORT</x:v>
      </x:c>
      <x:c r="B469" s="2" t="n">
        <x:v>202507</x:v>
      </x:c>
      <x:c r="C469" s="2" t="str">
        <x:v>62044300</x:v>
      </x:c>
      <x:c r="D469" s="2" t="str">
        <x:v>Cambodia</x:v>
      </x:c>
      <x:c r="E469" s="16" t="n">
        <x:v>148031</x:v>
      </x:c>
      <x:c r="F469" s="16" t="n">
        <x:v>7097</x:v>
      </x:c>
      <x:c r="G469" s="2" t="str">
        <x:v>WITHIN_BAND</x:v>
      </x:c>
      <x:c r="H469" s="2" t="n">
        <x:v>1</x:v>
      </x:c>
      <x:c r="I469" s="2" t="n">
        <x:f>IF(AND(COUNTIFS($B$6:$B$797,B469,$C$6:$C$797,C469)=11,COUNTIFS($B$6:$B$797,B469,$C$6:$C$797,C469,$G$6:$G$797,"REVIEW")=0,COUNTIFS($B$6:$B$797,B469,$C$6:$C$797,C469,$H$6:$H$797,1)=11,COUNTIFS($B$6:$B$797,B469,$C$6:$C$797,C469,$F$6:$F$797,"&gt;0")=11),1,0)</x:f>
        <x:v>1</x:v>
      </x:c>
      <x:c r="J469" s="2" t="n">
        <x:f>COUNTIFS($A$6:$A$797,A469)</x:f>
        <x:v>1</x:v>
      </x:c>
    </x:row>
    <x:row r="470" ht="23" customHeight="1">
      <x:c r="A470" s="2" t="str">
        <x:v>62044300_CN_202507_IMPORT</x:v>
      </x:c>
      <x:c r="B470" s="2" t="n">
        <x:v>202507</x:v>
      </x:c>
      <x:c r="C470" s="2" t="str">
        <x:v>62044300</x:v>
      </x:c>
      <x:c r="D470" s="2" t="str">
        <x:v>China</x:v>
      </x:c>
      <x:c r="E470" s="16" t="n">
        <x:v>9858210</x:v>
      </x:c>
      <x:c r="F470" s="16" t="n">
        <x:v>367470</x:v>
      </x:c>
      <x:c r="G470" s="2" t="str">
        <x:v>WITHIN_BAND</x:v>
      </x:c>
      <x:c r="H470" s="2" t="n">
        <x:v>1</x:v>
      </x:c>
      <x:c r="I470" s="2" t="n">
        <x:f>IF(AND(COUNTIFS($B$6:$B$797,B470,$C$6:$C$797,C470)=11,COUNTIFS($B$6:$B$797,B470,$C$6:$C$797,C470,$G$6:$G$797,"REVIEW")=0,COUNTIFS($B$6:$B$797,B470,$C$6:$C$797,C470,$H$6:$H$797,1)=11,COUNTIFS($B$6:$B$797,B470,$C$6:$C$797,C470,$F$6:$F$797,"&gt;0")=11),1,0)</x:f>
        <x:v>1</x:v>
      </x:c>
      <x:c r="J470" s="2" t="n">
        <x:f>COUNTIFS($A$6:$A$797,A470)</x:f>
        <x:v>1</x:v>
      </x:c>
    </x:row>
    <x:row r="471" ht="23" customHeight="1">
      <x:c r="A471" s="2" t="str">
        <x:v>62044300_IN_202507_IMPORT</x:v>
      </x:c>
      <x:c r="B471" s="2" t="n">
        <x:v>202507</x:v>
      </x:c>
      <x:c r="C471" s="2" t="str">
        <x:v>62044300</x:v>
      </x:c>
      <x:c r="D471" s="2" t="str">
        <x:v>India</x:v>
      </x:c>
      <x:c r="E471" s="16" t="n">
        <x:v>2838475</x:v>
      </x:c>
      <x:c r="F471" s="16" t="n">
        <x:v>87960</x:v>
      </x:c>
      <x:c r="G471" s="2" t="str">
        <x:v>WITHIN_BAND</x:v>
      </x:c>
      <x:c r="H471" s="2" t="n">
        <x:v>1</x:v>
      </x:c>
      <x:c r="I471" s="2" t="n">
        <x:f>IF(AND(COUNTIFS($B$6:$B$797,B471,$C$6:$C$797,C471)=11,COUNTIFS($B$6:$B$797,B471,$C$6:$C$797,C471,$G$6:$G$797,"REVIEW")=0,COUNTIFS($B$6:$B$797,B471,$C$6:$C$797,C471,$H$6:$H$797,1)=11,COUNTIFS($B$6:$B$797,B471,$C$6:$C$797,C471,$F$6:$F$797,"&gt;0")=11),1,0)</x:f>
        <x:v>1</x:v>
      </x:c>
      <x:c r="J471" s="2" t="n">
        <x:f>COUNTIFS($A$6:$A$797,A471)</x:f>
        <x:v>1</x:v>
      </x:c>
    </x:row>
    <x:row r="472" ht="23" customHeight="1">
      <x:c r="A472" s="2" t="str">
        <x:v>62044300_MA_202507_IMPORT</x:v>
      </x:c>
      <x:c r="B472" s="2" t="n">
        <x:v>202507</x:v>
      </x:c>
      <x:c r="C472" s="2" t="str">
        <x:v>62044300</x:v>
      </x:c>
      <x:c r="D472" s="2" t="str">
        <x:v>Morocco</x:v>
      </x:c>
      <x:c r="E472" s="16" t="n">
        <x:v>1300111</x:v>
      </x:c>
      <x:c r="F472" s="16" t="n">
        <x:v>58963</x:v>
      </x:c>
      <x:c r="G472" s="2" t="str">
        <x:v>WITHIN_BAND</x:v>
      </x:c>
      <x:c r="H472" s="2" t="n">
        <x:v>1</x:v>
      </x:c>
      <x:c r="I472" s="2" t="n">
        <x:f>IF(AND(COUNTIFS($B$6:$B$797,B472,$C$6:$C$797,C472)=11,COUNTIFS($B$6:$B$797,B472,$C$6:$C$797,C472,$G$6:$G$797,"REVIEW")=0,COUNTIFS($B$6:$B$797,B472,$C$6:$C$797,C472,$H$6:$H$797,1)=11,COUNTIFS($B$6:$B$797,B472,$C$6:$C$797,C472,$F$6:$F$797,"&gt;0")=11),1,0)</x:f>
        <x:v>1</x:v>
      </x:c>
      <x:c r="J472" s="2" t="n">
        <x:f>COUNTIFS($A$6:$A$797,A472)</x:f>
        <x:v>1</x:v>
      </x:c>
    </x:row>
    <x:row r="473" ht="23" customHeight="1">
      <x:c r="A473" s="2" t="str">
        <x:v>62044300_MM_202507_IMPORT</x:v>
      </x:c>
      <x:c r="B473" s="2" t="n">
        <x:v>202507</x:v>
      </x:c>
      <x:c r="C473" s="2" t="str">
        <x:v>62044300</x:v>
      </x:c>
      <x:c r="D473" s="2" t="str">
        <x:v>Myanmar</x:v>
      </x:c>
      <x:c r="E473" s="16" t="n">
        <x:v>500882</x:v>
      </x:c>
      <x:c r="F473" s="16" t="n">
        <x:v>10653</x:v>
      </x:c>
      <x:c r="G473" s="2" t="str">
        <x:v>WITHIN_BAND</x:v>
      </x:c>
      <x:c r="H473" s="2" t="n">
        <x:v>1</x:v>
      </x:c>
      <x:c r="I473" s="2" t="n">
        <x:f>IF(AND(COUNTIFS($B$6:$B$797,B473,$C$6:$C$797,C473)=11,COUNTIFS($B$6:$B$797,B473,$C$6:$C$797,C473,$G$6:$G$797,"REVIEW")=0,COUNTIFS($B$6:$B$797,B473,$C$6:$C$797,C473,$H$6:$H$797,1)=11,COUNTIFS($B$6:$B$797,B473,$C$6:$C$797,C473,$F$6:$F$797,"&gt;0")=11),1,0)</x:f>
        <x:v>1</x:v>
      </x:c>
      <x:c r="J473" s="2" t="n">
        <x:f>COUNTIFS($A$6:$A$797,A473)</x:f>
        <x:v>1</x:v>
      </x:c>
    </x:row>
    <x:row r="474" ht="23" customHeight="1">
      <x:c r="A474" s="2" t="str">
        <x:v>62044300_PK_202507_IMPORT</x:v>
      </x:c>
      <x:c r="B474" s="2" t="n">
        <x:v>202507</x:v>
      </x:c>
      <x:c r="C474" s="2" t="str">
        <x:v>62044300</x:v>
      </x:c>
      <x:c r="D474" s="2" t="str">
        <x:v>Pakistan</x:v>
      </x:c>
      <x:c r="E474" s="16" t="n">
        <x:v>85771</x:v>
      </x:c>
      <x:c r="F474" s="16" t="n">
        <x:v>3642</x:v>
      </x:c>
      <x:c r="G474" s="2" t="str">
        <x:v>WITHIN_BAND</x:v>
      </x:c>
      <x:c r="H474" s="2" t="n">
        <x:v>1</x:v>
      </x:c>
      <x:c r="I474" s="2" t="n">
        <x:f>IF(AND(COUNTIFS($B$6:$B$797,B474,$C$6:$C$797,C474)=11,COUNTIFS($B$6:$B$797,B474,$C$6:$C$797,C474,$G$6:$G$797,"REVIEW")=0,COUNTIFS($B$6:$B$797,B474,$C$6:$C$797,C474,$H$6:$H$797,1)=11,COUNTIFS($B$6:$B$797,B474,$C$6:$C$797,C474,$F$6:$F$797,"&gt;0")=11),1,0)</x:f>
        <x:v>1</x:v>
      </x:c>
      <x:c r="J474" s="2" t="n">
        <x:f>COUNTIFS($A$6:$A$797,A474)</x:f>
        <x:v>1</x:v>
      </x:c>
    </x:row>
    <x:row r="475" ht="23" customHeight="1">
      <x:c r="A475" s="2" t="str">
        <x:v>62044300_LK_202507_IMPORT</x:v>
      </x:c>
      <x:c r="B475" s="2" t="n">
        <x:v>202507</x:v>
      </x:c>
      <x:c r="C475" s="2" t="str">
        <x:v>62044300</x:v>
      </x:c>
      <x:c r="D475" s="2" t="str">
        <x:v>Sri Lanka</x:v>
      </x:c>
      <x:c r="E475" s="16" t="n">
        <x:v>1269609</x:v>
      </x:c>
      <x:c r="F475" s="16" t="n">
        <x:v>65832</x:v>
      </x:c>
      <x:c r="G475" s="2" t="str">
        <x:v>WITHIN_BAND</x:v>
      </x:c>
      <x:c r="H475" s="2" t="n">
        <x:v>1</x:v>
      </x:c>
      <x:c r="I475" s="2" t="n">
        <x:f>IF(AND(COUNTIFS($B$6:$B$797,B475,$C$6:$C$797,C475)=11,COUNTIFS($B$6:$B$797,B475,$C$6:$C$797,C475,$G$6:$G$797,"REVIEW")=0,COUNTIFS($B$6:$B$797,B475,$C$6:$C$797,C475,$H$6:$H$797,1)=11,COUNTIFS($B$6:$B$797,B475,$C$6:$C$797,C475,$F$6:$F$797,"&gt;0")=11),1,0)</x:f>
        <x:v>1</x:v>
      </x:c>
      <x:c r="J475" s="2" t="n">
        <x:f>COUNTIFS($A$6:$A$797,A475)</x:f>
        <x:v>1</x:v>
      </x:c>
    </x:row>
    <x:row r="476" ht="23" customHeight="1">
      <x:c r="A476" s="2" t="str">
        <x:v>62044300_TR_202507_IMPORT</x:v>
      </x:c>
      <x:c r="B476" s="2" t="n">
        <x:v>202507</x:v>
      </x:c>
      <x:c r="C476" s="2" t="str">
        <x:v>62044300</x:v>
      </x:c>
      <x:c r="D476" s="2" t="str">
        <x:v>Turkey</x:v>
      </x:c>
      <x:c r="E476" s="16" t="n">
        <x:v>927488</x:v>
      </x:c>
      <x:c r="F476" s="16" t="n">
        <x:v>26995</x:v>
      </x:c>
      <x:c r="G476" s="2" t="str">
        <x:v>WITHIN_BAND</x:v>
      </x:c>
      <x:c r="H476" s="2" t="n">
        <x:v>1</x:v>
      </x:c>
      <x:c r="I476" s="2" t="n">
        <x:f>IF(AND(COUNTIFS($B$6:$B$797,B476,$C$6:$C$797,C476)=11,COUNTIFS($B$6:$B$797,B476,$C$6:$C$797,C476,$G$6:$G$797,"REVIEW")=0,COUNTIFS($B$6:$B$797,B476,$C$6:$C$797,C476,$H$6:$H$797,1)=11,COUNTIFS($B$6:$B$797,B476,$C$6:$C$797,C476,$F$6:$F$797,"&gt;0")=11),1,0)</x:f>
        <x:v>1</x:v>
      </x:c>
      <x:c r="J476" s="2" t="n">
        <x:f>COUNTIFS($A$6:$A$797,A476)</x:f>
        <x:v>1</x:v>
      </x:c>
    </x:row>
    <x:row r="477" ht="23" customHeight="1">
      <x:c r="A477" s="2" t="str">
        <x:v>62044300_VN_202507_IMPORT</x:v>
      </x:c>
      <x:c r="B477" s="2" t="n">
        <x:v>202507</x:v>
      </x:c>
      <x:c r="C477" s="2" t="str">
        <x:v>62044300</x:v>
      </x:c>
      <x:c r="D477" s="2" t="str">
        <x:v>Vietnam</x:v>
      </x:c>
      <x:c r="E477" s="16" t="n">
        <x:v>353770</x:v>
      </x:c>
      <x:c r="F477" s="16" t="n">
        <x:v>12555</x:v>
      </x:c>
      <x:c r="G477" s="2" t="str">
        <x:v>WITHIN_BAND</x:v>
      </x:c>
      <x:c r="H477" s="2" t="n">
        <x:v>1</x:v>
      </x:c>
      <x:c r="I477" s="2" t="n">
        <x:f>IF(AND(COUNTIFS($B$6:$B$797,B477,$C$6:$C$797,C477)=11,COUNTIFS($B$6:$B$797,B477,$C$6:$C$797,C477,$G$6:$G$797,"REVIEW")=0,COUNTIFS($B$6:$B$797,B477,$C$6:$C$797,C477,$H$6:$H$797,1)=11,COUNTIFS($B$6:$B$797,B477,$C$6:$C$797,C477,$F$6:$F$797,"&gt;0")=11),1,0)</x:f>
        <x:v>1</x:v>
      </x:c>
      <x:c r="J477" s="2" t="n">
        <x:f>COUNTIFS($A$6:$A$797,A477)</x:f>
        <x:v>1</x:v>
      </x:c>
    </x:row>
    <x:row r="478" ht="23" customHeight="1">
      <x:c r="A478" s="2" t="str">
        <x:v>62044300_WORLD_202507_IMPORT</x:v>
      </x:c>
      <x:c r="B478" s="2" t="n">
        <x:v>202507</x:v>
      </x:c>
      <x:c r="C478" s="2" t="str">
        <x:v>62044300</x:v>
      </x:c>
      <x:c r="D478" s="2" t="str">
        <x:v>World</x:v>
      </x:c>
      <x:c r="E478" s="16" t="n">
        <x:v>30634520</x:v>
      </x:c>
      <x:c r="F478" s="16" t="n">
        <x:v>929178</x:v>
      </x:c>
      <x:c r="G478" s="2" t="str">
        <x:v>WITHIN_BAND</x:v>
      </x:c>
      <x:c r="H478" s="2" t="n">
        <x:v>1</x:v>
      </x:c>
      <x:c r="I478" s="2" t="n">
        <x:f>IF(AND(COUNTIFS($B$6:$B$797,B478,$C$6:$C$797,C478)=11,COUNTIFS($B$6:$B$797,B478,$C$6:$C$797,C478,$G$6:$G$797,"REVIEW")=0,COUNTIFS($B$6:$B$797,B478,$C$6:$C$797,C478,$H$6:$H$797,1)=11,COUNTIFS($B$6:$B$797,B478,$C$6:$C$797,C478,$F$6:$F$797,"&gt;0")=11),1,0)</x:f>
        <x:v>1</x:v>
      </x:c>
      <x:c r="J478" s="2" t="n">
        <x:f>COUNTIFS($A$6:$A$797,A478)</x:f>
        <x:v>1</x:v>
      </x:c>
    </x:row>
    <x:row r="479" ht="23" customHeight="1">
      <x:c r="A479" s="2" t="str">
        <x:v>62044300_BD_202508_IMPORT</x:v>
      </x:c>
      <x:c r="B479" s="2" t="n">
        <x:v>202508</x:v>
      </x:c>
      <x:c r="C479" s="2" t="str">
        <x:v>62044300</x:v>
      </x:c>
      <x:c r="D479" s="2" t="str">
        <x:v>Bangladesh</x:v>
      </x:c>
      <x:c r="E479" s="16" t="n">
        <x:v>921218</x:v>
      </x:c>
      <x:c r="F479" s="16" t="n">
        <x:v>71485</x:v>
      </x:c>
      <x:c r="G479" s="2" t="str">
        <x:v>WITHIN_BAND</x:v>
      </x:c>
      <x:c r="H479" s="2" t="n">
        <x:v>1</x:v>
      </x:c>
      <x:c r="I479" s="2" t="n">
        <x:f>IF(AND(COUNTIFS($B$6:$B$797,B479,$C$6:$C$797,C479)=11,COUNTIFS($B$6:$B$797,B479,$C$6:$C$797,C479,$G$6:$G$797,"REVIEW")=0,COUNTIFS($B$6:$B$797,B479,$C$6:$C$797,C479,$H$6:$H$797,1)=11,COUNTIFS($B$6:$B$797,B479,$C$6:$C$797,C479,$F$6:$F$797,"&gt;0")=11),1,0)</x:f>
        <x:v>1</x:v>
      </x:c>
      <x:c r="J479" s="2" t="n">
        <x:f>COUNTIFS($A$6:$A$797,A479)</x:f>
        <x:v>1</x:v>
      </x:c>
    </x:row>
    <x:row r="480" ht="23" customHeight="1">
      <x:c r="A480" s="2" t="str">
        <x:v>62044300_KH_202508_IMPORT</x:v>
      </x:c>
      <x:c r="B480" s="2" t="n">
        <x:v>202508</x:v>
      </x:c>
      <x:c r="C480" s="2" t="str">
        <x:v>62044300</x:v>
      </x:c>
      <x:c r="D480" s="2" t="str">
        <x:v>Cambodia</x:v>
      </x:c>
      <x:c r="E480" s="16" t="n">
        <x:v>149667</x:v>
      </x:c>
      <x:c r="F480" s="16" t="n">
        <x:v>9702</x:v>
      </x:c>
      <x:c r="G480" s="2" t="str">
        <x:v>WITHIN_BAND</x:v>
      </x:c>
      <x:c r="H480" s="2" t="n">
        <x:v>1</x:v>
      </x:c>
      <x:c r="I480" s="2" t="n">
        <x:f>IF(AND(COUNTIFS($B$6:$B$797,B480,$C$6:$C$797,C480)=11,COUNTIFS($B$6:$B$797,B480,$C$6:$C$797,C480,$G$6:$G$797,"REVIEW")=0,COUNTIFS($B$6:$B$797,B480,$C$6:$C$797,C480,$H$6:$H$797,1)=11,COUNTIFS($B$6:$B$797,B480,$C$6:$C$797,C480,$F$6:$F$797,"&gt;0")=11),1,0)</x:f>
        <x:v>1</x:v>
      </x:c>
      <x:c r="J480" s="2" t="n">
        <x:f>COUNTIFS($A$6:$A$797,A480)</x:f>
        <x:v>1</x:v>
      </x:c>
    </x:row>
    <x:row r="481" ht="23" customHeight="1">
      <x:c r="A481" s="2" t="str">
        <x:v>62044300_CN_202508_IMPORT</x:v>
      </x:c>
      <x:c r="B481" s="2" t="n">
        <x:v>202508</x:v>
      </x:c>
      <x:c r="C481" s="2" t="str">
        <x:v>62044300</x:v>
      </x:c>
      <x:c r="D481" s="2" t="str">
        <x:v>China</x:v>
      </x:c>
      <x:c r="E481" s="16" t="n">
        <x:v>8505079</x:v>
      </x:c>
      <x:c r="F481" s="16" t="n">
        <x:v>325804</x:v>
      </x:c>
      <x:c r="G481" s="2" t="str">
        <x:v>WITHIN_BAND</x:v>
      </x:c>
      <x:c r="H481" s="2" t="n">
        <x:v>1</x:v>
      </x:c>
      <x:c r="I481" s="2" t="n">
        <x:f>IF(AND(COUNTIFS($B$6:$B$797,B481,$C$6:$C$797,C481)=11,COUNTIFS($B$6:$B$797,B481,$C$6:$C$797,C481,$G$6:$G$797,"REVIEW")=0,COUNTIFS($B$6:$B$797,B481,$C$6:$C$797,C481,$H$6:$H$797,1)=11,COUNTIFS($B$6:$B$797,B481,$C$6:$C$797,C481,$F$6:$F$797,"&gt;0")=11),1,0)</x:f>
        <x:v>1</x:v>
      </x:c>
      <x:c r="J481" s="2" t="n">
        <x:f>COUNTIFS($A$6:$A$797,A481)</x:f>
        <x:v>1</x:v>
      </x:c>
    </x:row>
    <x:row r="482" ht="23" customHeight="1">
      <x:c r="A482" s="2" t="str">
        <x:v>62044300_IN_202508_IMPORT</x:v>
      </x:c>
      <x:c r="B482" s="2" t="n">
        <x:v>202508</x:v>
      </x:c>
      <x:c r="C482" s="2" t="str">
        <x:v>62044300</x:v>
      </x:c>
      <x:c r="D482" s="2" t="str">
        <x:v>India</x:v>
      </x:c>
      <x:c r="E482" s="16" t="n">
        <x:v>2134385</x:v>
      </x:c>
      <x:c r="F482" s="16" t="n">
        <x:v>79210</x:v>
      </x:c>
      <x:c r="G482" s="2" t="str">
        <x:v>WITHIN_BAND</x:v>
      </x:c>
      <x:c r="H482" s="2" t="n">
        <x:v>1</x:v>
      </x:c>
      <x:c r="I482" s="2" t="n">
        <x:f>IF(AND(COUNTIFS($B$6:$B$797,B482,$C$6:$C$797,C482)=11,COUNTIFS($B$6:$B$797,B482,$C$6:$C$797,C482,$G$6:$G$797,"REVIEW")=0,COUNTIFS($B$6:$B$797,B482,$C$6:$C$797,C482,$H$6:$H$797,1)=11,COUNTIFS($B$6:$B$797,B482,$C$6:$C$797,C482,$F$6:$F$797,"&gt;0")=11),1,0)</x:f>
        <x:v>1</x:v>
      </x:c>
      <x:c r="J482" s="2" t="n">
        <x:f>COUNTIFS($A$6:$A$797,A482)</x:f>
        <x:v>1</x:v>
      </x:c>
    </x:row>
    <x:row r="483" ht="23" customHeight="1">
      <x:c r="A483" s="2" t="str">
        <x:v>62044300_MA_202508_IMPORT</x:v>
      </x:c>
      <x:c r="B483" s="2" t="n">
        <x:v>202508</x:v>
      </x:c>
      <x:c r="C483" s="2" t="str">
        <x:v>62044300</x:v>
      </x:c>
      <x:c r="D483" s="2" t="str">
        <x:v>Morocco</x:v>
      </x:c>
      <x:c r="E483" s="16" t="n">
        <x:v>905318</x:v>
      </x:c>
      <x:c r="F483" s="16" t="n">
        <x:v>40547</x:v>
      </x:c>
      <x:c r="G483" s="2" t="str">
        <x:v>WITHIN_BAND</x:v>
      </x:c>
      <x:c r="H483" s="2" t="n">
        <x:v>1</x:v>
      </x:c>
      <x:c r="I483" s="2" t="n">
        <x:f>IF(AND(COUNTIFS($B$6:$B$797,B483,$C$6:$C$797,C483)=11,COUNTIFS($B$6:$B$797,B483,$C$6:$C$797,C483,$G$6:$G$797,"REVIEW")=0,COUNTIFS($B$6:$B$797,B483,$C$6:$C$797,C483,$H$6:$H$797,1)=11,COUNTIFS($B$6:$B$797,B483,$C$6:$C$797,C483,$F$6:$F$797,"&gt;0")=11),1,0)</x:f>
        <x:v>1</x:v>
      </x:c>
      <x:c r="J483" s="2" t="n">
        <x:f>COUNTIFS($A$6:$A$797,A483)</x:f>
        <x:v>1</x:v>
      </x:c>
    </x:row>
    <x:row r="484" ht="23" customHeight="1">
      <x:c r="A484" s="2" t="str">
        <x:v>62044300_MM_202508_IMPORT</x:v>
      </x:c>
      <x:c r="B484" s="2" t="n">
        <x:v>202508</x:v>
      </x:c>
      <x:c r="C484" s="2" t="str">
        <x:v>62044300</x:v>
      </x:c>
      <x:c r="D484" s="2" t="str">
        <x:v>Myanmar</x:v>
      </x:c>
      <x:c r="E484" s="16" t="n">
        <x:v>965185</x:v>
      </x:c>
      <x:c r="F484" s="16" t="n">
        <x:v>34315</x:v>
      </x:c>
      <x:c r="G484" s="2" t="str">
        <x:v>WITHIN_BAND</x:v>
      </x:c>
      <x:c r="H484" s="2" t="n">
        <x:v>1</x:v>
      </x:c>
      <x:c r="I484" s="2" t="n">
        <x:f>IF(AND(COUNTIFS($B$6:$B$797,B484,$C$6:$C$797,C484)=11,COUNTIFS($B$6:$B$797,B484,$C$6:$C$797,C484,$G$6:$G$797,"REVIEW")=0,COUNTIFS($B$6:$B$797,B484,$C$6:$C$797,C484,$H$6:$H$797,1)=11,COUNTIFS($B$6:$B$797,B484,$C$6:$C$797,C484,$F$6:$F$797,"&gt;0")=11),1,0)</x:f>
        <x:v>1</x:v>
      </x:c>
      <x:c r="J484" s="2" t="n">
        <x:f>COUNTIFS($A$6:$A$797,A484)</x:f>
        <x:v>1</x:v>
      </x:c>
    </x:row>
    <x:row r="485" ht="23" customHeight="1">
      <x:c r="A485" s="2" t="str">
        <x:v>62044300_PK_202508_IMPORT</x:v>
      </x:c>
      <x:c r="B485" s="2" t="n">
        <x:v>202508</x:v>
      </x:c>
      <x:c r="C485" s="2" t="str">
        <x:v>62044300</x:v>
      </x:c>
      <x:c r="D485" s="2" t="str">
        <x:v>Pakistan</x:v>
      </x:c>
      <x:c r="E485" s="16" t="n">
        <x:v>155015</x:v>
      </x:c>
      <x:c r="F485" s="16" t="n">
        <x:v>5951</x:v>
      </x:c>
      <x:c r="G485" s="2" t="str">
        <x:v>WITHIN_BAND</x:v>
      </x:c>
      <x:c r="H485" s="2" t="n">
        <x:v>1</x:v>
      </x:c>
      <x:c r="I485" s="2" t="n">
        <x:f>IF(AND(COUNTIFS($B$6:$B$797,B485,$C$6:$C$797,C485)=11,COUNTIFS($B$6:$B$797,B485,$C$6:$C$797,C485,$G$6:$G$797,"REVIEW")=0,COUNTIFS($B$6:$B$797,B485,$C$6:$C$797,C485,$H$6:$H$797,1)=11,COUNTIFS($B$6:$B$797,B485,$C$6:$C$797,C485,$F$6:$F$797,"&gt;0")=11),1,0)</x:f>
        <x:v>1</x:v>
      </x:c>
      <x:c r="J485" s="2" t="n">
        <x:f>COUNTIFS($A$6:$A$797,A485)</x:f>
        <x:v>1</x:v>
      </x:c>
    </x:row>
    <x:row r="486" ht="23" customHeight="1">
      <x:c r="A486" s="2" t="str">
        <x:v>62044300_LK_202508_IMPORT</x:v>
      </x:c>
      <x:c r="B486" s="2" t="n">
        <x:v>202508</x:v>
      </x:c>
      <x:c r="C486" s="2" t="str">
        <x:v>62044300</x:v>
      </x:c>
      <x:c r="D486" s="2" t="str">
        <x:v>Sri Lanka</x:v>
      </x:c>
      <x:c r="E486" s="16" t="n">
        <x:v>1044143</x:v>
      </x:c>
      <x:c r="F486" s="16" t="n">
        <x:v>59088</x:v>
      </x:c>
      <x:c r="G486" s="2" t="str">
        <x:v>WITHIN_BAND</x:v>
      </x:c>
      <x:c r="H486" s="2" t="n">
        <x:v>1</x:v>
      </x:c>
      <x:c r="I486" s="2" t="n">
        <x:f>IF(AND(COUNTIFS($B$6:$B$797,B486,$C$6:$C$797,C486)=11,COUNTIFS($B$6:$B$797,B486,$C$6:$C$797,C486,$G$6:$G$797,"REVIEW")=0,COUNTIFS($B$6:$B$797,B486,$C$6:$C$797,C486,$H$6:$H$797,1)=11,COUNTIFS($B$6:$B$797,B486,$C$6:$C$797,C486,$F$6:$F$797,"&gt;0")=11),1,0)</x:f>
        <x:v>1</x:v>
      </x:c>
      <x:c r="J486" s="2" t="n">
        <x:f>COUNTIFS($A$6:$A$797,A486)</x:f>
        <x:v>1</x:v>
      </x:c>
    </x:row>
    <x:row r="487" ht="23" customHeight="1">
      <x:c r="A487" s="2" t="str">
        <x:v>62044300_TR_202508_IMPORT</x:v>
      </x:c>
      <x:c r="B487" s="2" t="n">
        <x:v>202508</x:v>
      </x:c>
      <x:c r="C487" s="2" t="str">
        <x:v>62044300</x:v>
      </x:c>
      <x:c r="D487" s="2" t="str">
        <x:v>Turkey</x:v>
      </x:c>
      <x:c r="E487" s="16" t="n">
        <x:v>845181</x:v>
      </x:c>
      <x:c r="F487" s="16" t="n">
        <x:v>24554</x:v>
      </x:c>
      <x:c r="G487" s="2" t="str">
        <x:v>WITHIN_BAND</x:v>
      </x:c>
      <x:c r="H487" s="2" t="n">
        <x:v>1</x:v>
      </x:c>
      <x:c r="I487" s="2" t="n">
        <x:f>IF(AND(COUNTIFS($B$6:$B$797,B487,$C$6:$C$797,C487)=11,COUNTIFS($B$6:$B$797,B487,$C$6:$C$797,C487,$G$6:$G$797,"REVIEW")=0,COUNTIFS($B$6:$B$797,B487,$C$6:$C$797,C487,$H$6:$H$797,1)=11,COUNTIFS($B$6:$B$797,B487,$C$6:$C$797,C487,$F$6:$F$797,"&gt;0")=11),1,0)</x:f>
        <x:v>1</x:v>
      </x:c>
      <x:c r="J487" s="2" t="n">
        <x:f>COUNTIFS($A$6:$A$797,A487)</x:f>
        <x:v>1</x:v>
      </x:c>
    </x:row>
    <x:row r="488" ht="23" customHeight="1">
      <x:c r="A488" s="2" t="str">
        <x:v>62044300_VN_202508_IMPORT</x:v>
      </x:c>
      <x:c r="B488" s="2" t="n">
        <x:v>202508</x:v>
      </x:c>
      <x:c r="C488" s="2" t="str">
        <x:v>62044300</x:v>
      </x:c>
      <x:c r="D488" s="2" t="str">
        <x:v>Vietnam</x:v>
      </x:c>
      <x:c r="E488" s="16" t="n">
        <x:v>452239</x:v>
      </x:c>
      <x:c r="F488" s="16" t="n">
        <x:v>21729</x:v>
      </x:c>
      <x:c r="G488" s="2" t="str">
        <x:v>WITHIN_BAND</x:v>
      </x:c>
      <x:c r="H488" s="2" t="n">
        <x:v>1</x:v>
      </x:c>
      <x:c r="I488" s="2" t="n">
        <x:f>IF(AND(COUNTIFS($B$6:$B$797,B488,$C$6:$C$797,C488)=11,COUNTIFS($B$6:$B$797,B488,$C$6:$C$797,C488,$G$6:$G$797,"REVIEW")=0,COUNTIFS($B$6:$B$797,B488,$C$6:$C$797,C488,$H$6:$H$797,1)=11,COUNTIFS($B$6:$B$797,B488,$C$6:$C$797,C488,$F$6:$F$797,"&gt;0")=11),1,0)</x:f>
        <x:v>1</x:v>
      </x:c>
      <x:c r="J488" s="2" t="n">
        <x:f>COUNTIFS($A$6:$A$797,A488)</x:f>
        <x:v>1</x:v>
      </x:c>
    </x:row>
    <x:row r="489" ht="23" customHeight="1">
      <x:c r="A489" s="2" t="str">
        <x:v>62044300_WORLD_202508_IMPORT</x:v>
      </x:c>
      <x:c r="B489" s="2" t="n">
        <x:v>202508</x:v>
      </x:c>
      <x:c r="C489" s="2" t="str">
        <x:v>62044300</x:v>
      </x:c>
      <x:c r="D489" s="2" t="str">
        <x:v>World</x:v>
      </x:c>
      <x:c r="E489" s="16" t="n">
        <x:v>27292594</x:v>
      </x:c>
      <x:c r="F489" s="16" t="n">
        <x:v>867148</x:v>
      </x:c>
      <x:c r="G489" s="2" t="str">
        <x:v>WITHIN_BAND</x:v>
      </x:c>
      <x:c r="H489" s="2" t="n">
        <x:v>1</x:v>
      </x:c>
      <x:c r="I489" s="2" t="n">
        <x:f>IF(AND(COUNTIFS($B$6:$B$797,B489,$C$6:$C$797,C489)=11,COUNTIFS($B$6:$B$797,B489,$C$6:$C$797,C489,$G$6:$G$797,"REVIEW")=0,COUNTIFS($B$6:$B$797,B489,$C$6:$C$797,C489,$H$6:$H$797,1)=11,COUNTIFS($B$6:$B$797,B489,$C$6:$C$797,C489,$F$6:$F$797,"&gt;0")=11),1,0)</x:f>
        <x:v>1</x:v>
      </x:c>
      <x:c r="J489" s="2" t="n">
        <x:f>COUNTIFS($A$6:$A$797,A489)</x:f>
        <x:v>1</x:v>
      </x:c>
    </x:row>
    <x:row r="490" ht="23" customHeight="1">
      <x:c r="A490" s="2" t="str">
        <x:v>62044300_BD_202509_IMPORT</x:v>
      </x:c>
      <x:c r="B490" s="2" t="n">
        <x:v>202509</x:v>
      </x:c>
      <x:c r="C490" s="2" t="str">
        <x:v>62044300</x:v>
      </x:c>
      <x:c r="D490" s="2" t="str">
        <x:v>Bangladesh</x:v>
      </x:c>
      <x:c r="E490" s="16" t="n">
        <x:v>1184002</x:v>
      </x:c>
      <x:c r="F490" s="16" t="n">
        <x:v>70147</x:v>
      </x:c>
      <x:c r="G490" s="2" t="str">
        <x:v>WITHIN_BAND</x:v>
      </x:c>
      <x:c r="H490" s="2" t="n">
        <x:v>1</x:v>
      </x:c>
      <x:c r="I490" s="2" t="n">
        <x:f>IF(AND(COUNTIFS($B$6:$B$797,B490,$C$6:$C$797,C490)=11,COUNTIFS($B$6:$B$797,B490,$C$6:$C$797,C490,$G$6:$G$797,"REVIEW")=0,COUNTIFS($B$6:$B$797,B490,$C$6:$C$797,C490,$H$6:$H$797,1)=11,COUNTIFS($B$6:$B$797,B490,$C$6:$C$797,C490,$F$6:$F$797,"&gt;0")=11),1,0)</x:f>
        <x:v>1</x:v>
      </x:c>
      <x:c r="J490" s="2" t="n">
        <x:f>COUNTIFS($A$6:$A$797,A490)</x:f>
        <x:v>1</x:v>
      </x:c>
    </x:row>
    <x:row r="491" ht="23" customHeight="1">
      <x:c r="A491" s="2" t="str">
        <x:v>62044300_KH_202509_IMPORT</x:v>
      </x:c>
      <x:c r="B491" s="2" t="n">
        <x:v>202509</x:v>
      </x:c>
      <x:c r="C491" s="2" t="str">
        <x:v>62044300</x:v>
      </x:c>
      <x:c r="D491" s="2" t="str">
        <x:v>Cambodia</x:v>
      </x:c>
      <x:c r="E491" s="16" t="n">
        <x:v>392089</x:v>
      </x:c>
      <x:c r="F491" s="16" t="n">
        <x:v>19946</x:v>
      </x:c>
      <x:c r="G491" s="2" t="str">
        <x:v>WITHIN_BAND</x:v>
      </x:c>
      <x:c r="H491" s="2" t="n">
        <x:v>1</x:v>
      </x:c>
      <x:c r="I491" s="2" t="n">
        <x:f>IF(AND(COUNTIFS($B$6:$B$797,B491,$C$6:$C$797,C491)=11,COUNTIFS($B$6:$B$797,B491,$C$6:$C$797,C491,$G$6:$G$797,"REVIEW")=0,COUNTIFS($B$6:$B$797,B491,$C$6:$C$797,C491,$H$6:$H$797,1)=11,COUNTIFS($B$6:$B$797,B491,$C$6:$C$797,C491,$F$6:$F$797,"&gt;0")=11),1,0)</x:f>
        <x:v>1</x:v>
      </x:c>
      <x:c r="J491" s="2" t="n">
        <x:f>COUNTIFS($A$6:$A$797,A491)</x:f>
        <x:v>1</x:v>
      </x:c>
    </x:row>
    <x:row r="492" ht="23" customHeight="1">
      <x:c r="A492" s="2" t="str">
        <x:v>62044300_CN_202509_IMPORT</x:v>
      </x:c>
      <x:c r="B492" s="2" t="n">
        <x:v>202509</x:v>
      </x:c>
      <x:c r="C492" s="2" t="str">
        <x:v>62044300</x:v>
      </x:c>
      <x:c r="D492" s="2" t="str">
        <x:v>China</x:v>
      </x:c>
      <x:c r="E492" s="16" t="n">
        <x:v>9237066</x:v>
      </x:c>
      <x:c r="F492" s="16" t="n">
        <x:v>371149</x:v>
      </x:c>
      <x:c r="G492" s="2" t="str">
        <x:v>WITHIN_BAND</x:v>
      </x:c>
      <x:c r="H492" s="2" t="n">
        <x:v>1</x:v>
      </x:c>
      <x:c r="I492" s="2" t="n">
        <x:f>IF(AND(COUNTIFS($B$6:$B$797,B492,$C$6:$C$797,C492)=11,COUNTIFS($B$6:$B$797,B492,$C$6:$C$797,C492,$G$6:$G$797,"REVIEW")=0,COUNTIFS($B$6:$B$797,B492,$C$6:$C$797,C492,$H$6:$H$797,1)=11,COUNTIFS($B$6:$B$797,B492,$C$6:$C$797,C492,$F$6:$F$797,"&gt;0")=11),1,0)</x:f>
        <x:v>1</x:v>
      </x:c>
      <x:c r="J492" s="2" t="n">
        <x:f>COUNTIFS($A$6:$A$797,A492)</x:f>
        <x:v>1</x:v>
      </x:c>
    </x:row>
    <x:row r="493" ht="23" customHeight="1">
      <x:c r="A493" s="2" t="str">
        <x:v>62044300_IN_202509_IMPORT</x:v>
      </x:c>
      <x:c r="B493" s="2" t="n">
        <x:v>202509</x:v>
      </x:c>
      <x:c r="C493" s="2" t="str">
        <x:v>62044300</x:v>
      </x:c>
      <x:c r="D493" s="2" t="str">
        <x:v>India</x:v>
      </x:c>
      <x:c r="E493" s="16" t="n">
        <x:v>2845571</x:v>
      </x:c>
      <x:c r="F493" s="16" t="n">
        <x:v>95672</x:v>
      </x:c>
      <x:c r="G493" s="2" t="str">
        <x:v>WITHIN_BAND</x:v>
      </x:c>
      <x:c r="H493" s="2" t="n">
        <x:v>1</x:v>
      </x:c>
      <x:c r="I493" s="2" t="n">
        <x:f>IF(AND(COUNTIFS($B$6:$B$797,B493,$C$6:$C$797,C493)=11,COUNTIFS($B$6:$B$797,B493,$C$6:$C$797,C493,$G$6:$G$797,"REVIEW")=0,COUNTIFS($B$6:$B$797,B493,$C$6:$C$797,C493,$H$6:$H$797,1)=11,COUNTIFS($B$6:$B$797,B493,$C$6:$C$797,C493,$F$6:$F$797,"&gt;0")=11),1,0)</x:f>
        <x:v>1</x:v>
      </x:c>
      <x:c r="J493" s="2" t="n">
        <x:f>COUNTIFS($A$6:$A$797,A493)</x:f>
        <x:v>1</x:v>
      </x:c>
    </x:row>
    <x:row r="494" ht="23" customHeight="1">
      <x:c r="A494" s="2" t="str">
        <x:v>62044300_MA_202509_IMPORT</x:v>
      </x:c>
      <x:c r="B494" s="2" t="n">
        <x:v>202509</x:v>
      </x:c>
      <x:c r="C494" s="2" t="str">
        <x:v>62044300</x:v>
      </x:c>
      <x:c r="D494" s="2" t="str">
        <x:v>Morocco</x:v>
      </x:c>
      <x:c r="E494" s="16" t="n">
        <x:v>386164</x:v>
      </x:c>
      <x:c r="F494" s="16" t="n">
        <x:v>17783</x:v>
      </x:c>
      <x:c r="G494" s="2" t="str">
        <x:v>WITHIN_BAND</x:v>
      </x:c>
      <x:c r="H494" s="2" t="n">
        <x:v>1</x:v>
      </x:c>
      <x:c r="I494" s="2" t="n">
        <x:f>IF(AND(COUNTIFS($B$6:$B$797,B494,$C$6:$C$797,C494)=11,COUNTIFS($B$6:$B$797,B494,$C$6:$C$797,C494,$G$6:$G$797,"REVIEW")=0,COUNTIFS($B$6:$B$797,B494,$C$6:$C$797,C494,$H$6:$H$797,1)=11,COUNTIFS($B$6:$B$797,B494,$C$6:$C$797,C494,$F$6:$F$797,"&gt;0")=11),1,0)</x:f>
        <x:v>1</x:v>
      </x:c>
      <x:c r="J494" s="2" t="n">
        <x:f>COUNTIFS($A$6:$A$797,A494)</x:f>
        <x:v>1</x:v>
      </x:c>
    </x:row>
    <x:row r="495" ht="23" customHeight="1">
      <x:c r="A495" s="2" t="str">
        <x:v>62044300_MM_202509_IMPORT</x:v>
      </x:c>
      <x:c r="B495" s="2" t="n">
        <x:v>202509</x:v>
      </x:c>
      <x:c r="C495" s="2" t="str">
        <x:v>62044300</x:v>
      </x:c>
      <x:c r="D495" s="2" t="str">
        <x:v>Myanmar</x:v>
      </x:c>
      <x:c r="E495" s="16" t="n">
        <x:v>463002</x:v>
      </x:c>
      <x:c r="F495" s="16" t="n">
        <x:v>10664</x:v>
      </x:c>
      <x:c r="G495" s="2" t="str">
        <x:v>WITHIN_BAND</x:v>
      </x:c>
      <x:c r="H495" s="2" t="n">
        <x:v>1</x:v>
      </x:c>
      <x:c r="I495" s="2" t="n">
        <x:f>IF(AND(COUNTIFS($B$6:$B$797,B495,$C$6:$C$797,C495)=11,COUNTIFS($B$6:$B$797,B495,$C$6:$C$797,C495,$G$6:$G$797,"REVIEW")=0,COUNTIFS($B$6:$B$797,B495,$C$6:$C$797,C495,$H$6:$H$797,1)=11,COUNTIFS($B$6:$B$797,B495,$C$6:$C$797,C495,$F$6:$F$797,"&gt;0")=11),1,0)</x:f>
        <x:v>1</x:v>
      </x:c>
      <x:c r="J495" s="2" t="n">
        <x:f>COUNTIFS($A$6:$A$797,A495)</x:f>
        <x:v>1</x:v>
      </x:c>
    </x:row>
    <x:row r="496" ht="23" customHeight="1">
      <x:c r="A496" s="2" t="str">
        <x:v>62044300_PK_202509_IMPORT</x:v>
      </x:c>
      <x:c r="B496" s="2" t="n">
        <x:v>202509</x:v>
      </x:c>
      <x:c r="C496" s="2" t="str">
        <x:v>62044300</x:v>
      </x:c>
      <x:c r="D496" s="2" t="str">
        <x:v>Pakistan</x:v>
      </x:c>
      <x:c r="E496" s="16" t="n">
        <x:v>62641</x:v>
      </x:c>
      <x:c r="F496" s="16" t="n">
        <x:v>3204</x:v>
      </x:c>
      <x:c r="G496" s="2" t="str">
        <x:v>WITHIN_BAND</x:v>
      </x:c>
      <x:c r="H496" s="2" t="n">
        <x:v>1</x:v>
      </x:c>
      <x:c r="I496" s="2" t="n">
        <x:f>IF(AND(COUNTIFS($B$6:$B$797,B496,$C$6:$C$797,C496)=11,COUNTIFS($B$6:$B$797,B496,$C$6:$C$797,C496,$G$6:$G$797,"REVIEW")=0,COUNTIFS($B$6:$B$797,B496,$C$6:$C$797,C496,$H$6:$H$797,1)=11,COUNTIFS($B$6:$B$797,B496,$C$6:$C$797,C496,$F$6:$F$797,"&gt;0")=11),1,0)</x:f>
        <x:v>1</x:v>
      </x:c>
      <x:c r="J496" s="2" t="n">
        <x:f>COUNTIFS($A$6:$A$797,A496)</x:f>
        <x:v>1</x:v>
      </x:c>
    </x:row>
    <x:row r="497" ht="23" customHeight="1">
      <x:c r="A497" s="2" t="str">
        <x:v>62044300_LK_202509_IMPORT</x:v>
      </x:c>
      <x:c r="B497" s="2" t="n">
        <x:v>202509</x:v>
      </x:c>
      <x:c r="C497" s="2" t="str">
        <x:v>62044300</x:v>
      </x:c>
      <x:c r="D497" s="2" t="str">
        <x:v>Sri Lanka</x:v>
      </x:c>
      <x:c r="E497" s="16" t="n">
        <x:v>729031</x:v>
      </x:c>
      <x:c r="F497" s="16" t="n">
        <x:v>39105</x:v>
      </x:c>
      <x:c r="G497" s="2" t="str">
        <x:v>WITHIN_BAND</x:v>
      </x:c>
      <x:c r="H497" s="2" t="n">
        <x:v>1</x:v>
      </x:c>
      <x:c r="I497" s="2" t="n">
        <x:f>IF(AND(COUNTIFS($B$6:$B$797,B497,$C$6:$C$797,C497)=11,COUNTIFS($B$6:$B$797,B497,$C$6:$C$797,C497,$G$6:$G$797,"REVIEW")=0,COUNTIFS($B$6:$B$797,B497,$C$6:$C$797,C497,$H$6:$H$797,1)=11,COUNTIFS($B$6:$B$797,B497,$C$6:$C$797,C497,$F$6:$F$797,"&gt;0")=11),1,0)</x:f>
        <x:v>1</x:v>
      </x:c>
      <x:c r="J497" s="2" t="n">
        <x:f>COUNTIFS($A$6:$A$797,A497)</x:f>
        <x:v>1</x:v>
      </x:c>
    </x:row>
    <x:row r="498" ht="23" customHeight="1">
      <x:c r="A498" s="2" t="str">
        <x:v>62044300_TR_202509_IMPORT</x:v>
      </x:c>
      <x:c r="B498" s="2" t="n">
        <x:v>202509</x:v>
      </x:c>
      <x:c r="C498" s="2" t="str">
        <x:v>62044300</x:v>
      </x:c>
      <x:c r="D498" s="2" t="str">
        <x:v>Turkey</x:v>
      </x:c>
      <x:c r="E498" s="16" t="n">
        <x:v>419987</x:v>
      </x:c>
      <x:c r="F498" s="16" t="n">
        <x:v>10340</x:v>
      </x:c>
      <x:c r="G498" s="2" t="str">
        <x:v>WITHIN_BAND</x:v>
      </x:c>
      <x:c r="H498" s="2" t="n">
        <x:v>1</x:v>
      </x:c>
      <x:c r="I498" s="2" t="n">
        <x:f>IF(AND(COUNTIFS($B$6:$B$797,B498,$C$6:$C$797,C498)=11,COUNTIFS($B$6:$B$797,B498,$C$6:$C$797,C498,$G$6:$G$797,"REVIEW")=0,COUNTIFS($B$6:$B$797,B498,$C$6:$C$797,C498,$H$6:$H$797,1)=11,COUNTIFS($B$6:$B$797,B498,$C$6:$C$797,C498,$F$6:$F$797,"&gt;0")=11),1,0)</x:f>
        <x:v>1</x:v>
      </x:c>
      <x:c r="J498" s="2" t="n">
        <x:f>COUNTIFS($A$6:$A$797,A498)</x:f>
        <x:v>1</x:v>
      </x:c>
    </x:row>
    <x:row r="499" ht="23" customHeight="1">
      <x:c r="A499" s="2" t="str">
        <x:v>62044300_VN_202509_IMPORT</x:v>
      </x:c>
      <x:c r="B499" s="2" t="n">
        <x:v>202509</x:v>
      </x:c>
      <x:c r="C499" s="2" t="str">
        <x:v>62044300</x:v>
      </x:c>
      <x:c r="D499" s="2" t="str">
        <x:v>Vietnam</x:v>
      </x:c>
      <x:c r="E499" s="16" t="n">
        <x:v>435111</x:v>
      </x:c>
      <x:c r="F499" s="16" t="n">
        <x:v>17168</x:v>
      </x:c>
      <x:c r="G499" s="2" t="str">
        <x:v>WITHIN_BAND</x:v>
      </x:c>
      <x:c r="H499" s="2" t="n">
        <x:v>1</x:v>
      </x:c>
      <x:c r="I499" s="2" t="n">
        <x:f>IF(AND(COUNTIFS($B$6:$B$797,B499,$C$6:$C$797,C499)=11,COUNTIFS($B$6:$B$797,B499,$C$6:$C$797,C499,$G$6:$G$797,"REVIEW")=0,COUNTIFS($B$6:$B$797,B499,$C$6:$C$797,C499,$H$6:$H$797,1)=11,COUNTIFS($B$6:$B$797,B499,$C$6:$C$797,C499,$F$6:$F$797,"&gt;0")=11),1,0)</x:f>
        <x:v>1</x:v>
      </x:c>
      <x:c r="J499" s="2" t="n">
        <x:f>COUNTIFS($A$6:$A$797,A499)</x:f>
        <x:v>1</x:v>
      </x:c>
    </x:row>
    <x:row r="500" ht="23" customHeight="1">
      <x:c r="A500" s="2" t="str">
        <x:v>62044300_WORLD_202509_IMPORT</x:v>
      </x:c>
      <x:c r="B500" s="2" t="n">
        <x:v>202509</x:v>
      </x:c>
      <x:c r="C500" s="2" t="str">
        <x:v>62044300</x:v>
      </x:c>
      <x:c r="D500" s="2" t="str">
        <x:v>World</x:v>
      </x:c>
      <x:c r="E500" s="16" t="n">
        <x:v>28007044</x:v>
      </x:c>
      <x:c r="F500" s="16" t="n">
        <x:v>834184</x:v>
      </x:c>
      <x:c r="G500" s="2" t="str">
        <x:v>WITHIN_BAND</x:v>
      </x:c>
      <x:c r="H500" s="2" t="n">
        <x:v>1</x:v>
      </x:c>
      <x:c r="I500" s="2" t="n">
        <x:f>IF(AND(COUNTIFS($B$6:$B$797,B500,$C$6:$C$797,C500)=11,COUNTIFS($B$6:$B$797,B500,$C$6:$C$797,C500,$G$6:$G$797,"REVIEW")=0,COUNTIFS($B$6:$B$797,B500,$C$6:$C$797,C500,$H$6:$H$797,1)=11,COUNTIFS($B$6:$B$797,B500,$C$6:$C$797,C500,$F$6:$F$797,"&gt;0")=11),1,0)</x:f>
        <x:v>1</x:v>
      </x:c>
      <x:c r="J500" s="2" t="n">
        <x:f>COUNTIFS($A$6:$A$797,A500)</x:f>
        <x:v>1</x:v>
      </x:c>
    </x:row>
    <x:row r="501" ht="23" customHeight="1">
      <x:c r="A501" s="2" t="str">
        <x:v>62044300_BD_202510_IMPORT</x:v>
      </x:c>
      <x:c r="B501" s="2" t="n">
        <x:v>202510</x:v>
      </x:c>
      <x:c r="C501" s="2" t="str">
        <x:v>62044300</x:v>
      </x:c>
      <x:c r="D501" s="2" t="str">
        <x:v>Bangladesh</x:v>
      </x:c>
      <x:c r="E501" s="16" t="n">
        <x:v>1796038</x:v>
      </x:c>
      <x:c r="F501" s="16" t="n">
        <x:v>97131</x:v>
      </x:c>
      <x:c r="G501" s="2" t="str">
        <x:v>WITHIN_BAND</x:v>
      </x:c>
      <x:c r="H501" s="2" t="n">
        <x:v>1</x:v>
      </x:c>
      <x:c r="I501" s="2" t="n">
        <x:f>IF(AND(COUNTIFS($B$6:$B$797,B501,$C$6:$C$797,C501)=11,COUNTIFS($B$6:$B$797,B501,$C$6:$C$797,C501,$G$6:$G$797,"REVIEW")=0,COUNTIFS($B$6:$B$797,B501,$C$6:$C$797,C501,$H$6:$H$797,1)=11,COUNTIFS($B$6:$B$797,B501,$C$6:$C$797,C501,$F$6:$F$797,"&gt;0")=11),1,0)</x:f>
        <x:v>1</x:v>
      </x:c>
      <x:c r="J501" s="2" t="n">
        <x:f>COUNTIFS($A$6:$A$797,A501)</x:f>
        <x:v>1</x:v>
      </x:c>
    </x:row>
    <x:row r="502" ht="23" customHeight="1">
      <x:c r="A502" s="2" t="str">
        <x:v>62044300_KH_202510_IMPORT</x:v>
      </x:c>
      <x:c r="B502" s="2" t="n">
        <x:v>202510</x:v>
      </x:c>
      <x:c r="C502" s="2" t="str">
        <x:v>62044300</x:v>
      </x:c>
      <x:c r="D502" s="2" t="str">
        <x:v>Cambodia</x:v>
      </x:c>
      <x:c r="E502" s="16" t="n">
        <x:v>645703</x:v>
      </x:c>
      <x:c r="F502" s="16" t="n">
        <x:v>28563</x:v>
      </x:c>
      <x:c r="G502" s="2" t="str">
        <x:v>WITHIN_BAND</x:v>
      </x:c>
      <x:c r="H502" s="2" t="n">
        <x:v>1</x:v>
      </x:c>
      <x:c r="I502" s="2" t="n">
        <x:f>IF(AND(COUNTIFS($B$6:$B$797,B502,$C$6:$C$797,C502)=11,COUNTIFS($B$6:$B$797,B502,$C$6:$C$797,C502,$G$6:$G$797,"REVIEW")=0,COUNTIFS($B$6:$B$797,B502,$C$6:$C$797,C502,$H$6:$H$797,1)=11,COUNTIFS($B$6:$B$797,B502,$C$6:$C$797,C502,$F$6:$F$797,"&gt;0")=11),1,0)</x:f>
        <x:v>1</x:v>
      </x:c>
      <x:c r="J502" s="2" t="n">
        <x:f>COUNTIFS($A$6:$A$797,A502)</x:f>
        <x:v>1</x:v>
      </x:c>
    </x:row>
    <x:row r="503" ht="23" customHeight="1">
      <x:c r="A503" s="2" t="str">
        <x:v>62044300_CN_202510_IMPORT</x:v>
      </x:c>
      <x:c r="B503" s="2" t="n">
        <x:v>202510</x:v>
      </x:c>
      <x:c r="C503" s="2" t="str">
        <x:v>62044300</x:v>
      </x:c>
      <x:c r="D503" s="2" t="str">
        <x:v>China</x:v>
      </x:c>
      <x:c r="E503" s="16" t="n">
        <x:v>10030930</x:v>
      </x:c>
      <x:c r="F503" s="16" t="n">
        <x:v>407658</x:v>
      </x:c>
      <x:c r="G503" s="2" t="str">
        <x:v>WITHIN_BAND</x:v>
      </x:c>
      <x:c r="H503" s="2" t="n">
        <x:v>1</x:v>
      </x:c>
      <x:c r="I503" s="2" t="n">
        <x:f>IF(AND(COUNTIFS($B$6:$B$797,B503,$C$6:$C$797,C503)=11,COUNTIFS($B$6:$B$797,B503,$C$6:$C$797,C503,$G$6:$G$797,"REVIEW")=0,COUNTIFS($B$6:$B$797,B503,$C$6:$C$797,C503,$H$6:$H$797,1)=11,COUNTIFS($B$6:$B$797,B503,$C$6:$C$797,C503,$F$6:$F$797,"&gt;0")=11),1,0)</x:f>
        <x:v>1</x:v>
      </x:c>
      <x:c r="J503" s="2" t="n">
        <x:f>COUNTIFS($A$6:$A$797,A503)</x:f>
        <x:v>1</x:v>
      </x:c>
    </x:row>
    <x:row r="504" ht="23" customHeight="1">
      <x:c r="A504" s="2" t="str">
        <x:v>62044300_IN_202510_IMPORT</x:v>
      </x:c>
      <x:c r="B504" s="2" t="n">
        <x:v>202510</x:v>
      </x:c>
      <x:c r="C504" s="2" t="str">
        <x:v>62044300</x:v>
      </x:c>
      <x:c r="D504" s="2" t="str">
        <x:v>India</x:v>
      </x:c>
      <x:c r="E504" s="16" t="n">
        <x:v>2575343</x:v>
      </x:c>
      <x:c r="F504" s="16" t="n">
        <x:v>78731</x:v>
      </x:c>
      <x:c r="G504" s="2" t="str">
        <x:v>WITHIN_BAND</x:v>
      </x:c>
      <x:c r="H504" s="2" t="n">
        <x:v>1</x:v>
      </x:c>
      <x:c r="I504" s="2" t="n">
        <x:f>IF(AND(COUNTIFS($B$6:$B$797,B504,$C$6:$C$797,C504)=11,COUNTIFS($B$6:$B$797,B504,$C$6:$C$797,C504,$G$6:$G$797,"REVIEW")=0,COUNTIFS($B$6:$B$797,B504,$C$6:$C$797,C504,$H$6:$H$797,1)=11,COUNTIFS($B$6:$B$797,B504,$C$6:$C$797,C504,$F$6:$F$797,"&gt;0")=11),1,0)</x:f>
        <x:v>1</x:v>
      </x:c>
      <x:c r="J504" s="2" t="n">
        <x:f>COUNTIFS($A$6:$A$797,A504)</x:f>
        <x:v>1</x:v>
      </x:c>
    </x:row>
    <x:row r="505" ht="23" customHeight="1">
      <x:c r="A505" s="2" t="str">
        <x:v>62044300_MA_202510_IMPORT</x:v>
      </x:c>
      <x:c r="B505" s="2" t="n">
        <x:v>202510</x:v>
      </x:c>
      <x:c r="C505" s="2" t="str">
        <x:v>62044300</x:v>
      </x:c>
      <x:c r="D505" s="2" t="str">
        <x:v>Morocco</x:v>
      </x:c>
      <x:c r="E505" s="16" t="n">
        <x:v>287665</x:v>
      </x:c>
      <x:c r="F505" s="16" t="n">
        <x:v>13001</x:v>
      </x:c>
      <x:c r="G505" s="2" t="str">
        <x:v>WITHIN_BAND</x:v>
      </x:c>
      <x:c r="H505" s="2" t="n">
        <x:v>1</x:v>
      </x:c>
      <x:c r="I505" s="2" t="n">
        <x:f>IF(AND(COUNTIFS($B$6:$B$797,B505,$C$6:$C$797,C505)=11,COUNTIFS($B$6:$B$797,B505,$C$6:$C$797,C505,$G$6:$G$797,"REVIEW")=0,COUNTIFS($B$6:$B$797,B505,$C$6:$C$797,C505,$H$6:$H$797,1)=11,COUNTIFS($B$6:$B$797,B505,$C$6:$C$797,C505,$F$6:$F$797,"&gt;0")=11),1,0)</x:f>
        <x:v>1</x:v>
      </x:c>
      <x:c r="J505" s="2" t="n">
        <x:f>COUNTIFS($A$6:$A$797,A505)</x:f>
        <x:v>1</x:v>
      </x:c>
    </x:row>
    <x:row r="506" ht="23" customHeight="1">
      <x:c r="A506" s="2" t="str">
        <x:v>62044300_MM_202510_IMPORT</x:v>
      </x:c>
      <x:c r="B506" s="2" t="n">
        <x:v>202510</x:v>
      </x:c>
      <x:c r="C506" s="2" t="str">
        <x:v>62044300</x:v>
      </x:c>
      <x:c r="D506" s="2" t="str">
        <x:v>Myanmar</x:v>
      </x:c>
      <x:c r="E506" s="16" t="n">
        <x:v>658544</x:v>
      </x:c>
      <x:c r="F506" s="16" t="n">
        <x:v>13407</x:v>
      </x:c>
      <x:c r="G506" s="2" t="str">
        <x:v>WITHIN_BAND</x:v>
      </x:c>
      <x:c r="H506" s="2" t="n">
        <x:v>1</x:v>
      </x:c>
      <x:c r="I506" s="2" t="n">
        <x:f>IF(AND(COUNTIFS($B$6:$B$797,B506,$C$6:$C$797,C506)=11,COUNTIFS($B$6:$B$797,B506,$C$6:$C$797,C506,$G$6:$G$797,"REVIEW")=0,COUNTIFS($B$6:$B$797,B506,$C$6:$C$797,C506,$H$6:$H$797,1)=11,COUNTIFS($B$6:$B$797,B506,$C$6:$C$797,C506,$F$6:$F$797,"&gt;0")=11),1,0)</x:f>
        <x:v>1</x:v>
      </x:c>
      <x:c r="J506" s="2" t="n">
        <x:f>COUNTIFS($A$6:$A$797,A506)</x:f>
        <x:v>1</x:v>
      </x:c>
    </x:row>
    <x:row r="507" ht="23" customHeight="1">
      <x:c r="A507" s="2" t="str">
        <x:v>62044300_PK_202510_IMPORT</x:v>
      </x:c>
      <x:c r="B507" s="2" t="n">
        <x:v>202510</x:v>
      </x:c>
      <x:c r="C507" s="2" t="str">
        <x:v>62044300</x:v>
      </x:c>
      <x:c r="D507" s="2" t="str">
        <x:v>Pakistan</x:v>
      </x:c>
      <x:c r="E507" s="16" t="n">
        <x:v>94633</x:v>
      </x:c>
      <x:c r="F507" s="16" t="n">
        <x:v>5527</x:v>
      </x:c>
      <x:c r="G507" s="2" t="str">
        <x:v>WITHIN_BAND</x:v>
      </x:c>
      <x:c r="H507" s="2" t="n">
        <x:v>1</x:v>
      </x:c>
      <x:c r="I507" s="2" t="n">
        <x:f>IF(AND(COUNTIFS($B$6:$B$797,B507,$C$6:$C$797,C507)=11,COUNTIFS($B$6:$B$797,B507,$C$6:$C$797,C507,$G$6:$G$797,"REVIEW")=0,COUNTIFS($B$6:$B$797,B507,$C$6:$C$797,C507,$H$6:$H$797,1)=11,COUNTIFS($B$6:$B$797,B507,$C$6:$C$797,C507,$F$6:$F$797,"&gt;0")=11),1,0)</x:f>
        <x:v>1</x:v>
      </x:c>
      <x:c r="J507" s="2" t="n">
        <x:f>COUNTIFS($A$6:$A$797,A507)</x:f>
        <x:v>1</x:v>
      </x:c>
    </x:row>
    <x:row r="508" ht="23" customHeight="1">
      <x:c r="A508" s="2" t="str">
        <x:v>62044300_LK_202510_IMPORT</x:v>
      </x:c>
      <x:c r="B508" s="2" t="n">
        <x:v>202510</x:v>
      </x:c>
      <x:c r="C508" s="2" t="str">
        <x:v>62044300</x:v>
      </x:c>
      <x:c r="D508" s="2" t="str">
        <x:v>Sri Lanka</x:v>
      </x:c>
      <x:c r="E508" s="16" t="n">
        <x:v>1425303</x:v>
      </x:c>
      <x:c r="F508" s="16" t="n">
        <x:v>60016</x:v>
      </x:c>
      <x:c r="G508" s="2" t="str">
        <x:v>WITHIN_BAND</x:v>
      </x:c>
      <x:c r="H508" s="2" t="n">
        <x:v>1</x:v>
      </x:c>
      <x:c r="I508" s="2" t="n">
        <x:f>IF(AND(COUNTIFS($B$6:$B$797,B508,$C$6:$C$797,C508)=11,COUNTIFS($B$6:$B$797,B508,$C$6:$C$797,C508,$G$6:$G$797,"REVIEW")=0,COUNTIFS($B$6:$B$797,B508,$C$6:$C$797,C508,$H$6:$H$797,1)=11,COUNTIFS($B$6:$B$797,B508,$C$6:$C$797,C508,$F$6:$F$797,"&gt;0")=11),1,0)</x:f>
        <x:v>1</x:v>
      </x:c>
      <x:c r="J508" s="2" t="n">
        <x:f>COUNTIFS($A$6:$A$797,A508)</x:f>
        <x:v>1</x:v>
      </x:c>
    </x:row>
    <x:row r="509" ht="23" customHeight="1">
      <x:c r="A509" s="2" t="str">
        <x:v>62044300_TR_202510_IMPORT</x:v>
      </x:c>
      <x:c r="B509" s="2" t="n">
        <x:v>202510</x:v>
      </x:c>
      <x:c r="C509" s="2" t="str">
        <x:v>62044300</x:v>
      </x:c>
      <x:c r="D509" s="2" t="str">
        <x:v>Turkey</x:v>
      </x:c>
      <x:c r="E509" s="16" t="n">
        <x:v>633994</x:v>
      </x:c>
      <x:c r="F509" s="16" t="n">
        <x:v>14944</x:v>
      </x:c>
      <x:c r="G509" s="2" t="str">
        <x:v>WITHIN_BAND</x:v>
      </x:c>
      <x:c r="H509" s="2" t="n">
        <x:v>1</x:v>
      </x:c>
      <x:c r="I509" s="2" t="n">
        <x:f>IF(AND(COUNTIFS($B$6:$B$797,B509,$C$6:$C$797,C509)=11,COUNTIFS($B$6:$B$797,B509,$C$6:$C$797,C509,$G$6:$G$797,"REVIEW")=0,COUNTIFS($B$6:$B$797,B509,$C$6:$C$797,C509,$H$6:$H$797,1)=11,COUNTIFS($B$6:$B$797,B509,$C$6:$C$797,C509,$F$6:$F$797,"&gt;0")=11),1,0)</x:f>
        <x:v>1</x:v>
      </x:c>
      <x:c r="J509" s="2" t="n">
        <x:f>COUNTIFS($A$6:$A$797,A509)</x:f>
        <x:v>1</x:v>
      </x:c>
    </x:row>
    <x:row r="510" ht="23" customHeight="1">
      <x:c r="A510" s="2" t="str">
        <x:v>62044300_VN_202510_IMPORT</x:v>
      </x:c>
      <x:c r="B510" s="2" t="n">
        <x:v>202510</x:v>
      </x:c>
      <x:c r="C510" s="2" t="str">
        <x:v>62044300</x:v>
      </x:c>
      <x:c r="D510" s="2" t="str">
        <x:v>Vietnam</x:v>
      </x:c>
      <x:c r="E510" s="16" t="n">
        <x:v>610855</x:v>
      </x:c>
      <x:c r="F510" s="16" t="n">
        <x:v>22101</x:v>
      </x:c>
      <x:c r="G510" s="2" t="str">
        <x:v>WITHIN_BAND</x:v>
      </x:c>
      <x:c r="H510" s="2" t="n">
        <x:v>1</x:v>
      </x:c>
      <x:c r="I510" s="2" t="n">
        <x:f>IF(AND(COUNTIFS($B$6:$B$797,B510,$C$6:$C$797,C510)=11,COUNTIFS($B$6:$B$797,B510,$C$6:$C$797,C510,$G$6:$G$797,"REVIEW")=0,COUNTIFS($B$6:$B$797,B510,$C$6:$C$797,C510,$H$6:$H$797,1)=11,COUNTIFS($B$6:$B$797,B510,$C$6:$C$797,C510,$F$6:$F$797,"&gt;0")=11),1,0)</x:f>
        <x:v>1</x:v>
      </x:c>
      <x:c r="J510" s="2" t="n">
        <x:f>COUNTIFS($A$6:$A$797,A510)</x:f>
        <x:v>1</x:v>
      </x:c>
    </x:row>
    <x:row r="511" ht="23" customHeight="1">
      <x:c r="A511" s="2" t="str">
        <x:v>62044300_WORLD_202510_IMPORT</x:v>
      </x:c>
      <x:c r="B511" s="2" t="n">
        <x:v>202510</x:v>
      </x:c>
      <x:c r="C511" s="2" t="str">
        <x:v>62044300</x:v>
      </x:c>
      <x:c r="D511" s="2" t="str">
        <x:v>World</x:v>
      </x:c>
      <x:c r="E511" s="16" t="n">
        <x:v>32317234</x:v>
      </x:c>
      <x:c r="F511" s="16" t="n">
        <x:v>943473</x:v>
      </x:c>
      <x:c r="G511" s="2" t="str">
        <x:v>WITHIN_BAND</x:v>
      </x:c>
      <x:c r="H511" s="2" t="n">
        <x:v>1</x:v>
      </x:c>
      <x:c r="I511" s="2" t="n">
        <x:f>IF(AND(COUNTIFS($B$6:$B$797,B511,$C$6:$C$797,C511)=11,COUNTIFS($B$6:$B$797,B511,$C$6:$C$797,C511,$G$6:$G$797,"REVIEW")=0,COUNTIFS($B$6:$B$797,B511,$C$6:$C$797,C511,$H$6:$H$797,1)=11,COUNTIFS($B$6:$B$797,B511,$C$6:$C$797,C511,$F$6:$F$797,"&gt;0")=11),1,0)</x:f>
        <x:v>1</x:v>
      </x:c>
      <x:c r="J511" s="2" t="n">
        <x:f>COUNTIFS($A$6:$A$797,A511)</x:f>
        <x:v>1</x:v>
      </x:c>
    </x:row>
    <x:row r="512" ht="23" customHeight="1">
      <x:c r="A512" s="2" t="str">
        <x:v>62044300_BD_202511_IMPORT</x:v>
      </x:c>
      <x:c r="B512" s="2" t="n">
        <x:v>202511</x:v>
      </x:c>
      <x:c r="C512" s="2" t="str">
        <x:v>62044300</x:v>
      </x:c>
      <x:c r="D512" s="2" t="str">
        <x:v>Bangladesh</x:v>
      </x:c>
      <x:c r="E512" s="16" t="n">
        <x:v>986551</x:v>
      </x:c>
      <x:c r="F512" s="16" t="n">
        <x:v>54293</x:v>
      </x:c>
      <x:c r="G512" s="2" t="str">
        <x:v>WITHIN_BAND</x:v>
      </x:c>
      <x:c r="H512" s="2" t="n">
        <x:v>1</x:v>
      </x:c>
      <x:c r="I512" s="2" t="n">
        <x:f>IF(AND(COUNTIFS($B$6:$B$797,B512,$C$6:$C$797,C512)=11,COUNTIFS($B$6:$B$797,B512,$C$6:$C$797,C512,$G$6:$G$797,"REVIEW")=0,COUNTIFS($B$6:$B$797,B512,$C$6:$C$797,C512,$H$6:$H$797,1)=11,COUNTIFS($B$6:$B$797,B512,$C$6:$C$797,C512,$F$6:$F$797,"&gt;0")=11),1,0)</x:f>
        <x:v>1</x:v>
      </x:c>
      <x:c r="J512" s="2" t="n">
        <x:f>COUNTIFS($A$6:$A$797,A512)</x:f>
        <x:v>1</x:v>
      </x:c>
    </x:row>
    <x:row r="513" ht="23" customHeight="1">
      <x:c r="A513" s="2" t="str">
        <x:v>62044300_KH_202511_IMPORT</x:v>
      </x:c>
      <x:c r="B513" s="2" t="n">
        <x:v>202511</x:v>
      </x:c>
      <x:c r="C513" s="2" t="str">
        <x:v>62044300</x:v>
      </x:c>
      <x:c r="D513" s="2" t="str">
        <x:v>Cambodia</x:v>
      </x:c>
      <x:c r="E513" s="16" t="n">
        <x:v>204322</x:v>
      </x:c>
      <x:c r="F513" s="16" t="n">
        <x:v>11842</x:v>
      </x:c>
      <x:c r="G513" s="2" t="str">
        <x:v>WITHIN_BAND</x:v>
      </x:c>
      <x:c r="H513" s="2" t="n">
        <x:v>1</x:v>
      </x:c>
      <x:c r="I513" s="2" t="n">
        <x:f>IF(AND(COUNTIFS($B$6:$B$797,B513,$C$6:$C$797,C513)=11,COUNTIFS($B$6:$B$797,B513,$C$6:$C$797,C513,$G$6:$G$797,"REVIEW")=0,COUNTIFS($B$6:$B$797,B513,$C$6:$C$797,C513,$H$6:$H$797,1)=11,COUNTIFS($B$6:$B$797,B513,$C$6:$C$797,C513,$F$6:$F$797,"&gt;0")=11),1,0)</x:f>
        <x:v>1</x:v>
      </x:c>
      <x:c r="J513" s="2" t="n">
        <x:f>COUNTIFS($A$6:$A$797,A513)</x:f>
        <x:v>1</x:v>
      </x:c>
    </x:row>
    <x:row r="514" ht="23" customHeight="1">
      <x:c r="A514" s="2" t="str">
        <x:v>62044300_CN_202511_IMPORT</x:v>
      </x:c>
      <x:c r="B514" s="2" t="n">
        <x:v>202511</x:v>
      </x:c>
      <x:c r="C514" s="2" t="str">
        <x:v>62044300</x:v>
      </x:c>
      <x:c r="D514" s="2" t="str">
        <x:v>China</x:v>
      </x:c>
      <x:c r="E514" s="16" t="n">
        <x:v>7235436</x:v>
      </x:c>
      <x:c r="F514" s="16" t="n">
        <x:v>274794</x:v>
      </x:c>
      <x:c r="G514" s="2" t="str">
        <x:v>WITHIN_BAND</x:v>
      </x:c>
      <x:c r="H514" s="2" t="n">
        <x:v>1</x:v>
      </x:c>
      <x:c r="I514" s="2" t="n">
        <x:f>IF(AND(COUNTIFS($B$6:$B$797,B514,$C$6:$C$797,C514)=11,COUNTIFS($B$6:$B$797,B514,$C$6:$C$797,C514,$G$6:$G$797,"REVIEW")=0,COUNTIFS($B$6:$B$797,B514,$C$6:$C$797,C514,$H$6:$H$797,1)=11,COUNTIFS($B$6:$B$797,B514,$C$6:$C$797,C514,$F$6:$F$797,"&gt;0")=11),1,0)</x:f>
        <x:v>1</x:v>
      </x:c>
      <x:c r="J514" s="2" t="n">
        <x:f>COUNTIFS($A$6:$A$797,A514)</x:f>
        <x:v>1</x:v>
      </x:c>
    </x:row>
    <x:row r="515" ht="23" customHeight="1">
      <x:c r="A515" s="2" t="str">
        <x:v>62044300_IN_202511_IMPORT</x:v>
      </x:c>
      <x:c r="B515" s="2" t="n">
        <x:v>202511</x:v>
      </x:c>
      <x:c r="C515" s="2" t="str">
        <x:v>62044300</x:v>
      </x:c>
      <x:c r="D515" s="2" t="str">
        <x:v>India</x:v>
      </x:c>
      <x:c r="E515" s="16" t="n">
        <x:v>1896519</x:v>
      </x:c>
      <x:c r="F515" s="16" t="n">
        <x:v>46594</x:v>
      </x:c>
      <x:c r="G515" s="2" t="str">
        <x:v>WITHIN_BAND</x:v>
      </x:c>
      <x:c r="H515" s="2" t="n">
        <x:v>1</x:v>
      </x:c>
      <x:c r="I515" s="2" t="n">
        <x:f>IF(AND(COUNTIFS($B$6:$B$797,B515,$C$6:$C$797,C515)=11,COUNTIFS($B$6:$B$797,B515,$C$6:$C$797,C515,$G$6:$G$797,"REVIEW")=0,COUNTIFS($B$6:$B$797,B515,$C$6:$C$797,C515,$H$6:$H$797,1)=11,COUNTIFS($B$6:$B$797,B515,$C$6:$C$797,C515,$F$6:$F$797,"&gt;0")=11),1,0)</x:f>
        <x:v>1</x:v>
      </x:c>
      <x:c r="J515" s="2" t="n">
        <x:f>COUNTIFS($A$6:$A$797,A515)</x:f>
        <x:v>1</x:v>
      </x:c>
    </x:row>
    <x:row r="516" ht="23" customHeight="1">
      <x:c r="A516" s="2" t="str">
        <x:v>62044300_MA_202511_IMPORT</x:v>
      </x:c>
      <x:c r="B516" s="2" t="n">
        <x:v>202511</x:v>
      </x:c>
      <x:c r="C516" s="2" t="str">
        <x:v>62044300</x:v>
      </x:c>
      <x:c r="D516" s="2" t="str">
        <x:v>Morocco</x:v>
      </x:c>
      <x:c r="E516" s="16" t="n">
        <x:v>414746</x:v>
      </x:c>
      <x:c r="F516" s="16" t="n">
        <x:v>16702</x:v>
      </x:c>
      <x:c r="G516" s="2" t="str">
        <x:v>WITHIN_BAND</x:v>
      </x:c>
      <x:c r="H516" s="2" t="n">
        <x:v>1</x:v>
      </x:c>
      <x:c r="I516" s="2" t="n">
        <x:f>IF(AND(COUNTIFS($B$6:$B$797,B516,$C$6:$C$797,C516)=11,COUNTIFS($B$6:$B$797,B516,$C$6:$C$797,C516,$G$6:$G$797,"REVIEW")=0,COUNTIFS($B$6:$B$797,B516,$C$6:$C$797,C516,$H$6:$H$797,1)=11,COUNTIFS($B$6:$B$797,B516,$C$6:$C$797,C516,$F$6:$F$797,"&gt;0")=11),1,0)</x:f>
        <x:v>1</x:v>
      </x:c>
      <x:c r="J516" s="2" t="n">
        <x:f>COUNTIFS($A$6:$A$797,A516)</x:f>
        <x:v>1</x:v>
      </x:c>
    </x:row>
    <x:row r="517" ht="23" customHeight="1">
      <x:c r="A517" s="2" t="str">
        <x:v>62044300_MM_202511_IMPORT</x:v>
      </x:c>
      <x:c r="B517" s="2" t="n">
        <x:v>202511</x:v>
      </x:c>
      <x:c r="C517" s="2" t="str">
        <x:v>62044300</x:v>
      </x:c>
      <x:c r="D517" s="2" t="str">
        <x:v>Myanmar</x:v>
      </x:c>
      <x:c r="E517" s="16" t="n">
        <x:v>707696</x:v>
      </x:c>
      <x:c r="F517" s="16" t="n">
        <x:v>10946</x:v>
      </x:c>
      <x:c r="G517" s="2" t="str">
        <x:v>WITHIN_BAND</x:v>
      </x:c>
      <x:c r="H517" s="2" t="n">
        <x:v>1</x:v>
      </x:c>
      <x:c r="I517" s="2" t="n">
        <x:f>IF(AND(COUNTIFS($B$6:$B$797,B517,$C$6:$C$797,C517)=11,COUNTIFS($B$6:$B$797,B517,$C$6:$C$797,C517,$G$6:$G$797,"REVIEW")=0,COUNTIFS($B$6:$B$797,B517,$C$6:$C$797,C517,$H$6:$H$797,1)=11,COUNTIFS($B$6:$B$797,B517,$C$6:$C$797,C517,$F$6:$F$797,"&gt;0")=11),1,0)</x:f>
        <x:v>1</x:v>
      </x:c>
      <x:c r="J517" s="2" t="n">
        <x:f>COUNTIFS($A$6:$A$797,A517)</x:f>
        <x:v>1</x:v>
      </x:c>
    </x:row>
    <x:row r="518" ht="23" customHeight="1">
      <x:c r="A518" s="2" t="str">
        <x:v>62044300_PK_202511_IMPORT</x:v>
      </x:c>
      <x:c r="B518" s="2" t="n">
        <x:v>202511</x:v>
      </x:c>
      <x:c r="C518" s="2" t="str">
        <x:v>62044300</x:v>
      </x:c>
      <x:c r="D518" s="2" t="str">
        <x:v>Pakistan</x:v>
      </x:c>
      <x:c r="E518" s="16" t="n">
        <x:v>143418</x:v>
      </x:c>
      <x:c r="F518" s="16" t="n">
        <x:v>10184</x:v>
      </x:c>
      <x:c r="G518" s="2" t="str">
        <x:v>WITHIN_BAND</x:v>
      </x:c>
      <x:c r="H518" s="2" t="n">
        <x:v>1</x:v>
      </x:c>
      <x:c r="I518" s="2" t="n">
        <x:f>IF(AND(COUNTIFS($B$6:$B$797,B518,$C$6:$C$797,C518)=11,COUNTIFS($B$6:$B$797,B518,$C$6:$C$797,C518,$G$6:$G$797,"REVIEW")=0,COUNTIFS($B$6:$B$797,B518,$C$6:$C$797,C518,$H$6:$H$797,1)=11,COUNTIFS($B$6:$B$797,B518,$C$6:$C$797,C518,$F$6:$F$797,"&gt;0")=11),1,0)</x:f>
        <x:v>1</x:v>
      </x:c>
      <x:c r="J518" s="2" t="n">
        <x:f>COUNTIFS($A$6:$A$797,A518)</x:f>
        <x:v>1</x:v>
      </x:c>
    </x:row>
    <x:row r="519" ht="23" customHeight="1">
      <x:c r="A519" s="2" t="str">
        <x:v>62044300_LK_202511_IMPORT</x:v>
      </x:c>
      <x:c r="B519" s="2" t="n">
        <x:v>202511</x:v>
      </x:c>
      <x:c r="C519" s="2" t="str">
        <x:v>62044300</x:v>
      </x:c>
      <x:c r="D519" s="2" t="str">
        <x:v>Sri Lanka</x:v>
      </x:c>
      <x:c r="E519" s="16" t="n">
        <x:v>548287</x:v>
      </x:c>
      <x:c r="F519" s="16" t="n">
        <x:v>24422</x:v>
      </x:c>
      <x:c r="G519" s="2" t="str">
        <x:v>WITHIN_BAND</x:v>
      </x:c>
      <x:c r="H519" s="2" t="n">
        <x:v>1</x:v>
      </x:c>
      <x:c r="I519" s="2" t="n">
        <x:f>IF(AND(COUNTIFS($B$6:$B$797,B519,$C$6:$C$797,C519)=11,COUNTIFS($B$6:$B$797,B519,$C$6:$C$797,C519,$G$6:$G$797,"REVIEW")=0,COUNTIFS($B$6:$B$797,B519,$C$6:$C$797,C519,$H$6:$H$797,1)=11,COUNTIFS($B$6:$B$797,B519,$C$6:$C$797,C519,$F$6:$F$797,"&gt;0")=11),1,0)</x:f>
        <x:v>1</x:v>
      </x:c>
      <x:c r="J519" s="2" t="n">
        <x:f>COUNTIFS($A$6:$A$797,A519)</x:f>
        <x:v>1</x:v>
      </x:c>
    </x:row>
    <x:row r="520" ht="23" customHeight="1">
      <x:c r="A520" s="2" t="str">
        <x:v>62044300_TR_202511_IMPORT</x:v>
      </x:c>
      <x:c r="B520" s="2" t="n">
        <x:v>202511</x:v>
      </x:c>
      <x:c r="C520" s="2" t="str">
        <x:v>62044300</x:v>
      </x:c>
      <x:c r="D520" s="2" t="str">
        <x:v>Turkey</x:v>
      </x:c>
      <x:c r="E520" s="16" t="n">
        <x:v>650121</x:v>
      </x:c>
      <x:c r="F520" s="16" t="n">
        <x:v>19390</x:v>
      </x:c>
      <x:c r="G520" s="2" t="str">
        <x:v>WITHIN_BAND</x:v>
      </x:c>
      <x:c r="H520" s="2" t="n">
        <x:v>1</x:v>
      </x:c>
      <x:c r="I520" s="2" t="n">
        <x:f>IF(AND(COUNTIFS($B$6:$B$797,B520,$C$6:$C$797,C520)=11,COUNTIFS($B$6:$B$797,B520,$C$6:$C$797,C520,$G$6:$G$797,"REVIEW")=0,COUNTIFS($B$6:$B$797,B520,$C$6:$C$797,C520,$H$6:$H$797,1)=11,COUNTIFS($B$6:$B$797,B520,$C$6:$C$797,C520,$F$6:$F$797,"&gt;0")=11),1,0)</x:f>
        <x:v>1</x:v>
      </x:c>
      <x:c r="J520" s="2" t="n">
        <x:f>COUNTIFS($A$6:$A$797,A520)</x:f>
        <x:v>1</x:v>
      </x:c>
    </x:row>
    <x:row r="521" ht="23" customHeight="1">
      <x:c r="A521" s="2" t="str">
        <x:v>62044300_VN_202511_IMPORT</x:v>
      </x:c>
      <x:c r="B521" s="2" t="n">
        <x:v>202511</x:v>
      </x:c>
      <x:c r="C521" s="2" t="str">
        <x:v>62044300</x:v>
      </x:c>
      <x:c r="D521" s="2" t="str">
        <x:v>Vietnam</x:v>
      </x:c>
      <x:c r="E521" s="16" t="n">
        <x:v>397783</x:v>
      </x:c>
      <x:c r="F521" s="16" t="n">
        <x:v>13972</x:v>
      </x:c>
      <x:c r="G521" s="2" t="str">
        <x:v>WITHIN_BAND</x:v>
      </x:c>
      <x:c r="H521" s="2" t="n">
        <x:v>1</x:v>
      </x:c>
      <x:c r="I521" s="2" t="n">
        <x:f>IF(AND(COUNTIFS($B$6:$B$797,B521,$C$6:$C$797,C521)=11,COUNTIFS($B$6:$B$797,B521,$C$6:$C$797,C521,$G$6:$G$797,"REVIEW")=0,COUNTIFS($B$6:$B$797,B521,$C$6:$C$797,C521,$H$6:$H$797,1)=11,COUNTIFS($B$6:$B$797,B521,$C$6:$C$797,C521,$F$6:$F$797,"&gt;0")=11),1,0)</x:f>
        <x:v>1</x:v>
      </x:c>
      <x:c r="J521" s="2" t="n">
        <x:f>COUNTIFS($A$6:$A$797,A521)</x:f>
        <x:v>1</x:v>
      </x:c>
    </x:row>
    <x:row r="522" ht="23" customHeight="1">
      <x:c r="A522" s="2" t="str">
        <x:v>62044300_WORLD_202511_IMPORT</x:v>
      </x:c>
      <x:c r="B522" s="2" t="n">
        <x:v>202511</x:v>
      </x:c>
      <x:c r="C522" s="2" t="str">
        <x:v>62044300</x:v>
      </x:c>
      <x:c r="D522" s="2" t="str">
        <x:v>World</x:v>
      </x:c>
      <x:c r="E522" s="16" t="n">
        <x:v>27432638</x:v>
      </x:c>
      <x:c r="F522" s="16" t="n">
        <x:v>674388</x:v>
      </x:c>
      <x:c r="G522" s="2" t="str">
        <x:v>WITHIN_BAND</x:v>
      </x:c>
      <x:c r="H522" s="2" t="n">
        <x:v>1</x:v>
      </x:c>
      <x:c r="I522" s="2" t="n">
        <x:f>IF(AND(COUNTIFS($B$6:$B$797,B522,$C$6:$C$797,C522)=11,COUNTIFS($B$6:$B$797,B522,$C$6:$C$797,C522,$G$6:$G$797,"REVIEW")=0,COUNTIFS($B$6:$B$797,B522,$C$6:$C$797,C522,$H$6:$H$797,1)=11,COUNTIFS($B$6:$B$797,B522,$C$6:$C$797,C522,$F$6:$F$797,"&gt;0")=11),1,0)</x:f>
        <x:v>1</x:v>
      </x:c>
      <x:c r="J522" s="2" t="n">
        <x:f>COUNTIFS($A$6:$A$797,A522)</x:f>
        <x:v>1</x:v>
      </x:c>
    </x:row>
    <x:row r="523" ht="23" customHeight="1">
      <x:c r="A523" s="2" t="str">
        <x:v>62044300_BD_202512_IMPORT</x:v>
      </x:c>
      <x:c r="B523" s="2" t="n">
        <x:v>202512</x:v>
      </x:c>
      <x:c r="C523" s="2" t="str">
        <x:v>62044300</x:v>
      </x:c>
      <x:c r="D523" s="2" t="str">
        <x:v>Bangladesh</x:v>
      </x:c>
      <x:c r="E523" s="16" t="n">
        <x:v>551183</x:v>
      </x:c>
      <x:c r="F523" s="16" t="n">
        <x:v>32756</x:v>
      </x:c>
      <x:c r="G523" s="2" t="str">
        <x:v>WITHIN_BAND</x:v>
      </x:c>
      <x:c r="H523" s="2" t="n">
        <x:v>1</x:v>
      </x:c>
      <x:c r="I523" s="2" t="n">
        <x:f>IF(AND(COUNTIFS($B$6:$B$797,B523,$C$6:$C$797,C523)=11,COUNTIFS($B$6:$B$797,B523,$C$6:$C$797,C523,$G$6:$G$797,"REVIEW")=0,COUNTIFS($B$6:$B$797,B523,$C$6:$C$797,C523,$H$6:$H$797,1)=11,COUNTIFS($B$6:$B$797,B523,$C$6:$C$797,C523,$F$6:$F$797,"&gt;0")=11),1,0)</x:f>
        <x:v>1</x:v>
      </x:c>
      <x:c r="J523" s="2" t="n">
        <x:f>COUNTIFS($A$6:$A$797,A523)</x:f>
        <x:v>1</x:v>
      </x:c>
    </x:row>
    <x:row r="524" ht="23" customHeight="1">
      <x:c r="A524" s="2" t="str">
        <x:v>62044300_KH_202512_IMPORT</x:v>
      </x:c>
      <x:c r="B524" s="2" t="n">
        <x:v>202512</x:v>
      </x:c>
      <x:c r="C524" s="2" t="str">
        <x:v>62044300</x:v>
      </x:c>
      <x:c r="D524" s="2" t="str">
        <x:v>Cambodia</x:v>
      </x:c>
      <x:c r="E524" s="16" t="n">
        <x:v>44231</x:v>
      </x:c>
      <x:c r="F524" s="16" t="n">
        <x:v>1886</x:v>
      </x:c>
      <x:c r="G524" s="2" t="str">
        <x:v>WITHIN_BAND</x:v>
      </x:c>
      <x:c r="H524" s="2" t="n">
        <x:v>1</x:v>
      </x:c>
      <x:c r="I524" s="2" t="n">
        <x:f>IF(AND(COUNTIFS($B$6:$B$797,B524,$C$6:$C$797,C524)=11,COUNTIFS($B$6:$B$797,B524,$C$6:$C$797,C524,$G$6:$G$797,"REVIEW")=0,COUNTIFS($B$6:$B$797,B524,$C$6:$C$797,C524,$H$6:$H$797,1)=11,COUNTIFS($B$6:$B$797,B524,$C$6:$C$797,C524,$F$6:$F$797,"&gt;0")=11),1,0)</x:f>
        <x:v>1</x:v>
      </x:c>
      <x:c r="J524" s="2" t="n">
        <x:f>COUNTIFS($A$6:$A$797,A524)</x:f>
        <x:v>1</x:v>
      </x:c>
    </x:row>
    <x:row r="525" ht="23" customHeight="1">
      <x:c r="A525" s="2" t="str">
        <x:v>62044300_CN_202512_IMPORT</x:v>
      </x:c>
      <x:c r="B525" s="2" t="n">
        <x:v>202512</x:v>
      </x:c>
      <x:c r="C525" s="2" t="str">
        <x:v>62044300</x:v>
      </x:c>
      <x:c r="D525" s="2" t="str">
        <x:v>China</x:v>
      </x:c>
      <x:c r="E525" s="16" t="n">
        <x:v>7773519</x:v>
      </x:c>
      <x:c r="F525" s="16" t="n">
        <x:v>279783</x:v>
      </x:c>
      <x:c r="G525" s="2" t="str">
        <x:v>WITHIN_BAND</x:v>
      </x:c>
      <x:c r="H525" s="2" t="n">
        <x:v>1</x:v>
      </x:c>
      <x:c r="I525" s="2" t="n">
        <x:f>IF(AND(COUNTIFS($B$6:$B$797,B525,$C$6:$C$797,C525)=11,COUNTIFS($B$6:$B$797,B525,$C$6:$C$797,C525,$G$6:$G$797,"REVIEW")=0,COUNTIFS($B$6:$B$797,B525,$C$6:$C$797,C525,$H$6:$H$797,1)=11,COUNTIFS($B$6:$B$797,B525,$C$6:$C$797,C525,$F$6:$F$797,"&gt;0")=11),1,0)</x:f>
        <x:v>1</x:v>
      </x:c>
      <x:c r="J525" s="2" t="n">
        <x:f>COUNTIFS($A$6:$A$797,A525)</x:f>
        <x:v>1</x:v>
      </x:c>
    </x:row>
    <x:row r="526" ht="23" customHeight="1">
      <x:c r="A526" s="2" t="str">
        <x:v>62044300_IN_202512_IMPORT</x:v>
      </x:c>
      <x:c r="B526" s="2" t="n">
        <x:v>202512</x:v>
      </x:c>
      <x:c r="C526" s="2" t="str">
        <x:v>62044300</x:v>
      </x:c>
      <x:c r="D526" s="2" t="str">
        <x:v>India</x:v>
      </x:c>
      <x:c r="E526" s="16" t="n">
        <x:v>1823559</x:v>
      </x:c>
      <x:c r="F526" s="16" t="n">
        <x:v>57167</x:v>
      </x:c>
      <x:c r="G526" s="2" t="str">
        <x:v>WITHIN_BAND</x:v>
      </x:c>
      <x:c r="H526" s="2" t="n">
        <x:v>1</x:v>
      </x:c>
      <x:c r="I526" s="2" t="n">
        <x:f>IF(AND(COUNTIFS($B$6:$B$797,B526,$C$6:$C$797,C526)=11,COUNTIFS($B$6:$B$797,B526,$C$6:$C$797,C526,$G$6:$G$797,"REVIEW")=0,COUNTIFS($B$6:$B$797,B526,$C$6:$C$797,C526,$H$6:$H$797,1)=11,COUNTIFS($B$6:$B$797,B526,$C$6:$C$797,C526,$F$6:$F$797,"&gt;0")=11),1,0)</x:f>
        <x:v>1</x:v>
      </x:c>
      <x:c r="J526" s="2" t="n">
        <x:f>COUNTIFS($A$6:$A$797,A526)</x:f>
        <x:v>1</x:v>
      </x:c>
    </x:row>
    <x:row r="527" ht="23" customHeight="1">
      <x:c r="A527" s="2" t="str">
        <x:v>62044300_MA_202512_IMPORT</x:v>
      </x:c>
      <x:c r="B527" s="2" t="n">
        <x:v>202512</x:v>
      </x:c>
      <x:c r="C527" s="2" t="str">
        <x:v>62044300</x:v>
      </x:c>
      <x:c r="D527" s="2" t="str">
        <x:v>Morocco</x:v>
      </x:c>
      <x:c r="E527" s="16" t="n">
        <x:v>603858</x:v>
      </x:c>
      <x:c r="F527" s="16" t="n">
        <x:v>22614</x:v>
      </x:c>
      <x:c r="G527" s="2" t="str">
        <x:v>WITHIN_BAND</x:v>
      </x:c>
      <x:c r="H527" s="2" t="n">
        <x:v>1</x:v>
      </x:c>
      <x:c r="I527" s="2" t="n">
        <x:f>IF(AND(COUNTIFS($B$6:$B$797,B527,$C$6:$C$797,C527)=11,COUNTIFS($B$6:$B$797,B527,$C$6:$C$797,C527,$G$6:$G$797,"REVIEW")=0,COUNTIFS($B$6:$B$797,B527,$C$6:$C$797,C527,$H$6:$H$797,1)=11,COUNTIFS($B$6:$B$797,B527,$C$6:$C$797,C527,$F$6:$F$797,"&gt;0")=11),1,0)</x:f>
        <x:v>1</x:v>
      </x:c>
      <x:c r="J527" s="2" t="n">
        <x:f>COUNTIFS($A$6:$A$797,A527)</x:f>
        <x:v>1</x:v>
      </x:c>
    </x:row>
    <x:row r="528" ht="23" customHeight="1">
      <x:c r="A528" s="2" t="str">
        <x:v>62044300_MM_202512_IMPORT</x:v>
      </x:c>
      <x:c r="B528" s="2" t="n">
        <x:v>202512</x:v>
      </x:c>
      <x:c r="C528" s="2" t="str">
        <x:v>62044300</x:v>
      </x:c>
      <x:c r="D528" s="2" t="str">
        <x:v>Myanmar</x:v>
      </x:c>
      <x:c r="E528" s="16" t="n">
        <x:v>651035</x:v>
      </x:c>
      <x:c r="F528" s="16" t="n">
        <x:v>10269</x:v>
      </x:c>
      <x:c r="G528" s="2" t="str">
        <x:v>WITHIN_BAND</x:v>
      </x:c>
      <x:c r="H528" s="2" t="n">
        <x:v>1</x:v>
      </x:c>
      <x:c r="I528" s="2" t="n">
        <x:f>IF(AND(COUNTIFS($B$6:$B$797,B528,$C$6:$C$797,C528)=11,COUNTIFS($B$6:$B$797,B528,$C$6:$C$797,C528,$G$6:$G$797,"REVIEW")=0,COUNTIFS($B$6:$B$797,B528,$C$6:$C$797,C528,$H$6:$H$797,1)=11,COUNTIFS($B$6:$B$797,B528,$C$6:$C$797,C528,$F$6:$F$797,"&gt;0")=11),1,0)</x:f>
        <x:v>1</x:v>
      </x:c>
      <x:c r="J528" s="2" t="n">
        <x:f>COUNTIFS($A$6:$A$797,A528)</x:f>
        <x:v>1</x:v>
      </x:c>
    </x:row>
    <x:row r="529" ht="23" customHeight="1">
      <x:c r="A529" s="2" t="str">
        <x:v>62044300_PK_202512_IMPORT</x:v>
      </x:c>
      <x:c r="B529" s="2" t="n">
        <x:v>202512</x:v>
      </x:c>
      <x:c r="C529" s="2" t="str">
        <x:v>62044300</x:v>
      </x:c>
      <x:c r="D529" s="2" t="str">
        <x:v>Pakistan</x:v>
      </x:c>
      <x:c r="E529" s="16" t="n">
        <x:v>39974</x:v>
      </x:c>
      <x:c r="F529" s="16" t="n">
        <x:v>1290</x:v>
      </x:c>
      <x:c r="G529" s="2" t="str">
        <x:v>WITHIN_BAND</x:v>
      </x:c>
      <x:c r="H529" s="2" t="n">
        <x:v>1</x:v>
      </x:c>
      <x:c r="I529" s="2" t="n">
        <x:f>IF(AND(COUNTIFS($B$6:$B$797,B529,$C$6:$C$797,C529)=11,COUNTIFS($B$6:$B$797,B529,$C$6:$C$797,C529,$G$6:$G$797,"REVIEW")=0,COUNTIFS($B$6:$B$797,B529,$C$6:$C$797,C529,$H$6:$H$797,1)=11,COUNTIFS($B$6:$B$797,B529,$C$6:$C$797,C529,$F$6:$F$797,"&gt;0")=11),1,0)</x:f>
        <x:v>1</x:v>
      </x:c>
      <x:c r="J529" s="2" t="n">
        <x:f>COUNTIFS($A$6:$A$797,A529)</x:f>
        <x:v>1</x:v>
      </x:c>
    </x:row>
    <x:row r="530" ht="23" customHeight="1">
      <x:c r="A530" s="2" t="str">
        <x:v>62044300_LK_202512_IMPORT</x:v>
      </x:c>
      <x:c r="B530" s="2" t="n">
        <x:v>202512</x:v>
      </x:c>
      <x:c r="C530" s="2" t="str">
        <x:v>62044300</x:v>
      </x:c>
      <x:c r="D530" s="2" t="str">
        <x:v>Sri Lanka</x:v>
      </x:c>
      <x:c r="E530" s="16" t="n">
        <x:v>306787</x:v>
      </x:c>
      <x:c r="F530" s="16" t="n">
        <x:v>15388</x:v>
      </x:c>
      <x:c r="G530" s="2" t="str">
        <x:v>WITHIN_BAND</x:v>
      </x:c>
      <x:c r="H530" s="2" t="n">
        <x:v>1</x:v>
      </x:c>
      <x:c r="I530" s="2" t="n">
        <x:f>IF(AND(COUNTIFS($B$6:$B$797,B530,$C$6:$C$797,C530)=11,COUNTIFS($B$6:$B$797,B530,$C$6:$C$797,C530,$G$6:$G$797,"REVIEW")=0,COUNTIFS($B$6:$B$797,B530,$C$6:$C$797,C530,$H$6:$H$797,1)=11,COUNTIFS($B$6:$B$797,B530,$C$6:$C$797,C530,$F$6:$F$797,"&gt;0")=11),1,0)</x:f>
        <x:v>1</x:v>
      </x:c>
      <x:c r="J530" s="2" t="n">
        <x:f>COUNTIFS($A$6:$A$797,A530)</x:f>
        <x:v>1</x:v>
      </x:c>
    </x:row>
    <x:row r="531" ht="23" customHeight="1">
      <x:c r="A531" s="2" t="str">
        <x:v>62044300_TR_202512_IMPORT</x:v>
      </x:c>
      <x:c r="B531" s="2" t="n">
        <x:v>202512</x:v>
      </x:c>
      <x:c r="C531" s="2" t="str">
        <x:v>62044300</x:v>
      </x:c>
      <x:c r="D531" s="2" t="str">
        <x:v>Turkey</x:v>
      </x:c>
      <x:c r="E531" s="16" t="n">
        <x:v>454511</x:v>
      </x:c>
      <x:c r="F531" s="16" t="n">
        <x:v>13207</x:v>
      </x:c>
      <x:c r="G531" s="2" t="str">
        <x:v>WITHIN_BAND</x:v>
      </x:c>
      <x:c r="H531" s="2" t="n">
        <x:v>1</x:v>
      </x:c>
      <x:c r="I531" s="2" t="n">
        <x:f>IF(AND(COUNTIFS($B$6:$B$797,B531,$C$6:$C$797,C531)=11,COUNTIFS($B$6:$B$797,B531,$C$6:$C$797,C531,$G$6:$G$797,"REVIEW")=0,COUNTIFS($B$6:$B$797,B531,$C$6:$C$797,C531,$H$6:$H$797,1)=11,COUNTIFS($B$6:$B$797,B531,$C$6:$C$797,C531,$F$6:$F$797,"&gt;0")=11),1,0)</x:f>
        <x:v>1</x:v>
      </x:c>
      <x:c r="J531" s="2" t="n">
        <x:f>COUNTIFS($A$6:$A$797,A531)</x:f>
        <x:v>1</x:v>
      </x:c>
    </x:row>
    <x:row r="532" ht="23" customHeight="1">
      <x:c r="A532" s="2" t="str">
        <x:v>62044300_VN_202512_IMPORT</x:v>
      </x:c>
      <x:c r="B532" s="2" t="n">
        <x:v>202512</x:v>
      </x:c>
      <x:c r="C532" s="2" t="str">
        <x:v>62044300</x:v>
      </x:c>
      <x:c r="D532" s="2" t="str">
        <x:v>Vietnam</x:v>
      </x:c>
      <x:c r="E532" s="16" t="n">
        <x:v>505566</x:v>
      </x:c>
      <x:c r="F532" s="16" t="n">
        <x:v>16957</x:v>
      </x:c>
      <x:c r="G532" s="2" t="str">
        <x:v>WITHIN_BAND</x:v>
      </x:c>
      <x:c r="H532" s="2" t="n">
        <x:v>1</x:v>
      </x:c>
      <x:c r="I532" s="2" t="n">
        <x:f>IF(AND(COUNTIFS($B$6:$B$797,B532,$C$6:$C$797,C532)=11,COUNTIFS($B$6:$B$797,B532,$C$6:$C$797,C532,$G$6:$G$797,"REVIEW")=0,COUNTIFS($B$6:$B$797,B532,$C$6:$C$797,C532,$H$6:$H$797,1)=11,COUNTIFS($B$6:$B$797,B532,$C$6:$C$797,C532,$F$6:$F$797,"&gt;0")=11),1,0)</x:f>
        <x:v>1</x:v>
      </x:c>
      <x:c r="J532" s="2" t="n">
        <x:f>COUNTIFS($A$6:$A$797,A532)</x:f>
        <x:v>1</x:v>
      </x:c>
    </x:row>
    <x:row r="533" ht="23" customHeight="1">
      <x:c r="A533" s="2" t="str">
        <x:v>62044300_WORLD_202512_IMPORT</x:v>
      </x:c>
      <x:c r="B533" s="2" t="n">
        <x:v>202512</x:v>
      </x:c>
      <x:c r="C533" s="2" t="str">
        <x:v>62044300</x:v>
      </x:c>
      <x:c r="D533" s="2" t="str">
        <x:v>World</x:v>
      </x:c>
      <x:c r="E533" s="16" t="n">
        <x:v>26718903</x:v>
      </x:c>
      <x:c r="F533" s="16" t="n">
        <x:v>613645</x:v>
      </x:c>
      <x:c r="G533" s="2" t="str">
        <x:v>WITHIN_BAND</x:v>
      </x:c>
      <x:c r="H533" s="2" t="n">
        <x:v>1</x:v>
      </x:c>
      <x:c r="I533" s="2" t="n">
        <x:f>IF(AND(COUNTIFS($B$6:$B$797,B533,$C$6:$C$797,C533)=11,COUNTIFS($B$6:$B$797,B533,$C$6:$C$797,C533,$G$6:$G$797,"REVIEW")=0,COUNTIFS($B$6:$B$797,B533,$C$6:$C$797,C533,$H$6:$H$797,1)=11,COUNTIFS($B$6:$B$797,B533,$C$6:$C$797,C533,$F$6:$F$797,"&gt;0")=11),1,0)</x:f>
        <x:v>1</x:v>
      </x:c>
      <x:c r="J533" s="2" t="n">
        <x:f>COUNTIFS($A$6:$A$797,A533)</x:f>
        <x:v>1</x:v>
      </x:c>
    </x:row>
    <x:row r="534" ht="23" customHeight="1">
      <x:c r="A534" s="2" t="str">
        <x:v>62044300_BD_202601_IMPORT</x:v>
      </x:c>
      <x:c r="B534" s="2" t="n">
        <x:v>202601</x:v>
      </x:c>
      <x:c r="C534" s="2" t="str">
        <x:v>62044300</x:v>
      </x:c>
      <x:c r="D534" s="2" t="str">
        <x:v>Bangladesh</x:v>
      </x:c>
      <x:c r="E534" s="16" t="n">
        <x:v>714993</x:v>
      </x:c>
      <x:c r="F534" s="16" t="n">
        <x:v>48484</x:v>
      </x:c>
      <x:c r="G534" s="2" t="str">
        <x:v>WITHIN_BAND</x:v>
      </x:c>
      <x:c r="H534" s="2" t="n">
        <x:v>1</x:v>
      </x:c>
      <x:c r="I534" s="2" t="n">
        <x:f>IF(AND(COUNTIFS($B$6:$B$797,B534,$C$6:$C$797,C534)=11,COUNTIFS($B$6:$B$797,B534,$C$6:$C$797,C534,$G$6:$G$797,"REVIEW")=0,COUNTIFS($B$6:$B$797,B534,$C$6:$C$797,C534,$H$6:$H$797,1)=11,COUNTIFS($B$6:$B$797,B534,$C$6:$C$797,C534,$F$6:$F$797,"&gt;0")=11),1,0)</x:f>
        <x:v>1</x:v>
      </x:c>
      <x:c r="J534" s="2" t="n">
        <x:f>COUNTIFS($A$6:$A$797,A534)</x:f>
        <x:v>1</x:v>
      </x:c>
    </x:row>
    <x:row r="535" ht="23" customHeight="1">
      <x:c r="A535" s="2" t="str">
        <x:v>62044300_KH_202601_IMPORT</x:v>
      </x:c>
      <x:c r="B535" s="2" t="n">
        <x:v>202601</x:v>
      </x:c>
      <x:c r="C535" s="2" t="str">
        <x:v>62044300</x:v>
      </x:c>
      <x:c r="D535" s="2" t="str">
        <x:v>Cambodia</x:v>
      </x:c>
      <x:c r="E535" s="16" t="n">
        <x:v>93092</x:v>
      </x:c>
      <x:c r="F535" s="16" t="n">
        <x:v>4768</x:v>
      </x:c>
      <x:c r="G535" s="2" t="str">
        <x:v>WITHIN_BAND</x:v>
      </x:c>
      <x:c r="H535" s="2" t="n">
        <x:v>1</x:v>
      </x:c>
      <x:c r="I535" s="2" t="n">
        <x:f>IF(AND(COUNTIFS($B$6:$B$797,B535,$C$6:$C$797,C535)=11,COUNTIFS($B$6:$B$797,B535,$C$6:$C$797,C535,$G$6:$G$797,"REVIEW")=0,COUNTIFS($B$6:$B$797,B535,$C$6:$C$797,C535,$H$6:$H$797,1)=11,COUNTIFS($B$6:$B$797,B535,$C$6:$C$797,C535,$F$6:$F$797,"&gt;0")=11),1,0)</x:f>
        <x:v>1</x:v>
      </x:c>
      <x:c r="J535" s="2" t="n">
        <x:f>COUNTIFS($A$6:$A$797,A535)</x:f>
        <x:v>1</x:v>
      </x:c>
    </x:row>
    <x:row r="536" ht="23" customHeight="1">
      <x:c r="A536" s="2" t="str">
        <x:v>62044300_CN_202601_IMPORT</x:v>
      </x:c>
      <x:c r="B536" s="2" t="n">
        <x:v>202601</x:v>
      </x:c>
      <x:c r="C536" s="2" t="str">
        <x:v>62044300</x:v>
      </x:c>
      <x:c r="D536" s="2" t="str">
        <x:v>China</x:v>
      </x:c>
      <x:c r="E536" s="16" t="n">
        <x:v>9507364</x:v>
      </x:c>
      <x:c r="F536" s="16" t="n">
        <x:v>324155</x:v>
      </x:c>
      <x:c r="G536" s="2" t="str">
        <x:v>WITHIN_BAND</x:v>
      </x:c>
      <x:c r="H536" s="2" t="n">
        <x:v>1</x:v>
      </x:c>
      <x:c r="I536" s="2" t="n">
        <x:f>IF(AND(COUNTIFS($B$6:$B$797,B536,$C$6:$C$797,C536)=11,COUNTIFS($B$6:$B$797,B536,$C$6:$C$797,C536,$G$6:$G$797,"REVIEW")=0,COUNTIFS($B$6:$B$797,B536,$C$6:$C$797,C536,$H$6:$H$797,1)=11,COUNTIFS($B$6:$B$797,B536,$C$6:$C$797,C536,$F$6:$F$797,"&gt;0")=11),1,0)</x:f>
        <x:v>1</x:v>
      </x:c>
      <x:c r="J536" s="2" t="n">
        <x:f>COUNTIFS($A$6:$A$797,A536)</x:f>
        <x:v>1</x:v>
      </x:c>
    </x:row>
    <x:row r="537" ht="23" customHeight="1">
      <x:c r="A537" s="2" t="str">
        <x:v>62044300_IN_202601_IMPORT</x:v>
      </x:c>
      <x:c r="B537" s="2" t="n">
        <x:v>202601</x:v>
      </x:c>
      <x:c r="C537" s="2" t="str">
        <x:v>62044300</x:v>
      </x:c>
      <x:c r="D537" s="2" t="str">
        <x:v>India</x:v>
      </x:c>
      <x:c r="E537" s="16" t="n">
        <x:v>4740498</x:v>
      </x:c>
      <x:c r="F537" s="16" t="n">
        <x:v>137380</x:v>
      </x:c>
      <x:c r="G537" s="2" t="str">
        <x:v>WITHIN_BAND</x:v>
      </x:c>
      <x:c r="H537" s="2" t="n">
        <x:v>1</x:v>
      </x:c>
      <x:c r="I537" s="2" t="n">
        <x:f>IF(AND(COUNTIFS($B$6:$B$797,B537,$C$6:$C$797,C537)=11,COUNTIFS($B$6:$B$797,B537,$C$6:$C$797,C537,$G$6:$G$797,"REVIEW")=0,COUNTIFS($B$6:$B$797,B537,$C$6:$C$797,C537,$H$6:$H$797,1)=11,COUNTIFS($B$6:$B$797,B537,$C$6:$C$797,C537,$F$6:$F$797,"&gt;0")=11),1,0)</x:f>
        <x:v>1</x:v>
      </x:c>
      <x:c r="J537" s="2" t="n">
        <x:f>COUNTIFS($A$6:$A$797,A537)</x:f>
        <x:v>1</x:v>
      </x:c>
    </x:row>
    <x:row r="538" ht="23" customHeight="1">
      <x:c r="A538" s="2" t="str">
        <x:v>62044300_MA_202601_IMPORT</x:v>
      </x:c>
      <x:c r="B538" s="2" t="n">
        <x:v>202601</x:v>
      </x:c>
      <x:c r="C538" s="2" t="str">
        <x:v>62044300</x:v>
      </x:c>
      <x:c r="D538" s="2" t="str">
        <x:v>Morocco</x:v>
      </x:c>
      <x:c r="E538" s="16" t="n">
        <x:v>458486</x:v>
      </x:c>
      <x:c r="F538" s="16" t="n">
        <x:v>18391</x:v>
      </x:c>
      <x:c r="G538" s="2" t="str">
        <x:v>WITHIN_BAND</x:v>
      </x:c>
      <x:c r="H538" s="2" t="n">
        <x:v>1</x:v>
      </x:c>
      <x:c r="I538" s="2" t="n">
        <x:f>IF(AND(COUNTIFS($B$6:$B$797,B538,$C$6:$C$797,C538)=11,COUNTIFS($B$6:$B$797,B538,$C$6:$C$797,C538,$G$6:$G$797,"REVIEW")=0,COUNTIFS($B$6:$B$797,B538,$C$6:$C$797,C538,$H$6:$H$797,1)=11,COUNTIFS($B$6:$B$797,B538,$C$6:$C$797,C538,$F$6:$F$797,"&gt;0")=11),1,0)</x:f>
        <x:v>1</x:v>
      </x:c>
      <x:c r="J538" s="2" t="n">
        <x:f>COUNTIFS($A$6:$A$797,A538)</x:f>
        <x:v>1</x:v>
      </x:c>
    </x:row>
    <x:row r="539" ht="23" customHeight="1">
      <x:c r="A539" s="2" t="str">
        <x:v>62044300_MM_202601_IMPORT</x:v>
      </x:c>
      <x:c r="B539" s="2" t="n">
        <x:v>202601</x:v>
      </x:c>
      <x:c r="C539" s="2" t="str">
        <x:v>62044300</x:v>
      </x:c>
      <x:c r="D539" s="2" t="str">
        <x:v>Myanmar</x:v>
      </x:c>
      <x:c r="E539" s="16" t="n">
        <x:v>775752</x:v>
      </x:c>
      <x:c r="F539" s="16" t="n">
        <x:v>11990</x:v>
      </x:c>
      <x:c r="G539" s="2" t="str">
        <x:v>WITHIN_BAND</x:v>
      </x:c>
      <x:c r="H539" s="2" t="n">
        <x:v>1</x:v>
      </x:c>
      <x:c r="I539" s="2" t="n">
        <x:f>IF(AND(COUNTIFS($B$6:$B$797,B539,$C$6:$C$797,C539)=11,COUNTIFS($B$6:$B$797,B539,$C$6:$C$797,C539,$G$6:$G$797,"REVIEW")=0,COUNTIFS($B$6:$B$797,B539,$C$6:$C$797,C539,$H$6:$H$797,1)=11,COUNTIFS($B$6:$B$797,B539,$C$6:$C$797,C539,$F$6:$F$797,"&gt;0")=11),1,0)</x:f>
        <x:v>1</x:v>
      </x:c>
      <x:c r="J539" s="2" t="n">
        <x:f>COUNTIFS($A$6:$A$797,A539)</x:f>
        <x:v>1</x:v>
      </x:c>
    </x:row>
    <x:row r="540" ht="23" customHeight="1">
      <x:c r="A540" s="2" t="str">
        <x:v>62044300_PK_202601_IMPORT</x:v>
      </x:c>
      <x:c r="B540" s="2" t="n">
        <x:v>202601</x:v>
      </x:c>
      <x:c r="C540" s="2" t="str">
        <x:v>62044300</x:v>
      </x:c>
      <x:c r="D540" s="2" t="str">
        <x:v>Pakistan</x:v>
      </x:c>
      <x:c r="E540" s="16" t="n">
        <x:v>130348</x:v>
      </x:c>
      <x:c r="F540" s="16" t="n">
        <x:v>5561</x:v>
      </x:c>
      <x:c r="G540" s="2" t="str">
        <x:v>WITHIN_BAND</x:v>
      </x:c>
      <x:c r="H540" s="2" t="n">
        <x:v>1</x:v>
      </x:c>
      <x:c r="I540" s="2" t="n">
        <x:f>IF(AND(COUNTIFS($B$6:$B$797,B540,$C$6:$C$797,C540)=11,COUNTIFS($B$6:$B$797,B540,$C$6:$C$797,C540,$G$6:$G$797,"REVIEW")=0,COUNTIFS($B$6:$B$797,B540,$C$6:$C$797,C540,$H$6:$H$797,1)=11,COUNTIFS($B$6:$B$797,B540,$C$6:$C$797,C540,$F$6:$F$797,"&gt;0")=11),1,0)</x:f>
        <x:v>1</x:v>
      </x:c>
      <x:c r="J540" s="2" t="n">
        <x:f>COUNTIFS($A$6:$A$797,A540)</x:f>
        <x:v>1</x:v>
      </x:c>
    </x:row>
    <x:row r="541" ht="23" customHeight="1">
      <x:c r="A541" s="2" t="str">
        <x:v>62044300_LK_202601_IMPORT</x:v>
      </x:c>
      <x:c r="B541" s="2" t="n">
        <x:v>202601</x:v>
      </x:c>
      <x:c r="C541" s="2" t="str">
        <x:v>62044300</x:v>
      </x:c>
      <x:c r="D541" s="2" t="str">
        <x:v>Sri Lanka</x:v>
      </x:c>
      <x:c r="E541" s="16" t="n">
        <x:v>978105</x:v>
      </x:c>
      <x:c r="F541" s="16" t="n">
        <x:v>67126</x:v>
      </x:c>
      <x:c r="G541" s="2" t="str">
        <x:v>WITHIN_BAND</x:v>
      </x:c>
      <x:c r="H541" s="2" t="n">
        <x:v>1</x:v>
      </x:c>
      <x:c r="I541" s="2" t="n">
        <x:f>IF(AND(COUNTIFS($B$6:$B$797,B541,$C$6:$C$797,C541)=11,COUNTIFS($B$6:$B$797,B541,$C$6:$C$797,C541,$G$6:$G$797,"REVIEW")=0,COUNTIFS($B$6:$B$797,B541,$C$6:$C$797,C541,$H$6:$H$797,1)=11,COUNTIFS($B$6:$B$797,B541,$C$6:$C$797,C541,$F$6:$F$797,"&gt;0")=11),1,0)</x:f>
        <x:v>1</x:v>
      </x:c>
      <x:c r="J541" s="2" t="n">
        <x:f>COUNTIFS($A$6:$A$797,A541)</x:f>
        <x:v>1</x:v>
      </x:c>
    </x:row>
    <x:row r="542" ht="23" customHeight="1">
      <x:c r="A542" s="2" t="str">
        <x:v>62044300_TR_202601_IMPORT</x:v>
      </x:c>
      <x:c r="B542" s="2" t="n">
        <x:v>202601</x:v>
      </x:c>
      <x:c r="C542" s="2" t="str">
        <x:v>62044300</x:v>
      </x:c>
      <x:c r="D542" s="2" t="str">
        <x:v>Turkey</x:v>
      </x:c>
      <x:c r="E542" s="16" t="n">
        <x:v>260823</x:v>
      </x:c>
      <x:c r="F542" s="16" t="n">
        <x:v>8174</x:v>
      </x:c>
      <x:c r="G542" s="2" t="str">
        <x:v>WITHIN_BAND</x:v>
      </x:c>
      <x:c r="H542" s="2" t="n">
        <x:v>1</x:v>
      </x:c>
      <x:c r="I542" s="2" t="n">
        <x:f>IF(AND(COUNTIFS($B$6:$B$797,B542,$C$6:$C$797,C542)=11,COUNTIFS($B$6:$B$797,B542,$C$6:$C$797,C542,$G$6:$G$797,"REVIEW")=0,COUNTIFS($B$6:$B$797,B542,$C$6:$C$797,C542,$H$6:$H$797,1)=11,COUNTIFS($B$6:$B$797,B542,$C$6:$C$797,C542,$F$6:$F$797,"&gt;0")=11),1,0)</x:f>
        <x:v>1</x:v>
      </x:c>
      <x:c r="J542" s="2" t="n">
        <x:f>COUNTIFS($A$6:$A$797,A542)</x:f>
        <x:v>1</x:v>
      </x:c>
    </x:row>
    <x:row r="543" ht="23" customHeight="1">
      <x:c r="A543" s="2" t="str">
        <x:v>62044300_VN_202601_IMPORT</x:v>
      </x:c>
      <x:c r="B543" s="2" t="n">
        <x:v>202601</x:v>
      </x:c>
      <x:c r="C543" s="2" t="str">
        <x:v>62044300</x:v>
      </x:c>
      <x:c r="D543" s="2" t="str">
        <x:v>Vietnam</x:v>
      </x:c>
      <x:c r="E543" s="16" t="n">
        <x:v>613263</x:v>
      </x:c>
      <x:c r="F543" s="16" t="n">
        <x:v>22039</x:v>
      </x:c>
      <x:c r="G543" s="2" t="str">
        <x:v>WITHIN_BAND</x:v>
      </x:c>
      <x:c r="H543" s="2" t="n">
        <x:v>1</x:v>
      </x:c>
      <x:c r="I543" s="2" t="n">
        <x:f>IF(AND(COUNTIFS($B$6:$B$797,B543,$C$6:$C$797,C543)=11,COUNTIFS($B$6:$B$797,B543,$C$6:$C$797,C543,$G$6:$G$797,"REVIEW")=0,COUNTIFS($B$6:$B$797,B543,$C$6:$C$797,C543,$H$6:$H$797,1)=11,COUNTIFS($B$6:$B$797,B543,$C$6:$C$797,C543,$F$6:$F$797,"&gt;0")=11),1,0)</x:f>
        <x:v>1</x:v>
      </x:c>
      <x:c r="J543" s="2" t="n">
        <x:f>COUNTIFS($A$6:$A$797,A543)</x:f>
        <x:v>1</x:v>
      </x:c>
    </x:row>
    <x:row r="544" ht="23" customHeight="1">
      <x:c r="A544" s="2" t="str">
        <x:v>62044300_WORLD_202601_IMPORT</x:v>
      </x:c>
      <x:c r="B544" s="2" t="n">
        <x:v>202601</x:v>
      </x:c>
      <x:c r="C544" s="2" t="str">
        <x:v>62044300</x:v>
      </x:c>
      <x:c r="D544" s="2" t="str">
        <x:v>World</x:v>
      </x:c>
      <x:c r="E544" s="16" t="n">
        <x:v>29694985</x:v>
      </x:c>
      <x:c r="F544" s="16" t="n">
        <x:v>858837</x:v>
      </x:c>
      <x:c r="G544" s="2" t="str">
        <x:v>WITHIN_BAND</x:v>
      </x:c>
      <x:c r="H544" s="2" t="n">
        <x:v>1</x:v>
      </x:c>
      <x:c r="I544" s="2" t="n">
        <x:f>IF(AND(COUNTIFS($B$6:$B$797,B544,$C$6:$C$797,C544)=11,COUNTIFS($B$6:$B$797,B544,$C$6:$C$797,C544,$G$6:$G$797,"REVIEW")=0,COUNTIFS($B$6:$B$797,B544,$C$6:$C$797,C544,$H$6:$H$797,1)=11,COUNTIFS($B$6:$B$797,B544,$C$6:$C$797,C544,$F$6:$F$797,"&gt;0")=11),1,0)</x:f>
        <x:v>1</x:v>
      </x:c>
      <x:c r="J544" s="2" t="n">
        <x:f>COUNTIFS($A$6:$A$797,A544)</x:f>
        <x:v>1</x:v>
      </x:c>
    </x:row>
    <x:row r="545" ht="23" customHeight="1">
      <x:c r="A545" s="2" t="str">
        <x:v>62044300_BD_202602_IMPORT</x:v>
      </x:c>
      <x:c r="B545" s="2" t="n">
        <x:v>202602</x:v>
      </x:c>
      <x:c r="C545" s="2" t="str">
        <x:v>62044300</x:v>
      </x:c>
      <x:c r="D545" s="2" t="str">
        <x:v>Bangladesh</x:v>
      </x:c>
      <x:c r="E545" s="16" t="n">
        <x:v>1247529</x:v>
      </x:c>
      <x:c r="F545" s="16" t="n">
        <x:v>79040</x:v>
      </x:c>
      <x:c r="G545" s="2" t="str">
        <x:v>WITHIN_BAND</x:v>
      </x:c>
      <x:c r="H545" s="2" t="n">
        <x:v>1</x:v>
      </x:c>
      <x:c r="I545" s="2" t="n">
        <x:f>IF(AND(COUNTIFS($B$6:$B$797,B545,$C$6:$C$797,C545)=11,COUNTIFS($B$6:$B$797,B545,$C$6:$C$797,C545,$G$6:$G$797,"REVIEW")=0,COUNTIFS($B$6:$B$797,B545,$C$6:$C$797,C545,$H$6:$H$797,1)=11,COUNTIFS($B$6:$B$797,B545,$C$6:$C$797,C545,$F$6:$F$797,"&gt;0")=11),1,0)</x:f>
        <x:v>1</x:v>
      </x:c>
      <x:c r="J545" s="2" t="n">
        <x:f>COUNTIFS($A$6:$A$797,A545)</x:f>
        <x:v>1</x:v>
      </x:c>
    </x:row>
    <x:row r="546" ht="23" customHeight="1">
      <x:c r="A546" s="2" t="str">
        <x:v>62044300_KH_202602_IMPORT</x:v>
      </x:c>
      <x:c r="B546" s="2" t="n">
        <x:v>202602</x:v>
      </x:c>
      <x:c r="C546" s="2" t="str">
        <x:v>62044300</x:v>
      </x:c>
      <x:c r="D546" s="2" t="str">
        <x:v>Cambodia</x:v>
      </x:c>
      <x:c r="E546" s="16" t="n">
        <x:v>253334</x:v>
      </x:c>
      <x:c r="F546" s="16" t="n">
        <x:v>15423</x:v>
      </x:c>
      <x:c r="G546" s="2" t="str">
        <x:v>WITHIN_BAND</x:v>
      </x:c>
      <x:c r="H546" s="2" t="n">
        <x:v>1</x:v>
      </x:c>
      <x:c r="I546" s="2" t="n">
        <x:f>IF(AND(COUNTIFS($B$6:$B$797,B546,$C$6:$C$797,C546)=11,COUNTIFS($B$6:$B$797,B546,$C$6:$C$797,C546,$G$6:$G$797,"REVIEW")=0,COUNTIFS($B$6:$B$797,B546,$C$6:$C$797,C546,$H$6:$H$797,1)=11,COUNTIFS($B$6:$B$797,B546,$C$6:$C$797,C546,$F$6:$F$797,"&gt;0")=11),1,0)</x:f>
        <x:v>1</x:v>
      </x:c>
      <x:c r="J546" s="2" t="n">
        <x:f>COUNTIFS($A$6:$A$797,A546)</x:f>
        <x:v>1</x:v>
      </x:c>
    </x:row>
    <x:row r="547" ht="23" customHeight="1">
      <x:c r="A547" s="2" t="str">
        <x:v>62044300_CN_202602_IMPORT</x:v>
      </x:c>
      <x:c r="B547" s="2" t="n">
        <x:v>202602</x:v>
      </x:c>
      <x:c r="C547" s="2" t="str">
        <x:v>62044300</x:v>
      </x:c>
      <x:c r="D547" s="2" t="str">
        <x:v>China</x:v>
      </x:c>
      <x:c r="E547" s="16" t="n">
        <x:v>11106392</x:v>
      </x:c>
      <x:c r="F547" s="16" t="n">
        <x:v>428376</x:v>
      </x:c>
      <x:c r="G547" s="2" t="str">
        <x:v>WITHIN_BAND</x:v>
      </x:c>
      <x:c r="H547" s="2" t="n">
        <x:v>1</x:v>
      </x:c>
      <x:c r="I547" s="2" t="n">
        <x:f>IF(AND(COUNTIFS($B$6:$B$797,B547,$C$6:$C$797,C547)=11,COUNTIFS($B$6:$B$797,B547,$C$6:$C$797,C547,$G$6:$G$797,"REVIEW")=0,COUNTIFS($B$6:$B$797,B547,$C$6:$C$797,C547,$H$6:$H$797,1)=11,COUNTIFS($B$6:$B$797,B547,$C$6:$C$797,C547,$F$6:$F$797,"&gt;0")=11),1,0)</x:f>
        <x:v>1</x:v>
      </x:c>
      <x:c r="J547" s="2" t="n">
        <x:f>COUNTIFS($A$6:$A$797,A547)</x:f>
        <x:v>1</x:v>
      </x:c>
    </x:row>
    <x:row r="548" ht="23" customHeight="1">
      <x:c r="A548" s="2" t="str">
        <x:v>62044300_IN_202602_IMPORT</x:v>
      </x:c>
      <x:c r="B548" s="2" t="n">
        <x:v>202602</x:v>
      </x:c>
      <x:c r="C548" s="2" t="str">
        <x:v>62044300</x:v>
      </x:c>
      <x:c r="D548" s="2" t="str">
        <x:v>India</x:v>
      </x:c>
      <x:c r="E548" s="16" t="n">
        <x:v>3203390</x:v>
      </x:c>
      <x:c r="F548" s="16" t="n">
        <x:v>117131</x:v>
      </x:c>
      <x:c r="G548" s="2" t="str">
        <x:v>WITHIN_BAND</x:v>
      </x:c>
      <x:c r="H548" s="2" t="n">
        <x:v>1</x:v>
      </x:c>
      <x:c r="I548" s="2" t="n">
        <x:f>IF(AND(COUNTIFS($B$6:$B$797,B548,$C$6:$C$797,C548)=11,COUNTIFS($B$6:$B$797,B548,$C$6:$C$797,C548,$G$6:$G$797,"REVIEW")=0,COUNTIFS($B$6:$B$797,B548,$C$6:$C$797,C548,$H$6:$H$797,1)=11,COUNTIFS($B$6:$B$797,B548,$C$6:$C$797,C548,$F$6:$F$797,"&gt;0")=11),1,0)</x:f>
        <x:v>1</x:v>
      </x:c>
      <x:c r="J548" s="2" t="n">
        <x:f>COUNTIFS($A$6:$A$797,A548)</x:f>
        <x:v>1</x:v>
      </x:c>
    </x:row>
    <x:row r="549" ht="23" customHeight="1">
      <x:c r="A549" s="2" t="str">
        <x:v>62044300_MA_202602_IMPORT</x:v>
      </x:c>
      <x:c r="B549" s="2" t="n">
        <x:v>202602</x:v>
      </x:c>
      <x:c r="C549" s="2" t="str">
        <x:v>62044300</x:v>
      </x:c>
      <x:c r="D549" s="2" t="str">
        <x:v>Morocco</x:v>
      </x:c>
      <x:c r="E549" s="16" t="n">
        <x:v>301583</x:v>
      </x:c>
      <x:c r="F549" s="16" t="n">
        <x:v>10345</x:v>
      </x:c>
      <x:c r="G549" s="2" t="str">
        <x:v>WITHIN_BAND</x:v>
      </x:c>
      <x:c r="H549" s="2" t="n">
        <x:v>1</x:v>
      </x:c>
      <x:c r="I549" s="2" t="n">
        <x:f>IF(AND(COUNTIFS($B$6:$B$797,B549,$C$6:$C$797,C549)=11,COUNTIFS($B$6:$B$797,B549,$C$6:$C$797,C549,$G$6:$G$797,"REVIEW")=0,COUNTIFS($B$6:$B$797,B549,$C$6:$C$797,C549,$H$6:$H$797,1)=11,COUNTIFS($B$6:$B$797,B549,$C$6:$C$797,C549,$F$6:$F$797,"&gt;0")=11),1,0)</x:f>
        <x:v>1</x:v>
      </x:c>
      <x:c r="J549" s="2" t="n">
        <x:f>COUNTIFS($A$6:$A$797,A549)</x:f>
        <x:v>1</x:v>
      </x:c>
    </x:row>
    <x:row r="550" ht="23" customHeight="1">
      <x:c r="A550" s="2" t="str">
        <x:v>62044300_MM_202602_IMPORT</x:v>
      </x:c>
      <x:c r="B550" s="2" t="n">
        <x:v>202602</x:v>
      </x:c>
      <x:c r="C550" s="2" t="str">
        <x:v>62044300</x:v>
      </x:c>
      <x:c r="D550" s="2" t="str">
        <x:v>Myanmar</x:v>
      </x:c>
      <x:c r="E550" s="16" t="n">
        <x:v>361227</x:v>
      </x:c>
      <x:c r="F550" s="16" t="n">
        <x:v>6020</x:v>
      </x:c>
      <x:c r="G550" s="2" t="str">
        <x:v>WITHIN_BAND</x:v>
      </x:c>
      <x:c r="H550" s="2" t="n">
        <x:v>1</x:v>
      </x:c>
      <x:c r="I550" s="2" t="n">
        <x:f>IF(AND(COUNTIFS($B$6:$B$797,B550,$C$6:$C$797,C550)=11,COUNTIFS($B$6:$B$797,B550,$C$6:$C$797,C550,$G$6:$G$797,"REVIEW")=0,COUNTIFS($B$6:$B$797,B550,$C$6:$C$797,C550,$H$6:$H$797,1)=11,COUNTIFS($B$6:$B$797,B550,$C$6:$C$797,C550,$F$6:$F$797,"&gt;0")=11),1,0)</x:f>
        <x:v>1</x:v>
      </x:c>
      <x:c r="J550" s="2" t="n">
        <x:f>COUNTIFS($A$6:$A$797,A550)</x:f>
        <x:v>1</x:v>
      </x:c>
    </x:row>
    <x:row r="551" ht="23" customHeight="1">
      <x:c r="A551" s="2" t="str">
        <x:v>62044300_PK_202602_IMPORT</x:v>
      </x:c>
      <x:c r="B551" s="2" t="n">
        <x:v>202602</x:v>
      </x:c>
      <x:c r="C551" s="2" t="str">
        <x:v>62044300</x:v>
      </x:c>
      <x:c r="D551" s="2" t="str">
        <x:v>Pakistan</x:v>
      </x:c>
      <x:c r="E551" s="16" t="n">
        <x:v>187927</x:v>
      </x:c>
      <x:c r="F551" s="16" t="n">
        <x:v>10130</x:v>
      </x:c>
      <x:c r="G551" s="2" t="str">
        <x:v>WITHIN_BAND</x:v>
      </x:c>
      <x:c r="H551" s="2" t="n">
        <x:v>1</x:v>
      </x:c>
      <x:c r="I551" s="2" t="n">
        <x:f>IF(AND(COUNTIFS($B$6:$B$797,B551,$C$6:$C$797,C551)=11,COUNTIFS($B$6:$B$797,B551,$C$6:$C$797,C551,$G$6:$G$797,"REVIEW")=0,COUNTIFS($B$6:$B$797,B551,$C$6:$C$797,C551,$H$6:$H$797,1)=11,COUNTIFS($B$6:$B$797,B551,$C$6:$C$797,C551,$F$6:$F$797,"&gt;0")=11),1,0)</x:f>
        <x:v>1</x:v>
      </x:c>
      <x:c r="J551" s="2" t="n">
        <x:f>COUNTIFS($A$6:$A$797,A551)</x:f>
        <x:v>1</x:v>
      </x:c>
    </x:row>
    <x:row r="552" ht="23" customHeight="1">
      <x:c r="A552" s="2" t="str">
        <x:v>62044300_LK_202602_IMPORT</x:v>
      </x:c>
      <x:c r="B552" s="2" t="n">
        <x:v>202602</x:v>
      </x:c>
      <x:c r="C552" s="2" t="str">
        <x:v>62044300</x:v>
      </x:c>
      <x:c r="D552" s="2" t="str">
        <x:v>Sri Lanka</x:v>
      </x:c>
      <x:c r="E552" s="16" t="n">
        <x:v>914706</x:v>
      </x:c>
      <x:c r="F552" s="16" t="n">
        <x:v>67690</x:v>
      </x:c>
      <x:c r="G552" s="2" t="str">
        <x:v>WITHIN_BAND</x:v>
      </x:c>
      <x:c r="H552" s="2" t="n">
        <x:v>1</x:v>
      </x:c>
      <x:c r="I552" s="2" t="n">
        <x:f>IF(AND(COUNTIFS($B$6:$B$797,B552,$C$6:$C$797,C552)=11,COUNTIFS($B$6:$B$797,B552,$C$6:$C$797,C552,$G$6:$G$797,"REVIEW")=0,COUNTIFS($B$6:$B$797,B552,$C$6:$C$797,C552,$H$6:$H$797,1)=11,COUNTIFS($B$6:$B$797,B552,$C$6:$C$797,C552,$F$6:$F$797,"&gt;0")=11),1,0)</x:f>
        <x:v>1</x:v>
      </x:c>
      <x:c r="J552" s="2" t="n">
        <x:f>COUNTIFS($A$6:$A$797,A552)</x:f>
        <x:v>1</x:v>
      </x:c>
    </x:row>
    <x:row r="553" ht="23" customHeight="1">
      <x:c r="A553" s="2" t="str">
        <x:v>62044300_TR_202602_IMPORT</x:v>
      </x:c>
      <x:c r="B553" s="2" t="n">
        <x:v>202602</x:v>
      </x:c>
      <x:c r="C553" s="2" t="str">
        <x:v>62044300</x:v>
      </x:c>
      <x:c r="D553" s="2" t="str">
        <x:v>Turkey</x:v>
      </x:c>
      <x:c r="E553" s="16" t="n">
        <x:v>565703</x:v>
      </x:c>
      <x:c r="F553" s="16" t="n">
        <x:v>20483</x:v>
      </x:c>
      <x:c r="G553" s="2" t="str">
        <x:v>WITHIN_BAND</x:v>
      </x:c>
      <x:c r="H553" s="2" t="n">
        <x:v>1</x:v>
      </x:c>
      <x:c r="I553" s="2" t="n">
        <x:f>IF(AND(COUNTIFS($B$6:$B$797,B553,$C$6:$C$797,C553)=11,COUNTIFS($B$6:$B$797,B553,$C$6:$C$797,C553,$G$6:$G$797,"REVIEW")=0,COUNTIFS($B$6:$B$797,B553,$C$6:$C$797,C553,$H$6:$H$797,1)=11,COUNTIFS($B$6:$B$797,B553,$C$6:$C$797,C553,$F$6:$F$797,"&gt;0")=11),1,0)</x:f>
        <x:v>1</x:v>
      </x:c>
      <x:c r="J553" s="2" t="n">
        <x:f>COUNTIFS($A$6:$A$797,A553)</x:f>
        <x:v>1</x:v>
      </x:c>
    </x:row>
    <x:row r="554" ht="23" customHeight="1">
      <x:c r="A554" s="2" t="str">
        <x:v>62044300_VN_202602_IMPORT</x:v>
      </x:c>
      <x:c r="B554" s="2" t="n">
        <x:v>202602</x:v>
      </x:c>
      <x:c r="C554" s="2" t="str">
        <x:v>62044300</x:v>
      </x:c>
      <x:c r="D554" s="2" t="str">
        <x:v>Vietnam</x:v>
      </x:c>
      <x:c r="E554" s="16" t="n">
        <x:v>399287</x:v>
      </x:c>
      <x:c r="F554" s="16" t="n">
        <x:v>11567</x:v>
      </x:c>
      <x:c r="G554" s="2" t="str">
        <x:v>WITHIN_BAND</x:v>
      </x:c>
      <x:c r="H554" s="2" t="n">
        <x:v>1</x:v>
      </x:c>
      <x:c r="I554" s="2" t="n">
        <x:f>IF(AND(COUNTIFS($B$6:$B$797,B554,$C$6:$C$797,C554)=11,COUNTIFS($B$6:$B$797,B554,$C$6:$C$797,C554,$G$6:$G$797,"REVIEW")=0,COUNTIFS($B$6:$B$797,B554,$C$6:$C$797,C554,$H$6:$H$797,1)=11,COUNTIFS($B$6:$B$797,B554,$C$6:$C$797,C554,$F$6:$F$797,"&gt;0")=11),1,0)</x:f>
        <x:v>1</x:v>
      </x:c>
      <x:c r="J554" s="2" t="n">
        <x:f>COUNTIFS($A$6:$A$797,A554)</x:f>
        <x:v>1</x:v>
      </x:c>
    </x:row>
    <x:row r="555" ht="23" customHeight="1">
      <x:c r="A555" s="2" t="str">
        <x:v>62044300_WORLD_202602_IMPORT</x:v>
      </x:c>
      <x:c r="B555" s="2" t="n">
        <x:v>202602</x:v>
      </x:c>
      <x:c r="C555" s="2" t="str">
        <x:v>62044300</x:v>
      </x:c>
      <x:c r="D555" s="2" t="str">
        <x:v>World</x:v>
      </x:c>
      <x:c r="E555" s="16" t="n">
        <x:v>32013764</x:v>
      </x:c>
      <x:c r="F555" s="16" t="n">
        <x:v>933716</x:v>
      </x:c>
      <x:c r="G555" s="2" t="str">
        <x:v>WITHIN_BAND</x:v>
      </x:c>
      <x:c r="H555" s="2" t="n">
        <x:v>1</x:v>
      </x:c>
      <x:c r="I555" s="2" t="n">
        <x:f>IF(AND(COUNTIFS($B$6:$B$797,B555,$C$6:$C$797,C555)=11,COUNTIFS($B$6:$B$797,B555,$C$6:$C$797,C555,$G$6:$G$797,"REVIEW")=0,COUNTIFS($B$6:$B$797,B555,$C$6:$C$797,C555,$H$6:$H$797,1)=11,COUNTIFS($B$6:$B$797,B555,$C$6:$C$797,C555,$F$6:$F$797,"&gt;0")=11),1,0)</x:f>
        <x:v>1</x:v>
      </x:c>
      <x:c r="J555" s="2" t="n">
        <x:f>COUNTIFS($A$6:$A$797,A555)</x:f>
        <x:v>1</x:v>
      </x:c>
    </x:row>
    <x:row r="556" ht="23" customHeight="1">
      <x:c r="A556" s="2" t="str">
        <x:v>62044300_BD_202603_IMPORT</x:v>
      </x:c>
      <x:c r="B556" s="2" t="n">
        <x:v>202603</x:v>
      </x:c>
      <x:c r="C556" s="2" t="str">
        <x:v>62044300</x:v>
      </x:c>
      <x:c r="D556" s="2" t="str">
        <x:v>Bangladesh</x:v>
      </x:c>
      <x:c r="E556" s="16" t="n">
        <x:v>723571</x:v>
      </x:c>
      <x:c r="F556" s="16" t="n">
        <x:v>51999</x:v>
      </x:c>
      <x:c r="G556" s="2" t="str">
        <x:v>WITHIN_BAND</x:v>
      </x:c>
      <x:c r="H556" s="2" t="n">
        <x:v>1</x:v>
      </x:c>
      <x:c r="I556" s="2" t="n">
        <x:f>IF(AND(COUNTIFS($B$6:$B$797,B556,$C$6:$C$797,C556)=11,COUNTIFS($B$6:$B$797,B556,$C$6:$C$797,C556,$G$6:$G$797,"REVIEW")=0,COUNTIFS($B$6:$B$797,B556,$C$6:$C$797,C556,$H$6:$H$797,1)=11,COUNTIFS($B$6:$B$797,B556,$C$6:$C$797,C556,$F$6:$F$797,"&gt;0")=11),1,0)</x:f>
        <x:v>1</x:v>
      </x:c>
      <x:c r="J556" s="2" t="n">
        <x:f>COUNTIFS($A$6:$A$797,A556)</x:f>
        <x:v>1</x:v>
      </x:c>
    </x:row>
    <x:row r="557" ht="23" customHeight="1">
      <x:c r="A557" s="2" t="str">
        <x:v>62044300_KH_202603_IMPORT</x:v>
      </x:c>
      <x:c r="B557" s="2" t="n">
        <x:v>202603</x:v>
      </x:c>
      <x:c r="C557" s="2" t="str">
        <x:v>62044300</x:v>
      </x:c>
      <x:c r="D557" s="2" t="str">
        <x:v>Cambodia</x:v>
      </x:c>
      <x:c r="E557" s="16" t="n">
        <x:v>77745</x:v>
      </x:c>
      <x:c r="F557" s="16" t="n">
        <x:v>4027</x:v>
      </x:c>
      <x:c r="G557" s="2" t="str">
        <x:v>WITHIN_BAND</x:v>
      </x:c>
      <x:c r="H557" s="2" t="n">
        <x:v>1</x:v>
      </x:c>
      <x:c r="I557" s="2" t="n">
        <x:f>IF(AND(COUNTIFS($B$6:$B$797,B557,$C$6:$C$797,C557)=11,COUNTIFS($B$6:$B$797,B557,$C$6:$C$797,C557,$G$6:$G$797,"REVIEW")=0,COUNTIFS($B$6:$B$797,B557,$C$6:$C$797,C557,$H$6:$H$797,1)=11,COUNTIFS($B$6:$B$797,B557,$C$6:$C$797,C557,$F$6:$F$797,"&gt;0")=11),1,0)</x:f>
        <x:v>1</x:v>
      </x:c>
      <x:c r="J557" s="2" t="n">
        <x:f>COUNTIFS($A$6:$A$797,A557)</x:f>
        <x:v>1</x:v>
      </x:c>
    </x:row>
    <x:row r="558" ht="23" customHeight="1">
      <x:c r="A558" s="2" t="str">
        <x:v>62044300_CN_202603_IMPORT</x:v>
      </x:c>
      <x:c r="B558" s="2" t="n">
        <x:v>202603</x:v>
      </x:c>
      <x:c r="C558" s="2" t="str">
        <x:v>62044300</x:v>
      </x:c>
      <x:c r="D558" s="2" t="str">
        <x:v>China</x:v>
      </x:c>
      <x:c r="E558" s="16" t="n">
        <x:v>9139711</x:v>
      </x:c>
      <x:c r="F558" s="16" t="n">
        <x:v>360768</x:v>
      </x:c>
      <x:c r="G558" s="2" t="str">
        <x:v>WITHIN_BAND</x:v>
      </x:c>
      <x:c r="H558" s="2" t="n">
        <x:v>1</x:v>
      </x:c>
      <x:c r="I558" s="2" t="n">
        <x:f>IF(AND(COUNTIFS($B$6:$B$797,B558,$C$6:$C$797,C558)=11,COUNTIFS($B$6:$B$797,B558,$C$6:$C$797,C558,$G$6:$G$797,"REVIEW")=0,COUNTIFS($B$6:$B$797,B558,$C$6:$C$797,C558,$H$6:$H$797,1)=11,COUNTIFS($B$6:$B$797,B558,$C$6:$C$797,C558,$F$6:$F$797,"&gt;0")=11),1,0)</x:f>
        <x:v>1</x:v>
      </x:c>
      <x:c r="J558" s="2" t="n">
        <x:f>COUNTIFS($A$6:$A$797,A558)</x:f>
        <x:v>1</x:v>
      </x:c>
    </x:row>
    <x:row r="559" ht="23" customHeight="1">
      <x:c r="A559" s="2" t="str">
        <x:v>62044300_IN_202603_IMPORT</x:v>
      </x:c>
      <x:c r="B559" s="2" t="n">
        <x:v>202603</x:v>
      </x:c>
      <x:c r="C559" s="2" t="str">
        <x:v>62044300</x:v>
      </x:c>
      <x:c r="D559" s="2" t="str">
        <x:v>India</x:v>
      </x:c>
      <x:c r="E559" s="16" t="n">
        <x:v>3290273</x:v>
      </x:c>
      <x:c r="F559" s="16" t="n">
        <x:v>126036</x:v>
      </x:c>
      <x:c r="G559" s="2" t="str">
        <x:v>WITHIN_BAND</x:v>
      </x:c>
      <x:c r="H559" s="2" t="n">
        <x:v>1</x:v>
      </x:c>
      <x:c r="I559" s="2" t="n">
        <x:f>IF(AND(COUNTIFS($B$6:$B$797,B559,$C$6:$C$797,C559)=11,COUNTIFS($B$6:$B$797,B559,$C$6:$C$797,C559,$G$6:$G$797,"REVIEW")=0,COUNTIFS($B$6:$B$797,B559,$C$6:$C$797,C559,$H$6:$H$797,1)=11,COUNTIFS($B$6:$B$797,B559,$C$6:$C$797,C559,$F$6:$F$797,"&gt;0")=11),1,0)</x:f>
        <x:v>1</x:v>
      </x:c>
      <x:c r="J559" s="2" t="n">
        <x:f>COUNTIFS($A$6:$A$797,A559)</x:f>
        <x:v>1</x:v>
      </x:c>
    </x:row>
    <x:row r="560" ht="23" customHeight="1">
      <x:c r="A560" s="2" t="str">
        <x:v>62044300_MA_202603_IMPORT</x:v>
      </x:c>
      <x:c r="B560" s="2" t="n">
        <x:v>202603</x:v>
      </x:c>
      <x:c r="C560" s="2" t="str">
        <x:v>62044300</x:v>
      </x:c>
      <x:c r="D560" s="2" t="str">
        <x:v>Morocco</x:v>
      </x:c>
      <x:c r="E560" s="16" t="n">
        <x:v>747416</x:v>
      </x:c>
      <x:c r="F560" s="16" t="n">
        <x:v>30028</x:v>
      </x:c>
      <x:c r="G560" s="2" t="str">
        <x:v>WITHIN_BAND</x:v>
      </x:c>
      <x:c r="H560" s="2" t="n">
        <x:v>1</x:v>
      </x:c>
      <x:c r="I560" s="2" t="n">
        <x:f>IF(AND(COUNTIFS($B$6:$B$797,B560,$C$6:$C$797,C560)=11,COUNTIFS($B$6:$B$797,B560,$C$6:$C$797,C560,$G$6:$G$797,"REVIEW")=0,COUNTIFS($B$6:$B$797,B560,$C$6:$C$797,C560,$H$6:$H$797,1)=11,COUNTIFS($B$6:$B$797,B560,$C$6:$C$797,C560,$F$6:$F$797,"&gt;0")=11),1,0)</x:f>
        <x:v>1</x:v>
      </x:c>
      <x:c r="J560" s="2" t="n">
        <x:f>COUNTIFS($A$6:$A$797,A560)</x:f>
        <x:v>1</x:v>
      </x:c>
    </x:row>
    <x:row r="561" ht="23" customHeight="1">
      <x:c r="A561" s="2" t="str">
        <x:v>62044300_MM_202603_IMPORT</x:v>
      </x:c>
      <x:c r="B561" s="2" t="n">
        <x:v>202603</x:v>
      </x:c>
      <x:c r="C561" s="2" t="str">
        <x:v>62044300</x:v>
      </x:c>
      <x:c r="D561" s="2" t="str">
        <x:v>Myanmar</x:v>
      </x:c>
      <x:c r="E561" s="16" t="n">
        <x:v>276397</x:v>
      </x:c>
      <x:c r="F561" s="16" t="n">
        <x:v>4547</x:v>
      </x:c>
      <x:c r="G561" s="2" t="str">
        <x:v>WITHIN_BAND</x:v>
      </x:c>
      <x:c r="H561" s="2" t="n">
        <x:v>1</x:v>
      </x:c>
      <x:c r="I561" s="2" t="n">
        <x:f>IF(AND(COUNTIFS($B$6:$B$797,B561,$C$6:$C$797,C561)=11,COUNTIFS($B$6:$B$797,B561,$C$6:$C$797,C561,$G$6:$G$797,"REVIEW")=0,COUNTIFS($B$6:$B$797,B561,$C$6:$C$797,C561,$H$6:$H$797,1)=11,COUNTIFS($B$6:$B$797,B561,$C$6:$C$797,C561,$F$6:$F$797,"&gt;0")=11),1,0)</x:f>
        <x:v>1</x:v>
      </x:c>
      <x:c r="J561" s="2" t="n">
        <x:f>COUNTIFS($A$6:$A$797,A561)</x:f>
        <x:v>1</x:v>
      </x:c>
    </x:row>
    <x:row r="562" ht="23" customHeight="1">
      <x:c r="A562" s="2" t="str">
        <x:v>62044300_PK_202603_IMPORT</x:v>
      </x:c>
      <x:c r="B562" s="2" t="n">
        <x:v>202603</x:v>
      </x:c>
      <x:c r="C562" s="2" t="str">
        <x:v>62044300</x:v>
      </x:c>
      <x:c r="D562" s="2" t="str">
        <x:v>Pakistan</x:v>
      </x:c>
      <x:c r="E562" s="16" t="n">
        <x:v>51119</x:v>
      </x:c>
      <x:c r="F562" s="16" t="n">
        <x:v>4057</x:v>
      </x:c>
      <x:c r="G562" s="2" t="str">
        <x:v>WITHIN_BAND</x:v>
      </x:c>
      <x:c r="H562" s="2" t="n">
        <x:v>1</x:v>
      </x:c>
      <x:c r="I562" s="2" t="n">
        <x:f>IF(AND(COUNTIFS($B$6:$B$797,B562,$C$6:$C$797,C562)=11,COUNTIFS($B$6:$B$797,B562,$C$6:$C$797,C562,$G$6:$G$797,"REVIEW")=0,COUNTIFS($B$6:$B$797,B562,$C$6:$C$797,C562,$H$6:$H$797,1)=11,COUNTIFS($B$6:$B$797,B562,$C$6:$C$797,C562,$F$6:$F$797,"&gt;0")=11),1,0)</x:f>
        <x:v>1</x:v>
      </x:c>
      <x:c r="J562" s="2" t="n">
        <x:f>COUNTIFS($A$6:$A$797,A562)</x:f>
        <x:v>1</x:v>
      </x:c>
    </x:row>
    <x:row r="563" ht="23" customHeight="1">
      <x:c r="A563" s="2" t="str">
        <x:v>62044300_LK_202603_IMPORT</x:v>
      </x:c>
      <x:c r="B563" s="2" t="n">
        <x:v>202603</x:v>
      </x:c>
      <x:c r="C563" s="2" t="str">
        <x:v>62044300</x:v>
      </x:c>
      <x:c r="D563" s="2" t="str">
        <x:v>Sri Lanka</x:v>
      </x:c>
      <x:c r="E563" s="16" t="n">
        <x:v>1673826</x:v>
      </x:c>
      <x:c r="F563" s="16" t="n">
        <x:v>101862</x:v>
      </x:c>
      <x:c r="G563" s="2" t="str">
        <x:v>WITHIN_BAND</x:v>
      </x:c>
      <x:c r="H563" s="2" t="n">
        <x:v>1</x:v>
      </x:c>
      <x:c r="I563" s="2" t="n">
        <x:f>IF(AND(COUNTIFS($B$6:$B$797,B563,$C$6:$C$797,C563)=11,COUNTIFS($B$6:$B$797,B563,$C$6:$C$797,C563,$G$6:$G$797,"REVIEW")=0,COUNTIFS($B$6:$B$797,B563,$C$6:$C$797,C563,$H$6:$H$797,1)=11,COUNTIFS($B$6:$B$797,B563,$C$6:$C$797,C563,$F$6:$F$797,"&gt;0")=11),1,0)</x:f>
        <x:v>1</x:v>
      </x:c>
      <x:c r="J563" s="2" t="n">
        <x:f>COUNTIFS($A$6:$A$797,A563)</x:f>
        <x:v>1</x:v>
      </x:c>
    </x:row>
    <x:row r="564" ht="23" customHeight="1">
      <x:c r="A564" s="2" t="str">
        <x:v>62044300_TR_202603_IMPORT</x:v>
      </x:c>
      <x:c r="B564" s="2" t="n">
        <x:v>202603</x:v>
      </x:c>
      <x:c r="C564" s="2" t="str">
        <x:v>62044300</x:v>
      </x:c>
      <x:c r="D564" s="2" t="str">
        <x:v>Turkey</x:v>
      </x:c>
      <x:c r="E564" s="16" t="n">
        <x:v>387551</x:v>
      </x:c>
      <x:c r="F564" s="16" t="n">
        <x:v>9465</x:v>
      </x:c>
      <x:c r="G564" s="2" t="str">
        <x:v>WITHIN_BAND</x:v>
      </x:c>
      <x:c r="H564" s="2" t="n">
        <x:v>1</x:v>
      </x:c>
      <x:c r="I564" s="2" t="n">
        <x:f>IF(AND(COUNTIFS($B$6:$B$797,B564,$C$6:$C$797,C564)=11,COUNTIFS($B$6:$B$797,B564,$C$6:$C$797,C564,$G$6:$G$797,"REVIEW")=0,COUNTIFS($B$6:$B$797,B564,$C$6:$C$797,C564,$H$6:$H$797,1)=11,COUNTIFS($B$6:$B$797,B564,$C$6:$C$797,C564,$F$6:$F$797,"&gt;0")=11),1,0)</x:f>
        <x:v>1</x:v>
      </x:c>
      <x:c r="J564" s="2" t="n">
        <x:f>COUNTIFS($A$6:$A$797,A564)</x:f>
        <x:v>1</x:v>
      </x:c>
    </x:row>
    <x:row r="565" ht="23" customHeight="1">
      <x:c r="A565" s="2" t="str">
        <x:v>62044300_VN_202603_IMPORT</x:v>
      </x:c>
      <x:c r="B565" s="2" t="n">
        <x:v>202603</x:v>
      </x:c>
      <x:c r="C565" s="2" t="str">
        <x:v>62044300</x:v>
      </x:c>
      <x:c r="D565" s="2" t="str">
        <x:v>Vietnam</x:v>
      </x:c>
      <x:c r="E565" s="16" t="n">
        <x:v>1222485</x:v>
      </x:c>
      <x:c r="F565" s="16" t="n">
        <x:v>45869</x:v>
      </x:c>
      <x:c r="G565" s="2" t="str">
        <x:v>WITHIN_BAND</x:v>
      </x:c>
      <x:c r="H565" s="2" t="n">
        <x:v>1</x:v>
      </x:c>
      <x:c r="I565" s="2" t="n">
        <x:f>IF(AND(COUNTIFS($B$6:$B$797,B565,$C$6:$C$797,C565)=11,COUNTIFS($B$6:$B$797,B565,$C$6:$C$797,C565,$G$6:$G$797,"REVIEW")=0,COUNTIFS($B$6:$B$797,B565,$C$6:$C$797,C565,$H$6:$H$797,1)=11,COUNTIFS($B$6:$B$797,B565,$C$6:$C$797,C565,$F$6:$F$797,"&gt;0")=11),1,0)</x:f>
        <x:v>1</x:v>
      </x:c>
      <x:c r="J565" s="2" t="n">
        <x:f>COUNTIFS($A$6:$A$797,A565)</x:f>
        <x:v>1</x:v>
      </x:c>
    </x:row>
    <x:row r="566" ht="23" customHeight="1">
      <x:c r="A566" s="2" t="str">
        <x:v>62044300_WORLD_202603_IMPORT</x:v>
      </x:c>
      <x:c r="B566" s="2" t="n">
        <x:v>202603</x:v>
      </x:c>
      <x:c r="C566" s="2" t="str">
        <x:v>62044300</x:v>
      </x:c>
      <x:c r="D566" s="2" t="str">
        <x:v>World</x:v>
      </x:c>
      <x:c r="E566" s="16" t="n">
        <x:v>29735887</x:v>
      </x:c>
      <x:c r="F566" s="16" t="n">
        <x:v>921599</x:v>
      </x:c>
      <x:c r="G566" s="2" t="str">
        <x:v>WITHIN_BAND</x:v>
      </x:c>
      <x:c r="H566" s="2" t="n">
        <x:v>1</x:v>
      </x:c>
      <x:c r="I566" s="2" t="n">
        <x:f>IF(AND(COUNTIFS($B$6:$B$797,B566,$C$6:$C$797,C566)=11,COUNTIFS($B$6:$B$797,B566,$C$6:$C$797,C566,$G$6:$G$797,"REVIEW")=0,COUNTIFS($B$6:$B$797,B566,$C$6:$C$797,C566,$H$6:$H$797,1)=11,COUNTIFS($B$6:$B$797,B566,$C$6:$C$797,C566,$F$6:$F$797,"&gt;0")=11),1,0)</x:f>
        <x:v>1</x:v>
      </x:c>
      <x:c r="J566" s="2" t="n">
        <x:f>COUNTIFS($A$6:$A$797,A566)</x:f>
        <x:v>1</x:v>
      </x:c>
    </x:row>
    <x:row r="567" ht="23" customHeight="1">
      <x:c r="A567" s="2" t="str">
        <x:v>62044300_BD_202604_IMPORT</x:v>
      </x:c>
      <x:c r="B567" s="2" t="n">
        <x:v>202604</x:v>
      </x:c>
      <x:c r="C567" s="2" t="str">
        <x:v>62044300</x:v>
      </x:c>
      <x:c r="D567" s="2" t="str">
        <x:v>Bangladesh</x:v>
      </x:c>
      <x:c r="E567" s="16" t="n">
        <x:v>1836082</x:v>
      </x:c>
      <x:c r="F567" s="16" t="n">
        <x:v>104146</x:v>
      </x:c>
      <x:c r="G567" s="2" t="str">
        <x:v>WITHIN_BAND</x:v>
      </x:c>
      <x:c r="H567" s="2" t="n">
        <x:v>1</x:v>
      </x:c>
      <x:c r="I567" s="2" t="n">
        <x:f>IF(AND(COUNTIFS($B$6:$B$797,B567,$C$6:$C$797,C567)=11,COUNTIFS($B$6:$B$797,B567,$C$6:$C$797,C567,$G$6:$G$797,"REVIEW")=0,COUNTIFS($B$6:$B$797,B567,$C$6:$C$797,C567,$H$6:$H$797,1)=11,COUNTIFS($B$6:$B$797,B567,$C$6:$C$797,C567,$F$6:$F$797,"&gt;0")=11),1,0)</x:f>
        <x:v>1</x:v>
      </x:c>
      <x:c r="J567" s="2" t="n">
        <x:f>COUNTIFS($A$6:$A$797,A567)</x:f>
        <x:v>1</x:v>
      </x:c>
    </x:row>
    <x:row r="568" ht="23" customHeight="1">
      <x:c r="A568" s="2" t="str">
        <x:v>62044300_KH_202604_IMPORT</x:v>
      </x:c>
      <x:c r="B568" s="2" t="n">
        <x:v>202604</x:v>
      </x:c>
      <x:c r="C568" s="2" t="str">
        <x:v>62044300</x:v>
      </x:c>
      <x:c r="D568" s="2" t="str">
        <x:v>Cambodia</x:v>
      </x:c>
      <x:c r="E568" s="16" t="n">
        <x:v>1130525</x:v>
      </x:c>
      <x:c r="F568" s="16" t="n">
        <x:v>57081</x:v>
      </x:c>
      <x:c r="G568" s="2" t="str">
        <x:v>WITHIN_BAND</x:v>
      </x:c>
      <x:c r="H568" s="2" t="n">
        <x:v>1</x:v>
      </x:c>
      <x:c r="I568" s="2" t="n">
        <x:f>IF(AND(COUNTIFS($B$6:$B$797,B568,$C$6:$C$797,C568)=11,COUNTIFS($B$6:$B$797,B568,$C$6:$C$797,C568,$G$6:$G$797,"REVIEW")=0,COUNTIFS($B$6:$B$797,B568,$C$6:$C$797,C568,$H$6:$H$797,1)=11,COUNTIFS($B$6:$B$797,B568,$C$6:$C$797,C568,$F$6:$F$797,"&gt;0")=11),1,0)</x:f>
        <x:v>1</x:v>
      </x:c>
      <x:c r="J568" s="2" t="n">
        <x:f>COUNTIFS($A$6:$A$797,A568)</x:f>
        <x:v>1</x:v>
      </x:c>
    </x:row>
    <x:row r="569" ht="23" customHeight="1">
      <x:c r="A569" s="2" t="str">
        <x:v>62044300_CN_202604_IMPORT</x:v>
      </x:c>
      <x:c r="B569" s="2" t="n">
        <x:v>202604</x:v>
      </x:c>
      <x:c r="C569" s="2" t="str">
        <x:v>62044300</x:v>
      </x:c>
      <x:c r="D569" s="2" t="str">
        <x:v>China</x:v>
      </x:c>
      <x:c r="E569" s="16" t="n">
        <x:v>7904408</x:v>
      </x:c>
      <x:c r="F569" s="16" t="n">
        <x:v>286292</x:v>
      </x:c>
      <x:c r="G569" s="2" t="str">
        <x:v>WITHIN_BAND</x:v>
      </x:c>
      <x:c r="H569" s="2" t="n">
        <x:v>1</x:v>
      </x:c>
      <x:c r="I569" s="2" t="n">
        <x:f>IF(AND(COUNTIFS($B$6:$B$797,B569,$C$6:$C$797,C569)=11,COUNTIFS($B$6:$B$797,B569,$C$6:$C$797,C569,$G$6:$G$797,"REVIEW")=0,COUNTIFS($B$6:$B$797,B569,$C$6:$C$797,C569,$H$6:$H$797,1)=11,COUNTIFS($B$6:$B$797,B569,$C$6:$C$797,C569,$F$6:$F$797,"&gt;0")=11),1,0)</x:f>
        <x:v>1</x:v>
      </x:c>
      <x:c r="J569" s="2" t="n">
        <x:f>COUNTIFS($A$6:$A$797,A569)</x:f>
        <x:v>1</x:v>
      </x:c>
    </x:row>
    <x:row r="570" ht="23" customHeight="1">
      <x:c r="A570" s="2" t="str">
        <x:v>62044300_IN_202604_IMPORT</x:v>
      </x:c>
      <x:c r="B570" s="2" t="n">
        <x:v>202604</x:v>
      </x:c>
      <x:c r="C570" s="2" t="str">
        <x:v>62044300</x:v>
      </x:c>
      <x:c r="D570" s="2" t="str">
        <x:v>India</x:v>
      </x:c>
      <x:c r="E570" s="16" t="n">
        <x:v>3455147</x:v>
      </x:c>
      <x:c r="F570" s="16" t="n">
        <x:v>137729</x:v>
      </x:c>
      <x:c r="G570" s="2" t="str">
        <x:v>WITHIN_BAND</x:v>
      </x:c>
      <x:c r="H570" s="2" t="n">
        <x:v>1</x:v>
      </x:c>
      <x:c r="I570" s="2" t="n">
        <x:f>IF(AND(COUNTIFS($B$6:$B$797,B570,$C$6:$C$797,C570)=11,COUNTIFS($B$6:$B$797,B570,$C$6:$C$797,C570,$G$6:$G$797,"REVIEW")=0,COUNTIFS($B$6:$B$797,B570,$C$6:$C$797,C570,$H$6:$H$797,1)=11,COUNTIFS($B$6:$B$797,B570,$C$6:$C$797,C570,$F$6:$F$797,"&gt;0")=11),1,0)</x:f>
        <x:v>1</x:v>
      </x:c>
      <x:c r="J570" s="2" t="n">
        <x:f>COUNTIFS($A$6:$A$797,A570)</x:f>
        <x:v>1</x:v>
      </x:c>
    </x:row>
    <x:row r="571" ht="23" customHeight="1">
      <x:c r="A571" s="2" t="str">
        <x:v>62044300_MA_202604_IMPORT</x:v>
      </x:c>
      <x:c r="B571" s="2" t="n">
        <x:v>202604</x:v>
      </x:c>
      <x:c r="C571" s="2" t="str">
        <x:v>62044300</x:v>
      </x:c>
      <x:c r="D571" s="2" t="str">
        <x:v>Morocco</x:v>
      </x:c>
      <x:c r="E571" s="16" t="n">
        <x:v>1197116</x:v>
      </x:c>
      <x:c r="F571" s="16" t="n">
        <x:v>45556</x:v>
      </x:c>
      <x:c r="G571" s="2" t="str">
        <x:v>WITHIN_BAND</x:v>
      </x:c>
      <x:c r="H571" s="2" t="n">
        <x:v>1</x:v>
      </x:c>
      <x:c r="I571" s="2" t="n">
        <x:f>IF(AND(COUNTIFS($B$6:$B$797,B571,$C$6:$C$797,C571)=11,COUNTIFS($B$6:$B$797,B571,$C$6:$C$797,C571,$G$6:$G$797,"REVIEW")=0,COUNTIFS($B$6:$B$797,B571,$C$6:$C$797,C571,$H$6:$H$797,1)=11,COUNTIFS($B$6:$B$797,B571,$C$6:$C$797,C571,$F$6:$F$797,"&gt;0")=11),1,0)</x:f>
        <x:v>1</x:v>
      </x:c>
      <x:c r="J571" s="2" t="n">
        <x:f>COUNTIFS($A$6:$A$797,A571)</x:f>
        <x:v>1</x:v>
      </x:c>
    </x:row>
    <x:row r="572" ht="23" customHeight="1">
      <x:c r="A572" s="2" t="str">
        <x:v>62044300_MM_202604_IMPORT</x:v>
      </x:c>
      <x:c r="B572" s="2" t="n">
        <x:v>202604</x:v>
      </x:c>
      <x:c r="C572" s="2" t="str">
        <x:v>62044300</x:v>
      </x:c>
      <x:c r="D572" s="2" t="str">
        <x:v>Myanmar</x:v>
      </x:c>
      <x:c r="E572" s="16" t="n">
        <x:v>285741</x:v>
      </x:c>
      <x:c r="F572" s="16" t="n">
        <x:v>4318</x:v>
      </x:c>
      <x:c r="G572" s="2" t="str">
        <x:v>WITHIN_BAND</x:v>
      </x:c>
      <x:c r="H572" s="2" t="n">
        <x:v>1</x:v>
      </x:c>
      <x:c r="I572" s="2" t="n">
        <x:f>IF(AND(COUNTIFS($B$6:$B$797,B572,$C$6:$C$797,C572)=11,COUNTIFS($B$6:$B$797,B572,$C$6:$C$797,C572,$G$6:$G$797,"REVIEW")=0,COUNTIFS($B$6:$B$797,B572,$C$6:$C$797,C572,$H$6:$H$797,1)=11,COUNTIFS($B$6:$B$797,B572,$C$6:$C$797,C572,$F$6:$F$797,"&gt;0")=11),1,0)</x:f>
        <x:v>1</x:v>
      </x:c>
      <x:c r="J572" s="2" t="n">
        <x:f>COUNTIFS($A$6:$A$797,A572)</x:f>
        <x:v>1</x:v>
      </x:c>
    </x:row>
    <x:row r="573" ht="23" customHeight="1">
      <x:c r="A573" s="2" t="str">
        <x:v>62044300_PK_202604_IMPORT</x:v>
      </x:c>
      <x:c r="B573" s="2" t="n">
        <x:v>202604</x:v>
      </x:c>
      <x:c r="C573" s="2" t="str">
        <x:v>62044300</x:v>
      </x:c>
      <x:c r="D573" s="2" t="str">
        <x:v>Pakistan</x:v>
      </x:c>
      <x:c r="E573" s="16" t="n">
        <x:v>51630</x:v>
      </x:c>
      <x:c r="F573" s="16" t="n">
        <x:v>3798</x:v>
      </x:c>
      <x:c r="G573" s="2" t="str">
        <x:v>WITHIN_BAND</x:v>
      </x:c>
      <x:c r="H573" s="2" t="n">
        <x:v>1</x:v>
      </x:c>
      <x:c r="I573" s="2" t="n">
        <x:f>IF(AND(COUNTIFS($B$6:$B$797,B573,$C$6:$C$797,C573)=11,COUNTIFS($B$6:$B$797,B573,$C$6:$C$797,C573,$G$6:$G$797,"REVIEW")=0,COUNTIFS($B$6:$B$797,B573,$C$6:$C$797,C573,$H$6:$H$797,1)=11,COUNTIFS($B$6:$B$797,B573,$C$6:$C$797,C573,$F$6:$F$797,"&gt;0")=11),1,0)</x:f>
        <x:v>1</x:v>
      </x:c>
      <x:c r="J573" s="2" t="n">
        <x:f>COUNTIFS($A$6:$A$797,A573)</x:f>
        <x:v>1</x:v>
      </x:c>
    </x:row>
    <x:row r="574" ht="23" customHeight="1">
      <x:c r="A574" s="2" t="str">
        <x:v>62044300_LK_202604_IMPORT</x:v>
      </x:c>
      <x:c r="B574" s="2" t="n">
        <x:v>202604</x:v>
      </x:c>
      <x:c r="C574" s="2" t="str">
        <x:v>62044300</x:v>
      </x:c>
      <x:c r="D574" s="2" t="str">
        <x:v>Sri Lanka</x:v>
      </x:c>
      <x:c r="E574" s="16" t="n">
        <x:v>1652998</x:v>
      </x:c>
      <x:c r="F574" s="16" t="n">
        <x:v>105987</x:v>
      </x:c>
      <x:c r="G574" s="2" t="str">
        <x:v>WITHIN_BAND</x:v>
      </x:c>
      <x:c r="H574" s="2" t="n">
        <x:v>1</x:v>
      </x:c>
      <x:c r="I574" s="2" t="n">
        <x:f>IF(AND(COUNTIFS($B$6:$B$797,B574,$C$6:$C$797,C574)=11,COUNTIFS($B$6:$B$797,B574,$C$6:$C$797,C574,$G$6:$G$797,"REVIEW")=0,COUNTIFS($B$6:$B$797,B574,$C$6:$C$797,C574,$H$6:$H$797,1)=11,COUNTIFS($B$6:$B$797,B574,$C$6:$C$797,C574,$F$6:$F$797,"&gt;0")=11),1,0)</x:f>
        <x:v>1</x:v>
      </x:c>
      <x:c r="J574" s="2" t="n">
        <x:f>COUNTIFS($A$6:$A$797,A574)</x:f>
        <x:v>1</x:v>
      </x:c>
    </x:row>
    <x:row r="575" ht="23" customHeight="1">
      <x:c r="A575" s="2" t="str">
        <x:v>62044300_TR_202604_IMPORT</x:v>
      </x:c>
      <x:c r="B575" s="2" t="n">
        <x:v>202604</x:v>
      </x:c>
      <x:c r="C575" s="2" t="str">
        <x:v>62044300</x:v>
      </x:c>
      <x:c r="D575" s="2" t="str">
        <x:v>Turkey</x:v>
      </x:c>
      <x:c r="E575" s="16" t="n">
        <x:v>325406</x:v>
      </x:c>
      <x:c r="F575" s="16" t="n">
        <x:v>9302</x:v>
      </x:c>
      <x:c r="G575" s="2" t="str">
        <x:v>WITHIN_BAND</x:v>
      </x:c>
      <x:c r="H575" s="2" t="n">
        <x:v>1</x:v>
      </x:c>
      <x:c r="I575" s="2" t="n">
        <x:f>IF(AND(COUNTIFS($B$6:$B$797,B575,$C$6:$C$797,C575)=11,COUNTIFS($B$6:$B$797,B575,$C$6:$C$797,C575,$G$6:$G$797,"REVIEW")=0,COUNTIFS($B$6:$B$797,B575,$C$6:$C$797,C575,$H$6:$H$797,1)=11,COUNTIFS($B$6:$B$797,B575,$C$6:$C$797,C575,$F$6:$F$797,"&gt;0")=11),1,0)</x:f>
        <x:v>1</x:v>
      </x:c>
      <x:c r="J575" s="2" t="n">
        <x:f>COUNTIFS($A$6:$A$797,A575)</x:f>
        <x:v>1</x:v>
      </x:c>
    </x:row>
    <x:row r="576" ht="23" customHeight="1">
      <x:c r="A576" s="2" t="str">
        <x:v>62044300_VN_202604_IMPORT</x:v>
      </x:c>
      <x:c r="B576" s="2" t="n">
        <x:v>202604</x:v>
      </x:c>
      <x:c r="C576" s="2" t="str">
        <x:v>62044300</x:v>
      </x:c>
      <x:c r="D576" s="2" t="str">
        <x:v>Vietnam</x:v>
      </x:c>
      <x:c r="E576" s="16" t="n">
        <x:v>831992</x:v>
      </x:c>
      <x:c r="F576" s="16" t="n">
        <x:v>48067</x:v>
      </x:c>
      <x:c r="G576" s="2" t="str">
        <x:v>WITHIN_BAND</x:v>
      </x:c>
      <x:c r="H576" s="2" t="n">
        <x:v>1</x:v>
      </x:c>
      <x:c r="I576" s="2" t="n">
        <x:f>IF(AND(COUNTIFS($B$6:$B$797,B576,$C$6:$C$797,C576)=11,COUNTIFS($B$6:$B$797,B576,$C$6:$C$797,C576,$G$6:$G$797,"REVIEW")=0,COUNTIFS($B$6:$B$797,B576,$C$6:$C$797,C576,$H$6:$H$797,1)=11,COUNTIFS($B$6:$B$797,B576,$C$6:$C$797,C576,$F$6:$F$797,"&gt;0")=11),1,0)</x:f>
        <x:v>1</x:v>
      </x:c>
      <x:c r="J576" s="2" t="n">
        <x:f>COUNTIFS($A$6:$A$797,A576)</x:f>
        <x:v>1</x:v>
      </x:c>
    </x:row>
    <x:row r="577" ht="23" customHeight="1">
      <x:c r="A577" s="2" t="str">
        <x:v>62044300_WORLD_202604_IMPORT</x:v>
      </x:c>
      <x:c r="B577" s="2" t="n">
        <x:v>202604</x:v>
      </x:c>
      <x:c r="C577" s="2" t="str">
        <x:v>62044300</x:v>
      </x:c>
      <x:c r="D577" s="2" t="str">
        <x:v>World</x:v>
      </x:c>
      <x:c r="E577" s="16" t="n">
        <x:v>32945837</x:v>
      </x:c>
      <x:c r="F577" s="16" t="n">
        <x:v>977575</x:v>
      </x:c>
      <x:c r="G577" s="2" t="str">
        <x:v>WITHIN_BAND</x:v>
      </x:c>
      <x:c r="H577" s="2" t="n">
        <x:v>1</x:v>
      </x:c>
      <x:c r="I577" s="2" t="n">
        <x:f>IF(AND(COUNTIFS($B$6:$B$797,B577,$C$6:$C$797,C577)=11,COUNTIFS($B$6:$B$797,B577,$C$6:$C$797,C577,$G$6:$G$797,"REVIEW")=0,COUNTIFS($B$6:$B$797,B577,$C$6:$C$797,C577,$H$6:$H$797,1)=11,COUNTIFS($B$6:$B$797,B577,$C$6:$C$797,C577,$F$6:$F$797,"&gt;0")=11),1,0)</x:f>
        <x:v>1</x:v>
      </x:c>
      <x:c r="J577" s="2" t="n">
        <x:f>COUNTIFS($A$6:$A$797,A577)</x:f>
        <x:v>1</x:v>
      </x:c>
    </x:row>
    <x:row r="578" ht="23" customHeight="1">
      <x:c r="A578" s="2" t="str">
        <x:v>62044300_BD_202605_IMPORT</x:v>
      </x:c>
      <x:c r="B578" s="2" t="n">
        <x:v>202605</x:v>
      </x:c>
      <x:c r="C578" s="2" t="str">
        <x:v>62044300</x:v>
      </x:c>
      <x:c r="D578" s="2" t="str">
        <x:v>Bangladesh</x:v>
      </x:c>
      <x:c r="E578" s="16" t="n">
        <x:v>1315669</x:v>
      </x:c>
      <x:c r="F578" s="16" t="n">
        <x:v>102114</x:v>
      </x:c>
      <x:c r="G578" s="2" t="str">
        <x:v>WITHIN_BAND</x:v>
      </x:c>
      <x:c r="H578" s="2" t="n">
        <x:v>1</x:v>
      </x:c>
      <x:c r="I578" s="2" t="n">
        <x:f>IF(AND(COUNTIFS($B$6:$B$797,B578,$C$6:$C$797,C578)=11,COUNTIFS($B$6:$B$797,B578,$C$6:$C$797,C578,$G$6:$G$797,"REVIEW")=0,COUNTIFS($B$6:$B$797,B578,$C$6:$C$797,C578,$H$6:$H$797,1)=11,COUNTIFS($B$6:$B$797,B578,$C$6:$C$797,C578,$F$6:$F$797,"&gt;0")=11),1,0)</x:f>
        <x:v>1</x:v>
      </x:c>
      <x:c r="J578" s="2" t="n">
        <x:f>COUNTIFS($A$6:$A$797,A578)</x:f>
        <x:v>1</x:v>
      </x:c>
    </x:row>
    <x:row r="579" ht="23" customHeight="1">
      <x:c r="A579" s="2" t="str">
        <x:v>62044300_KH_202605_IMPORT</x:v>
      </x:c>
      <x:c r="B579" s="2" t="n">
        <x:v>202605</x:v>
      </x:c>
      <x:c r="C579" s="2" t="str">
        <x:v>62044300</x:v>
      </x:c>
      <x:c r="D579" s="2" t="str">
        <x:v>Cambodia</x:v>
      </x:c>
      <x:c r="E579" s="16" t="n">
        <x:v>1007227</x:v>
      </x:c>
      <x:c r="F579" s="16" t="n">
        <x:v>56320</x:v>
      </x:c>
      <x:c r="G579" s="2" t="str">
        <x:v>WITHIN_BAND</x:v>
      </x:c>
      <x:c r="H579" s="2" t="n">
        <x:v>1</x:v>
      </x:c>
      <x:c r="I579" s="2" t="n">
        <x:f>IF(AND(COUNTIFS($B$6:$B$797,B579,$C$6:$C$797,C579)=11,COUNTIFS($B$6:$B$797,B579,$C$6:$C$797,C579,$G$6:$G$797,"REVIEW")=0,COUNTIFS($B$6:$B$797,B579,$C$6:$C$797,C579,$H$6:$H$797,1)=11,COUNTIFS($B$6:$B$797,B579,$C$6:$C$797,C579,$F$6:$F$797,"&gt;0")=11),1,0)</x:f>
        <x:v>1</x:v>
      </x:c>
      <x:c r="J579" s="2" t="n">
        <x:f>COUNTIFS($A$6:$A$797,A579)</x:f>
        <x:v>1</x:v>
      </x:c>
    </x:row>
    <x:row r="580" ht="23" customHeight="1">
      <x:c r="A580" s="2" t="str">
        <x:v>62044300_CN_202605_IMPORT</x:v>
      </x:c>
      <x:c r="B580" s="2" t="n">
        <x:v>202605</x:v>
      </x:c>
      <x:c r="C580" s="2" t="str">
        <x:v>62044300</x:v>
      </x:c>
      <x:c r="D580" s="2" t="str">
        <x:v>China</x:v>
      </x:c>
      <x:c r="E580" s="16" t="n">
        <x:v>7268151</x:v>
      </x:c>
      <x:c r="F580" s="16" t="n">
        <x:v>243945</x:v>
      </x:c>
      <x:c r="G580" s="2" t="str">
        <x:v>WITHIN_BAND</x:v>
      </x:c>
      <x:c r="H580" s="2" t="n">
        <x:v>1</x:v>
      </x:c>
      <x:c r="I580" s="2" t="n">
        <x:f>IF(AND(COUNTIFS($B$6:$B$797,B580,$C$6:$C$797,C580)=11,COUNTIFS($B$6:$B$797,B580,$C$6:$C$797,C580,$G$6:$G$797,"REVIEW")=0,COUNTIFS($B$6:$B$797,B580,$C$6:$C$797,C580,$H$6:$H$797,1)=11,COUNTIFS($B$6:$B$797,B580,$C$6:$C$797,C580,$F$6:$F$797,"&gt;0")=11),1,0)</x:f>
        <x:v>1</x:v>
      </x:c>
      <x:c r="J580" s="2" t="n">
        <x:f>COUNTIFS($A$6:$A$797,A580)</x:f>
        <x:v>1</x:v>
      </x:c>
    </x:row>
    <x:row r="581" ht="23" customHeight="1">
      <x:c r="A581" s="2" t="str">
        <x:v>62044300_IN_202605_IMPORT</x:v>
      </x:c>
      <x:c r="B581" s="2" t="n">
        <x:v>202605</x:v>
      </x:c>
      <x:c r="C581" s="2" t="str">
        <x:v>62044300</x:v>
      </x:c>
      <x:c r="D581" s="2" t="str">
        <x:v>India</x:v>
      </x:c>
      <x:c r="E581" s="16" t="n">
        <x:v>3339046</x:v>
      </x:c>
      <x:c r="F581" s="16" t="n">
        <x:v>127324</x:v>
      </x:c>
      <x:c r="G581" s="2" t="str">
        <x:v>WITHIN_BAND</x:v>
      </x:c>
      <x:c r="H581" s="2" t="n">
        <x:v>1</x:v>
      </x:c>
      <x:c r="I581" s="2" t="n">
        <x:f>IF(AND(COUNTIFS($B$6:$B$797,B581,$C$6:$C$797,C581)=11,COUNTIFS($B$6:$B$797,B581,$C$6:$C$797,C581,$G$6:$G$797,"REVIEW")=0,COUNTIFS($B$6:$B$797,B581,$C$6:$C$797,C581,$H$6:$H$797,1)=11,COUNTIFS($B$6:$B$797,B581,$C$6:$C$797,C581,$F$6:$F$797,"&gt;0")=11),1,0)</x:f>
        <x:v>1</x:v>
      </x:c>
      <x:c r="J581" s="2" t="n">
        <x:f>COUNTIFS($A$6:$A$797,A581)</x:f>
        <x:v>1</x:v>
      </x:c>
    </x:row>
    <x:row r="582" ht="23" customHeight="1">
      <x:c r="A582" s="2" t="str">
        <x:v>62044300_MA_202605_IMPORT</x:v>
      </x:c>
      <x:c r="B582" s="2" t="n">
        <x:v>202605</x:v>
      </x:c>
      <x:c r="C582" s="2" t="str">
        <x:v>62044300</x:v>
      </x:c>
      <x:c r="D582" s="2" t="str">
        <x:v>Morocco</x:v>
      </x:c>
      <x:c r="E582" s="16" t="n">
        <x:v>1086207</x:v>
      </x:c>
      <x:c r="F582" s="16" t="n">
        <x:v>43026</x:v>
      </x:c>
      <x:c r="G582" s="2" t="str">
        <x:v>WITHIN_BAND</x:v>
      </x:c>
      <x:c r="H582" s="2" t="n">
        <x:v>1</x:v>
      </x:c>
      <x:c r="I582" s="2" t="n">
        <x:f>IF(AND(COUNTIFS($B$6:$B$797,B582,$C$6:$C$797,C582)=11,COUNTIFS($B$6:$B$797,B582,$C$6:$C$797,C582,$G$6:$G$797,"REVIEW")=0,COUNTIFS($B$6:$B$797,B582,$C$6:$C$797,C582,$H$6:$H$797,1)=11,COUNTIFS($B$6:$B$797,B582,$C$6:$C$797,C582,$F$6:$F$797,"&gt;0")=11),1,0)</x:f>
        <x:v>1</x:v>
      </x:c>
      <x:c r="J582" s="2" t="n">
        <x:f>COUNTIFS($A$6:$A$797,A582)</x:f>
        <x:v>1</x:v>
      </x:c>
    </x:row>
    <x:row r="583" ht="23" customHeight="1">
      <x:c r="A583" s="2" t="str">
        <x:v>62044300_MM_202605_IMPORT</x:v>
      </x:c>
      <x:c r="B583" s="2" t="n">
        <x:v>202605</x:v>
      </x:c>
      <x:c r="C583" s="2" t="str">
        <x:v>62044300</x:v>
      </x:c>
      <x:c r="D583" s="2" t="str">
        <x:v>Myanmar</x:v>
      </x:c>
      <x:c r="E583" s="16" t="n">
        <x:v>403692</x:v>
      </x:c>
      <x:c r="F583" s="16" t="n">
        <x:v>6746</x:v>
      </x:c>
      <x:c r="G583" s="2" t="str">
        <x:v>WITHIN_BAND</x:v>
      </x:c>
      <x:c r="H583" s="2" t="n">
        <x:v>1</x:v>
      </x:c>
      <x:c r="I583" s="2" t="n">
        <x:f>IF(AND(COUNTIFS($B$6:$B$797,B583,$C$6:$C$797,C583)=11,COUNTIFS($B$6:$B$797,B583,$C$6:$C$797,C583,$G$6:$G$797,"REVIEW")=0,COUNTIFS($B$6:$B$797,B583,$C$6:$C$797,C583,$H$6:$H$797,1)=11,COUNTIFS($B$6:$B$797,B583,$C$6:$C$797,C583,$F$6:$F$797,"&gt;0")=11),1,0)</x:f>
        <x:v>1</x:v>
      </x:c>
      <x:c r="J583" s="2" t="n">
        <x:f>COUNTIFS($A$6:$A$797,A583)</x:f>
        <x:v>1</x:v>
      </x:c>
    </x:row>
    <x:row r="584" ht="23" customHeight="1">
      <x:c r="A584" s="2" t="str">
        <x:v>62044300_PK_202605_IMPORT</x:v>
      </x:c>
      <x:c r="B584" s="2" t="n">
        <x:v>202605</x:v>
      </x:c>
      <x:c r="C584" s="2" t="str">
        <x:v>62044300</x:v>
      </x:c>
      <x:c r="D584" s="2" t="str">
        <x:v>Pakistan</x:v>
      </x:c>
      <x:c r="E584" s="16" t="n">
        <x:v>42237</x:v>
      </x:c>
      <x:c r="F584" s="16" t="n">
        <x:v>1893</x:v>
      </x:c>
      <x:c r="G584" s="2" t="str">
        <x:v>WITHIN_BAND</x:v>
      </x:c>
      <x:c r="H584" s="2" t="n">
        <x:v>1</x:v>
      </x:c>
      <x:c r="I584" s="2" t="n">
        <x:f>IF(AND(COUNTIFS($B$6:$B$797,B584,$C$6:$C$797,C584)=11,COUNTIFS($B$6:$B$797,B584,$C$6:$C$797,C584,$G$6:$G$797,"REVIEW")=0,COUNTIFS($B$6:$B$797,B584,$C$6:$C$797,C584,$H$6:$H$797,1)=11,COUNTIFS($B$6:$B$797,B584,$C$6:$C$797,C584,$F$6:$F$797,"&gt;0")=11),1,0)</x:f>
        <x:v>1</x:v>
      </x:c>
      <x:c r="J584" s="2" t="n">
        <x:f>COUNTIFS($A$6:$A$797,A584)</x:f>
        <x:v>1</x:v>
      </x:c>
    </x:row>
    <x:row r="585" ht="23" customHeight="1">
      <x:c r="A585" s="2" t="str">
        <x:v>62044300_LK_202605_IMPORT</x:v>
      </x:c>
      <x:c r="B585" s="2" t="n">
        <x:v>202605</x:v>
      </x:c>
      <x:c r="C585" s="2" t="str">
        <x:v>62044300</x:v>
      </x:c>
      <x:c r="D585" s="2" t="str">
        <x:v>Sri Lanka</x:v>
      </x:c>
      <x:c r="E585" s="16" t="n">
        <x:v>1529655</x:v>
      </x:c>
      <x:c r="F585" s="16" t="n">
        <x:v>74521</x:v>
      </x:c>
      <x:c r="G585" s="2" t="str">
        <x:v>WITHIN_BAND</x:v>
      </x:c>
      <x:c r="H585" s="2" t="n">
        <x:v>1</x:v>
      </x:c>
      <x:c r="I585" s="2" t="n">
        <x:f>IF(AND(COUNTIFS($B$6:$B$797,B585,$C$6:$C$797,C585)=11,COUNTIFS($B$6:$B$797,B585,$C$6:$C$797,C585,$G$6:$G$797,"REVIEW")=0,COUNTIFS($B$6:$B$797,B585,$C$6:$C$797,C585,$H$6:$H$797,1)=11,COUNTIFS($B$6:$B$797,B585,$C$6:$C$797,C585,$F$6:$F$797,"&gt;0")=11),1,0)</x:f>
        <x:v>1</x:v>
      </x:c>
      <x:c r="J585" s="2" t="n">
        <x:f>COUNTIFS($A$6:$A$797,A585)</x:f>
        <x:v>1</x:v>
      </x:c>
    </x:row>
    <x:row r="586" ht="23" customHeight="1">
      <x:c r="A586" s="2" t="str">
        <x:v>62044300_TR_202605_IMPORT</x:v>
      </x:c>
      <x:c r="B586" s="2" t="n">
        <x:v>202605</x:v>
      </x:c>
      <x:c r="C586" s="2" t="str">
        <x:v>62044300</x:v>
      </x:c>
      <x:c r="D586" s="2" t="str">
        <x:v>Turkey</x:v>
      </x:c>
      <x:c r="E586" s="16" t="n">
        <x:v>273975</x:v>
      </x:c>
      <x:c r="F586" s="16" t="n">
        <x:v>7229</x:v>
      </x:c>
      <x:c r="G586" s="2" t="str">
        <x:v>WITHIN_BAND</x:v>
      </x:c>
      <x:c r="H586" s="2" t="n">
        <x:v>1</x:v>
      </x:c>
      <x:c r="I586" s="2" t="n">
        <x:f>IF(AND(COUNTIFS($B$6:$B$797,B586,$C$6:$C$797,C586)=11,COUNTIFS($B$6:$B$797,B586,$C$6:$C$797,C586,$G$6:$G$797,"REVIEW")=0,COUNTIFS($B$6:$B$797,B586,$C$6:$C$797,C586,$H$6:$H$797,1)=11,COUNTIFS($B$6:$B$797,B586,$C$6:$C$797,C586,$F$6:$F$797,"&gt;0")=11),1,0)</x:f>
        <x:v>1</x:v>
      </x:c>
      <x:c r="J586" s="2" t="n">
        <x:f>COUNTIFS($A$6:$A$797,A586)</x:f>
        <x:v>1</x:v>
      </x:c>
    </x:row>
    <x:row r="587" ht="23" customHeight="1">
      <x:c r="A587" s="2" t="str">
        <x:v>62044300_VN_202605_IMPORT</x:v>
      </x:c>
      <x:c r="B587" s="2" t="n">
        <x:v>202605</x:v>
      </x:c>
      <x:c r="C587" s="2" t="str">
        <x:v>62044300</x:v>
      </x:c>
      <x:c r="D587" s="2" t="str">
        <x:v>Vietnam</x:v>
      </x:c>
      <x:c r="E587" s="16" t="n">
        <x:v>709745</x:v>
      </x:c>
      <x:c r="F587" s="16" t="n">
        <x:v>34194</x:v>
      </x:c>
      <x:c r="G587" s="2" t="str">
        <x:v>WITHIN_BAND</x:v>
      </x:c>
      <x:c r="H587" s="2" t="n">
        <x:v>1</x:v>
      </x:c>
      <x:c r="I587" s="2" t="n">
        <x:f>IF(AND(COUNTIFS($B$6:$B$797,B587,$C$6:$C$797,C587)=11,COUNTIFS($B$6:$B$797,B587,$C$6:$C$797,C587,$G$6:$G$797,"REVIEW")=0,COUNTIFS($B$6:$B$797,B587,$C$6:$C$797,C587,$H$6:$H$797,1)=11,COUNTIFS($B$6:$B$797,B587,$C$6:$C$797,C587,$F$6:$F$797,"&gt;0")=11),1,0)</x:f>
        <x:v>1</x:v>
      </x:c>
      <x:c r="J587" s="2" t="n">
        <x:f>COUNTIFS($A$6:$A$797,A587)</x:f>
        <x:v>1</x:v>
      </x:c>
    </x:row>
    <x:row r="588" ht="23" customHeight="1">
      <x:c r="A588" s="2" t="str">
        <x:v>62044300_WORLD_202605_IMPORT</x:v>
      </x:c>
      <x:c r="B588" s="2" t="n">
        <x:v>202605</x:v>
      </x:c>
      <x:c r="C588" s="2" t="str">
        <x:v>62044300</x:v>
      </x:c>
      <x:c r="D588" s="2" t="str">
        <x:v>World</x:v>
      </x:c>
      <x:c r="E588" s="16" t="n">
        <x:v>29170442</x:v>
      </x:c>
      <x:c r="F588" s="16" t="n">
        <x:v>922618</x:v>
      </x:c>
      <x:c r="G588" s="2" t="str">
        <x:v>WITHIN_BAND</x:v>
      </x:c>
      <x:c r="H588" s="2" t="n">
        <x:v>1</x:v>
      </x:c>
      <x:c r="I588" s="2" t="n">
        <x:f>IF(AND(COUNTIFS($B$6:$B$797,B588,$C$6:$C$797,C588)=11,COUNTIFS($B$6:$B$797,B588,$C$6:$C$797,C588,$G$6:$G$797,"REVIEW")=0,COUNTIFS($B$6:$B$797,B588,$C$6:$C$797,C588,$H$6:$H$797,1)=11,COUNTIFS($B$6:$B$797,B588,$C$6:$C$797,C588,$F$6:$F$797,"&gt;0")=11),1,0)</x:f>
        <x:v>1</x:v>
      </x:c>
      <x:c r="J588" s="2" t="n">
        <x:f>COUNTIFS($A$6:$A$797,A588)</x:f>
        <x:v>1</x:v>
      </x:c>
    </x:row>
    <x:row r="589" ht="23" customHeight="1">
      <x:c r="A589" s="2" t="str">
        <x:v>62044300_BD_202606_IMPORT</x:v>
      </x:c>
      <x:c r="B589" s="2" t="n">
        <x:v>202606</x:v>
      </x:c>
      <x:c r="C589" s="2" t="str">
        <x:v>62044300</x:v>
      </x:c>
      <x:c r="D589" s="2" t="str">
        <x:v>Bangladesh</x:v>
      </x:c>
      <x:c r="E589" s="16" t="n">
        <x:v>1086185</x:v>
      </x:c>
      <x:c r="F589" s="16" t="n">
        <x:v>64453</x:v>
      </x:c>
      <x:c r="G589" s="2" t="str">
        <x:v>WITHIN_BAND</x:v>
      </x:c>
      <x:c r="H589" s="2" t="n">
        <x:v>1</x:v>
      </x:c>
      <x:c r="I589" s="2" t="n">
        <x:f>IF(AND(COUNTIFS($B$6:$B$797,B589,$C$6:$C$797,C589)=11,COUNTIFS($B$6:$B$797,B589,$C$6:$C$797,C589,$G$6:$G$797,"REVIEW")=0,COUNTIFS($B$6:$B$797,B589,$C$6:$C$797,C589,$H$6:$H$797,1)=11,COUNTIFS($B$6:$B$797,B589,$C$6:$C$797,C589,$F$6:$F$797,"&gt;0")=11),1,0)</x:f>
        <x:v>1</x:v>
      </x:c>
      <x:c r="J589" s="2" t="n">
        <x:f>COUNTIFS($A$6:$A$797,A589)</x:f>
        <x:v>1</x:v>
      </x:c>
    </x:row>
    <x:row r="590" ht="23" customHeight="1">
      <x:c r="A590" s="2" t="str">
        <x:v>62044300_KH_202606_IMPORT</x:v>
      </x:c>
      <x:c r="B590" s="2" t="n">
        <x:v>202606</x:v>
      </x:c>
      <x:c r="C590" s="2" t="str">
        <x:v>62044300</x:v>
      </x:c>
      <x:c r="D590" s="2" t="str">
        <x:v>Cambodia</x:v>
      </x:c>
      <x:c r="E590" s="16" t="n">
        <x:v>246481</x:v>
      </x:c>
      <x:c r="F590" s="16" t="n">
        <x:v>13251</x:v>
      </x:c>
      <x:c r="G590" s="2" t="str">
        <x:v>WITHIN_BAND</x:v>
      </x:c>
      <x:c r="H590" s="2" t="n">
        <x:v>1</x:v>
      </x:c>
      <x:c r="I590" s="2" t="n">
        <x:f>IF(AND(COUNTIFS($B$6:$B$797,B590,$C$6:$C$797,C590)=11,COUNTIFS($B$6:$B$797,B590,$C$6:$C$797,C590,$G$6:$G$797,"REVIEW")=0,COUNTIFS($B$6:$B$797,B590,$C$6:$C$797,C590,$H$6:$H$797,1)=11,COUNTIFS($B$6:$B$797,B590,$C$6:$C$797,C590,$F$6:$F$797,"&gt;0")=11),1,0)</x:f>
        <x:v>1</x:v>
      </x:c>
      <x:c r="J590" s="2" t="n">
        <x:f>COUNTIFS($A$6:$A$797,A590)</x:f>
        <x:v>1</x:v>
      </x:c>
    </x:row>
    <x:row r="591" ht="23" customHeight="1">
      <x:c r="A591" s="2" t="str">
        <x:v>62044300_CN_202606_IMPORT</x:v>
      </x:c>
      <x:c r="B591" s="2" t="n">
        <x:v>202606</x:v>
      </x:c>
      <x:c r="C591" s="2" t="str">
        <x:v>62044300</x:v>
      </x:c>
      <x:c r="D591" s="2" t="str">
        <x:v>China</x:v>
      </x:c>
      <x:c r="E591" s="16" t="n">
        <x:v>7407724</x:v>
      </x:c>
      <x:c r="F591" s="16" t="n">
        <x:v>249367</x:v>
      </x:c>
      <x:c r="G591" s="2" t="str">
        <x:v>WITHIN_BAND</x:v>
      </x:c>
      <x:c r="H591" s="2" t="n">
        <x:v>1</x:v>
      </x:c>
      <x:c r="I591" s="2" t="n">
        <x:f>IF(AND(COUNTIFS($B$6:$B$797,B591,$C$6:$C$797,C591)=11,COUNTIFS($B$6:$B$797,B591,$C$6:$C$797,C591,$G$6:$G$797,"REVIEW")=0,COUNTIFS($B$6:$B$797,B591,$C$6:$C$797,C591,$H$6:$H$797,1)=11,COUNTIFS($B$6:$B$797,B591,$C$6:$C$797,C591,$F$6:$F$797,"&gt;0")=11),1,0)</x:f>
        <x:v>1</x:v>
      </x:c>
      <x:c r="J591" s="2" t="n">
        <x:f>COUNTIFS($A$6:$A$797,A591)</x:f>
        <x:v>1</x:v>
      </x:c>
    </x:row>
    <x:row r="592" ht="23" customHeight="1">
      <x:c r="A592" s="2" t="str">
        <x:v>62044300_IN_202606_IMPORT</x:v>
      </x:c>
      <x:c r="B592" s="2" t="n">
        <x:v>202606</x:v>
      </x:c>
      <x:c r="C592" s="2" t="str">
        <x:v>62044300</x:v>
      </x:c>
      <x:c r="D592" s="2" t="str">
        <x:v>India</x:v>
      </x:c>
      <x:c r="E592" s="16" t="n">
        <x:v>2230522</x:v>
      </x:c>
      <x:c r="F592" s="16" t="n">
        <x:v>75570</x:v>
      </x:c>
      <x:c r="G592" s="2" t="str">
        <x:v>WITHIN_BAND</x:v>
      </x:c>
      <x:c r="H592" s="2" t="n">
        <x:v>1</x:v>
      </x:c>
      <x:c r="I592" s="2" t="n">
        <x:f>IF(AND(COUNTIFS($B$6:$B$797,B592,$C$6:$C$797,C592)=11,COUNTIFS($B$6:$B$797,B592,$C$6:$C$797,C592,$G$6:$G$797,"REVIEW")=0,COUNTIFS($B$6:$B$797,B592,$C$6:$C$797,C592,$H$6:$H$797,1)=11,COUNTIFS($B$6:$B$797,B592,$C$6:$C$797,C592,$F$6:$F$797,"&gt;0")=11),1,0)</x:f>
        <x:v>1</x:v>
      </x:c>
      <x:c r="J592" s="2" t="n">
        <x:f>COUNTIFS($A$6:$A$797,A592)</x:f>
        <x:v>1</x:v>
      </x:c>
    </x:row>
    <x:row r="593" ht="23" customHeight="1">
      <x:c r="A593" s="2" t="str">
        <x:v>62044300_MA_202606_IMPORT</x:v>
      </x:c>
      <x:c r="B593" s="2" t="n">
        <x:v>202606</x:v>
      </x:c>
      <x:c r="C593" s="2" t="str">
        <x:v>62044300</x:v>
      </x:c>
      <x:c r="D593" s="2" t="str">
        <x:v>Morocco</x:v>
      </x:c>
      <x:c r="E593" s="16" t="n">
        <x:v>1720368</x:v>
      </x:c>
      <x:c r="F593" s="16" t="n">
        <x:v>71191</x:v>
      </x:c>
      <x:c r="G593" s="2" t="str">
        <x:v>WITHIN_BAND</x:v>
      </x:c>
      <x:c r="H593" s="2" t="n">
        <x:v>1</x:v>
      </x:c>
      <x:c r="I593" s="2" t="n">
        <x:f>IF(AND(COUNTIFS($B$6:$B$797,B593,$C$6:$C$797,C593)=11,COUNTIFS($B$6:$B$797,B593,$C$6:$C$797,C593,$G$6:$G$797,"REVIEW")=0,COUNTIFS($B$6:$B$797,B593,$C$6:$C$797,C593,$H$6:$H$797,1)=11,COUNTIFS($B$6:$B$797,B593,$C$6:$C$797,C593,$F$6:$F$797,"&gt;0")=11),1,0)</x:f>
        <x:v>1</x:v>
      </x:c>
      <x:c r="J593" s="2" t="n">
        <x:f>COUNTIFS($A$6:$A$797,A593)</x:f>
        <x:v>1</x:v>
      </x:c>
    </x:row>
    <x:row r="594" ht="23" customHeight="1">
      <x:c r="A594" s="2" t="str">
        <x:v>62044300_MM_202606_IMPORT</x:v>
      </x:c>
      <x:c r="B594" s="2" t="n">
        <x:v>202606</x:v>
      </x:c>
      <x:c r="C594" s="2" t="str">
        <x:v>62044300</x:v>
      </x:c>
      <x:c r="D594" s="2" t="str">
        <x:v>Myanmar</x:v>
      </x:c>
      <x:c r="E594" s="16" t="n">
        <x:v>309987</x:v>
      </x:c>
      <x:c r="F594" s="16" t="n">
        <x:v>4365</x:v>
      </x:c>
      <x:c r="G594" s="2" t="str">
        <x:v>WITHIN_BAND</x:v>
      </x:c>
      <x:c r="H594" s="2" t="n">
        <x:v>1</x:v>
      </x:c>
      <x:c r="I594" s="2" t="n">
        <x:f>IF(AND(COUNTIFS($B$6:$B$797,B594,$C$6:$C$797,C594)=11,COUNTIFS($B$6:$B$797,B594,$C$6:$C$797,C594,$G$6:$G$797,"REVIEW")=0,COUNTIFS($B$6:$B$797,B594,$C$6:$C$797,C594,$H$6:$H$797,1)=11,COUNTIFS($B$6:$B$797,B594,$C$6:$C$797,C594,$F$6:$F$797,"&gt;0")=11),1,0)</x:f>
        <x:v>1</x:v>
      </x:c>
      <x:c r="J594" s="2" t="n">
        <x:f>COUNTIFS($A$6:$A$797,A594)</x:f>
        <x:v>1</x:v>
      </x:c>
    </x:row>
    <x:row r="595" ht="23" customHeight="1">
      <x:c r="A595" s="2" t="str">
        <x:v>62044300_PK_202606_IMPORT</x:v>
      </x:c>
      <x:c r="B595" s="2" t="n">
        <x:v>202606</x:v>
      </x:c>
      <x:c r="C595" s="2" t="str">
        <x:v>62044300</x:v>
      </x:c>
      <x:c r="D595" s="2" t="str">
        <x:v>Pakistan</x:v>
      </x:c>
      <x:c r="E595" s="16" t="n">
        <x:v>33262</x:v>
      </x:c>
      <x:c r="F595" s="16" t="n">
        <x:v>1536</x:v>
      </x:c>
      <x:c r="G595" s="2" t="str">
        <x:v>WITHIN_BAND</x:v>
      </x:c>
      <x:c r="H595" s="2" t="n">
        <x:v>1</x:v>
      </x:c>
      <x:c r="I595" s="2" t="n">
        <x:f>IF(AND(COUNTIFS($B$6:$B$797,B595,$C$6:$C$797,C595)=11,COUNTIFS($B$6:$B$797,B595,$C$6:$C$797,C595,$G$6:$G$797,"REVIEW")=0,COUNTIFS($B$6:$B$797,B595,$C$6:$C$797,C595,$H$6:$H$797,1)=11,COUNTIFS($B$6:$B$797,B595,$C$6:$C$797,C595,$F$6:$F$797,"&gt;0")=11),1,0)</x:f>
        <x:v>1</x:v>
      </x:c>
      <x:c r="J595" s="2" t="n">
        <x:f>COUNTIFS($A$6:$A$797,A595)</x:f>
        <x:v>1</x:v>
      </x:c>
    </x:row>
    <x:row r="596" ht="23" customHeight="1">
      <x:c r="A596" s="2" t="str">
        <x:v>62044300_LK_202606_IMPORT</x:v>
      </x:c>
      <x:c r="B596" s="2" t="n">
        <x:v>202606</x:v>
      </x:c>
      <x:c r="C596" s="2" t="str">
        <x:v>62044300</x:v>
      </x:c>
      <x:c r="D596" s="2" t="str">
        <x:v>Sri Lanka</x:v>
      </x:c>
      <x:c r="E596" s="16" t="n">
        <x:v>948451</x:v>
      </x:c>
      <x:c r="F596" s="16" t="n">
        <x:v>45663</x:v>
      </x:c>
      <x:c r="G596" s="2" t="str">
        <x:v>WITHIN_BAND</x:v>
      </x:c>
      <x:c r="H596" s="2" t="n">
        <x:v>1</x:v>
      </x:c>
      <x:c r="I596" s="2" t="n">
        <x:f>IF(AND(COUNTIFS($B$6:$B$797,B596,$C$6:$C$797,C596)=11,COUNTIFS($B$6:$B$797,B596,$C$6:$C$797,C596,$G$6:$G$797,"REVIEW")=0,COUNTIFS($B$6:$B$797,B596,$C$6:$C$797,C596,$H$6:$H$797,1)=11,COUNTIFS($B$6:$B$797,B596,$C$6:$C$797,C596,$F$6:$F$797,"&gt;0")=11),1,0)</x:f>
        <x:v>1</x:v>
      </x:c>
      <x:c r="J596" s="2" t="n">
        <x:f>COUNTIFS($A$6:$A$797,A596)</x:f>
        <x:v>1</x:v>
      </x:c>
    </x:row>
    <x:row r="597" ht="23" customHeight="1">
      <x:c r="A597" s="2" t="str">
        <x:v>62044300_TR_202606_IMPORT</x:v>
      </x:c>
      <x:c r="B597" s="2" t="n">
        <x:v>202606</x:v>
      </x:c>
      <x:c r="C597" s="2" t="str">
        <x:v>62044300</x:v>
      </x:c>
      <x:c r="D597" s="2" t="str">
        <x:v>Turkey</x:v>
      </x:c>
      <x:c r="E597" s="16" t="n">
        <x:v>839239</x:v>
      </x:c>
      <x:c r="F597" s="16" t="n">
        <x:v>14304</x:v>
      </x:c>
      <x:c r="G597" s="2" t="str">
        <x:v>WITHIN_BAND</x:v>
      </x:c>
      <x:c r="H597" s="2" t="n">
        <x:v>1</x:v>
      </x:c>
      <x:c r="I597" s="2" t="n">
        <x:f>IF(AND(COUNTIFS($B$6:$B$797,B597,$C$6:$C$797,C597)=11,COUNTIFS($B$6:$B$797,B597,$C$6:$C$797,C597,$G$6:$G$797,"REVIEW")=0,COUNTIFS($B$6:$B$797,B597,$C$6:$C$797,C597,$H$6:$H$797,1)=11,COUNTIFS($B$6:$B$797,B597,$C$6:$C$797,C597,$F$6:$F$797,"&gt;0")=11),1,0)</x:f>
        <x:v>1</x:v>
      </x:c>
      <x:c r="J597" s="2" t="n">
        <x:f>COUNTIFS($A$6:$A$797,A597)</x:f>
        <x:v>1</x:v>
      </x:c>
    </x:row>
    <x:row r="598" ht="23" customHeight="1">
      <x:c r="A598" s="2" t="str">
        <x:v>62044300_VN_202606_IMPORT</x:v>
      </x:c>
      <x:c r="B598" s="2" t="n">
        <x:v>202606</x:v>
      </x:c>
      <x:c r="C598" s="2" t="str">
        <x:v>62044300</x:v>
      </x:c>
      <x:c r="D598" s="2" t="str">
        <x:v>Vietnam</x:v>
      </x:c>
      <x:c r="E598" s="16" t="n">
        <x:v>476093</x:v>
      </x:c>
      <x:c r="F598" s="16" t="n">
        <x:v>19607</x:v>
      </x:c>
      <x:c r="G598" s="2" t="str">
        <x:v>WITHIN_BAND</x:v>
      </x:c>
      <x:c r="H598" s="2" t="n">
        <x:v>1</x:v>
      </x:c>
      <x:c r="I598" s="2" t="n">
        <x:f>IF(AND(COUNTIFS($B$6:$B$797,B598,$C$6:$C$797,C598)=11,COUNTIFS($B$6:$B$797,B598,$C$6:$C$797,C598,$G$6:$G$797,"REVIEW")=0,COUNTIFS($B$6:$B$797,B598,$C$6:$C$797,C598,$H$6:$H$797,1)=11,COUNTIFS($B$6:$B$797,B598,$C$6:$C$797,C598,$F$6:$F$797,"&gt;0")=11),1,0)</x:f>
        <x:v>1</x:v>
      </x:c>
      <x:c r="J598" s="2" t="n">
        <x:f>COUNTIFS($A$6:$A$797,A598)</x:f>
        <x:v>1</x:v>
      </x:c>
    </x:row>
    <x:row r="599" ht="23" customHeight="1">
      <x:c r="A599" s="2" t="str">
        <x:v>62044300_WORLD_202606_IMPORT</x:v>
      </x:c>
      <x:c r="B599" s="2" t="n">
        <x:v>202606</x:v>
      </x:c>
      <x:c r="C599" s="2" t="str">
        <x:v>62044300</x:v>
      </x:c>
      <x:c r="D599" s="2" t="str">
        <x:v>World</x:v>
      </x:c>
      <x:c r="E599" s="16" t="n">
        <x:v>26802445</x:v>
      </x:c>
      <x:c r="F599" s="16" t="n">
        <x:v>814051</x:v>
      </x:c>
      <x:c r="G599" s="2" t="str">
        <x:v>WITHIN_BAND</x:v>
      </x:c>
      <x:c r="H599" s="2" t="n">
        <x:v>1</x:v>
      </x:c>
      <x:c r="I599" s="2" t="n">
        <x:f>IF(AND(COUNTIFS($B$6:$B$797,B599,$C$6:$C$797,C599)=11,COUNTIFS($B$6:$B$797,B599,$C$6:$C$797,C599,$G$6:$G$797,"REVIEW")=0,COUNTIFS($B$6:$B$797,B599,$C$6:$C$797,C599,$H$6:$H$797,1)=11,COUNTIFS($B$6:$B$797,B599,$C$6:$C$797,C599,$F$6:$F$797,"&gt;0")=11),1,0)</x:f>
        <x:v>1</x:v>
      </x:c>
      <x:c r="J599" s="2" t="n">
        <x:f>COUNTIFS($A$6:$A$797,A599)</x:f>
        <x:v>1</x:v>
      </x:c>
    </x:row>
    <x:row r="600" ht="23" customHeight="1">
      <x:c r="A600" s="2" t="str">
        <x:v>62052000_BD_202501_IMPORT</x:v>
      </x:c>
      <x:c r="B600" s="2" t="n">
        <x:v>202501</x:v>
      </x:c>
      <x:c r="C600" s="2" t="str">
        <x:v>62052000</x:v>
      </x:c>
      <x:c r="D600" s="2" t="str">
        <x:v>Bangladesh</x:v>
      </x:c>
      <x:c r="E600" s="16" t="n">
        <x:v>6513240</x:v>
      </x:c>
      <x:c r="F600" s="16" t="n">
        <x:v>356170</x:v>
      </x:c>
      <x:c r="G600" s="2" t="str">
        <x:v>WITHIN_BAND</x:v>
      </x:c>
      <x:c r="H600" s="2" t="n">
        <x:v>1</x:v>
      </x:c>
      <x:c r="I600" s="2" t="n">
        <x:f>IF(AND(COUNTIFS($B$6:$B$797,B600,$C$6:$C$797,C600)=11,COUNTIFS($B$6:$B$797,B600,$C$6:$C$797,C600,$G$6:$G$797,"REVIEW")=0,COUNTIFS($B$6:$B$797,B600,$C$6:$C$797,C600,$H$6:$H$797,1)=11,COUNTIFS($B$6:$B$797,B600,$C$6:$C$797,C600,$F$6:$F$797,"&gt;0")=11),1,0)</x:f>
        <x:v>1</x:v>
      </x:c>
      <x:c r="J600" s="2" t="n">
        <x:f>COUNTIFS($A$6:$A$797,A600)</x:f>
        <x:v>1</x:v>
      </x:c>
    </x:row>
    <x:row r="601" ht="23" customHeight="1">
      <x:c r="A601" s="2" t="str">
        <x:v>62052000_KH_202501_IMPORT</x:v>
      </x:c>
      <x:c r="B601" s="2" t="n">
        <x:v>202501</x:v>
      </x:c>
      <x:c r="C601" s="2" t="str">
        <x:v>62052000</x:v>
      </x:c>
      <x:c r="D601" s="2" t="str">
        <x:v>Cambodia</x:v>
      </x:c>
      <x:c r="E601" s="16" t="n">
        <x:v>405341</x:v>
      </x:c>
      <x:c r="F601" s="16" t="n">
        <x:v>13888</x:v>
      </x:c>
      <x:c r="G601" s="2" t="str">
        <x:v>WITHIN_BAND</x:v>
      </x:c>
      <x:c r="H601" s="2" t="n">
        <x:v>1</x:v>
      </x:c>
      <x:c r="I601" s="2" t="n">
        <x:f>IF(AND(COUNTIFS($B$6:$B$797,B601,$C$6:$C$797,C601)=11,COUNTIFS($B$6:$B$797,B601,$C$6:$C$797,C601,$G$6:$G$797,"REVIEW")=0,COUNTIFS($B$6:$B$797,B601,$C$6:$C$797,C601,$H$6:$H$797,1)=11,COUNTIFS($B$6:$B$797,B601,$C$6:$C$797,C601,$F$6:$F$797,"&gt;0")=11),1,0)</x:f>
        <x:v>1</x:v>
      </x:c>
      <x:c r="J601" s="2" t="n">
        <x:f>COUNTIFS($A$6:$A$797,A601)</x:f>
        <x:v>1</x:v>
      </x:c>
    </x:row>
    <x:row r="602" ht="23" customHeight="1">
      <x:c r="A602" s="2" t="str">
        <x:v>62052000_CN_202501_IMPORT</x:v>
      </x:c>
      <x:c r="B602" s="2" t="n">
        <x:v>202501</x:v>
      </x:c>
      <x:c r="C602" s="2" t="str">
        <x:v>62052000</x:v>
      </x:c>
      <x:c r="D602" s="2" t="str">
        <x:v>China</x:v>
      </x:c>
      <x:c r="E602" s="16" t="n">
        <x:v>1159999</x:v>
      </x:c>
      <x:c r="F602" s="16" t="n">
        <x:v>64293</x:v>
      </x:c>
      <x:c r="G602" s="2" t="str">
        <x:v>WITHIN_BAND</x:v>
      </x:c>
      <x:c r="H602" s="2" t="n">
        <x:v>1</x:v>
      </x:c>
      <x:c r="I602" s="2" t="n">
        <x:f>IF(AND(COUNTIFS($B$6:$B$797,B602,$C$6:$C$797,C602)=11,COUNTIFS($B$6:$B$797,B602,$C$6:$C$797,C602,$G$6:$G$797,"REVIEW")=0,COUNTIFS($B$6:$B$797,B602,$C$6:$C$797,C602,$H$6:$H$797,1)=11,COUNTIFS($B$6:$B$797,B602,$C$6:$C$797,C602,$F$6:$F$797,"&gt;0")=11),1,0)</x:f>
        <x:v>1</x:v>
      </x:c>
      <x:c r="J602" s="2" t="n">
        <x:f>COUNTIFS($A$6:$A$797,A602)</x:f>
        <x:v>1</x:v>
      </x:c>
    </x:row>
    <x:row r="603" ht="23" customHeight="1">
      <x:c r="A603" s="2" t="str">
        <x:v>62052000_IN_202501_IMPORT</x:v>
      </x:c>
      <x:c r="B603" s="2" t="n">
        <x:v>202501</x:v>
      </x:c>
      <x:c r="C603" s="2" t="str">
        <x:v>62052000</x:v>
      </x:c>
      <x:c r="D603" s="2" t="str">
        <x:v>India</x:v>
      </x:c>
      <x:c r="E603" s="16" t="n">
        <x:v>2105009</x:v>
      </x:c>
      <x:c r="F603" s="16" t="n">
        <x:v>95095</x:v>
      </x:c>
      <x:c r="G603" s="2" t="str">
        <x:v>WITHIN_BAND</x:v>
      </x:c>
      <x:c r="H603" s="2" t="n">
        <x:v>1</x:v>
      </x:c>
      <x:c r="I603" s="2" t="n">
        <x:f>IF(AND(COUNTIFS($B$6:$B$797,B603,$C$6:$C$797,C603)=11,COUNTIFS($B$6:$B$797,B603,$C$6:$C$797,C603,$G$6:$G$797,"REVIEW")=0,COUNTIFS($B$6:$B$797,B603,$C$6:$C$797,C603,$H$6:$H$797,1)=11,COUNTIFS($B$6:$B$797,B603,$C$6:$C$797,C603,$F$6:$F$797,"&gt;0")=11),1,0)</x:f>
        <x:v>1</x:v>
      </x:c>
      <x:c r="J603" s="2" t="n">
        <x:f>COUNTIFS($A$6:$A$797,A603)</x:f>
        <x:v>1</x:v>
      </x:c>
    </x:row>
    <x:row r="604" ht="23" customHeight="1">
      <x:c r="A604" s="2" t="str">
        <x:v>62052000_MA_202501_IMPORT</x:v>
      </x:c>
      <x:c r="B604" s="2" t="n">
        <x:v>202501</x:v>
      </x:c>
      <x:c r="C604" s="2" t="str">
        <x:v>62052000</x:v>
      </x:c>
      <x:c r="D604" s="2" t="str">
        <x:v>Morocco</x:v>
      </x:c>
      <x:c r="E604" s="16" t="n">
        <x:v>88209</x:v>
      </x:c>
      <x:c r="F604" s="16" t="n">
        <x:v>1784</x:v>
      </x:c>
      <x:c r="G604" s="2" t="str">
        <x:v>WITHIN_BAND</x:v>
      </x:c>
      <x:c r="H604" s="2" t="n">
        <x:v>1</x:v>
      </x:c>
      <x:c r="I604" s="2" t="n">
        <x:f>IF(AND(COUNTIFS($B$6:$B$797,B604,$C$6:$C$797,C604)=11,COUNTIFS($B$6:$B$797,B604,$C$6:$C$797,C604,$G$6:$G$797,"REVIEW")=0,COUNTIFS($B$6:$B$797,B604,$C$6:$C$797,C604,$H$6:$H$797,1)=11,COUNTIFS($B$6:$B$797,B604,$C$6:$C$797,C604,$F$6:$F$797,"&gt;0")=11),1,0)</x:f>
        <x:v>1</x:v>
      </x:c>
      <x:c r="J604" s="2" t="n">
        <x:f>COUNTIFS($A$6:$A$797,A604)</x:f>
        <x:v>1</x:v>
      </x:c>
    </x:row>
    <x:row r="605" ht="23" customHeight="1">
      <x:c r="A605" s="2" t="str">
        <x:v>62052000_MM_202501_IMPORT</x:v>
      </x:c>
      <x:c r="B605" s="2" t="n">
        <x:v>202501</x:v>
      </x:c>
      <x:c r="C605" s="2" t="str">
        <x:v>62052000</x:v>
      </x:c>
      <x:c r="D605" s="2" t="str">
        <x:v>Myanmar</x:v>
      </x:c>
      <x:c r="E605" s="16" t="n">
        <x:v>78782</x:v>
      </x:c>
      <x:c r="F605" s="16" t="n">
        <x:v>3468</x:v>
      </x:c>
      <x:c r="G605" s="2" t="str">
        <x:v>WITHIN_BAND</x:v>
      </x:c>
      <x:c r="H605" s="2" t="n">
        <x:v>1</x:v>
      </x:c>
      <x:c r="I605" s="2" t="n">
        <x:f>IF(AND(COUNTIFS($B$6:$B$797,B605,$C$6:$C$797,C605)=11,COUNTIFS($B$6:$B$797,B605,$C$6:$C$797,C605,$G$6:$G$797,"REVIEW")=0,COUNTIFS($B$6:$B$797,B605,$C$6:$C$797,C605,$H$6:$H$797,1)=11,COUNTIFS($B$6:$B$797,B605,$C$6:$C$797,C605,$F$6:$F$797,"&gt;0")=11),1,0)</x:f>
        <x:v>1</x:v>
      </x:c>
      <x:c r="J605" s="2" t="n">
        <x:f>COUNTIFS($A$6:$A$797,A605)</x:f>
        <x:v>1</x:v>
      </x:c>
    </x:row>
    <x:row r="606" ht="23" customHeight="1">
      <x:c r="A606" s="2" t="str">
        <x:v>62052000_PK_202501_IMPORT</x:v>
      </x:c>
      <x:c r="B606" s="2" t="n">
        <x:v>202501</x:v>
      </x:c>
      <x:c r="C606" s="2" t="str">
        <x:v>62052000</x:v>
      </x:c>
      <x:c r="D606" s="2" t="str">
        <x:v>Pakistan</x:v>
      </x:c>
      <x:c r="E606" s="16" t="n">
        <x:v>99448</x:v>
      </x:c>
      <x:c r="F606" s="16" t="n">
        <x:v>6704</x:v>
      </x:c>
      <x:c r="G606" s="2" t="str">
        <x:v>WITHIN_BAND</x:v>
      </x:c>
      <x:c r="H606" s="2" t="n">
        <x:v>1</x:v>
      </x:c>
      <x:c r="I606" s="2" t="n">
        <x:f>IF(AND(COUNTIFS($B$6:$B$797,B606,$C$6:$C$797,C606)=11,COUNTIFS($B$6:$B$797,B606,$C$6:$C$797,C606,$G$6:$G$797,"REVIEW")=0,COUNTIFS($B$6:$B$797,B606,$C$6:$C$797,C606,$H$6:$H$797,1)=11,COUNTIFS($B$6:$B$797,B606,$C$6:$C$797,C606,$F$6:$F$797,"&gt;0")=11),1,0)</x:f>
        <x:v>1</x:v>
      </x:c>
      <x:c r="J606" s="2" t="n">
        <x:f>COUNTIFS($A$6:$A$797,A606)</x:f>
        <x:v>1</x:v>
      </x:c>
    </x:row>
    <x:row r="607" ht="23" customHeight="1">
      <x:c r="A607" s="2" t="str">
        <x:v>62052000_LK_202501_IMPORT</x:v>
      </x:c>
      <x:c r="B607" s="2" t="n">
        <x:v>202501</x:v>
      </x:c>
      <x:c r="C607" s="2" t="str">
        <x:v>62052000</x:v>
      </x:c>
      <x:c r="D607" s="2" t="str">
        <x:v>Sri Lanka</x:v>
      </x:c>
      <x:c r="E607" s="16" t="n">
        <x:v>249407</x:v>
      </x:c>
      <x:c r="F607" s="16" t="n">
        <x:v>10914</x:v>
      </x:c>
      <x:c r="G607" s="2" t="str">
        <x:v>WITHIN_BAND</x:v>
      </x:c>
      <x:c r="H607" s="2" t="n">
        <x:v>1</x:v>
      </x:c>
      <x:c r="I607" s="2" t="n">
        <x:f>IF(AND(COUNTIFS($B$6:$B$797,B607,$C$6:$C$797,C607)=11,COUNTIFS($B$6:$B$797,B607,$C$6:$C$797,C607,$G$6:$G$797,"REVIEW")=0,COUNTIFS($B$6:$B$797,B607,$C$6:$C$797,C607,$H$6:$H$797,1)=11,COUNTIFS($B$6:$B$797,B607,$C$6:$C$797,C607,$F$6:$F$797,"&gt;0")=11),1,0)</x:f>
        <x:v>1</x:v>
      </x:c>
      <x:c r="J607" s="2" t="n">
        <x:f>COUNTIFS($A$6:$A$797,A607)</x:f>
        <x:v>1</x:v>
      </x:c>
    </x:row>
    <x:row r="608" ht="23" customHeight="1">
      <x:c r="A608" s="2" t="str">
        <x:v>62052000_TR_202501_IMPORT</x:v>
      </x:c>
      <x:c r="B608" s="2" t="n">
        <x:v>202501</x:v>
      </x:c>
      <x:c r="C608" s="2" t="str">
        <x:v>62052000</x:v>
      </x:c>
      <x:c r="D608" s="2" t="str">
        <x:v>Turkey</x:v>
      </x:c>
      <x:c r="E608" s="16" t="n">
        <x:v>1411460</x:v>
      </x:c>
      <x:c r="F608" s="16" t="n">
        <x:v>36603</x:v>
      </x:c>
      <x:c r="G608" s="2" t="str">
        <x:v>WITHIN_BAND</x:v>
      </x:c>
      <x:c r="H608" s="2" t="n">
        <x:v>1</x:v>
      </x:c>
      <x:c r="I608" s="2" t="n">
        <x:f>IF(AND(COUNTIFS($B$6:$B$797,B608,$C$6:$C$797,C608)=11,COUNTIFS($B$6:$B$797,B608,$C$6:$C$797,C608,$G$6:$G$797,"REVIEW")=0,COUNTIFS($B$6:$B$797,B608,$C$6:$C$797,C608,$H$6:$H$797,1)=11,COUNTIFS($B$6:$B$797,B608,$C$6:$C$797,C608,$F$6:$F$797,"&gt;0")=11),1,0)</x:f>
        <x:v>1</x:v>
      </x:c>
      <x:c r="J608" s="2" t="n">
        <x:f>COUNTIFS($A$6:$A$797,A608)</x:f>
        <x:v>1</x:v>
      </x:c>
    </x:row>
    <x:row r="609" ht="23" customHeight="1">
      <x:c r="A609" s="2" t="str">
        <x:v>62052000_VN_202501_IMPORT</x:v>
      </x:c>
      <x:c r="B609" s="2" t="n">
        <x:v>202501</x:v>
      </x:c>
      <x:c r="C609" s="2" t="str">
        <x:v>62052000</x:v>
      </x:c>
      <x:c r="D609" s="2" t="str">
        <x:v>Vietnam</x:v>
      </x:c>
      <x:c r="E609" s="16" t="n">
        <x:v>985149</x:v>
      </x:c>
      <x:c r="F609" s="16" t="n">
        <x:v>35235</x:v>
      </x:c>
      <x:c r="G609" s="2" t="str">
        <x:v>WITHIN_BAND</x:v>
      </x:c>
      <x:c r="H609" s="2" t="n">
        <x:v>1</x:v>
      </x:c>
      <x:c r="I609" s="2" t="n">
        <x:f>IF(AND(COUNTIFS($B$6:$B$797,B609,$C$6:$C$797,C609)=11,COUNTIFS($B$6:$B$797,B609,$C$6:$C$797,C609,$G$6:$G$797,"REVIEW")=0,COUNTIFS($B$6:$B$797,B609,$C$6:$C$797,C609,$H$6:$H$797,1)=11,COUNTIFS($B$6:$B$797,B609,$C$6:$C$797,C609,$F$6:$F$797,"&gt;0")=11),1,0)</x:f>
        <x:v>1</x:v>
      </x:c>
      <x:c r="J609" s="2" t="n">
        <x:f>COUNTIFS($A$6:$A$797,A609)</x:f>
        <x:v>1</x:v>
      </x:c>
    </x:row>
    <x:row r="610" ht="23" customHeight="1">
      <x:c r="A610" s="2" t="str">
        <x:v>62052000_WORLD_202501_IMPORT</x:v>
      </x:c>
      <x:c r="B610" s="2" t="n">
        <x:v>202501</x:v>
      </x:c>
      <x:c r="C610" s="2" t="str">
        <x:v>62052000</x:v>
      </x:c>
      <x:c r="D610" s="2" t="str">
        <x:v>World</x:v>
      </x:c>
      <x:c r="E610" s="16" t="n">
        <x:v>20170282</x:v>
      </x:c>
      <x:c r="F610" s="16" t="n">
        <x:v>744278</x:v>
      </x:c>
      <x:c r="G610" s="2" t="str">
        <x:v>WITHIN_BAND</x:v>
      </x:c>
      <x:c r="H610" s="2" t="n">
        <x:v>1</x:v>
      </x:c>
      <x:c r="I610" s="2" t="n">
        <x:f>IF(AND(COUNTIFS($B$6:$B$797,B610,$C$6:$C$797,C610)=11,COUNTIFS($B$6:$B$797,B610,$C$6:$C$797,C610,$G$6:$G$797,"REVIEW")=0,COUNTIFS($B$6:$B$797,B610,$C$6:$C$797,C610,$H$6:$H$797,1)=11,COUNTIFS($B$6:$B$797,B610,$C$6:$C$797,C610,$F$6:$F$797,"&gt;0")=11),1,0)</x:f>
        <x:v>1</x:v>
      </x:c>
      <x:c r="J610" s="2" t="n">
        <x:f>COUNTIFS($A$6:$A$797,A610)</x:f>
        <x:v>1</x:v>
      </x:c>
    </x:row>
    <x:row r="611" ht="23" customHeight="1">
      <x:c r="A611" s="2" t="str">
        <x:v>62052000_BD_202502_IMPORT</x:v>
      </x:c>
      <x:c r="B611" s="2" t="n">
        <x:v>202502</x:v>
      </x:c>
      <x:c r="C611" s="2" t="str">
        <x:v>62052000</x:v>
      </x:c>
      <x:c r="D611" s="2" t="str">
        <x:v>Bangladesh</x:v>
      </x:c>
      <x:c r="E611" s="16" t="n">
        <x:v>6404661</x:v>
      </x:c>
      <x:c r="F611" s="16" t="n">
        <x:v>325067</x:v>
      </x:c>
      <x:c r="G611" s="2" t="str">
        <x:v>WITHIN_BAND</x:v>
      </x:c>
      <x:c r="H611" s="2" t="n">
        <x:v>1</x:v>
      </x:c>
      <x:c r="I611" s="2" t="n">
        <x:f>IF(AND(COUNTIFS($B$6:$B$797,B611,$C$6:$C$797,C611)=11,COUNTIFS($B$6:$B$797,B611,$C$6:$C$797,C611,$G$6:$G$797,"REVIEW")=0,COUNTIFS($B$6:$B$797,B611,$C$6:$C$797,C611,$H$6:$H$797,1)=11,COUNTIFS($B$6:$B$797,B611,$C$6:$C$797,C611,$F$6:$F$797,"&gt;0")=11),1,0)</x:f>
        <x:v>1</x:v>
      </x:c>
      <x:c r="J611" s="2" t="n">
        <x:f>COUNTIFS($A$6:$A$797,A611)</x:f>
        <x:v>1</x:v>
      </x:c>
    </x:row>
    <x:row r="612" ht="23" customHeight="1">
      <x:c r="A612" s="2" t="str">
        <x:v>62052000_KH_202502_IMPORT</x:v>
      </x:c>
      <x:c r="B612" s="2" t="n">
        <x:v>202502</x:v>
      </x:c>
      <x:c r="C612" s="2" t="str">
        <x:v>62052000</x:v>
      </x:c>
      <x:c r="D612" s="2" t="str">
        <x:v>Cambodia</x:v>
      </x:c>
      <x:c r="E612" s="16" t="n">
        <x:v>836550</x:v>
      </x:c>
      <x:c r="F612" s="16" t="n">
        <x:v>44862</x:v>
      </x:c>
      <x:c r="G612" s="2" t="str">
        <x:v>WITHIN_BAND</x:v>
      </x:c>
      <x:c r="H612" s="2" t="n">
        <x:v>1</x:v>
      </x:c>
      <x:c r="I612" s="2" t="n">
        <x:f>IF(AND(COUNTIFS($B$6:$B$797,B612,$C$6:$C$797,C612)=11,COUNTIFS($B$6:$B$797,B612,$C$6:$C$797,C612,$G$6:$G$797,"REVIEW")=0,COUNTIFS($B$6:$B$797,B612,$C$6:$C$797,C612,$H$6:$H$797,1)=11,COUNTIFS($B$6:$B$797,B612,$C$6:$C$797,C612,$F$6:$F$797,"&gt;0")=11),1,0)</x:f>
        <x:v>1</x:v>
      </x:c>
      <x:c r="J612" s="2" t="n">
        <x:f>COUNTIFS($A$6:$A$797,A612)</x:f>
        <x:v>1</x:v>
      </x:c>
    </x:row>
    <x:row r="613" ht="23" customHeight="1">
      <x:c r="A613" s="2" t="str">
        <x:v>62052000_CN_202502_IMPORT</x:v>
      </x:c>
      <x:c r="B613" s="2" t="n">
        <x:v>202502</x:v>
      </x:c>
      <x:c r="C613" s="2" t="str">
        <x:v>62052000</x:v>
      </x:c>
      <x:c r="D613" s="2" t="str">
        <x:v>China</x:v>
      </x:c>
      <x:c r="E613" s="16" t="n">
        <x:v>1629350</x:v>
      </x:c>
      <x:c r="F613" s="16" t="n">
        <x:v>71392</x:v>
      </x:c>
      <x:c r="G613" s="2" t="str">
        <x:v>WITHIN_BAND</x:v>
      </x:c>
      <x:c r="H613" s="2" t="n">
        <x:v>1</x:v>
      </x:c>
      <x:c r="I613" s="2" t="n">
        <x:f>IF(AND(COUNTIFS($B$6:$B$797,B613,$C$6:$C$797,C613)=11,COUNTIFS($B$6:$B$797,B613,$C$6:$C$797,C613,$G$6:$G$797,"REVIEW")=0,COUNTIFS($B$6:$B$797,B613,$C$6:$C$797,C613,$H$6:$H$797,1)=11,COUNTIFS($B$6:$B$797,B613,$C$6:$C$797,C613,$F$6:$F$797,"&gt;0")=11),1,0)</x:f>
        <x:v>1</x:v>
      </x:c>
      <x:c r="J613" s="2" t="n">
        <x:f>COUNTIFS($A$6:$A$797,A613)</x:f>
        <x:v>1</x:v>
      </x:c>
    </x:row>
    <x:row r="614" ht="23" customHeight="1">
      <x:c r="A614" s="2" t="str">
        <x:v>62052000_IN_202502_IMPORT</x:v>
      </x:c>
      <x:c r="B614" s="2" t="n">
        <x:v>202502</x:v>
      </x:c>
      <x:c r="C614" s="2" t="str">
        <x:v>62052000</x:v>
      </x:c>
      <x:c r="D614" s="2" t="str">
        <x:v>India</x:v>
      </x:c>
      <x:c r="E614" s="16" t="n">
        <x:v>2315214</x:v>
      </x:c>
      <x:c r="F614" s="16" t="n">
        <x:v>102475</x:v>
      </x:c>
      <x:c r="G614" s="2" t="str">
        <x:v>WITHIN_BAND</x:v>
      </x:c>
      <x:c r="H614" s="2" t="n">
        <x:v>1</x:v>
      </x:c>
      <x:c r="I614" s="2" t="n">
        <x:f>IF(AND(COUNTIFS($B$6:$B$797,B614,$C$6:$C$797,C614)=11,COUNTIFS($B$6:$B$797,B614,$C$6:$C$797,C614,$G$6:$G$797,"REVIEW")=0,COUNTIFS($B$6:$B$797,B614,$C$6:$C$797,C614,$H$6:$H$797,1)=11,COUNTIFS($B$6:$B$797,B614,$C$6:$C$797,C614,$F$6:$F$797,"&gt;0")=11),1,0)</x:f>
        <x:v>1</x:v>
      </x:c>
      <x:c r="J614" s="2" t="n">
        <x:f>COUNTIFS($A$6:$A$797,A614)</x:f>
        <x:v>1</x:v>
      </x:c>
    </x:row>
    <x:row r="615" ht="23" customHeight="1">
      <x:c r="A615" s="2" t="str">
        <x:v>62052000_MA_202502_IMPORT</x:v>
      </x:c>
      <x:c r="B615" s="2" t="n">
        <x:v>202502</x:v>
      </x:c>
      <x:c r="C615" s="2" t="str">
        <x:v>62052000</x:v>
      </x:c>
      <x:c r="D615" s="2" t="str">
        <x:v>Morocco</x:v>
      </x:c>
      <x:c r="E615" s="16" t="n">
        <x:v>51318</x:v>
      </x:c>
      <x:c r="F615" s="16" t="n">
        <x:v>749</x:v>
      </x:c>
      <x:c r="G615" s="2" t="str">
        <x:v>WITHIN_BAND</x:v>
      </x:c>
      <x:c r="H615" s="2" t="n">
        <x:v>1</x:v>
      </x:c>
      <x:c r="I615" s="2" t="n">
        <x:f>IF(AND(COUNTIFS($B$6:$B$797,B615,$C$6:$C$797,C615)=11,COUNTIFS($B$6:$B$797,B615,$C$6:$C$797,C615,$G$6:$G$797,"REVIEW")=0,COUNTIFS($B$6:$B$797,B615,$C$6:$C$797,C615,$H$6:$H$797,1)=11,COUNTIFS($B$6:$B$797,B615,$C$6:$C$797,C615,$F$6:$F$797,"&gt;0")=11),1,0)</x:f>
        <x:v>1</x:v>
      </x:c>
      <x:c r="J615" s="2" t="n">
        <x:f>COUNTIFS($A$6:$A$797,A615)</x:f>
        <x:v>1</x:v>
      </x:c>
    </x:row>
    <x:row r="616" ht="23" customHeight="1">
      <x:c r="A616" s="2" t="str">
        <x:v>62052000_MM_202502_IMPORT</x:v>
      </x:c>
      <x:c r="B616" s="2" t="n">
        <x:v>202502</x:v>
      </x:c>
      <x:c r="C616" s="2" t="str">
        <x:v>62052000</x:v>
      </x:c>
      <x:c r="D616" s="2" t="str">
        <x:v>Myanmar</x:v>
      </x:c>
      <x:c r="E616" s="16" t="n">
        <x:v>92077</x:v>
      </x:c>
      <x:c r="F616" s="16" t="n">
        <x:v>3594</x:v>
      </x:c>
      <x:c r="G616" s="2" t="str">
        <x:v>WITHIN_BAND</x:v>
      </x:c>
      <x:c r="H616" s="2" t="n">
        <x:v>1</x:v>
      </x:c>
      <x:c r="I616" s="2" t="n">
        <x:f>IF(AND(COUNTIFS($B$6:$B$797,B616,$C$6:$C$797,C616)=11,COUNTIFS($B$6:$B$797,B616,$C$6:$C$797,C616,$G$6:$G$797,"REVIEW")=0,COUNTIFS($B$6:$B$797,B616,$C$6:$C$797,C616,$H$6:$H$797,1)=11,COUNTIFS($B$6:$B$797,B616,$C$6:$C$797,C616,$F$6:$F$797,"&gt;0")=11),1,0)</x:f>
        <x:v>1</x:v>
      </x:c>
      <x:c r="J616" s="2" t="n">
        <x:f>COUNTIFS($A$6:$A$797,A616)</x:f>
        <x:v>1</x:v>
      </x:c>
    </x:row>
    <x:row r="617" ht="23" customHeight="1">
      <x:c r="A617" s="2" t="str">
        <x:v>62052000_PK_202502_IMPORT</x:v>
      </x:c>
      <x:c r="B617" s="2" t="n">
        <x:v>202502</x:v>
      </x:c>
      <x:c r="C617" s="2" t="str">
        <x:v>62052000</x:v>
      </x:c>
      <x:c r="D617" s="2" t="str">
        <x:v>Pakistan</x:v>
      </x:c>
      <x:c r="E617" s="16" t="n">
        <x:v>54385</x:v>
      </x:c>
      <x:c r="F617" s="16" t="n">
        <x:v>3075</x:v>
      </x:c>
      <x:c r="G617" s="2" t="str">
        <x:v>WITHIN_BAND</x:v>
      </x:c>
      <x:c r="H617" s="2" t="n">
        <x:v>1</x:v>
      </x:c>
      <x:c r="I617" s="2" t="n">
        <x:f>IF(AND(COUNTIFS($B$6:$B$797,B617,$C$6:$C$797,C617)=11,COUNTIFS($B$6:$B$797,B617,$C$6:$C$797,C617,$G$6:$G$797,"REVIEW")=0,COUNTIFS($B$6:$B$797,B617,$C$6:$C$797,C617,$H$6:$H$797,1)=11,COUNTIFS($B$6:$B$797,B617,$C$6:$C$797,C617,$F$6:$F$797,"&gt;0")=11),1,0)</x:f>
        <x:v>1</x:v>
      </x:c>
      <x:c r="J617" s="2" t="n">
        <x:f>COUNTIFS($A$6:$A$797,A617)</x:f>
        <x:v>1</x:v>
      </x:c>
    </x:row>
    <x:row r="618" ht="23" customHeight="1">
      <x:c r="A618" s="2" t="str">
        <x:v>62052000_LK_202502_IMPORT</x:v>
      </x:c>
      <x:c r="B618" s="2" t="n">
        <x:v>202502</x:v>
      </x:c>
      <x:c r="C618" s="2" t="str">
        <x:v>62052000</x:v>
      </x:c>
      <x:c r="D618" s="2" t="str">
        <x:v>Sri Lanka</x:v>
      </x:c>
      <x:c r="E618" s="16" t="n">
        <x:v>239825</x:v>
      </x:c>
      <x:c r="F618" s="16" t="n">
        <x:v>11833</x:v>
      </x:c>
      <x:c r="G618" s="2" t="str">
        <x:v>WITHIN_BAND</x:v>
      </x:c>
      <x:c r="H618" s="2" t="n">
        <x:v>1</x:v>
      </x:c>
      <x:c r="I618" s="2" t="n">
        <x:f>IF(AND(COUNTIFS($B$6:$B$797,B618,$C$6:$C$797,C618)=11,COUNTIFS($B$6:$B$797,B618,$C$6:$C$797,C618,$G$6:$G$797,"REVIEW")=0,COUNTIFS($B$6:$B$797,B618,$C$6:$C$797,C618,$H$6:$H$797,1)=11,COUNTIFS($B$6:$B$797,B618,$C$6:$C$797,C618,$F$6:$F$797,"&gt;0")=11),1,0)</x:f>
        <x:v>1</x:v>
      </x:c>
      <x:c r="J618" s="2" t="n">
        <x:f>COUNTIFS($A$6:$A$797,A618)</x:f>
        <x:v>1</x:v>
      </x:c>
    </x:row>
    <x:row r="619" ht="23" customHeight="1">
      <x:c r="A619" s="2" t="str">
        <x:v>62052000_TR_202502_IMPORT</x:v>
      </x:c>
      <x:c r="B619" s="2" t="n">
        <x:v>202502</x:v>
      </x:c>
      <x:c r="C619" s="2" t="str">
        <x:v>62052000</x:v>
      </x:c>
      <x:c r="D619" s="2" t="str">
        <x:v>Turkey</x:v>
      </x:c>
      <x:c r="E619" s="16" t="n">
        <x:v>1265277</x:v>
      </x:c>
      <x:c r="F619" s="16" t="n">
        <x:v>32932</x:v>
      </x:c>
      <x:c r="G619" s="2" t="str">
        <x:v>WITHIN_BAND</x:v>
      </x:c>
      <x:c r="H619" s="2" t="n">
        <x:v>1</x:v>
      </x:c>
      <x:c r="I619" s="2" t="n">
        <x:f>IF(AND(COUNTIFS($B$6:$B$797,B619,$C$6:$C$797,C619)=11,COUNTIFS($B$6:$B$797,B619,$C$6:$C$797,C619,$G$6:$G$797,"REVIEW")=0,COUNTIFS($B$6:$B$797,B619,$C$6:$C$797,C619,$H$6:$H$797,1)=11,COUNTIFS($B$6:$B$797,B619,$C$6:$C$797,C619,$F$6:$F$797,"&gt;0")=11),1,0)</x:f>
        <x:v>1</x:v>
      </x:c>
      <x:c r="J619" s="2" t="n">
        <x:f>COUNTIFS($A$6:$A$797,A619)</x:f>
        <x:v>1</x:v>
      </x:c>
    </x:row>
    <x:row r="620" ht="23" customHeight="1">
      <x:c r="A620" s="2" t="str">
        <x:v>62052000_VN_202502_IMPORT</x:v>
      </x:c>
      <x:c r="B620" s="2" t="n">
        <x:v>202502</x:v>
      </x:c>
      <x:c r="C620" s="2" t="str">
        <x:v>62052000</x:v>
      </x:c>
      <x:c r="D620" s="2" t="str">
        <x:v>Vietnam</x:v>
      </x:c>
      <x:c r="E620" s="16" t="n">
        <x:v>1052577</x:v>
      </x:c>
      <x:c r="F620" s="16" t="n">
        <x:v>27302</x:v>
      </x:c>
      <x:c r="G620" s="2" t="str">
        <x:v>WITHIN_BAND</x:v>
      </x:c>
      <x:c r="H620" s="2" t="n">
        <x:v>1</x:v>
      </x:c>
      <x:c r="I620" s="2" t="n">
        <x:f>IF(AND(COUNTIFS($B$6:$B$797,B620,$C$6:$C$797,C620)=11,COUNTIFS($B$6:$B$797,B620,$C$6:$C$797,C620,$G$6:$G$797,"REVIEW")=0,COUNTIFS($B$6:$B$797,B620,$C$6:$C$797,C620,$H$6:$H$797,1)=11,COUNTIFS($B$6:$B$797,B620,$C$6:$C$797,C620,$F$6:$F$797,"&gt;0")=11),1,0)</x:f>
        <x:v>1</x:v>
      </x:c>
      <x:c r="J620" s="2" t="n">
        <x:f>COUNTIFS($A$6:$A$797,A620)</x:f>
        <x:v>1</x:v>
      </x:c>
    </x:row>
    <x:row r="621" ht="23" customHeight="1">
      <x:c r="A621" s="2" t="str">
        <x:v>62052000_WORLD_202502_IMPORT</x:v>
      </x:c>
      <x:c r="B621" s="2" t="n">
        <x:v>202502</x:v>
      </x:c>
      <x:c r="C621" s="2" t="str">
        <x:v>62052000</x:v>
      </x:c>
      <x:c r="D621" s="2" t="str">
        <x:v>World</x:v>
      </x:c>
      <x:c r="E621" s="16" t="n">
        <x:v>21479765</x:v>
      </x:c>
      <x:c r="F621" s="16" t="n">
        <x:v>736293</x:v>
      </x:c>
      <x:c r="G621" s="2" t="str">
        <x:v>WITHIN_BAND</x:v>
      </x:c>
      <x:c r="H621" s="2" t="n">
        <x:v>1</x:v>
      </x:c>
      <x:c r="I621" s="2" t="n">
        <x:f>IF(AND(COUNTIFS($B$6:$B$797,B621,$C$6:$C$797,C621)=11,COUNTIFS($B$6:$B$797,B621,$C$6:$C$797,C621,$G$6:$G$797,"REVIEW")=0,COUNTIFS($B$6:$B$797,B621,$C$6:$C$797,C621,$H$6:$H$797,1)=11,COUNTIFS($B$6:$B$797,B621,$C$6:$C$797,C621,$F$6:$F$797,"&gt;0")=11),1,0)</x:f>
        <x:v>1</x:v>
      </x:c>
      <x:c r="J621" s="2" t="n">
        <x:f>COUNTIFS($A$6:$A$797,A621)</x:f>
        <x:v>1</x:v>
      </x:c>
    </x:row>
    <x:row r="622" ht="23" customHeight="1">
      <x:c r="A622" s="2" t="str">
        <x:v>62052000_BD_202503_IMPORT</x:v>
      </x:c>
      <x:c r="B622" s="2" t="n">
        <x:v>202503</x:v>
      </x:c>
      <x:c r="C622" s="2" t="str">
        <x:v>62052000</x:v>
      </x:c>
      <x:c r="D622" s="2" t="str">
        <x:v>Bangladesh</x:v>
      </x:c>
      <x:c r="E622" s="16" t="n">
        <x:v>7869065</x:v>
      </x:c>
      <x:c r="F622" s="16" t="n">
        <x:v>395350</x:v>
      </x:c>
      <x:c r="G622" s="2" t="str">
        <x:v>WITHIN_BAND</x:v>
      </x:c>
      <x:c r="H622" s="2" t="n">
        <x:v>1</x:v>
      </x:c>
      <x:c r="I622" s="2" t="n">
        <x:f>IF(AND(COUNTIFS($B$6:$B$797,B622,$C$6:$C$797,C622)=11,COUNTIFS($B$6:$B$797,B622,$C$6:$C$797,C622,$G$6:$G$797,"REVIEW")=0,COUNTIFS($B$6:$B$797,B622,$C$6:$C$797,C622,$H$6:$H$797,1)=11,COUNTIFS($B$6:$B$797,B622,$C$6:$C$797,C622,$F$6:$F$797,"&gt;0")=11),1,0)</x:f>
        <x:v>1</x:v>
      </x:c>
      <x:c r="J622" s="2" t="n">
        <x:f>COUNTIFS($A$6:$A$797,A622)</x:f>
        <x:v>1</x:v>
      </x:c>
    </x:row>
    <x:row r="623" ht="23" customHeight="1">
      <x:c r="A623" s="2" t="str">
        <x:v>62052000_KH_202503_IMPORT</x:v>
      </x:c>
      <x:c r="B623" s="2" t="n">
        <x:v>202503</x:v>
      </x:c>
      <x:c r="C623" s="2" t="str">
        <x:v>62052000</x:v>
      </x:c>
      <x:c r="D623" s="2" t="str">
        <x:v>Cambodia</x:v>
      </x:c>
      <x:c r="E623" s="16" t="n">
        <x:v>690028</x:v>
      </x:c>
      <x:c r="F623" s="16" t="n">
        <x:v>34188</x:v>
      </x:c>
      <x:c r="G623" s="2" t="str">
        <x:v>WITHIN_BAND</x:v>
      </x:c>
      <x:c r="H623" s="2" t="n">
        <x:v>1</x:v>
      </x:c>
      <x:c r="I623" s="2" t="n">
        <x:f>IF(AND(COUNTIFS($B$6:$B$797,B623,$C$6:$C$797,C623)=11,COUNTIFS($B$6:$B$797,B623,$C$6:$C$797,C623,$G$6:$G$797,"REVIEW")=0,COUNTIFS($B$6:$B$797,B623,$C$6:$C$797,C623,$H$6:$H$797,1)=11,COUNTIFS($B$6:$B$797,B623,$C$6:$C$797,C623,$F$6:$F$797,"&gt;0")=11),1,0)</x:f>
        <x:v>1</x:v>
      </x:c>
      <x:c r="J623" s="2" t="n">
        <x:f>COUNTIFS($A$6:$A$797,A623)</x:f>
        <x:v>1</x:v>
      </x:c>
    </x:row>
    <x:row r="624" ht="23" customHeight="1">
      <x:c r="A624" s="2" t="str">
        <x:v>62052000_CN_202503_IMPORT</x:v>
      </x:c>
      <x:c r="B624" s="2" t="n">
        <x:v>202503</x:v>
      </x:c>
      <x:c r="C624" s="2" t="str">
        <x:v>62052000</x:v>
      </x:c>
      <x:c r="D624" s="2" t="str">
        <x:v>China</x:v>
      </x:c>
      <x:c r="E624" s="16" t="n">
        <x:v>1147077</x:v>
      </x:c>
      <x:c r="F624" s="16" t="n">
        <x:v>44505</x:v>
      </x:c>
      <x:c r="G624" s="2" t="str">
        <x:v>WITHIN_BAND</x:v>
      </x:c>
      <x:c r="H624" s="2" t="n">
        <x:v>1</x:v>
      </x:c>
      <x:c r="I624" s="2" t="n">
        <x:f>IF(AND(COUNTIFS($B$6:$B$797,B624,$C$6:$C$797,C624)=11,COUNTIFS($B$6:$B$797,B624,$C$6:$C$797,C624,$G$6:$G$797,"REVIEW")=0,COUNTIFS($B$6:$B$797,B624,$C$6:$C$797,C624,$H$6:$H$797,1)=11,COUNTIFS($B$6:$B$797,B624,$C$6:$C$797,C624,$F$6:$F$797,"&gt;0")=11),1,0)</x:f>
        <x:v>1</x:v>
      </x:c>
      <x:c r="J624" s="2" t="n">
        <x:f>COUNTIFS($A$6:$A$797,A624)</x:f>
        <x:v>1</x:v>
      </x:c>
    </x:row>
    <x:row r="625" ht="23" customHeight="1">
      <x:c r="A625" s="2" t="str">
        <x:v>62052000_IN_202503_IMPORT</x:v>
      </x:c>
      <x:c r="B625" s="2" t="n">
        <x:v>202503</x:v>
      </x:c>
      <x:c r="C625" s="2" t="str">
        <x:v>62052000</x:v>
      </x:c>
      <x:c r="D625" s="2" t="str">
        <x:v>India</x:v>
      </x:c>
      <x:c r="E625" s="16" t="n">
        <x:v>3668332</x:v>
      </x:c>
      <x:c r="F625" s="16" t="n">
        <x:v>159071</x:v>
      </x:c>
      <x:c r="G625" s="2" t="str">
        <x:v>WITHIN_BAND</x:v>
      </x:c>
      <x:c r="H625" s="2" t="n">
        <x:v>1</x:v>
      </x:c>
      <x:c r="I625" s="2" t="n">
        <x:f>IF(AND(COUNTIFS($B$6:$B$797,B625,$C$6:$C$797,C625)=11,COUNTIFS($B$6:$B$797,B625,$C$6:$C$797,C625,$G$6:$G$797,"REVIEW")=0,COUNTIFS($B$6:$B$797,B625,$C$6:$C$797,C625,$H$6:$H$797,1)=11,COUNTIFS($B$6:$B$797,B625,$C$6:$C$797,C625,$F$6:$F$797,"&gt;0")=11),1,0)</x:f>
        <x:v>1</x:v>
      </x:c>
      <x:c r="J625" s="2" t="n">
        <x:f>COUNTIFS($A$6:$A$797,A625)</x:f>
        <x:v>1</x:v>
      </x:c>
    </x:row>
    <x:row r="626" ht="23" customHeight="1">
      <x:c r="A626" s="2" t="str">
        <x:v>62052000_MA_202503_IMPORT</x:v>
      </x:c>
      <x:c r="B626" s="2" t="n">
        <x:v>202503</x:v>
      </x:c>
      <x:c r="C626" s="2" t="str">
        <x:v>62052000</x:v>
      </x:c>
      <x:c r="D626" s="2" t="str">
        <x:v>Morocco</x:v>
      </x:c>
      <x:c r="E626" s="16" t="n">
        <x:v>52362</x:v>
      </x:c>
      <x:c r="F626" s="16" t="n">
        <x:v>1345</x:v>
      </x:c>
      <x:c r="G626" s="2" t="str">
        <x:v>WITHIN_BAND</x:v>
      </x:c>
      <x:c r="H626" s="2" t="n">
        <x:v>1</x:v>
      </x:c>
      <x:c r="I626" s="2" t="n">
        <x:f>IF(AND(COUNTIFS($B$6:$B$797,B626,$C$6:$C$797,C626)=11,COUNTIFS($B$6:$B$797,B626,$C$6:$C$797,C626,$G$6:$G$797,"REVIEW")=0,COUNTIFS($B$6:$B$797,B626,$C$6:$C$797,C626,$H$6:$H$797,1)=11,COUNTIFS($B$6:$B$797,B626,$C$6:$C$797,C626,$F$6:$F$797,"&gt;0")=11),1,0)</x:f>
        <x:v>1</x:v>
      </x:c>
      <x:c r="J626" s="2" t="n">
        <x:f>COUNTIFS($A$6:$A$797,A626)</x:f>
        <x:v>1</x:v>
      </x:c>
    </x:row>
    <x:row r="627" ht="23" customHeight="1">
      <x:c r="A627" s="2" t="str">
        <x:v>62052000_MM_202503_IMPORT</x:v>
      </x:c>
      <x:c r="B627" s="2" t="n">
        <x:v>202503</x:v>
      </x:c>
      <x:c r="C627" s="2" t="str">
        <x:v>62052000</x:v>
      </x:c>
      <x:c r="D627" s="2" t="str">
        <x:v>Myanmar</x:v>
      </x:c>
      <x:c r="E627" s="16" t="n">
        <x:v>70804</x:v>
      </x:c>
      <x:c r="F627" s="16" t="n">
        <x:v>3453</x:v>
      </x:c>
      <x:c r="G627" s="2" t="str">
        <x:v>WITHIN_BAND</x:v>
      </x:c>
      <x:c r="H627" s="2" t="n">
        <x:v>1</x:v>
      </x:c>
      <x:c r="I627" s="2" t="n">
        <x:f>IF(AND(COUNTIFS($B$6:$B$797,B627,$C$6:$C$797,C627)=11,COUNTIFS($B$6:$B$797,B627,$C$6:$C$797,C627,$G$6:$G$797,"REVIEW")=0,COUNTIFS($B$6:$B$797,B627,$C$6:$C$797,C627,$H$6:$H$797,1)=11,COUNTIFS($B$6:$B$797,B627,$C$6:$C$797,C627,$F$6:$F$797,"&gt;0")=11),1,0)</x:f>
        <x:v>1</x:v>
      </x:c>
      <x:c r="J627" s="2" t="n">
        <x:f>COUNTIFS($A$6:$A$797,A627)</x:f>
        <x:v>1</x:v>
      </x:c>
    </x:row>
    <x:row r="628" ht="23" customHeight="1">
      <x:c r="A628" s="2" t="str">
        <x:v>62052000_PK_202503_IMPORT</x:v>
      </x:c>
      <x:c r="B628" s="2" t="n">
        <x:v>202503</x:v>
      </x:c>
      <x:c r="C628" s="2" t="str">
        <x:v>62052000</x:v>
      </x:c>
      <x:c r="D628" s="2" t="str">
        <x:v>Pakistan</x:v>
      </x:c>
      <x:c r="E628" s="16" t="n">
        <x:v>87595</x:v>
      </x:c>
      <x:c r="F628" s="16" t="n">
        <x:v>8596</x:v>
      </x:c>
      <x:c r="G628" s="2" t="str">
        <x:v>WITHIN_BAND</x:v>
      </x:c>
      <x:c r="H628" s="2" t="n">
        <x:v>1</x:v>
      </x:c>
      <x:c r="I628" s="2" t="n">
        <x:f>IF(AND(COUNTIFS($B$6:$B$797,B628,$C$6:$C$797,C628)=11,COUNTIFS($B$6:$B$797,B628,$C$6:$C$797,C628,$G$6:$G$797,"REVIEW")=0,COUNTIFS($B$6:$B$797,B628,$C$6:$C$797,C628,$H$6:$H$797,1)=11,COUNTIFS($B$6:$B$797,B628,$C$6:$C$797,C628,$F$6:$F$797,"&gt;0")=11),1,0)</x:f>
        <x:v>1</x:v>
      </x:c>
      <x:c r="J628" s="2" t="n">
        <x:f>COUNTIFS($A$6:$A$797,A628)</x:f>
        <x:v>1</x:v>
      </x:c>
    </x:row>
    <x:row r="629" ht="23" customHeight="1">
      <x:c r="A629" s="2" t="str">
        <x:v>62052000_LK_202503_IMPORT</x:v>
      </x:c>
      <x:c r="B629" s="2" t="n">
        <x:v>202503</x:v>
      </x:c>
      <x:c r="C629" s="2" t="str">
        <x:v>62052000</x:v>
      </x:c>
      <x:c r="D629" s="2" t="str">
        <x:v>Sri Lanka</x:v>
      </x:c>
      <x:c r="E629" s="16" t="n">
        <x:v>288980</x:v>
      </x:c>
      <x:c r="F629" s="16" t="n">
        <x:v>15693</x:v>
      </x:c>
      <x:c r="G629" s="2" t="str">
        <x:v>WITHIN_BAND</x:v>
      </x:c>
      <x:c r="H629" s="2" t="n">
        <x:v>1</x:v>
      </x:c>
      <x:c r="I629" s="2" t="n">
        <x:f>IF(AND(COUNTIFS($B$6:$B$797,B629,$C$6:$C$797,C629)=11,COUNTIFS($B$6:$B$797,B629,$C$6:$C$797,C629,$G$6:$G$797,"REVIEW")=0,COUNTIFS($B$6:$B$797,B629,$C$6:$C$797,C629,$H$6:$H$797,1)=11,COUNTIFS($B$6:$B$797,B629,$C$6:$C$797,C629,$F$6:$F$797,"&gt;0")=11),1,0)</x:f>
        <x:v>1</x:v>
      </x:c>
      <x:c r="J629" s="2" t="n">
        <x:f>COUNTIFS($A$6:$A$797,A629)</x:f>
        <x:v>1</x:v>
      </x:c>
    </x:row>
    <x:row r="630" ht="23" customHeight="1">
      <x:c r="A630" s="2" t="str">
        <x:v>62052000_TR_202503_IMPORT</x:v>
      </x:c>
      <x:c r="B630" s="2" t="n">
        <x:v>202503</x:v>
      </x:c>
      <x:c r="C630" s="2" t="str">
        <x:v>62052000</x:v>
      </x:c>
      <x:c r="D630" s="2" t="str">
        <x:v>Turkey</x:v>
      </x:c>
      <x:c r="E630" s="16" t="n">
        <x:v>1023096</x:v>
      </x:c>
      <x:c r="F630" s="16" t="n">
        <x:v>27004</x:v>
      </x:c>
      <x:c r="G630" s="2" t="str">
        <x:v>WITHIN_BAND</x:v>
      </x:c>
      <x:c r="H630" s="2" t="n">
        <x:v>1</x:v>
      </x:c>
      <x:c r="I630" s="2" t="n">
        <x:f>IF(AND(COUNTIFS($B$6:$B$797,B630,$C$6:$C$797,C630)=11,COUNTIFS($B$6:$B$797,B630,$C$6:$C$797,C630,$G$6:$G$797,"REVIEW")=0,COUNTIFS($B$6:$B$797,B630,$C$6:$C$797,C630,$H$6:$H$797,1)=11,COUNTIFS($B$6:$B$797,B630,$C$6:$C$797,C630,$F$6:$F$797,"&gt;0")=11),1,0)</x:f>
        <x:v>1</x:v>
      </x:c>
      <x:c r="J630" s="2" t="n">
        <x:f>COUNTIFS($A$6:$A$797,A630)</x:f>
        <x:v>1</x:v>
      </x:c>
    </x:row>
    <x:row r="631" ht="23" customHeight="1">
      <x:c r="A631" s="2" t="str">
        <x:v>62052000_VN_202503_IMPORT</x:v>
      </x:c>
      <x:c r="B631" s="2" t="n">
        <x:v>202503</x:v>
      </x:c>
      <x:c r="C631" s="2" t="str">
        <x:v>62052000</x:v>
      </x:c>
      <x:c r="D631" s="2" t="str">
        <x:v>Vietnam</x:v>
      </x:c>
      <x:c r="E631" s="16" t="n">
        <x:v>701701</x:v>
      </x:c>
      <x:c r="F631" s="16" t="n">
        <x:v>23596</x:v>
      </x:c>
      <x:c r="G631" s="2" t="str">
        <x:v>WITHIN_BAND</x:v>
      </x:c>
      <x:c r="H631" s="2" t="n">
        <x:v>1</x:v>
      </x:c>
      <x:c r="I631" s="2" t="n">
        <x:f>IF(AND(COUNTIFS($B$6:$B$797,B631,$C$6:$C$797,C631)=11,COUNTIFS($B$6:$B$797,B631,$C$6:$C$797,C631,$G$6:$G$797,"REVIEW")=0,COUNTIFS($B$6:$B$797,B631,$C$6:$C$797,C631,$H$6:$H$797,1)=11,COUNTIFS($B$6:$B$797,B631,$C$6:$C$797,C631,$F$6:$F$797,"&gt;0")=11),1,0)</x:f>
        <x:v>1</x:v>
      </x:c>
      <x:c r="J631" s="2" t="n">
        <x:f>COUNTIFS($A$6:$A$797,A631)</x:f>
        <x:v>1</x:v>
      </x:c>
    </x:row>
    <x:row r="632" ht="23" customHeight="1">
      <x:c r="A632" s="2" t="str">
        <x:v>62052000_WORLD_202503_IMPORT</x:v>
      </x:c>
      <x:c r="B632" s="2" t="n">
        <x:v>202503</x:v>
      </x:c>
      <x:c r="C632" s="2" t="str">
        <x:v>62052000</x:v>
      </x:c>
      <x:c r="D632" s="2" t="str">
        <x:v>World</x:v>
      </x:c>
      <x:c r="E632" s="16" t="n">
        <x:v>22760523</x:v>
      </x:c>
      <x:c r="F632" s="16" t="n">
        <x:v>854773</x:v>
      </x:c>
      <x:c r="G632" s="2" t="str">
        <x:v>WITHIN_BAND</x:v>
      </x:c>
      <x:c r="H632" s="2" t="n">
        <x:v>1</x:v>
      </x:c>
      <x:c r="I632" s="2" t="n">
        <x:f>IF(AND(COUNTIFS($B$6:$B$797,B632,$C$6:$C$797,C632)=11,COUNTIFS($B$6:$B$797,B632,$C$6:$C$797,C632,$G$6:$G$797,"REVIEW")=0,COUNTIFS($B$6:$B$797,B632,$C$6:$C$797,C632,$H$6:$H$797,1)=11,COUNTIFS($B$6:$B$797,B632,$C$6:$C$797,C632,$F$6:$F$797,"&gt;0")=11),1,0)</x:f>
        <x:v>1</x:v>
      </x:c>
      <x:c r="J632" s="2" t="n">
        <x:f>COUNTIFS($A$6:$A$797,A632)</x:f>
        <x:v>1</x:v>
      </x:c>
    </x:row>
    <x:row r="633" ht="23" customHeight="1">
      <x:c r="A633" s="2" t="str">
        <x:v>62052000_BD_202504_IMPORT</x:v>
      </x:c>
      <x:c r="B633" s="2" t="n">
        <x:v>202504</x:v>
      </x:c>
      <x:c r="C633" s="2" t="str">
        <x:v>62052000</x:v>
      </x:c>
      <x:c r="D633" s="2" t="str">
        <x:v>Bangladesh</x:v>
      </x:c>
      <x:c r="E633" s="16" t="n">
        <x:v>6838182</x:v>
      </x:c>
      <x:c r="F633" s="16" t="n">
        <x:v>346203</x:v>
      </x:c>
      <x:c r="G633" s="2" t="str">
        <x:v>WITHIN_BAND</x:v>
      </x:c>
      <x:c r="H633" s="2" t="n">
        <x:v>1</x:v>
      </x:c>
      <x:c r="I633" s="2" t="n">
        <x:f>IF(AND(COUNTIFS($B$6:$B$797,B633,$C$6:$C$797,C633)=11,COUNTIFS($B$6:$B$797,B633,$C$6:$C$797,C633,$G$6:$G$797,"REVIEW")=0,COUNTIFS($B$6:$B$797,B633,$C$6:$C$797,C633,$H$6:$H$797,1)=11,COUNTIFS($B$6:$B$797,B633,$C$6:$C$797,C633,$F$6:$F$797,"&gt;0")=11),1,0)</x:f>
        <x:v>1</x:v>
      </x:c>
      <x:c r="J633" s="2" t="n">
        <x:f>COUNTIFS($A$6:$A$797,A633)</x:f>
        <x:v>1</x:v>
      </x:c>
    </x:row>
    <x:row r="634" ht="23" customHeight="1">
      <x:c r="A634" s="2" t="str">
        <x:v>62052000_KH_202504_IMPORT</x:v>
      </x:c>
      <x:c r="B634" s="2" t="n">
        <x:v>202504</x:v>
      </x:c>
      <x:c r="C634" s="2" t="str">
        <x:v>62052000</x:v>
      </x:c>
      <x:c r="D634" s="2" t="str">
        <x:v>Cambodia</x:v>
      </x:c>
      <x:c r="E634" s="16" t="n">
        <x:v>698304</x:v>
      </x:c>
      <x:c r="F634" s="16" t="n">
        <x:v>26747</x:v>
      </x:c>
      <x:c r="G634" s="2" t="str">
        <x:v>WITHIN_BAND</x:v>
      </x:c>
      <x:c r="H634" s="2" t="n">
        <x:v>1</x:v>
      </x:c>
      <x:c r="I634" s="2" t="n">
        <x:f>IF(AND(COUNTIFS($B$6:$B$797,B634,$C$6:$C$797,C634)=11,COUNTIFS($B$6:$B$797,B634,$C$6:$C$797,C634,$G$6:$G$797,"REVIEW")=0,COUNTIFS($B$6:$B$797,B634,$C$6:$C$797,C634,$H$6:$H$797,1)=11,COUNTIFS($B$6:$B$797,B634,$C$6:$C$797,C634,$F$6:$F$797,"&gt;0")=11),1,0)</x:f>
        <x:v>1</x:v>
      </x:c>
      <x:c r="J634" s="2" t="n">
        <x:f>COUNTIFS($A$6:$A$797,A634)</x:f>
        <x:v>1</x:v>
      </x:c>
    </x:row>
    <x:row r="635" ht="23" customHeight="1">
      <x:c r="A635" s="2" t="str">
        <x:v>62052000_CN_202504_IMPORT</x:v>
      </x:c>
      <x:c r="B635" s="2" t="n">
        <x:v>202504</x:v>
      </x:c>
      <x:c r="C635" s="2" t="str">
        <x:v>62052000</x:v>
      </x:c>
      <x:c r="D635" s="2" t="str">
        <x:v>China</x:v>
      </x:c>
      <x:c r="E635" s="16" t="n">
        <x:v>1104635</x:v>
      </x:c>
      <x:c r="F635" s="16" t="n">
        <x:v>35986</x:v>
      </x:c>
      <x:c r="G635" s="2" t="str">
        <x:v>WITHIN_BAND</x:v>
      </x:c>
      <x:c r="H635" s="2" t="n">
        <x:v>1</x:v>
      </x:c>
      <x:c r="I635" s="2" t="n">
        <x:f>IF(AND(COUNTIFS($B$6:$B$797,B635,$C$6:$C$797,C635)=11,COUNTIFS($B$6:$B$797,B635,$C$6:$C$797,C635,$G$6:$G$797,"REVIEW")=0,COUNTIFS($B$6:$B$797,B635,$C$6:$C$797,C635,$H$6:$H$797,1)=11,COUNTIFS($B$6:$B$797,B635,$C$6:$C$797,C635,$F$6:$F$797,"&gt;0")=11),1,0)</x:f>
        <x:v>1</x:v>
      </x:c>
      <x:c r="J635" s="2" t="n">
        <x:f>COUNTIFS($A$6:$A$797,A635)</x:f>
        <x:v>1</x:v>
      </x:c>
    </x:row>
    <x:row r="636" ht="23" customHeight="1">
      <x:c r="A636" s="2" t="str">
        <x:v>62052000_IN_202504_IMPORT</x:v>
      </x:c>
      <x:c r="B636" s="2" t="n">
        <x:v>202504</x:v>
      </x:c>
      <x:c r="C636" s="2" t="str">
        <x:v>62052000</x:v>
      </x:c>
      <x:c r="D636" s="2" t="str">
        <x:v>India</x:v>
      </x:c>
      <x:c r="E636" s="16" t="n">
        <x:v>3226681</x:v>
      </x:c>
      <x:c r="F636" s="16" t="n">
        <x:v>136947</x:v>
      </x:c>
      <x:c r="G636" s="2" t="str">
        <x:v>WITHIN_BAND</x:v>
      </x:c>
      <x:c r="H636" s="2" t="n">
        <x:v>1</x:v>
      </x:c>
      <x:c r="I636" s="2" t="n">
        <x:f>IF(AND(COUNTIFS($B$6:$B$797,B636,$C$6:$C$797,C636)=11,COUNTIFS($B$6:$B$797,B636,$C$6:$C$797,C636,$G$6:$G$797,"REVIEW")=0,COUNTIFS($B$6:$B$797,B636,$C$6:$C$797,C636,$H$6:$H$797,1)=11,COUNTIFS($B$6:$B$797,B636,$C$6:$C$797,C636,$F$6:$F$797,"&gt;0")=11),1,0)</x:f>
        <x:v>1</x:v>
      </x:c>
      <x:c r="J636" s="2" t="n">
        <x:f>COUNTIFS($A$6:$A$797,A636)</x:f>
        <x:v>1</x:v>
      </x:c>
    </x:row>
    <x:row r="637" ht="23" customHeight="1">
      <x:c r="A637" s="2" t="str">
        <x:v>62052000_MA_202504_IMPORT</x:v>
      </x:c>
      <x:c r="B637" s="2" t="n">
        <x:v>202504</x:v>
      </x:c>
      <x:c r="C637" s="2" t="str">
        <x:v>62052000</x:v>
      </x:c>
      <x:c r="D637" s="2" t="str">
        <x:v>Morocco</x:v>
      </x:c>
      <x:c r="E637" s="16" t="n">
        <x:v>107356</x:v>
      </x:c>
      <x:c r="F637" s="16" t="n">
        <x:v>2401</x:v>
      </x:c>
      <x:c r="G637" s="2" t="str">
        <x:v>WITHIN_BAND</x:v>
      </x:c>
      <x:c r="H637" s="2" t="n">
        <x:v>1</x:v>
      </x:c>
      <x:c r="I637" s="2" t="n">
        <x:f>IF(AND(COUNTIFS($B$6:$B$797,B637,$C$6:$C$797,C637)=11,COUNTIFS($B$6:$B$797,B637,$C$6:$C$797,C637,$G$6:$G$797,"REVIEW")=0,COUNTIFS($B$6:$B$797,B637,$C$6:$C$797,C637,$H$6:$H$797,1)=11,COUNTIFS($B$6:$B$797,B637,$C$6:$C$797,C637,$F$6:$F$797,"&gt;0")=11),1,0)</x:f>
        <x:v>1</x:v>
      </x:c>
      <x:c r="J637" s="2" t="n">
        <x:f>COUNTIFS($A$6:$A$797,A637)</x:f>
        <x:v>1</x:v>
      </x:c>
    </x:row>
    <x:row r="638" ht="23" customHeight="1">
      <x:c r="A638" s="2" t="str">
        <x:v>62052000_MM_202504_IMPORT</x:v>
      </x:c>
      <x:c r="B638" s="2" t="n">
        <x:v>202504</x:v>
      </x:c>
      <x:c r="C638" s="2" t="str">
        <x:v>62052000</x:v>
      </x:c>
      <x:c r="D638" s="2" t="str">
        <x:v>Myanmar</x:v>
      </x:c>
      <x:c r="E638" s="16" t="n">
        <x:v>105561</x:v>
      </x:c>
      <x:c r="F638" s="16" t="n">
        <x:v>5099</x:v>
      </x:c>
      <x:c r="G638" s="2" t="str">
        <x:v>WITHIN_BAND</x:v>
      </x:c>
      <x:c r="H638" s="2" t="n">
        <x:v>1</x:v>
      </x:c>
      <x:c r="I638" s="2" t="n">
        <x:f>IF(AND(COUNTIFS($B$6:$B$797,B638,$C$6:$C$797,C638)=11,COUNTIFS($B$6:$B$797,B638,$C$6:$C$797,C638,$G$6:$G$797,"REVIEW")=0,COUNTIFS($B$6:$B$797,B638,$C$6:$C$797,C638,$H$6:$H$797,1)=11,COUNTIFS($B$6:$B$797,B638,$C$6:$C$797,C638,$F$6:$F$797,"&gt;0")=11),1,0)</x:f>
        <x:v>1</x:v>
      </x:c>
      <x:c r="J638" s="2" t="n">
        <x:f>COUNTIFS($A$6:$A$797,A638)</x:f>
        <x:v>1</x:v>
      </x:c>
    </x:row>
    <x:row r="639" ht="23" customHeight="1">
      <x:c r="A639" s="2" t="str">
        <x:v>62052000_PK_202504_IMPORT</x:v>
      </x:c>
      <x:c r="B639" s="2" t="n">
        <x:v>202504</x:v>
      </x:c>
      <x:c r="C639" s="2" t="str">
        <x:v>62052000</x:v>
      </x:c>
      <x:c r="D639" s="2" t="str">
        <x:v>Pakistan</x:v>
      </x:c>
      <x:c r="E639" s="16" t="n">
        <x:v>77129</x:v>
      </x:c>
      <x:c r="F639" s="16" t="n">
        <x:v>5890</x:v>
      </x:c>
      <x:c r="G639" s="2" t="str">
        <x:v>WITHIN_BAND</x:v>
      </x:c>
      <x:c r="H639" s="2" t="n">
        <x:v>1</x:v>
      </x:c>
      <x:c r="I639" s="2" t="n">
        <x:f>IF(AND(COUNTIFS($B$6:$B$797,B639,$C$6:$C$797,C639)=11,COUNTIFS($B$6:$B$797,B639,$C$6:$C$797,C639,$G$6:$G$797,"REVIEW")=0,COUNTIFS($B$6:$B$797,B639,$C$6:$C$797,C639,$H$6:$H$797,1)=11,COUNTIFS($B$6:$B$797,B639,$C$6:$C$797,C639,$F$6:$F$797,"&gt;0")=11),1,0)</x:f>
        <x:v>1</x:v>
      </x:c>
      <x:c r="J639" s="2" t="n">
        <x:f>COUNTIFS($A$6:$A$797,A639)</x:f>
        <x:v>1</x:v>
      </x:c>
    </x:row>
    <x:row r="640" ht="23" customHeight="1">
      <x:c r="A640" s="2" t="str">
        <x:v>62052000_LK_202504_IMPORT</x:v>
      </x:c>
      <x:c r="B640" s="2" t="n">
        <x:v>202504</x:v>
      </x:c>
      <x:c r="C640" s="2" t="str">
        <x:v>62052000</x:v>
      </x:c>
      <x:c r="D640" s="2" t="str">
        <x:v>Sri Lanka</x:v>
      </x:c>
      <x:c r="E640" s="16" t="n">
        <x:v>276951</x:v>
      </x:c>
      <x:c r="F640" s="16" t="n">
        <x:v>12508</x:v>
      </x:c>
      <x:c r="G640" s="2" t="str">
        <x:v>WITHIN_BAND</x:v>
      </x:c>
      <x:c r="H640" s="2" t="n">
        <x:v>1</x:v>
      </x:c>
      <x:c r="I640" s="2" t="n">
        <x:f>IF(AND(COUNTIFS($B$6:$B$797,B640,$C$6:$C$797,C640)=11,COUNTIFS($B$6:$B$797,B640,$C$6:$C$797,C640,$G$6:$G$797,"REVIEW")=0,COUNTIFS($B$6:$B$797,B640,$C$6:$C$797,C640,$H$6:$H$797,1)=11,COUNTIFS($B$6:$B$797,B640,$C$6:$C$797,C640,$F$6:$F$797,"&gt;0")=11),1,0)</x:f>
        <x:v>1</x:v>
      </x:c>
      <x:c r="J640" s="2" t="n">
        <x:f>COUNTIFS($A$6:$A$797,A640)</x:f>
        <x:v>1</x:v>
      </x:c>
    </x:row>
    <x:row r="641" ht="23" customHeight="1">
      <x:c r="A641" s="2" t="str">
        <x:v>62052000_TR_202504_IMPORT</x:v>
      </x:c>
      <x:c r="B641" s="2" t="n">
        <x:v>202504</x:v>
      </x:c>
      <x:c r="C641" s="2" t="str">
        <x:v>62052000</x:v>
      </x:c>
      <x:c r="D641" s="2" t="str">
        <x:v>Turkey</x:v>
      </x:c>
      <x:c r="E641" s="16" t="n">
        <x:v>1154885</x:v>
      </x:c>
      <x:c r="F641" s="16" t="n">
        <x:v>31359</x:v>
      </x:c>
      <x:c r="G641" s="2" t="str">
        <x:v>WITHIN_BAND</x:v>
      </x:c>
      <x:c r="H641" s="2" t="n">
        <x:v>1</x:v>
      </x:c>
      <x:c r="I641" s="2" t="n">
        <x:f>IF(AND(COUNTIFS($B$6:$B$797,B641,$C$6:$C$797,C641)=11,COUNTIFS($B$6:$B$797,B641,$C$6:$C$797,C641,$G$6:$G$797,"REVIEW")=0,COUNTIFS($B$6:$B$797,B641,$C$6:$C$797,C641,$H$6:$H$797,1)=11,COUNTIFS($B$6:$B$797,B641,$C$6:$C$797,C641,$F$6:$F$797,"&gt;0")=11),1,0)</x:f>
        <x:v>1</x:v>
      </x:c>
      <x:c r="J641" s="2" t="n">
        <x:f>COUNTIFS($A$6:$A$797,A641)</x:f>
        <x:v>1</x:v>
      </x:c>
    </x:row>
    <x:row r="642" ht="23" customHeight="1">
      <x:c r="A642" s="2" t="str">
        <x:v>62052000_VN_202504_IMPORT</x:v>
      </x:c>
      <x:c r="B642" s="2" t="n">
        <x:v>202504</x:v>
      </x:c>
      <x:c r="C642" s="2" t="str">
        <x:v>62052000</x:v>
      </x:c>
      <x:c r="D642" s="2" t="str">
        <x:v>Vietnam</x:v>
      </x:c>
      <x:c r="E642" s="16" t="n">
        <x:v>399520</x:v>
      </x:c>
      <x:c r="F642" s="16" t="n">
        <x:v>10355</x:v>
      </x:c>
      <x:c r="G642" s="2" t="str">
        <x:v>WITHIN_BAND</x:v>
      </x:c>
      <x:c r="H642" s="2" t="n">
        <x:v>1</x:v>
      </x:c>
      <x:c r="I642" s="2" t="n">
        <x:f>IF(AND(COUNTIFS($B$6:$B$797,B642,$C$6:$C$797,C642)=11,COUNTIFS($B$6:$B$797,B642,$C$6:$C$797,C642,$G$6:$G$797,"REVIEW")=0,COUNTIFS($B$6:$B$797,B642,$C$6:$C$797,C642,$H$6:$H$797,1)=11,COUNTIFS($B$6:$B$797,B642,$C$6:$C$797,C642,$F$6:$F$797,"&gt;0")=11),1,0)</x:f>
        <x:v>1</x:v>
      </x:c>
      <x:c r="J642" s="2" t="n">
        <x:f>COUNTIFS($A$6:$A$797,A642)</x:f>
        <x:v>1</x:v>
      </x:c>
    </x:row>
    <x:row r="643" ht="23" customHeight="1">
      <x:c r="A643" s="2" t="str">
        <x:v>62052000_WORLD_202504_IMPORT</x:v>
      </x:c>
      <x:c r="B643" s="2" t="n">
        <x:v>202504</x:v>
      </x:c>
      <x:c r="C643" s="2" t="str">
        <x:v>62052000</x:v>
      </x:c>
      <x:c r="D643" s="2" t="str">
        <x:v>World</x:v>
      </x:c>
      <x:c r="E643" s="16" t="n">
        <x:v>22599336</x:v>
      </x:c>
      <x:c r="F643" s="16" t="n">
        <x:v>780864</x:v>
      </x:c>
      <x:c r="G643" s="2" t="str">
        <x:v>WITHIN_BAND</x:v>
      </x:c>
      <x:c r="H643" s="2" t="n">
        <x:v>1</x:v>
      </x:c>
      <x:c r="I643" s="2" t="n">
        <x:f>IF(AND(COUNTIFS($B$6:$B$797,B643,$C$6:$C$797,C643)=11,COUNTIFS($B$6:$B$797,B643,$C$6:$C$797,C643,$G$6:$G$797,"REVIEW")=0,COUNTIFS($B$6:$B$797,B643,$C$6:$C$797,C643,$H$6:$H$797,1)=11,COUNTIFS($B$6:$B$797,B643,$C$6:$C$797,C643,$F$6:$F$797,"&gt;0")=11),1,0)</x:f>
        <x:v>1</x:v>
      </x:c>
      <x:c r="J643" s="2" t="n">
        <x:f>COUNTIFS($A$6:$A$797,A643)</x:f>
        <x:v>1</x:v>
      </x:c>
    </x:row>
    <x:row r="644" ht="23" customHeight="1">
      <x:c r="A644" s="2" t="str">
        <x:v>62052000_BD_202505_IMPORT</x:v>
      </x:c>
      <x:c r="B644" s="2" t="n">
        <x:v>202505</x:v>
      </x:c>
      <x:c r="C644" s="2" t="str">
        <x:v>62052000</x:v>
      </x:c>
      <x:c r="D644" s="2" t="str">
        <x:v>Bangladesh</x:v>
      </x:c>
      <x:c r="E644" s="16" t="n">
        <x:v>7415393</x:v>
      </x:c>
      <x:c r="F644" s="16" t="n">
        <x:v>384470</x:v>
      </x:c>
      <x:c r="G644" s="2" t="str">
        <x:v>WITHIN_BAND</x:v>
      </x:c>
      <x:c r="H644" s="2" t="n">
        <x:v>1</x:v>
      </x:c>
      <x:c r="I644" s="2" t="n">
        <x:f>IF(AND(COUNTIFS($B$6:$B$797,B644,$C$6:$C$797,C644)=11,COUNTIFS($B$6:$B$797,B644,$C$6:$C$797,C644,$G$6:$G$797,"REVIEW")=0,COUNTIFS($B$6:$B$797,B644,$C$6:$C$797,C644,$H$6:$H$797,1)=11,COUNTIFS($B$6:$B$797,B644,$C$6:$C$797,C644,$F$6:$F$797,"&gt;0")=11),1,0)</x:f>
        <x:v>1</x:v>
      </x:c>
      <x:c r="J644" s="2" t="n">
        <x:f>COUNTIFS($A$6:$A$797,A644)</x:f>
        <x:v>1</x:v>
      </x:c>
    </x:row>
    <x:row r="645" ht="23" customHeight="1">
      <x:c r="A645" s="2" t="str">
        <x:v>62052000_KH_202505_IMPORT</x:v>
      </x:c>
      <x:c r="B645" s="2" t="n">
        <x:v>202505</x:v>
      </x:c>
      <x:c r="C645" s="2" t="str">
        <x:v>62052000</x:v>
      </x:c>
      <x:c r="D645" s="2" t="str">
        <x:v>Cambodia</x:v>
      </x:c>
      <x:c r="E645" s="16" t="n">
        <x:v>1264440</x:v>
      </x:c>
      <x:c r="F645" s="16" t="n">
        <x:v>48527</x:v>
      </x:c>
      <x:c r="G645" s="2" t="str">
        <x:v>WITHIN_BAND</x:v>
      </x:c>
      <x:c r="H645" s="2" t="n">
        <x:v>1</x:v>
      </x:c>
      <x:c r="I645" s="2" t="n">
        <x:f>IF(AND(COUNTIFS($B$6:$B$797,B645,$C$6:$C$797,C645)=11,COUNTIFS($B$6:$B$797,B645,$C$6:$C$797,C645,$G$6:$G$797,"REVIEW")=0,COUNTIFS($B$6:$B$797,B645,$C$6:$C$797,C645,$H$6:$H$797,1)=11,COUNTIFS($B$6:$B$797,B645,$C$6:$C$797,C645,$F$6:$F$797,"&gt;0")=11),1,0)</x:f>
        <x:v>1</x:v>
      </x:c>
      <x:c r="J645" s="2" t="n">
        <x:f>COUNTIFS($A$6:$A$797,A645)</x:f>
        <x:v>1</x:v>
      </x:c>
    </x:row>
    <x:row r="646" ht="23" customHeight="1">
      <x:c r="A646" s="2" t="str">
        <x:v>62052000_CN_202505_IMPORT</x:v>
      </x:c>
      <x:c r="B646" s="2" t="n">
        <x:v>202505</x:v>
      </x:c>
      <x:c r="C646" s="2" t="str">
        <x:v>62052000</x:v>
      </x:c>
      <x:c r="D646" s="2" t="str">
        <x:v>China</x:v>
      </x:c>
      <x:c r="E646" s="16" t="n">
        <x:v>958580</x:v>
      </x:c>
      <x:c r="F646" s="16" t="n">
        <x:v>51583</x:v>
      </x:c>
      <x:c r="G646" s="2" t="str">
        <x:v>WITHIN_BAND</x:v>
      </x:c>
      <x:c r="H646" s="2" t="n">
        <x:v>1</x:v>
      </x:c>
      <x:c r="I646" s="2" t="n">
        <x:f>IF(AND(COUNTIFS($B$6:$B$797,B646,$C$6:$C$797,C646)=11,COUNTIFS($B$6:$B$797,B646,$C$6:$C$797,C646,$G$6:$G$797,"REVIEW")=0,COUNTIFS($B$6:$B$797,B646,$C$6:$C$797,C646,$H$6:$H$797,1)=11,COUNTIFS($B$6:$B$797,B646,$C$6:$C$797,C646,$F$6:$F$797,"&gt;0")=11),1,0)</x:f>
        <x:v>1</x:v>
      </x:c>
      <x:c r="J646" s="2" t="n">
        <x:f>COUNTIFS($A$6:$A$797,A646)</x:f>
        <x:v>1</x:v>
      </x:c>
    </x:row>
    <x:row r="647" ht="23" customHeight="1">
      <x:c r="A647" s="2" t="str">
        <x:v>62052000_IN_202505_IMPORT</x:v>
      </x:c>
      <x:c r="B647" s="2" t="n">
        <x:v>202505</x:v>
      </x:c>
      <x:c r="C647" s="2" t="str">
        <x:v>62052000</x:v>
      </x:c>
      <x:c r="D647" s="2" t="str">
        <x:v>India</x:v>
      </x:c>
      <x:c r="E647" s="16" t="n">
        <x:v>3166495</x:v>
      </x:c>
      <x:c r="F647" s="16" t="n">
        <x:v>139445</x:v>
      </x:c>
      <x:c r="G647" s="2" t="str">
        <x:v>WITHIN_BAND</x:v>
      </x:c>
      <x:c r="H647" s="2" t="n">
        <x:v>1</x:v>
      </x:c>
      <x:c r="I647" s="2" t="n">
        <x:f>IF(AND(COUNTIFS($B$6:$B$797,B647,$C$6:$C$797,C647)=11,COUNTIFS($B$6:$B$797,B647,$C$6:$C$797,C647,$G$6:$G$797,"REVIEW")=0,COUNTIFS($B$6:$B$797,B647,$C$6:$C$797,C647,$H$6:$H$797,1)=11,COUNTIFS($B$6:$B$797,B647,$C$6:$C$797,C647,$F$6:$F$797,"&gt;0")=11),1,0)</x:f>
        <x:v>1</x:v>
      </x:c>
      <x:c r="J647" s="2" t="n">
        <x:f>COUNTIFS($A$6:$A$797,A647)</x:f>
        <x:v>1</x:v>
      </x:c>
    </x:row>
    <x:row r="648" ht="23" customHeight="1">
      <x:c r="A648" s="2" t="str">
        <x:v>62052000_MA_202505_IMPORT</x:v>
      </x:c>
      <x:c r="B648" s="2" t="n">
        <x:v>202505</x:v>
      </x:c>
      <x:c r="C648" s="2" t="str">
        <x:v>62052000</x:v>
      </x:c>
      <x:c r="D648" s="2" t="str">
        <x:v>Morocco</x:v>
      </x:c>
      <x:c r="E648" s="16" t="n">
        <x:v>232820</x:v>
      </x:c>
      <x:c r="F648" s="16" t="n">
        <x:v>6165</x:v>
      </x:c>
      <x:c r="G648" s="2" t="str">
        <x:v>WITHIN_BAND</x:v>
      </x:c>
      <x:c r="H648" s="2" t="n">
        <x:v>1</x:v>
      </x:c>
      <x:c r="I648" s="2" t="n">
        <x:f>IF(AND(COUNTIFS($B$6:$B$797,B648,$C$6:$C$797,C648)=11,COUNTIFS($B$6:$B$797,B648,$C$6:$C$797,C648,$G$6:$G$797,"REVIEW")=0,COUNTIFS($B$6:$B$797,B648,$C$6:$C$797,C648,$H$6:$H$797,1)=11,COUNTIFS($B$6:$B$797,B648,$C$6:$C$797,C648,$F$6:$F$797,"&gt;0")=11),1,0)</x:f>
        <x:v>1</x:v>
      </x:c>
      <x:c r="J648" s="2" t="n">
        <x:f>COUNTIFS($A$6:$A$797,A648)</x:f>
        <x:v>1</x:v>
      </x:c>
    </x:row>
    <x:row r="649" ht="23" customHeight="1">
      <x:c r="A649" s="2" t="str">
        <x:v>62052000_MM_202505_IMPORT</x:v>
      </x:c>
      <x:c r="B649" s="2" t="n">
        <x:v>202505</x:v>
      </x:c>
      <x:c r="C649" s="2" t="str">
        <x:v>62052000</x:v>
      </x:c>
      <x:c r="D649" s="2" t="str">
        <x:v>Myanmar</x:v>
      </x:c>
      <x:c r="E649" s="16" t="n">
        <x:v>128054</x:v>
      </x:c>
      <x:c r="F649" s="16" t="n">
        <x:v>8635</x:v>
      </x:c>
      <x:c r="G649" s="2" t="str">
        <x:v>WITHIN_BAND</x:v>
      </x:c>
      <x:c r="H649" s="2" t="n">
        <x:v>1</x:v>
      </x:c>
      <x:c r="I649" s="2" t="n">
        <x:f>IF(AND(COUNTIFS($B$6:$B$797,B649,$C$6:$C$797,C649)=11,COUNTIFS($B$6:$B$797,B649,$C$6:$C$797,C649,$G$6:$G$797,"REVIEW")=0,COUNTIFS($B$6:$B$797,B649,$C$6:$C$797,C649,$H$6:$H$797,1)=11,COUNTIFS($B$6:$B$797,B649,$C$6:$C$797,C649,$F$6:$F$797,"&gt;0")=11),1,0)</x:f>
        <x:v>1</x:v>
      </x:c>
      <x:c r="J649" s="2" t="n">
        <x:f>COUNTIFS($A$6:$A$797,A649)</x:f>
        <x:v>1</x:v>
      </x:c>
    </x:row>
    <x:row r="650" ht="23" customHeight="1">
      <x:c r="A650" s="2" t="str">
        <x:v>62052000_PK_202505_IMPORT</x:v>
      </x:c>
      <x:c r="B650" s="2" t="n">
        <x:v>202505</x:v>
      </x:c>
      <x:c r="C650" s="2" t="str">
        <x:v>62052000</x:v>
      </x:c>
      <x:c r="D650" s="2" t="str">
        <x:v>Pakistan</x:v>
      </x:c>
      <x:c r="E650" s="16" t="n">
        <x:v>99370</x:v>
      </x:c>
      <x:c r="F650" s="16" t="n">
        <x:v>8704</x:v>
      </x:c>
      <x:c r="G650" s="2" t="str">
        <x:v>WITHIN_BAND</x:v>
      </x:c>
      <x:c r="H650" s="2" t="n">
        <x:v>1</x:v>
      </x:c>
      <x:c r="I650" s="2" t="n">
        <x:f>IF(AND(COUNTIFS($B$6:$B$797,B650,$C$6:$C$797,C650)=11,COUNTIFS($B$6:$B$797,B650,$C$6:$C$797,C650,$G$6:$G$797,"REVIEW")=0,COUNTIFS($B$6:$B$797,B650,$C$6:$C$797,C650,$H$6:$H$797,1)=11,COUNTIFS($B$6:$B$797,B650,$C$6:$C$797,C650,$F$6:$F$797,"&gt;0")=11),1,0)</x:f>
        <x:v>1</x:v>
      </x:c>
      <x:c r="J650" s="2" t="n">
        <x:f>COUNTIFS($A$6:$A$797,A650)</x:f>
        <x:v>1</x:v>
      </x:c>
    </x:row>
    <x:row r="651" ht="23" customHeight="1">
      <x:c r="A651" s="2" t="str">
        <x:v>62052000_LK_202505_IMPORT</x:v>
      </x:c>
      <x:c r="B651" s="2" t="n">
        <x:v>202505</x:v>
      </x:c>
      <x:c r="C651" s="2" t="str">
        <x:v>62052000</x:v>
      </x:c>
      <x:c r="D651" s="2" t="str">
        <x:v>Sri Lanka</x:v>
      </x:c>
      <x:c r="E651" s="16" t="n">
        <x:v>356011</x:v>
      </x:c>
      <x:c r="F651" s="16" t="n">
        <x:v>20769</x:v>
      </x:c>
      <x:c r="G651" s="2" t="str">
        <x:v>WITHIN_BAND</x:v>
      </x:c>
      <x:c r="H651" s="2" t="n">
        <x:v>1</x:v>
      </x:c>
      <x:c r="I651" s="2" t="n">
        <x:f>IF(AND(COUNTIFS($B$6:$B$797,B651,$C$6:$C$797,C651)=11,COUNTIFS($B$6:$B$797,B651,$C$6:$C$797,C651,$G$6:$G$797,"REVIEW")=0,COUNTIFS($B$6:$B$797,B651,$C$6:$C$797,C651,$H$6:$H$797,1)=11,COUNTIFS($B$6:$B$797,B651,$C$6:$C$797,C651,$F$6:$F$797,"&gt;0")=11),1,0)</x:f>
        <x:v>1</x:v>
      </x:c>
      <x:c r="J651" s="2" t="n">
        <x:f>COUNTIFS($A$6:$A$797,A651)</x:f>
        <x:v>1</x:v>
      </x:c>
    </x:row>
    <x:row r="652" ht="23" customHeight="1">
      <x:c r="A652" s="2" t="str">
        <x:v>62052000_TR_202505_IMPORT</x:v>
      </x:c>
      <x:c r="B652" s="2" t="n">
        <x:v>202505</x:v>
      </x:c>
      <x:c r="C652" s="2" t="str">
        <x:v>62052000</x:v>
      </x:c>
      <x:c r="D652" s="2" t="str">
        <x:v>Turkey</x:v>
      </x:c>
      <x:c r="E652" s="16" t="n">
        <x:v>973631</x:v>
      </x:c>
      <x:c r="F652" s="16" t="n">
        <x:v>27326</x:v>
      </x:c>
      <x:c r="G652" s="2" t="str">
        <x:v>WITHIN_BAND</x:v>
      </x:c>
      <x:c r="H652" s="2" t="n">
        <x:v>1</x:v>
      </x:c>
      <x:c r="I652" s="2" t="n">
        <x:f>IF(AND(COUNTIFS($B$6:$B$797,B652,$C$6:$C$797,C652)=11,COUNTIFS($B$6:$B$797,B652,$C$6:$C$797,C652,$G$6:$G$797,"REVIEW")=0,COUNTIFS($B$6:$B$797,B652,$C$6:$C$797,C652,$H$6:$H$797,1)=11,COUNTIFS($B$6:$B$797,B652,$C$6:$C$797,C652,$F$6:$F$797,"&gt;0")=11),1,0)</x:f>
        <x:v>1</x:v>
      </x:c>
      <x:c r="J652" s="2" t="n">
        <x:f>COUNTIFS($A$6:$A$797,A652)</x:f>
        <x:v>1</x:v>
      </x:c>
    </x:row>
    <x:row r="653" ht="23" customHeight="1">
      <x:c r="A653" s="2" t="str">
        <x:v>62052000_VN_202505_IMPORT</x:v>
      </x:c>
      <x:c r="B653" s="2" t="n">
        <x:v>202505</x:v>
      </x:c>
      <x:c r="C653" s="2" t="str">
        <x:v>62052000</x:v>
      </x:c>
      <x:c r="D653" s="2" t="str">
        <x:v>Vietnam</x:v>
      </x:c>
      <x:c r="E653" s="16" t="n">
        <x:v>949400</x:v>
      </x:c>
      <x:c r="F653" s="16" t="n">
        <x:v>33324</x:v>
      </x:c>
      <x:c r="G653" s="2" t="str">
        <x:v>WITHIN_BAND</x:v>
      </x:c>
      <x:c r="H653" s="2" t="n">
        <x:v>1</x:v>
      </x:c>
      <x:c r="I653" s="2" t="n">
        <x:f>IF(AND(COUNTIFS($B$6:$B$797,B653,$C$6:$C$797,C653)=11,COUNTIFS($B$6:$B$797,B653,$C$6:$C$797,C653,$G$6:$G$797,"REVIEW")=0,COUNTIFS($B$6:$B$797,B653,$C$6:$C$797,C653,$H$6:$H$797,1)=11,COUNTIFS($B$6:$B$797,B653,$C$6:$C$797,C653,$F$6:$F$797,"&gt;0")=11),1,0)</x:f>
        <x:v>1</x:v>
      </x:c>
      <x:c r="J653" s="2" t="n">
        <x:f>COUNTIFS($A$6:$A$797,A653)</x:f>
        <x:v>1</x:v>
      </x:c>
    </x:row>
    <x:row r="654" ht="23" customHeight="1">
      <x:c r="A654" s="2" t="str">
        <x:v>62052000_WORLD_202505_IMPORT</x:v>
      </x:c>
      <x:c r="B654" s="2" t="n">
        <x:v>202505</x:v>
      </x:c>
      <x:c r="C654" s="2" t="str">
        <x:v>62052000</x:v>
      </x:c>
      <x:c r="D654" s="2" t="str">
        <x:v>World</x:v>
      </x:c>
      <x:c r="E654" s="16" t="n">
        <x:v>23433219</x:v>
      </x:c>
      <x:c r="F654" s="16" t="n">
        <x:v>931861</x:v>
      </x:c>
      <x:c r="G654" s="2" t="str">
        <x:v>WITHIN_BAND</x:v>
      </x:c>
      <x:c r="H654" s="2" t="n">
        <x:v>1</x:v>
      </x:c>
      <x:c r="I654" s="2" t="n">
        <x:f>IF(AND(COUNTIFS($B$6:$B$797,B654,$C$6:$C$797,C654)=11,COUNTIFS($B$6:$B$797,B654,$C$6:$C$797,C654,$G$6:$G$797,"REVIEW")=0,COUNTIFS($B$6:$B$797,B654,$C$6:$C$797,C654,$H$6:$H$797,1)=11,COUNTIFS($B$6:$B$797,B654,$C$6:$C$797,C654,$F$6:$F$797,"&gt;0")=11),1,0)</x:f>
        <x:v>1</x:v>
      </x:c>
      <x:c r="J654" s="2" t="n">
        <x:f>COUNTIFS($A$6:$A$797,A654)</x:f>
        <x:v>1</x:v>
      </x:c>
    </x:row>
    <x:row r="655" ht="23" customHeight="1">
      <x:c r="A655" s="2" t="str">
        <x:v>62052000_BD_202506_IMPORT</x:v>
      </x:c>
      <x:c r="B655" s="2" t="n">
        <x:v>202506</x:v>
      </x:c>
      <x:c r="C655" s="2" t="str">
        <x:v>62052000</x:v>
      </x:c>
      <x:c r="D655" s="2" t="str">
        <x:v>Bangladesh</x:v>
      </x:c>
      <x:c r="E655" s="16" t="n">
        <x:v>6112493</x:v>
      </x:c>
      <x:c r="F655" s="16" t="n">
        <x:v>363194</x:v>
      </x:c>
      <x:c r="G655" s="2" t="str">
        <x:v>WITHIN_BAND</x:v>
      </x:c>
      <x:c r="H655" s="2" t="n">
        <x:v>1</x:v>
      </x:c>
      <x:c r="I655" s="2" t="n">
        <x:f>IF(AND(COUNTIFS($B$6:$B$797,B655,$C$6:$C$797,C655)=11,COUNTIFS($B$6:$B$797,B655,$C$6:$C$797,C655,$G$6:$G$797,"REVIEW")=0,COUNTIFS($B$6:$B$797,B655,$C$6:$C$797,C655,$H$6:$H$797,1)=11,COUNTIFS($B$6:$B$797,B655,$C$6:$C$797,C655,$F$6:$F$797,"&gt;0")=11),1,0)</x:f>
        <x:v>1</x:v>
      </x:c>
      <x:c r="J655" s="2" t="n">
        <x:f>COUNTIFS($A$6:$A$797,A655)</x:f>
        <x:v>1</x:v>
      </x:c>
    </x:row>
    <x:row r="656" ht="23" customHeight="1">
      <x:c r="A656" s="2" t="str">
        <x:v>62052000_KH_202506_IMPORT</x:v>
      </x:c>
      <x:c r="B656" s="2" t="n">
        <x:v>202506</x:v>
      </x:c>
      <x:c r="C656" s="2" t="str">
        <x:v>62052000</x:v>
      </x:c>
      <x:c r="D656" s="2" t="str">
        <x:v>Cambodia</x:v>
      </x:c>
      <x:c r="E656" s="16" t="n">
        <x:v>2792569</x:v>
      </x:c>
      <x:c r="F656" s="16" t="n">
        <x:v>104758</x:v>
      </x:c>
      <x:c r="G656" s="2" t="str">
        <x:v>WITHIN_BAND</x:v>
      </x:c>
      <x:c r="H656" s="2" t="n">
        <x:v>1</x:v>
      </x:c>
      <x:c r="I656" s="2" t="n">
        <x:f>IF(AND(COUNTIFS($B$6:$B$797,B656,$C$6:$C$797,C656)=11,COUNTIFS($B$6:$B$797,B656,$C$6:$C$797,C656,$G$6:$G$797,"REVIEW")=0,COUNTIFS($B$6:$B$797,B656,$C$6:$C$797,C656,$H$6:$H$797,1)=11,COUNTIFS($B$6:$B$797,B656,$C$6:$C$797,C656,$F$6:$F$797,"&gt;0")=11),1,0)</x:f>
        <x:v>1</x:v>
      </x:c>
      <x:c r="J656" s="2" t="n">
        <x:f>COUNTIFS($A$6:$A$797,A656)</x:f>
        <x:v>1</x:v>
      </x:c>
    </x:row>
    <x:row r="657" ht="23" customHeight="1">
      <x:c r="A657" s="2" t="str">
        <x:v>62052000_CN_202506_IMPORT</x:v>
      </x:c>
      <x:c r="B657" s="2" t="n">
        <x:v>202506</x:v>
      </x:c>
      <x:c r="C657" s="2" t="str">
        <x:v>62052000</x:v>
      </x:c>
      <x:c r="D657" s="2" t="str">
        <x:v>China</x:v>
      </x:c>
      <x:c r="E657" s="16" t="n">
        <x:v>742074</x:v>
      </x:c>
      <x:c r="F657" s="16" t="n">
        <x:v>42333</x:v>
      </x:c>
      <x:c r="G657" s="2" t="str">
        <x:v>WITHIN_BAND</x:v>
      </x:c>
      <x:c r="H657" s="2" t="n">
        <x:v>1</x:v>
      </x:c>
      <x:c r="I657" s="2" t="n">
        <x:f>IF(AND(COUNTIFS($B$6:$B$797,B657,$C$6:$C$797,C657)=11,COUNTIFS($B$6:$B$797,B657,$C$6:$C$797,C657,$G$6:$G$797,"REVIEW")=0,COUNTIFS($B$6:$B$797,B657,$C$6:$C$797,C657,$H$6:$H$797,1)=11,COUNTIFS($B$6:$B$797,B657,$C$6:$C$797,C657,$F$6:$F$797,"&gt;0")=11),1,0)</x:f>
        <x:v>1</x:v>
      </x:c>
      <x:c r="J657" s="2" t="n">
        <x:f>COUNTIFS($A$6:$A$797,A657)</x:f>
        <x:v>1</x:v>
      </x:c>
    </x:row>
    <x:row r="658" ht="23" customHeight="1">
      <x:c r="A658" s="2" t="str">
        <x:v>62052000_IN_202506_IMPORT</x:v>
      </x:c>
      <x:c r="B658" s="2" t="n">
        <x:v>202506</x:v>
      </x:c>
      <x:c r="C658" s="2" t="str">
        <x:v>62052000</x:v>
      </x:c>
      <x:c r="D658" s="2" t="str">
        <x:v>India</x:v>
      </x:c>
      <x:c r="E658" s="16" t="n">
        <x:v>2474899</x:v>
      </x:c>
      <x:c r="F658" s="16" t="n">
        <x:v>108579</x:v>
      </x:c>
      <x:c r="G658" s="2" t="str">
        <x:v>WITHIN_BAND</x:v>
      </x:c>
      <x:c r="H658" s="2" t="n">
        <x:v>1</x:v>
      </x:c>
      <x:c r="I658" s="2" t="n">
        <x:f>IF(AND(COUNTIFS($B$6:$B$797,B658,$C$6:$C$797,C658)=11,COUNTIFS($B$6:$B$797,B658,$C$6:$C$797,C658,$G$6:$G$797,"REVIEW")=0,COUNTIFS($B$6:$B$797,B658,$C$6:$C$797,C658,$H$6:$H$797,1)=11,COUNTIFS($B$6:$B$797,B658,$C$6:$C$797,C658,$F$6:$F$797,"&gt;0")=11),1,0)</x:f>
        <x:v>1</x:v>
      </x:c>
      <x:c r="J658" s="2" t="n">
        <x:f>COUNTIFS($A$6:$A$797,A658)</x:f>
        <x:v>1</x:v>
      </x:c>
    </x:row>
    <x:row r="659" ht="23" customHeight="1">
      <x:c r="A659" s="2" t="str">
        <x:v>62052000_MA_202506_IMPORT</x:v>
      </x:c>
      <x:c r="B659" s="2" t="n">
        <x:v>202506</x:v>
      </x:c>
      <x:c r="C659" s="2" t="str">
        <x:v>62052000</x:v>
      </x:c>
      <x:c r="D659" s="2" t="str">
        <x:v>Morocco</x:v>
      </x:c>
      <x:c r="E659" s="16" t="n">
        <x:v>166121</x:v>
      </x:c>
      <x:c r="F659" s="16" t="n">
        <x:v>3215</x:v>
      </x:c>
      <x:c r="G659" s="2" t="str">
        <x:v>WITHIN_BAND</x:v>
      </x:c>
      <x:c r="H659" s="2" t="n">
        <x:v>1</x:v>
      </x:c>
      <x:c r="I659" s="2" t="n">
        <x:f>IF(AND(COUNTIFS($B$6:$B$797,B659,$C$6:$C$797,C659)=11,COUNTIFS($B$6:$B$797,B659,$C$6:$C$797,C659,$G$6:$G$797,"REVIEW")=0,COUNTIFS($B$6:$B$797,B659,$C$6:$C$797,C659,$H$6:$H$797,1)=11,COUNTIFS($B$6:$B$797,B659,$C$6:$C$797,C659,$F$6:$F$797,"&gt;0")=11),1,0)</x:f>
        <x:v>1</x:v>
      </x:c>
      <x:c r="J659" s="2" t="n">
        <x:f>COUNTIFS($A$6:$A$797,A659)</x:f>
        <x:v>1</x:v>
      </x:c>
    </x:row>
    <x:row r="660" ht="23" customHeight="1">
      <x:c r="A660" s="2" t="str">
        <x:v>62052000_MM_202506_IMPORT</x:v>
      </x:c>
      <x:c r="B660" s="2" t="n">
        <x:v>202506</x:v>
      </x:c>
      <x:c r="C660" s="2" t="str">
        <x:v>62052000</x:v>
      </x:c>
      <x:c r="D660" s="2" t="str">
        <x:v>Myanmar</x:v>
      </x:c>
      <x:c r="E660" s="16" t="n">
        <x:v>74593</x:v>
      </x:c>
      <x:c r="F660" s="16" t="n">
        <x:v>6943</x:v>
      </x:c>
      <x:c r="G660" s="2" t="str">
        <x:v>WITHIN_BAND</x:v>
      </x:c>
      <x:c r="H660" s="2" t="n">
        <x:v>1</x:v>
      </x:c>
      <x:c r="I660" s="2" t="n">
        <x:f>IF(AND(COUNTIFS($B$6:$B$797,B660,$C$6:$C$797,C660)=11,COUNTIFS($B$6:$B$797,B660,$C$6:$C$797,C660,$G$6:$G$797,"REVIEW")=0,COUNTIFS($B$6:$B$797,B660,$C$6:$C$797,C660,$H$6:$H$797,1)=11,COUNTIFS($B$6:$B$797,B660,$C$6:$C$797,C660,$F$6:$F$797,"&gt;0")=11),1,0)</x:f>
        <x:v>1</x:v>
      </x:c>
      <x:c r="J660" s="2" t="n">
        <x:f>COUNTIFS($A$6:$A$797,A660)</x:f>
        <x:v>1</x:v>
      </x:c>
    </x:row>
    <x:row r="661" ht="23" customHeight="1">
      <x:c r="A661" s="2" t="str">
        <x:v>62052000_PK_202506_IMPORT</x:v>
      </x:c>
      <x:c r="B661" s="2" t="n">
        <x:v>202506</x:v>
      </x:c>
      <x:c r="C661" s="2" t="str">
        <x:v>62052000</x:v>
      </x:c>
      <x:c r="D661" s="2" t="str">
        <x:v>Pakistan</x:v>
      </x:c>
      <x:c r="E661" s="16" t="n">
        <x:v>39738</x:v>
      </x:c>
      <x:c r="F661" s="16" t="n">
        <x:v>3691</x:v>
      </x:c>
      <x:c r="G661" s="2" t="str">
        <x:v>WITHIN_BAND</x:v>
      </x:c>
      <x:c r="H661" s="2" t="n">
        <x:v>1</x:v>
      </x:c>
      <x:c r="I661" s="2" t="n">
        <x:f>IF(AND(COUNTIFS($B$6:$B$797,B661,$C$6:$C$797,C661)=11,COUNTIFS($B$6:$B$797,B661,$C$6:$C$797,C661,$G$6:$G$797,"REVIEW")=0,COUNTIFS($B$6:$B$797,B661,$C$6:$C$797,C661,$H$6:$H$797,1)=11,COUNTIFS($B$6:$B$797,B661,$C$6:$C$797,C661,$F$6:$F$797,"&gt;0")=11),1,0)</x:f>
        <x:v>1</x:v>
      </x:c>
      <x:c r="J661" s="2" t="n">
        <x:f>COUNTIFS($A$6:$A$797,A661)</x:f>
        <x:v>1</x:v>
      </x:c>
    </x:row>
    <x:row r="662" ht="23" customHeight="1">
      <x:c r="A662" s="2" t="str">
        <x:v>62052000_LK_202506_IMPORT</x:v>
      </x:c>
      <x:c r="B662" s="2" t="n">
        <x:v>202506</x:v>
      </x:c>
      <x:c r="C662" s="2" t="str">
        <x:v>62052000</x:v>
      </x:c>
      <x:c r="D662" s="2" t="str">
        <x:v>Sri Lanka</x:v>
      </x:c>
      <x:c r="E662" s="16" t="n">
        <x:v>489732</x:v>
      </x:c>
      <x:c r="F662" s="16" t="n">
        <x:v>16168</x:v>
      </x:c>
      <x:c r="G662" s="2" t="str">
        <x:v>WITHIN_BAND</x:v>
      </x:c>
      <x:c r="H662" s="2" t="n">
        <x:v>1</x:v>
      </x:c>
      <x:c r="I662" s="2" t="n">
        <x:f>IF(AND(COUNTIFS($B$6:$B$797,B662,$C$6:$C$797,C662)=11,COUNTIFS($B$6:$B$797,B662,$C$6:$C$797,C662,$G$6:$G$797,"REVIEW")=0,COUNTIFS($B$6:$B$797,B662,$C$6:$C$797,C662,$H$6:$H$797,1)=11,COUNTIFS($B$6:$B$797,B662,$C$6:$C$797,C662,$F$6:$F$797,"&gt;0")=11),1,0)</x:f>
        <x:v>1</x:v>
      </x:c>
      <x:c r="J662" s="2" t="n">
        <x:f>COUNTIFS($A$6:$A$797,A662)</x:f>
        <x:v>1</x:v>
      </x:c>
    </x:row>
    <x:row r="663" ht="23" customHeight="1">
      <x:c r="A663" s="2" t="str">
        <x:v>62052000_TR_202506_IMPORT</x:v>
      </x:c>
      <x:c r="B663" s="2" t="n">
        <x:v>202506</x:v>
      </x:c>
      <x:c r="C663" s="2" t="str">
        <x:v>62052000</x:v>
      </x:c>
      <x:c r="D663" s="2" t="str">
        <x:v>Turkey</x:v>
      </x:c>
      <x:c r="E663" s="16" t="n">
        <x:v>803813</x:v>
      </x:c>
      <x:c r="F663" s="16" t="n">
        <x:v>20868</x:v>
      </x:c>
      <x:c r="G663" s="2" t="str">
        <x:v>WITHIN_BAND</x:v>
      </x:c>
      <x:c r="H663" s="2" t="n">
        <x:v>1</x:v>
      </x:c>
      <x:c r="I663" s="2" t="n">
        <x:f>IF(AND(COUNTIFS($B$6:$B$797,B663,$C$6:$C$797,C663)=11,COUNTIFS($B$6:$B$797,B663,$C$6:$C$797,C663,$G$6:$G$797,"REVIEW")=0,COUNTIFS($B$6:$B$797,B663,$C$6:$C$797,C663,$H$6:$H$797,1)=11,COUNTIFS($B$6:$B$797,B663,$C$6:$C$797,C663,$F$6:$F$797,"&gt;0")=11),1,0)</x:f>
        <x:v>1</x:v>
      </x:c>
      <x:c r="J663" s="2" t="n">
        <x:f>COUNTIFS($A$6:$A$797,A663)</x:f>
        <x:v>1</x:v>
      </x:c>
    </x:row>
    <x:row r="664" ht="23" customHeight="1">
      <x:c r="A664" s="2" t="str">
        <x:v>62052000_VN_202506_IMPORT</x:v>
      </x:c>
      <x:c r="B664" s="2" t="n">
        <x:v>202506</x:v>
      </x:c>
      <x:c r="C664" s="2" t="str">
        <x:v>62052000</x:v>
      </x:c>
      <x:c r="D664" s="2" t="str">
        <x:v>Vietnam</x:v>
      </x:c>
      <x:c r="E664" s="16" t="n">
        <x:v>666333</x:v>
      </x:c>
      <x:c r="F664" s="16" t="n">
        <x:v>24265</x:v>
      </x:c>
      <x:c r="G664" s="2" t="str">
        <x:v>WITHIN_BAND</x:v>
      </x:c>
      <x:c r="H664" s="2" t="n">
        <x:v>1</x:v>
      </x:c>
      <x:c r="I664" s="2" t="n">
        <x:f>IF(AND(COUNTIFS($B$6:$B$797,B664,$C$6:$C$797,C664)=11,COUNTIFS($B$6:$B$797,B664,$C$6:$C$797,C664,$G$6:$G$797,"REVIEW")=0,COUNTIFS($B$6:$B$797,B664,$C$6:$C$797,C664,$H$6:$H$797,1)=11,COUNTIFS($B$6:$B$797,B664,$C$6:$C$797,C664,$F$6:$F$797,"&gt;0")=11),1,0)</x:f>
        <x:v>1</x:v>
      </x:c>
      <x:c r="J664" s="2" t="n">
        <x:f>COUNTIFS($A$6:$A$797,A664)</x:f>
        <x:v>1</x:v>
      </x:c>
    </x:row>
    <x:row r="665" ht="23" customHeight="1">
      <x:c r="A665" s="2" t="str">
        <x:v>62052000_WORLD_202506_IMPORT</x:v>
      </x:c>
      <x:c r="B665" s="2" t="n">
        <x:v>202506</x:v>
      </x:c>
      <x:c r="C665" s="2" t="str">
        <x:v>62052000</x:v>
      </x:c>
      <x:c r="D665" s="2" t="str">
        <x:v>World</x:v>
      </x:c>
      <x:c r="E665" s="16" t="n">
        <x:v>21406585</x:v>
      </x:c>
      <x:c r="F665" s="16" t="n">
        <x:v>821333</x:v>
      </x:c>
      <x:c r="G665" s="2" t="str">
        <x:v>WITHIN_BAND</x:v>
      </x:c>
      <x:c r="H665" s="2" t="n">
        <x:v>1</x:v>
      </x:c>
      <x:c r="I665" s="2" t="n">
        <x:f>IF(AND(COUNTIFS($B$6:$B$797,B665,$C$6:$C$797,C665)=11,COUNTIFS($B$6:$B$797,B665,$C$6:$C$797,C665,$G$6:$G$797,"REVIEW")=0,COUNTIFS($B$6:$B$797,B665,$C$6:$C$797,C665,$H$6:$H$797,1)=11,COUNTIFS($B$6:$B$797,B665,$C$6:$C$797,C665,$F$6:$F$797,"&gt;0")=11),1,0)</x:f>
        <x:v>1</x:v>
      </x:c>
      <x:c r="J665" s="2" t="n">
        <x:f>COUNTIFS($A$6:$A$797,A665)</x:f>
        <x:v>1</x:v>
      </x:c>
    </x:row>
    <x:row r="666" ht="23" customHeight="1">
      <x:c r="A666" s="2" t="str">
        <x:v>62052000_BD_202507_IMPORT</x:v>
      </x:c>
      <x:c r="B666" s="2" t="n">
        <x:v>202507</x:v>
      </x:c>
      <x:c r="C666" s="2" t="str">
        <x:v>62052000</x:v>
      </x:c>
      <x:c r="D666" s="2" t="str">
        <x:v>Bangladesh</x:v>
      </x:c>
      <x:c r="E666" s="16" t="n">
        <x:v>6720288</x:v>
      </x:c>
      <x:c r="F666" s="16" t="n">
        <x:v>386519</x:v>
      </x:c>
      <x:c r="G666" s="2" t="str">
        <x:v>WITHIN_BAND</x:v>
      </x:c>
      <x:c r="H666" s="2" t="n">
        <x:v>1</x:v>
      </x:c>
      <x:c r="I666" s="2" t="n">
        <x:f>IF(AND(COUNTIFS($B$6:$B$797,B666,$C$6:$C$797,C666)=11,COUNTIFS($B$6:$B$797,B666,$C$6:$C$797,C666,$G$6:$G$797,"REVIEW")=0,COUNTIFS($B$6:$B$797,B666,$C$6:$C$797,C666,$H$6:$H$797,1)=11,COUNTIFS($B$6:$B$797,B666,$C$6:$C$797,C666,$F$6:$F$797,"&gt;0")=11),1,0)</x:f>
        <x:v>1</x:v>
      </x:c>
      <x:c r="J666" s="2" t="n">
        <x:f>COUNTIFS($A$6:$A$797,A666)</x:f>
        <x:v>1</x:v>
      </x:c>
    </x:row>
    <x:row r="667" ht="23" customHeight="1">
      <x:c r="A667" s="2" t="str">
        <x:v>62052000_KH_202507_IMPORT</x:v>
      </x:c>
      <x:c r="B667" s="2" t="n">
        <x:v>202507</x:v>
      </x:c>
      <x:c r="C667" s="2" t="str">
        <x:v>62052000</x:v>
      </x:c>
      <x:c r="D667" s="2" t="str">
        <x:v>Cambodia</x:v>
      </x:c>
      <x:c r="E667" s="16" t="n">
        <x:v>1115255</x:v>
      </x:c>
      <x:c r="F667" s="16" t="n">
        <x:v>49672</x:v>
      </x:c>
      <x:c r="G667" s="2" t="str">
        <x:v>WITHIN_BAND</x:v>
      </x:c>
      <x:c r="H667" s="2" t="n">
        <x:v>1</x:v>
      </x:c>
      <x:c r="I667" s="2" t="n">
        <x:f>IF(AND(COUNTIFS($B$6:$B$797,B667,$C$6:$C$797,C667)=11,COUNTIFS($B$6:$B$797,B667,$C$6:$C$797,C667,$G$6:$G$797,"REVIEW")=0,COUNTIFS($B$6:$B$797,B667,$C$6:$C$797,C667,$H$6:$H$797,1)=11,COUNTIFS($B$6:$B$797,B667,$C$6:$C$797,C667,$F$6:$F$797,"&gt;0")=11),1,0)</x:f>
        <x:v>1</x:v>
      </x:c>
      <x:c r="J667" s="2" t="n">
        <x:f>COUNTIFS($A$6:$A$797,A667)</x:f>
        <x:v>1</x:v>
      </x:c>
    </x:row>
    <x:row r="668" ht="23" customHeight="1">
      <x:c r="A668" s="2" t="str">
        <x:v>62052000_CN_202507_IMPORT</x:v>
      </x:c>
      <x:c r="B668" s="2" t="n">
        <x:v>202507</x:v>
      </x:c>
      <x:c r="C668" s="2" t="str">
        <x:v>62052000</x:v>
      </x:c>
      <x:c r="D668" s="2" t="str">
        <x:v>China</x:v>
      </x:c>
      <x:c r="E668" s="16" t="n">
        <x:v>1285983</x:v>
      </x:c>
      <x:c r="F668" s="16" t="n">
        <x:v>61923</x:v>
      </x:c>
      <x:c r="G668" s="2" t="str">
        <x:v>WITHIN_BAND</x:v>
      </x:c>
      <x:c r="H668" s="2" t="n">
        <x:v>1</x:v>
      </x:c>
      <x:c r="I668" s="2" t="n">
        <x:f>IF(AND(COUNTIFS($B$6:$B$797,B668,$C$6:$C$797,C668)=11,COUNTIFS($B$6:$B$797,B668,$C$6:$C$797,C668,$G$6:$G$797,"REVIEW")=0,COUNTIFS($B$6:$B$797,B668,$C$6:$C$797,C668,$H$6:$H$797,1)=11,COUNTIFS($B$6:$B$797,B668,$C$6:$C$797,C668,$F$6:$F$797,"&gt;0")=11),1,0)</x:f>
        <x:v>1</x:v>
      </x:c>
      <x:c r="J668" s="2" t="n">
        <x:f>COUNTIFS($A$6:$A$797,A668)</x:f>
        <x:v>1</x:v>
      </x:c>
    </x:row>
    <x:row r="669" ht="23" customHeight="1">
      <x:c r="A669" s="2" t="str">
        <x:v>62052000_IN_202507_IMPORT</x:v>
      </x:c>
      <x:c r="B669" s="2" t="n">
        <x:v>202507</x:v>
      </x:c>
      <x:c r="C669" s="2" t="str">
        <x:v>62052000</x:v>
      </x:c>
      <x:c r="D669" s="2" t="str">
        <x:v>India</x:v>
      </x:c>
      <x:c r="E669" s="16" t="n">
        <x:v>2433614</x:v>
      </x:c>
      <x:c r="F669" s="16" t="n">
        <x:v>115572</x:v>
      </x:c>
      <x:c r="G669" s="2" t="str">
        <x:v>WITHIN_BAND</x:v>
      </x:c>
      <x:c r="H669" s="2" t="n">
        <x:v>1</x:v>
      </x:c>
      <x:c r="I669" s="2" t="n">
        <x:f>IF(AND(COUNTIFS($B$6:$B$797,B669,$C$6:$C$797,C669)=11,COUNTIFS($B$6:$B$797,B669,$C$6:$C$797,C669,$G$6:$G$797,"REVIEW")=0,COUNTIFS($B$6:$B$797,B669,$C$6:$C$797,C669,$H$6:$H$797,1)=11,COUNTIFS($B$6:$B$797,B669,$C$6:$C$797,C669,$F$6:$F$797,"&gt;0")=11),1,0)</x:f>
        <x:v>1</x:v>
      </x:c>
      <x:c r="J669" s="2" t="n">
        <x:f>COUNTIFS($A$6:$A$797,A669)</x:f>
        <x:v>1</x:v>
      </x:c>
    </x:row>
    <x:row r="670" ht="23" customHeight="1">
      <x:c r="A670" s="2" t="str">
        <x:v>62052000_MA_202507_IMPORT</x:v>
      </x:c>
      <x:c r="B670" s="2" t="n">
        <x:v>202507</x:v>
      </x:c>
      <x:c r="C670" s="2" t="str">
        <x:v>62052000</x:v>
      </x:c>
      <x:c r="D670" s="2" t="str">
        <x:v>Morocco</x:v>
      </x:c>
      <x:c r="E670" s="16" t="n">
        <x:v>192356</x:v>
      </x:c>
      <x:c r="F670" s="16" t="n">
        <x:v>4195</x:v>
      </x:c>
      <x:c r="G670" s="2" t="str">
        <x:v>WITHIN_BAND</x:v>
      </x:c>
      <x:c r="H670" s="2" t="n">
        <x:v>1</x:v>
      </x:c>
      <x:c r="I670" s="2" t="n">
        <x:f>IF(AND(COUNTIFS($B$6:$B$797,B670,$C$6:$C$797,C670)=11,COUNTIFS($B$6:$B$797,B670,$C$6:$C$797,C670,$G$6:$G$797,"REVIEW")=0,COUNTIFS($B$6:$B$797,B670,$C$6:$C$797,C670,$H$6:$H$797,1)=11,COUNTIFS($B$6:$B$797,B670,$C$6:$C$797,C670,$F$6:$F$797,"&gt;0")=11),1,0)</x:f>
        <x:v>1</x:v>
      </x:c>
      <x:c r="J670" s="2" t="n">
        <x:f>COUNTIFS($A$6:$A$797,A670)</x:f>
        <x:v>1</x:v>
      </x:c>
    </x:row>
    <x:row r="671" ht="23" customHeight="1">
      <x:c r="A671" s="2" t="str">
        <x:v>62052000_MM_202507_IMPORT</x:v>
      </x:c>
      <x:c r="B671" s="2" t="n">
        <x:v>202507</x:v>
      </x:c>
      <x:c r="C671" s="2" t="str">
        <x:v>62052000</x:v>
      </x:c>
      <x:c r="D671" s="2" t="str">
        <x:v>Myanmar</x:v>
      </x:c>
      <x:c r="E671" s="16" t="n">
        <x:v>34295</x:v>
      </x:c>
      <x:c r="F671" s="16" t="n">
        <x:v>2123</x:v>
      </x:c>
      <x:c r="G671" s="2" t="str">
        <x:v>WITHIN_BAND</x:v>
      </x:c>
      <x:c r="H671" s="2" t="n">
        <x:v>1</x:v>
      </x:c>
      <x:c r="I671" s="2" t="n">
        <x:f>IF(AND(COUNTIFS($B$6:$B$797,B671,$C$6:$C$797,C671)=11,COUNTIFS($B$6:$B$797,B671,$C$6:$C$797,C671,$G$6:$G$797,"REVIEW")=0,COUNTIFS($B$6:$B$797,B671,$C$6:$C$797,C671,$H$6:$H$797,1)=11,COUNTIFS($B$6:$B$797,B671,$C$6:$C$797,C671,$F$6:$F$797,"&gt;0")=11),1,0)</x:f>
        <x:v>1</x:v>
      </x:c>
      <x:c r="J671" s="2" t="n">
        <x:f>COUNTIFS($A$6:$A$797,A671)</x:f>
        <x:v>1</x:v>
      </x:c>
    </x:row>
    <x:row r="672" ht="23" customHeight="1">
      <x:c r="A672" s="2" t="str">
        <x:v>62052000_PK_202507_IMPORT</x:v>
      </x:c>
      <x:c r="B672" s="2" t="n">
        <x:v>202507</x:v>
      </x:c>
      <x:c r="C672" s="2" t="str">
        <x:v>62052000</x:v>
      </x:c>
      <x:c r="D672" s="2" t="str">
        <x:v>Pakistan</x:v>
      </x:c>
      <x:c r="E672" s="16" t="n">
        <x:v>43220</x:v>
      </x:c>
      <x:c r="F672" s="16" t="n">
        <x:v>2888</x:v>
      </x:c>
      <x:c r="G672" s="2" t="str">
        <x:v>WITHIN_BAND</x:v>
      </x:c>
      <x:c r="H672" s="2" t="n">
        <x:v>1</x:v>
      </x:c>
      <x:c r="I672" s="2" t="n">
        <x:f>IF(AND(COUNTIFS($B$6:$B$797,B672,$C$6:$C$797,C672)=11,COUNTIFS($B$6:$B$797,B672,$C$6:$C$797,C672,$G$6:$G$797,"REVIEW")=0,COUNTIFS($B$6:$B$797,B672,$C$6:$C$797,C672,$H$6:$H$797,1)=11,COUNTIFS($B$6:$B$797,B672,$C$6:$C$797,C672,$F$6:$F$797,"&gt;0")=11),1,0)</x:f>
        <x:v>1</x:v>
      </x:c>
      <x:c r="J672" s="2" t="n">
        <x:f>COUNTIFS($A$6:$A$797,A672)</x:f>
        <x:v>1</x:v>
      </x:c>
    </x:row>
    <x:row r="673" ht="23" customHeight="1">
      <x:c r="A673" s="2" t="str">
        <x:v>62052000_LK_202507_IMPORT</x:v>
      </x:c>
      <x:c r="B673" s="2" t="n">
        <x:v>202507</x:v>
      </x:c>
      <x:c r="C673" s="2" t="str">
        <x:v>62052000</x:v>
      </x:c>
      <x:c r="D673" s="2" t="str">
        <x:v>Sri Lanka</x:v>
      </x:c>
      <x:c r="E673" s="16" t="n">
        <x:v>362612</x:v>
      </x:c>
      <x:c r="F673" s="16" t="n">
        <x:v>12807</x:v>
      </x:c>
      <x:c r="G673" s="2" t="str">
        <x:v>WITHIN_BAND</x:v>
      </x:c>
      <x:c r="H673" s="2" t="n">
        <x:v>1</x:v>
      </x:c>
      <x:c r="I673" s="2" t="n">
        <x:f>IF(AND(COUNTIFS($B$6:$B$797,B673,$C$6:$C$797,C673)=11,COUNTIFS($B$6:$B$797,B673,$C$6:$C$797,C673,$G$6:$G$797,"REVIEW")=0,COUNTIFS($B$6:$B$797,B673,$C$6:$C$797,C673,$H$6:$H$797,1)=11,COUNTIFS($B$6:$B$797,B673,$C$6:$C$797,C673,$F$6:$F$797,"&gt;0")=11),1,0)</x:f>
        <x:v>1</x:v>
      </x:c>
      <x:c r="J673" s="2" t="n">
        <x:f>COUNTIFS($A$6:$A$797,A673)</x:f>
        <x:v>1</x:v>
      </x:c>
    </x:row>
    <x:row r="674" ht="23" customHeight="1">
      <x:c r="A674" s="2" t="str">
        <x:v>62052000_TR_202507_IMPORT</x:v>
      </x:c>
      <x:c r="B674" s="2" t="n">
        <x:v>202507</x:v>
      </x:c>
      <x:c r="C674" s="2" t="str">
        <x:v>62052000</x:v>
      </x:c>
      <x:c r="D674" s="2" t="str">
        <x:v>Turkey</x:v>
      </x:c>
      <x:c r="E674" s="16" t="n">
        <x:v>1430736</x:v>
      </x:c>
      <x:c r="F674" s="16" t="n">
        <x:v>38498</x:v>
      </x:c>
      <x:c r="G674" s="2" t="str">
        <x:v>WITHIN_BAND</x:v>
      </x:c>
      <x:c r="H674" s="2" t="n">
        <x:v>1</x:v>
      </x:c>
      <x:c r="I674" s="2" t="n">
        <x:f>IF(AND(COUNTIFS($B$6:$B$797,B674,$C$6:$C$797,C674)=11,COUNTIFS($B$6:$B$797,B674,$C$6:$C$797,C674,$G$6:$G$797,"REVIEW")=0,COUNTIFS($B$6:$B$797,B674,$C$6:$C$797,C674,$H$6:$H$797,1)=11,COUNTIFS($B$6:$B$797,B674,$C$6:$C$797,C674,$F$6:$F$797,"&gt;0")=11),1,0)</x:f>
        <x:v>1</x:v>
      </x:c>
      <x:c r="J674" s="2" t="n">
        <x:f>COUNTIFS($A$6:$A$797,A674)</x:f>
        <x:v>1</x:v>
      </x:c>
    </x:row>
    <x:row r="675" ht="23" customHeight="1">
      <x:c r="A675" s="2" t="str">
        <x:v>62052000_VN_202507_IMPORT</x:v>
      </x:c>
      <x:c r="B675" s="2" t="n">
        <x:v>202507</x:v>
      </x:c>
      <x:c r="C675" s="2" t="str">
        <x:v>62052000</x:v>
      </x:c>
      <x:c r="D675" s="2" t="str">
        <x:v>Vietnam</x:v>
      </x:c>
      <x:c r="E675" s="16" t="n">
        <x:v>1352190</x:v>
      </x:c>
      <x:c r="F675" s="16" t="n">
        <x:v>44969</x:v>
      </x:c>
      <x:c r="G675" s="2" t="str">
        <x:v>WITHIN_BAND</x:v>
      </x:c>
      <x:c r="H675" s="2" t="n">
        <x:v>1</x:v>
      </x:c>
      <x:c r="I675" s="2" t="n">
        <x:f>IF(AND(COUNTIFS($B$6:$B$797,B675,$C$6:$C$797,C675)=11,COUNTIFS($B$6:$B$797,B675,$C$6:$C$797,C675,$G$6:$G$797,"REVIEW")=0,COUNTIFS($B$6:$B$797,B675,$C$6:$C$797,C675,$H$6:$H$797,1)=11,COUNTIFS($B$6:$B$797,B675,$C$6:$C$797,C675,$F$6:$F$797,"&gt;0")=11),1,0)</x:f>
        <x:v>1</x:v>
      </x:c>
      <x:c r="J675" s="2" t="n">
        <x:f>COUNTIFS($A$6:$A$797,A675)</x:f>
        <x:v>1</x:v>
      </x:c>
    </x:row>
    <x:row r="676" ht="23" customHeight="1">
      <x:c r="A676" s="2" t="str">
        <x:v>62052000_WORLD_202507_IMPORT</x:v>
      </x:c>
      <x:c r="B676" s="2" t="n">
        <x:v>202507</x:v>
      </x:c>
      <x:c r="C676" s="2" t="str">
        <x:v>62052000</x:v>
      </x:c>
      <x:c r="D676" s="2" t="str">
        <x:v>World</x:v>
      </x:c>
      <x:c r="E676" s="16" t="n">
        <x:v>24228303</x:v>
      </x:c>
      <x:c r="F676" s="16" t="n">
        <x:v>907198</x:v>
      </x:c>
      <x:c r="G676" s="2" t="str">
        <x:v>WITHIN_BAND</x:v>
      </x:c>
      <x:c r="H676" s="2" t="n">
        <x:v>1</x:v>
      </x:c>
      <x:c r="I676" s="2" t="n">
        <x:f>IF(AND(COUNTIFS($B$6:$B$797,B676,$C$6:$C$797,C676)=11,COUNTIFS($B$6:$B$797,B676,$C$6:$C$797,C676,$G$6:$G$797,"REVIEW")=0,COUNTIFS($B$6:$B$797,B676,$C$6:$C$797,C676,$H$6:$H$797,1)=11,COUNTIFS($B$6:$B$797,B676,$C$6:$C$797,C676,$F$6:$F$797,"&gt;0")=11),1,0)</x:f>
        <x:v>1</x:v>
      </x:c>
      <x:c r="J676" s="2" t="n">
        <x:f>COUNTIFS($A$6:$A$797,A676)</x:f>
        <x:v>1</x:v>
      </x:c>
    </x:row>
    <x:row r="677" ht="23" customHeight="1">
      <x:c r="A677" s="2" t="str">
        <x:v>62052000_BD_202508_IMPORT</x:v>
      </x:c>
      <x:c r="B677" s="2" t="n">
        <x:v>202508</x:v>
      </x:c>
      <x:c r="C677" s="2" t="str">
        <x:v>62052000</x:v>
      </x:c>
      <x:c r="D677" s="2" t="str">
        <x:v>Bangladesh</x:v>
      </x:c>
      <x:c r="E677" s="16" t="n">
        <x:v>5352740</x:v>
      </x:c>
      <x:c r="F677" s="16" t="n">
        <x:v>339370</x:v>
      </x:c>
      <x:c r="G677" s="2" t="str">
        <x:v>WITHIN_BAND</x:v>
      </x:c>
      <x:c r="H677" s="2" t="n">
        <x:v>1</x:v>
      </x:c>
      <x:c r="I677" s="2" t="n">
        <x:f>IF(AND(COUNTIFS($B$6:$B$797,B677,$C$6:$C$797,C677)=11,COUNTIFS($B$6:$B$797,B677,$C$6:$C$797,C677,$G$6:$G$797,"REVIEW")=0,COUNTIFS($B$6:$B$797,B677,$C$6:$C$797,C677,$H$6:$H$797,1)=11,COUNTIFS($B$6:$B$797,B677,$C$6:$C$797,C677,$F$6:$F$797,"&gt;0")=11),1,0)</x:f>
        <x:v>1</x:v>
      </x:c>
      <x:c r="J677" s="2" t="n">
        <x:f>COUNTIFS($A$6:$A$797,A677)</x:f>
        <x:v>1</x:v>
      </x:c>
    </x:row>
    <x:row r="678" ht="23" customHeight="1">
      <x:c r="A678" s="2" t="str">
        <x:v>62052000_KH_202508_IMPORT</x:v>
      </x:c>
      <x:c r="B678" s="2" t="n">
        <x:v>202508</x:v>
      </x:c>
      <x:c r="C678" s="2" t="str">
        <x:v>62052000</x:v>
      </x:c>
      <x:c r="D678" s="2" t="str">
        <x:v>Cambodia</x:v>
      </x:c>
      <x:c r="E678" s="16" t="n">
        <x:v>2168996</x:v>
      </x:c>
      <x:c r="F678" s="16" t="n">
        <x:v>91313</x:v>
      </x:c>
      <x:c r="G678" s="2" t="str">
        <x:v>WITHIN_BAND</x:v>
      </x:c>
      <x:c r="H678" s="2" t="n">
        <x:v>1</x:v>
      </x:c>
      <x:c r="I678" s="2" t="n">
        <x:f>IF(AND(COUNTIFS($B$6:$B$797,B678,$C$6:$C$797,C678)=11,COUNTIFS($B$6:$B$797,B678,$C$6:$C$797,C678,$G$6:$G$797,"REVIEW")=0,COUNTIFS($B$6:$B$797,B678,$C$6:$C$797,C678,$H$6:$H$797,1)=11,COUNTIFS($B$6:$B$797,B678,$C$6:$C$797,C678,$F$6:$F$797,"&gt;0")=11),1,0)</x:f>
        <x:v>1</x:v>
      </x:c>
      <x:c r="J678" s="2" t="n">
        <x:f>COUNTIFS($A$6:$A$797,A678)</x:f>
        <x:v>1</x:v>
      </x:c>
    </x:row>
    <x:row r="679" ht="23" customHeight="1">
      <x:c r="A679" s="2" t="str">
        <x:v>62052000_CN_202508_IMPORT</x:v>
      </x:c>
      <x:c r="B679" s="2" t="n">
        <x:v>202508</x:v>
      </x:c>
      <x:c r="C679" s="2" t="str">
        <x:v>62052000</x:v>
      </x:c>
      <x:c r="D679" s="2" t="str">
        <x:v>China</x:v>
      </x:c>
      <x:c r="E679" s="16" t="n">
        <x:v>753200</x:v>
      </x:c>
      <x:c r="F679" s="16" t="n">
        <x:v>40747</x:v>
      </x:c>
      <x:c r="G679" s="2" t="str">
        <x:v>WITHIN_BAND</x:v>
      </x:c>
      <x:c r="H679" s="2" t="n">
        <x:v>1</x:v>
      </x:c>
      <x:c r="I679" s="2" t="n">
        <x:f>IF(AND(COUNTIFS($B$6:$B$797,B679,$C$6:$C$797,C679)=11,COUNTIFS($B$6:$B$797,B679,$C$6:$C$797,C679,$G$6:$G$797,"REVIEW")=0,COUNTIFS($B$6:$B$797,B679,$C$6:$C$797,C679,$H$6:$H$797,1)=11,COUNTIFS($B$6:$B$797,B679,$C$6:$C$797,C679,$F$6:$F$797,"&gt;0")=11),1,0)</x:f>
        <x:v>1</x:v>
      </x:c>
      <x:c r="J679" s="2" t="n">
        <x:f>COUNTIFS($A$6:$A$797,A679)</x:f>
        <x:v>1</x:v>
      </x:c>
    </x:row>
    <x:row r="680" ht="23" customHeight="1">
      <x:c r="A680" s="2" t="str">
        <x:v>62052000_IN_202508_IMPORT</x:v>
      </x:c>
      <x:c r="B680" s="2" t="n">
        <x:v>202508</x:v>
      </x:c>
      <x:c r="C680" s="2" t="str">
        <x:v>62052000</x:v>
      </x:c>
      <x:c r="D680" s="2" t="str">
        <x:v>India</x:v>
      </x:c>
      <x:c r="E680" s="16" t="n">
        <x:v>2271413</x:v>
      </x:c>
      <x:c r="F680" s="16" t="n">
        <x:v>124088</x:v>
      </x:c>
      <x:c r="G680" s="2" t="str">
        <x:v>WITHIN_BAND</x:v>
      </x:c>
      <x:c r="H680" s="2" t="n">
        <x:v>1</x:v>
      </x:c>
      <x:c r="I680" s="2" t="n">
        <x:f>IF(AND(COUNTIFS($B$6:$B$797,B680,$C$6:$C$797,C680)=11,COUNTIFS($B$6:$B$797,B680,$C$6:$C$797,C680,$G$6:$G$797,"REVIEW")=0,COUNTIFS($B$6:$B$797,B680,$C$6:$C$797,C680,$H$6:$H$797,1)=11,COUNTIFS($B$6:$B$797,B680,$C$6:$C$797,C680,$F$6:$F$797,"&gt;0")=11),1,0)</x:f>
        <x:v>1</x:v>
      </x:c>
      <x:c r="J680" s="2" t="n">
        <x:f>COUNTIFS($A$6:$A$797,A680)</x:f>
        <x:v>1</x:v>
      </x:c>
    </x:row>
    <x:row r="681" ht="23" customHeight="1">
      <x:c r="A681" s="2" t="str">
        <x:v>62052000_MA_202508_IMPORT</x:v>
      </x:c>
      <x:c r="B681" s="2" t="n">
        <x:v>202508</x:v>
      </x:c>
      <x:c r="C681" s="2" t="str">
        <x:v>62052000</x:v>
      </x:c>
      <x:c r="D681" s="2" t="str">
        <x:v>Morocco</x:v>
      </x:c>
      <x:c r="E681" s="16" t="n">
        <x:v>110851</x:v>
      </x:c>
      <x:c r="F681" s="16" t="n">
        <x:v>2996</x:v>
      </x:c>
      <x:c r="G681" s="2" t="str">
        <x:v>WITHIN_BAND</x:v>
      </x:c>
      <x:c r="H681" s="2" t="n">
        <x:v>1</x:v>
      </x:c>
      <x:c r="I681" s="2" t="n">
        <x:f>IF(AND(COUNTIFS($B$6:$B$797,B681,$C$6:$C$797,C681)=11,COUNTIFS($B$6:$B$797,B681,$C$6:$C$797,C681,$G$6:$G$797,"REVIEW")=0,COUNTIFS($B$6:$B$797,B681,$C$6:$C$797,C681,$H$6:$H$797,1)=11,COUNTIFS($B$6:$B$797,B681,$C$6:$C$797,C681,$F$6:$F$797,"&gt;0")=11),1,0)</x:f>
        <x:v>1</x:v>
      </x:c>
      <x:c r="J681" s="2" t="n">
        <x:f>COUNTIFS($A$6:$A$797,A681)</x:f>
        <x:v>1</x:v>
      </x:c>
    </x:row>
    <x:row r="682" ht="23" customHeight="1">
      <x:c r="A682" s="2" t="str">
        <x:v>62052000_MM_202508_IMPORT</x:v>
      </x:c>
      <x:c r="B682" s="2" t="n">
        <x:v>202508</x:v>
      </x:c>
      <x:c r="C682" s="2" t="str">
        <x:v>62052000</x:v>
      </x:c>
      <x:c r="D682" s="2" t="str">
        <x:v>Myanmar</x:v>
      </x:c>
      <x:c r="E682" s="16" t="n">
        <x:v>71047</x:v>
      </x:c>
      <x:c r="F682" s="16" t="n">
        <x:v>7597</x:v>
      </x:c>
      <x:c r="G682" s="2" t="str">
        <x:v>WITHIN_BAND</x:v>
      </x:c>
      <x:c r="H682" s="2" t="n">
        <x:v>1</x:v>
      </x:c>
      <x:c r="I682" s="2" t="n">
        <x:f>IF(AND(COUNTIFS($B$6:$B$797,B682,$C$6:$C$797,C682)=11,COUNTIFS($B$6:$B$797,B682,$C$6:$C$797,C682,$G$6:$G$797,"REVIEW")=0,COUNTIFS($B$6:$B$797,B682,$C$6:$C$797,C682,$H$6:$H$797,1)=11,COUNTIFS($B$6:$B$797,B682,$C$6:$C$797,C682,$F$6:$F$797,"&gt;0")=11),1,0)</x:f>
        <x:v>1</x:v>
      </x:c>
      <x:c r="J682" s="2" t="n">
        <x:f>COUNTIFS($A$6:$A$797,A682)</x:f>
        <x:v>1</x:v>
      </x:c>
    </x:row>
    <x:row r="683" ht="23" customHeight="1">
      <x:c r="A683" s="2" t="str">
        <x:v>62052000_PK_202508_IMPORT</x:v>
      </x:c>
      <x:c r="B683" s="2" t="n">
        <x:v>202508</x:v>
      </x:c>
      <x:c r="C683" s="2" t="str">
        <x:v>62052000</x:v>
      </x:c>
      <x:c r="D683" s="2" t="str">
        <x:v>Pakistan</x:v>
      </x:c>
      <x:c r="E683" s="16" t="n">
        <x:v>50782</x:v>
      </x:c>
      <x:c r="F683" s="16" t="n">
        <x:v>3957</x:v>
      </x:c>
      <x:c r="G683" s="2" t="str">
        <x:v>WITHIN_BAND</x:v>
      </x:c>
      <x:c r="H683" s="2" t="n">
        <x:v>1</x:v>
      </x:c>
      <x:c r="I683" s="2" t="n">
        <x:f>IF(AND(COUNTIFS($B$6:$B$797,B683,$C$6:$C$797,C683)=11,COUNTIFS($B$6:$B$797,B683,$C$6:$C$797,C683,$G$6:$G$797,"REVIEW")=0,COUNTIFS($B$6:$B$797,B683,$C$6:$C$797,C683,$H$6:$H$797,1)=11,COUNTIFS($B$6:$B$797,B683,$C$6:$C$797,C683,$F$6:$F$797,"&gt;0")=11),1,0)</x:f>
        <x:v>1</x:v>
      </x:c>
      <x:c r="J683" s="2" t="n">
        <x:f>COUNTIFS($A$6:$A$797,A683)</x:f>
        <x:v>1</x:v>
      </x:c>
    </x:row>
    <x:row r="684" ht="23" customHeight="1">
      <x:c r="A684" s="2" t="str">
        <x:v>62052000_LK_202508_IMPORT</x:v>
      </x:c>
      <x:c r="B684" s="2" t="n">
        <x:v>202508</x:v>
      </x:c>
      <x:c r="C684" s="2" t="str">
        <x:v>62052000</x:v>
      </x:c>
      <x:c r="D684" s="2" t="str">
        <x:v>Sri Lanka</x:v>
      </x:c>
      <x:c r="E684" s="16" t="n">
        <x:v>630651</x:v>
      </x:c>
      <x:c r="F684" s="16" t="n">
        <x:v>38745</x:v>
      </x:c>
      <x:c r="G684" s="2" t="str">
        <x:v>WITHIN_BAND</x:v>
      </x:c>
      <x:c r="H684" s="2" t="n">
        <x:v>1</x:v>
      </x:c>
      <x:c r="I684" s="2" t="n">
        <x:f>IF(AND(COUNTIFS($B$6:$B$797,B684,$C$6:$C$797,C684)=11,COUNTIFS($B$6:$B$797,B684,$C$6:$C$797,C684,$G$6:$G$797,"REVIEW")=0,COUNTIFS($B$6:$B$797,B684,$C$6:$C$797,C684,$H$6:$H$797,1)=11,COUNTIFS($B$6:$B$797,B684,$C$6:$C$797,C684,$F$6:$F$797,"&gt;0")=11),1,0)</x:f>
        <x:v>1</x:v>
      </x:c>
      <x:c r="J684" s="2" t="n">
        <x:f>COUNTIFS($A$6:$A$797,A684)</x:f>
        <x:v>1</x:v>
      </x:c>
    </x:row>
    <x:row r="685" ht="23" customHeight="1">
      <x:c r="A685" s="2" t="str">
        <x:v>62052000_TR_202508_IMPORT</x:v>
      </x:c>
      <x:c r="B685" s="2" t="n">
        <x:v>202508</x:v>
      </x:c>
      <x:c r="C685" s="2" t="str">
        <x:v>62052000</x:v>
      </x:c>
      <x:c r="D685" s="2" t="str">
        <x:v>Turkey</x:v>
      </x:c>
      <x:c r="E685" s="16" t="n">
        <x:v>1217465</x:v>
      </x:c>
      <x:c r="F685" s="16" t="n">
        <x:v>31159</x:v>
      </x:c>
      <x:c r="G685" s="2" t="str">
        <x:v>WITHIN_BAND</x:v>
      </x:c>
      <x:c r="H685" s="2" t="n">
        <x:v>1</x:v>
      </x:c>
      <x:c r="I685" s="2" t="n">
        <x:f>IF(AND(COUNTIFS($B$6:$B$797,B685,$C$6:$C$797,C685)=11,COUNTIFS($B$6:$B$797,B685,$C$6:$C$797,C685,$G$6:$G$797,"REVIEW")=0,COUNTIFS($B$6:$B$797,B685,$C$6:$C$797,C685,$H$6:$H$797,1)=11,COUNTIFS($B$6:$B$797,B685,$C$6:$C$797,C685,$F$6:$F$797,"&gt;0")=11),1,0)</x:f>
        <x:v>1</x:v>
      </x:c>
      <x:c r="J685" s="2" t="n">
        <x:f>COUNTIFS($A$6:$A$797,A685)</x:f>
        <x:v>1</x:v>
      </x:c>
    </x:row>
    <x:row r="686" ht="23" customHeight="1">
      <x:c r="A686" s="2" t="str">
        <x:v>62052000_VN_202508_IMPORT</x:v>
      </x:c>
      <x:c r="B686" s="2" t="n">
        <x:v>202508</x:v>
      </x:c>
      <x:c r="C686" s="2" t="str">
        <x:v>62052000</x:v>
      </x:c>
      <x:c r="D686" s="2" t="str">
        <x:v>Vietnam</x:v>
      </x:c>
      <x:c r="E686" s="16" t="n">
        <x:v>1127901</x:v>
      </x:c>
      <x:c r="F686" s="16" t="n">
        <x:v>38802</x:v>
      </x:c>
      <x:c r="G686" s="2" t="str">
        <x:v>WITHIN_BAND</x:v>
      </x:c>
      <x:c r="H686" s="2" t="n">
        <x:v>1</x:v>
      </x:c>
      <x:c r="I686" s="2" t="n">
        <x:f>IF(AND(COUNTIFS($B$6:$B$797,B686,$C$6:$C$797,C686)=11,COUNTIFS($B$6:$B$797,B686,$C$6:$C$797,C686,$G$6:$G$797,"REVIEW")=0,COUNTIFS($B$6:$B$797,B686,$C$6:$C$797,C686,$H$6:$H$797,1)=11,COUNTIFS($B$6:$B$797,B686,$C$6:$C$797,C686,$F$6:$F$797,"&gt;0")=11),1,0)</x:f>
        <x:v>1</x:v>
      </x:c>
      <x:c r="J686" s="2" t="n">
        <x:f>COUNTIFS($A$6:$A$797,A686)</x:f>
        <x:v>1</x:v>
      </x:c>
    </x:row>
    <x:row r="687" ht="23" customHeight="1">
      <x:c r="A687" s="2" t="str">
        <x:v>62052000_WORLD_202508_IMPORT</x:v>
      </x:c>
      <x:c r="B687" s="2" t="n">
        <x:v>202508</x:v>
      </x:c>
      <x:c r="C687" s="2" t="str">
        <x:v>62052000</x:v>
      </x:c>
      <x:c r="D687" s="2" t="str">
        <x:v>World</x:v>
      </x:c>
      <x:c r="E687" s="16" t="n">
        <x:v>21524330</x:v>
      </x:c>
      <x:c r="F687" s="16" t="n">
        <x:v>870734</x:v>
      </x:c>
      <x:c r="G687" s="2" t="str">
        <x:v>WITHIN_BAND</x:v>
      </x:c>
      <x:c r="H687" s="2" t="n">
        <x:v>1</x:v>
      </x:c>
      <x:c r="I687" s="2" t="n">
        <x:f>IF(AND(COUNTIFS($B$6:$B$797,B687,$C$6:$C$797,C687)=11,COUNTIFS($B$6:$B$797,B687,$C$6:$C$797,C687,$G$6:$G$797,"REVIEW")=0,COUNTIFS($B$6:$B$797,B687,$C$6:$C$797,C687,$H$6:$H$797,1)=11,COUNTIFS($B$6:$B$797,B687,$C$6:$C$797,C687,$F$6:$F$797,"&gt;0")=11),1,0)</x:f>
        <x:v>1</x:v>
      </x:c>
      <x:c r="J687" s="2" t="n">
        <x:f>COUNTIFS($A$6:$A$797,A687)</x:f>
        <x:v>1</x:v>
      </x:c>
    </x:row>
    <x:row r="688" ht="23" customHeight="1">
      <x:c r="A688" s="2" t="str">
        <x:v>62052000_BD_202509_IMPORT</x:v>
      </x:c>
      <x:c r="B688" s="2" t="n">
        <x:v>202509</x:v>
      </x:c>
      <x:c r="C688" s="2" t="str">
        <x:v>62052000</x:v>
      </x:c>
      <x:c r="D688" s="2" t="str">
        <x:v>Bangladesh</x:v>
      </x:c>
      <x:c r="E688" s="16" t="n">
        <x:v>7983866</x:v>
      </x:c>
      <x:c r="F688" s="16" t="n">
        <x:v>497313</x:v>
      </x:c>
      <x:c r="G688" s="2" t="str">
        <x:v>WITHIN_BAND</x:v>
      </x:c>
      <x:c r="H688" s="2" t="n">
        <x:v>1</x:v>
      </x:c>
      <x:c r="I688" s="2" t="n">
        <x:f>IF(AND(COUNTIFS($B$6:$B$797,B688,$C$6:$C$797,C688)=11,COUNTIFS($B$6:$B$797,B688,$C$6:$C$797,C688,$G$6:$G$797,"REVIEW")=0,COUNTIFS($B$6:$B$797,B688,$C$6:$C$797,C688,$H$6:$H$797,1)=11,COUNTIFS($B$6:$B$797,B688,$C$6:$C$797,C688,$F$6:$F$797,"&gt;0")=11),1,0)</x:f>
        <x:v>1</x:v>
      </x:c>
      <x:c r="J688" s="2" t="n">
        <x:f>COUNTIFS($A$6:$A$797,A688)</x:f>
        <x:v>1</x:v>
      </x:c>
    </x:row>
    <x:row r="689" ht="23" customHeight="1">
      <x:c r="A689" s="2" t="str">
        <x:v>62052000_KH_202509_IMPORT</x:v>
      </x:c>
      <x:c r="B689" s="2" t="n">
        <x:v>202509</x:v>
      </x:c>
      <x:c r="C689" s="2" t="str">
        <x:v>62052000</x:v>
      </x:c>
      <x:c r="D689" s="2" t="str">
        <x:v>Cambodia</x:v>
      </x:c>
      <x:c r="E689" s="16" t="n">
        <x:v>1565005</x:v>
      </x:c>
      <x:c r="F689" s="16" t="n">
        <x:v>81178</x:v>
      </x:c>
      <x:c r="G689" s="2" t="str">
        <x:v>WITHIN_BAND</x:v>
      </x:c>
      <x:c r="H689" s="2" t="n">
        <x:v>1</x:v>
      </x:c>
      <x:c r="I689" s="2" t="n">
        <x:f>IF(AND(COUNTIFS($B$6:$B$797,B689,$C$6:$C$797,C689)=11,COUNTIFS($B$6:$B$797,B689,$C$6:$C$797,C689,$G$6:$G$797,"REVIEW")=0,COUNTIFS($B$6:$B$797,B689,$C$6:$C$797,C689,$H$6:$H$797,1)=11,COUNTIFS($B$6:$B$797,B689,$C$6:$C$797,C689,$F$6:$F$797,"&gt;0")=11),1,0)</x:f>
        <x:v>1</x:v>
      </x:c>
      <x:c r="J689" s="2" t="n">
        <x:f>COUNTIFS($A$6:$A$797,A689)</x:f>
        <x:v>1</x:v>
      </x:c>
    </x:row>
    <x:row r="690" ht="23" customHeight="1">
      <x:c r="A690" s="2" t="str">
        <x:v>62052000_CN_202509_IMPORT</x:v>
      </x:c>
      <x:c r="B690" s="2" t="n">
        <x:v>202509</x:v>
      </x:c>
      <x:c r="C690" s="2" t="str">
        <x:v>62052000</x:v>
      </x:c>
      <x:c r="D690" s="2" t="str">
        <x:v>China</x:v>
      </x:c>
      <x:c r="E690" s="16" t="n">
        <x:v>1116666</x:v>
      </x:c>
      <x:c r="F690" s="16" t="n">
        <x:v>58399</x:v>
      </x:c>
      <x:c r="G690" s="2" t="str">
        <x:v>WITHIN_BAND</x:v>
      </x:c>
      <x:c r="H690" s="2" t="n">
        <x:v>1</x:v>
      </x:c>
      <x:c r="I690" s="2" t="n">
        <x:f>IF(AND(COUNTIFS($B$6:$B$797,B690,$C$6:$C$797,C690)=11,COUNTIFS($B$6:$B$797,B690,$C$6:$C$797,C690,$G$6:$G$797,"REVIEW")=0,COUNTIFS($B$6:$B$797,B690,$C$6:$C$797,C690,$H$6:$H$797,1)=11,COUNTIFS($B$6:$B$797,B690,$C$6:$C$797,C690,$F$6:$F$797,"&gt;0")=11),1,0)</x:f>
        <x:v>1</x:v>
      </x:c>
      <x:c r="J690" s="2" t="n">
        <x:f>COUNTIFS($A$6:$A$797,A690)</x:f>
        <x:v>1</x:v>
      </x:c>
    </x:row>
    <x:row r="691" ht="23" customHeight="1">
      <x:c r="A691" s="2" t="str">
        <x:v>62052000_IN_202509_IMPORT</x:v>
      </x:c>
      <x:c r="B691" s="2" t="n">
        <x:v>202509</x:v>
      </x:c>
      <x:c r="C691" s="2" t="str">
        <x:v>62052000</x:v>
      </x:c>
      <x:c r="D691" s="2" t="str">
        <x:v>India</x:v>
      </x:c>
      <x:c r="E691" s="16" t="n">
        <x:v>2708941</x:v>
      </x:c>
      <x:c r="F691" s="16" t="n">
        <x:v>150288</x:v>
      </x:c>
      <x:c r="G691" s="2" t="str">
        <x:v>WITHIN_BAND</x:v>
      </x:c>
      <x:c r="H691" s="2" t="n">
        <x:v>1</x:v>
      </x:c>
      <x:c r="I691" s="2" t="n">
        <x:f>IF(AND(COUNTIFS($B$6:$B$797,B691,$C$6:$C$797,C691)=11,COUNTIFS($B$6:$B$797,B691,$C$6:$C$797,C691,$G$6:$G$797,"REVIEW")=0,COUNTIFS($B$6:$B$797,B691,$C$6:$C$797,C691,$H$6:$H$797,1)=11,COUNTIFS($B$6:$B$797,B691,$C$6:$C$797,C691,$F$6:$F$797,"&gt;0")=11),1,0)</x:f>
        <x:v>1</x:v>
      </x:c>
      <x:c r="J691" s="2" t="n">
        <x:f>COUNTIFS($A$6:$A$797,A691)</x:f>
        <x:v>1</x:v>
      </x:c>
    </x:row>
    <x:row r="692" ht="23" customHeight="1">
      <x:c r="A692" s="2" t="str">
        <x:v>62052000_MA_202509_IMPORT</x:v>
      </x:c>
      <x:c r="B692" s="2" t="n">
        <x:v>202509</x:v>
      </x:c>
      <x:c r="C692" s="2" t="str">
        <x:v>62052000</x:v>
      </x:c>
      <x:c r="D692" s="2" t="str">
        <x:v>Morocco</x:v>
      </x:c>
      <x:c r="E692" s="16" t="n">
        <x:v>69824</x:v>
      </x:c>
      <x:c r="F692" s="16" t="n">
        <x:v>1931</x:v>
      </x:c>
      <x:c r="G692" s="2" t="str">
        <x:v>WITHIN_BAND</x:v>
      </x:c>
      <x:c r="H692" s="2" t="n">
        <x:v>1</x:v>
      </x:c>
      <x:c r="I692" s="2" t="n">
        <x:f>IF(AND(COUNTIFS($B$6:$B$797,B692,$C$6:$C$797,C692)=11,COUNTIFS($B$6:$B$797,B692,$C$6:$C$797,C692,$G$6:$G$797,"REVIEW")=0,COUNTIFS($B$6:$B$797,B692,$C$6:$C$797,C692,$H$6:$H$797,1)=11,COUNTIFS($B$6:$B$797,B692,$C$6:$C$797,C692,$F$6:$F$797,"&gt;0")=11),1,0)</x:f>
        <x:v>1</x:v>
      </x:c>
      <x:c r="J692" s="2" t="n">
        <x:f>COUNTIFS($A$6:$A$797,A692)</x:f>
        <x:v>1</x:v>
      </x:c>
    </x:row>
    <x:row r="693" ht="23" customHeight="1">
      <x:c r="A693" s="2" t="str">
        <x:v>62052000_MM_202509_IMPORT</x:v>
      </x:c>
      <x:c r="B693" s="2" t="n">
        <x:v>202509</x:v>
      </x:c>
      <x:c r="C693" s="2" t="str">
        <x:v>62052000</x:v>
      </x:c>
      <x:c r="D693" s="2" t="str">
        <x:v>Myanmar</x:v>
      </x:c>
      <x:c r="E693" s="16" t="n">
        <x:v>57312</x:v>
      </x:c>
      <x:c r="F693" s="16" t="n">
        <x:v>3899</x:v>
      </x:c>
      <x:c r="G693" s="2" t="str">
        <x:v>WITHIN_BAND</x:v>
      </x:c>
      <x:c r="H693" s="2" t="n">
        <x:v>1</x:v>
      </x:c>
      <x:c r="I693" s="2" t="n">
        <x:f>IF(AND(COUNTIFS($B$6:$B$797,B693,$C$6:$C$797,C693)=11,COUNTIFS($B$6:$B$797,B693,$C$6:$C$797,C693,$G$6:$G$797,"REVIEW")=0,COUNTIFS($B$6:$B$797,B693,$C$6:$C$797,C693,$H$6:$H$797,1)=11,COUNTIFS($B$6:$B$797,B693,$C$6:$C$797,C693,$F$6:$F$797,"&gt;0")=11),1,0)</x:f>
        <x:v>1</x:v>
      </x:c>
      <x:c r="J693" s="2" t="n">
        <x:f>COUNTIFS($A$6:$A$797,A693)</x:f>
        <x:v>1</x:v>
      </x:c>
    </x:row>
    <x:row r="694" ht="23" customHeight="1">
      <x:c r="A694" s="2" t="str">
        <x:v>62052000_PK_202509_IMPORT</x:v>
      </x:c>
      <x:c r="B694" s="2" t="n">
        <x:v>202509</x:v>
      </x:c>
      <x:c r="C694" s="2" t="str">
        <x:v>62052000</x:v>
      </x:c>
      <x:c r="D694" s="2" t="str">
        <x:v>Pakistan</x:v>
      </x:c>
      <x:c r="E694" s="16" t="n">
        <x:v>62224</x:v>
      </x:c>
      <x:c r="F694" s="16" t="n">
        <x:v>5212</x:v>
      </x:c>
      <x:c r="G694" s="2" t="str">
        <x:v>WITHIN_BAND</x:v>
      </x:c>
      <x:c r="H694" s="2" t="n">
        <x:v>1</x:v>
      </x:c>
      <x:c r="I694" s="2" t="n">
        <x:f>IF(AND(COUNTIFS($B$6:$B$797,B694,$C$6:$C$797,C694)=11,COUNTIFS($B$6:$B$797,B694,$C$6:$C$797,C694,$G$6:$G$797,"REVIEW")=0,COUNTIFS($B$6:$B$797,B694,$C$6:$C$797,C694,$H$6:$H$797,1)=11,COUNTIFS($B$6:$B$797,B694,$C$6:$C$797,C694,$F$6:$F$797,"&gt;0")=11),1,0)</x:f>
        <x:v>1</x:v>
      </x:c>
      <x:c r="J694" s="2" t="n">
        <x:f>COUNTIFS($A$6:$A$797,A694)</x:f>
        <x:v>1</x:v>
      </x:c>
    </x:row>
    <x:row r="695" ht="23" customHeight="1">
      <x:c r="A695" s="2" t="str">
        <x:v>62052000_LK_202509_IMPORT</x:v>
      </x:c>
      <x:c r="B695" s="2" t="n">
        <x:v>202509</x:v>
      </x:c>
      <x:c r="C695" s="2" t="str">
        <x:v>62052000</x:v>
      </x:c>
      <x:c r="D695" s="2" t="str">
        <x:v>Sri Lanka</x:v>
      </x:c>
      <x:c r="E695" s="16" t="n">
        <x:v>201372</x:v>
      </x:c>
      <x:c r="F695" s="16" t="n">
        <x:v>10412</x:v>
      </x:c>
      <x:c r="G695" s="2" t="str">
        <x:v>WITHIN_BAND</x:v>
      </x:c>
      <x:c r="H695" s="2" t="n">
        <x:v>1</x:v>
      </x:c>
      <x:c r="I695" s="2" t="n">
        <x:f>IF(AND(COUNTIFS($B$6:$B$797,B695,$C$6:$C$797,C695)=11,COUNTIFS($B$6:$B$797,B695,$C$6:$C$797,C695,$G$6:$G$797,"REVIEW")=0,COUNTIFS($B$6:$B$797,B695,$C$6:$C$797,C695,$H$6:$H$797,1)=11,COUNTIFS($B$6:$B$797,B695,$C$6:$C$797,C695,$F$6:$F$797,"&gt;0")=11),1,0)</x:f>
        <x:v>1</x:v>
      </x:c>
      <x:c r="J695" s="2" t="n">
        <x:f>COUNTIFS($A$6:$A$797,A695)</x:f>
        <x:v>1</x:v>
      </x:c>
    </x:row>
    <x:row r="696" ht="23" customHeight="1">
      <x:c r="A696" s="2" t="str">
        <x:v>62052000_TR_202509_IMPORT</x:v>
      </x:c>
      <x:c r="B696" s="2" t="n">
        <x:v>202509</x:v>
      </x:c>
      <x:c r="C696" s="2" t="str">
        <x:v>62052000</x:v>
      </x:c>
      <x:c r="D696" s="2" t="str">
        <x:v>Turkey</x:v>
      </x:c>
      <x:c r="E696" s="16" t="n">
        <x:v>1040945</x:v>
      </x:c>
      <x:c r="F696" s="16" t="n">
        <x:v>28815</x:v>
      </x:c>
      <x:c r="G696" s="2" t="str">
        <x:v>WITHIN_BAND</x:v>
      </x:c>
      <x:c r="H696" s="2" t="n">
        <x:v>1</x:v>
      </x:c>
      <x:c r="I696" s="2" t="n">
        <x:f>IF(AND(COUNTIFS($B$6:$B$797,B696,$C$6:$C$797,C696)=11,COUNTIFS($B$6:$B$797,B696,$C$6:$C$797,C696,$G$6:$G$797,"REVIEW")=0,COUNTIFS($B$6:$B$797,B696,$C$6:$C$797,C696,$H$6:$H$797,1)=11,COUNTIFS($B$6:$B$797,B696,$C$6:$C$797,C696,$F$6:$F$797,"&gt;0")=11),1,0)</x:f>
        <x:v>1</x:v>
      </x:c>
      <x:c r="J696" s="2" t="n">
        <x:f>COUNTIFS($A$6:$A$797,A696)</x:f>
        <x:v>1</x:v>
      </x:c>
    </x:row>
    <x:row r="697" ht="23" customHeight="1">
      <x:c r="A697" s="2" t="str">
        <x:v>62052000_VN_202509_IMPORT</x:v>
      </x:c>
      <x:c r="B697" s="2" t="n">
        <x:v>202509</x:v>
      </x:c>
      <x:c r="C697" s="2" t="str">
        <x:v>62052000</x:v>
      </x:c>
      <x:c r="D697" s="2" t="str">
        <x:v>Vietnam</x:v>
      </x:c>
      <x:c r="E697" s="16" t="n">
        <x:v>1609534</x:v>
      </x:c>
      <x:c r="F697" s="16" t="n">
        <x:v>56922</x:v>
      </x:c>
      <x:c r="G697" s="2" t="str">
        <x:v>WITHIN_BAND</x:v>
      </x:c>
      <x:c r="H697" s="2" t="n">
        <x:v>1</x:v>
      </x:c>
      <x:c r="I697" s="2" t="n">
        <x:f>IF(AND(COUNTIFS($B$6:$B$797,B697,$C$6:$C$797,C697)=11,COUNTIFS($B$6:$B$797,B697,$C$6:$C$797,C697,$G$6:$G$797,"REVIEW")=0,COUNTIFS($B$6:$B$797,B697,$C$6:$C$797,C697,$H$6:$H$797,1)=11,COUNTIFS($B$6:$B$797,B697,$C$6:$C$797,C697,$F$6:$F$797,"&gt;0")=11),1,0)</x:f>
        <x:v>1</x:v>
      </x:c>
      <x:c r="J697" s="2" t="n">
        <x:f>COUNTIFS($A$6:$A$797,A697)</x:f>
        <x:v>1</x:v>
      </x:c>
    </x:row>
    <x:row r="698" ht="23" customHeight="1">
      <x:c r="A698" s="2" t="str">
        <x:v>62052000_WORLD_202509_IMPORT</x:v>
      </x:c>
      <x:c r="B698" s="2" t="n">
        <x:v>202509</x:v>
      </x:c>
      <x:c r="C698" s="2" t="str">
        <x:v>62052000</x:v>
      </x:c>
      <x:c r="D698" s="2" t="str">
        <x:v>World</x:v>
      </x:c>
      <x:c r="E698" s="16" t="n">
        <x:v>24047530</x:v>
      </x:c>
      <x:c r="F698" s="16" t="n">
        <x:v>1046448</x:v>
      </x:c>
      <x:c r="G698" s="2" t="str">
        <x:v>WITHIN_BAND</x:v>
      </x:c>
      <x:c r="H698" s="2" t="n">
        <x:v>1</x:v>
      </x:c>
      <x:c r="I698" s="2" t="n">
        <x:f>IF(AND(COUNTIFS($B$6:$B$797,B698,$C$6:$C$797,C698)=11,COUNTIFS($B$6:$B$797,B698,$C$6:$C$797,C698,$G$6:$G$797,"REVIEW")=0,COUNTIFS($B$6:$B$797,B698,$C$6:$C$797,C698,$H$6:$H$797,1)=11,COUNTIFS($B$6:$B$797,B698,$C$6:$C$797,C698,$F$6:$F$797,"&gt;0")=11),1,0)</x:f>
        <x:v>1</x:v>
      </x:c>
      <x:c r="J698" s="2" t="n">
        <x:f>COUNTIFS($A$6:$A$797,A698)</x:f>
        <x:v>1</x:v>
      </x:c>
    </x:row>
    <x:row r="699" ht="23" customHeight="1">
      <x:c r="A699" s="2" t="str">
        <x:v>62052000_BD_202510_IMPORT</x:v>
      </x:c>
      <x:c r="B699" s="2" t="n">
        <x:v>202510</x:v>
      </x:c>
      <x:c r="C699" s="2" t="str">
        <x:v>62052000</x:v>
      </x:c>
      <x:c r="D699" s="2" t="str">
        <x:v>Bangladesh</x:v>
      </x:c>
      <x:c r="E699" s="16" t="n">
        <x:v>8708228</x:v>
      </x:c>
      <x:c r="F699" s="16" t="n">
        <x:v>524177</x:v>
      </x:c>
      <x:c r="G699" s="2" t="str">
        <x:v>WITHIN_BAND</x:v>
      </x:c>
      <x:c r="H699" s="2" t="n">
        <x:v>1</x:v>
      </x:c>
      <x:c r="I699" s="2" t="n">
        <x:f>IF(AND(COUNTIFS($B$6:$B$797,B699,$C$6:$C$797,C699)=11,COUNTIFS($B$6:$B$797,B699,$C$6:$C$797,C699,$G$6:$G$797,"REVIEW")=0,COUNTIFS($B$6:$B$797,B699,$C$6:$C$797,C699,$H$6:$H$797,1)=11,COUNTIFS($B$6:$B$797,B699,$C$6:$C$797,C699,$F$6:$F$797,"&gt;0")=11),1,0)</x:f>
        <x:v>0</x:v>
      </x:c>
      <x:c r="J699" s="2" t="n">
        <x:f>COUNTIFS($A$6:$A$797,A699)</x:f>
        <x:v>1</x:v>
      </x:c>
    </x:row>
    <x:row r="700" ht="23" customHeight="1">
      <x:c r="A700" s="2" t="str">
        <x:v>62052000_KH_202510_IMPORT</x:v>
      </x:c>
      <x:c r="B700" s="2" t="n">
        <x:v>202510</x:v>
      </x:c>
      <x:c r="C700" s="2" t="str">
        <x:v>62052000</x:v>
      </x:c>
      <x:c r="D700" s="2" t="str">
        <x:v>Cambodia</x:v>
      </x:c>
      <x:c r="E700" s="16" t="n">
        <x:v>1817166</x:v>
      </x:c>
      <x:c r="F700" s="16" t="n">
        <x:v>85507</x:v>
      </x:c>
      <x:c r="G700" s="2" t="str">
        <x:v>WITHIN_BAND</x:v>
      </x:c>
      <x:c r="H700" s="2" t="n">
        <x:v>1</x:v>
      </x:c>
      <x:c r="I700" s="2" t="n">
        <x:f>IF(AND(COUNTIFS($B$6:$B$797,B700,$C$6:$C$797,C700)=11,COUNTIFS($B$6:$B$797,B700,$C$6:$C$797,C700,$G$6:$G$797,"REVIEW")=0,COUNTIFS($B$6:$B$797,B700,$C$6:$C$797,C700,$H$6:$H$797,1)=11,COUNTIFS($B$6:$B$797,B700,$C$6:$C$797,C700,$F$6:$F$797,"&gt;0")=11),1,0)</x:f>
        <x:v>0</x:v>
      </x:c>
      <x:c r="J700" s="2" t="n">
        <x:f>COUNTIFS($A$6:$A$797,A700)</x:f>
        <x:v>1</x:v>
      </x:c>
    </x:row>
    <x:row r="701" ht="23" customHeight="1">
      <x:c r="A701" s="2" t="str">
        <x:v>62052000_CN_202510_IMPORT</x:v>
      </x:c>
      <x:c r="B701" s="2" t="n">
        <x:v>202510</x:v>
      </x:c>
      <x:c r="C701" s="2" t="str">
        <x:v>62052000</x:v>
      </x:c>
      <x:c r="D701" s="2" t="str">
        <x:v>China</x:v>
      </x:c>
      <x:c r="E701" s="16" t="n">
        <x:v>879271</x:v>
      </x:c>
      <x:c r="F701" s="16" t="n">
        <x:v>47899</x:v>
      </x:c>
      <x:c r="G701" s="2" t="str">
        <x:v>WITHIN_BAND</x:v>
      </x:c>
      <x:c r="H701" s="2" t="n">
        <x:v>1</x:v>
      </x:c>
      <x:c r="I701" s="2" t="n">
        <x:f>IF(AND(COUNTIFS($B$6:$B$797,B701,$C$6:$C$797,C701)=11,COUNTIFS($B$6:$B$797,B701,$C$6:$C$797,C701,$G$6:$G$797,"REVIEW")=0,COUNTIFS($B$6:$B$797,B701,$C$6:$C$797,C701,$H$6:$H$797,1)=11,COUNTIFS($B$6:$B$797,B701,$C$6:$C$797,C701,$F$6:$F$797,"&gt;0")=11),1,0)</x:f>
        <x:v>0</x:v>
      </x:c>
      <x:c r="J701" s="2" t="n">
        <x:f>COUNTIFS($A$6:$A$797,A701)</x:f>
        <x:v>1</x:v>
      </x:c>
    </x:row>
    <x:row r="702" ht="23" customHeight="1">
      <x:c r="A702" s="2" t="str">
        <x:v>62052000_IN_202510_IMPORT</x:v>
      </x:c>
      <x:c r="B702" s="2" t="n">
        <x:v>202510</x:v>
      </x:c>
      <x:c r="C702" s="2" t="str">
        <x:v>62052000</x:v>
      </x:c>
      <x:c r="D702" s="2" t="str">
        <x:v>India</x:v>
      </x:c>
      <x:c r="E702" s="16" t="n">
        <x:v>2100150</x:v>
      </x:c>
      <x:c r="F702" s="16" t="n">
        <x:v>104693</x:v>
      </x:c>
      <x:c r="G702" s="2" t="str">
        <x:v>WITHIN_BAND</x:v>
      </x:c>
      <x:c r="H702" s="2" t="n">
        <x:v>1</x:v>
      </x:c>
      <x:c r="I702" s="2" t="n">
        <x:f>IF(AND(COUNTIFS($B$6:$B$797,B702,$C$6:$C$797,C702)=11,COUNTIFS($B$6:$B$797,B702,$C$6:$C$797,C702,$G$6:$G$797,"REVIEW")=0,COUNTIFS($B$6:$B$797,B702,$C$6:$C$797,C702,$H$6:$H$797,1)=11,COUNTIFS($B$6:$B$797,B702,$C$6:$C$797,C702,$F$6:$F$797,"&gt;0")=11),1,0)</x:f>
        <x:v>0</x:v>
      </x:c>
      <x:c r="J702" s="2" t="n">
        <x:f>COUNTIFS($A$6:$A$797,A702)</x:f>
        <x:v>1</x:v>
      </x:c>
    </x:row>
    <x:row r="703" ht="23" customHeight="1">
      <x:c r="A703" s="2" t="str">
        <x:v>62052000_MA_202510_IMPORT</x:v>
      </x:c>
      <x:c r="B703" s="2" t="n">
        <x:v>202510</x:v>
      </x:c>
      <x:c r="C703" s="2" t="str">
        <x:v>62052000</x:v>
      </x:c>
      <x:c r="D703" s="2" t="str">
        <x:v>Morocco</x:v>
      </x:c>
      <x:c r="E703" s="16" t="n">
        <x:v>57135</x:v>
      </x:c>
      <x:c r="F703" s="16" t="n">
        <x:v>1309</x:v>
      </x:c>
      <x:c r="G703" s="2" t="str">
        <x:v>WITHIN_BAND</x:v>
      </x:c>
      <x:c r="H703" s="2" t="n">
        <x:v>1</x:v>
      </x:c>
      <x:c r="I703" s="2" t="n">
        <x:f>IF(AND(COUNTIFS($B$6:$B$797,B703,$C$6:$C$797,C703)=11,COUNTIFS($B$6:$B$797,B703,$C$6:$C$797,C703,$G$6:$G$797,"REVIEW")=0,COUNTIFS($B$6:$B$797,B703,$C$6:$C$797,C703,$H$6:$H$797,1)=11,COUNTIFS($B$6:$B$797,B703,$C$6:$C$797,C703,$F$6:$F$797,"&gt;0")=11),1,0)</x:f>
        <x:v>0</x:v>
      </x:c>
      <x:c r="J703" s="2" t="n">
        <x:f>COUNTIFS($A$6:$A$797,A703)</x:f>
        <x:v>1</x:v>
      </x:c>
    </x:row>
    <x:row r="704" ht="23" customHeight="1">
      <x:c r="A704" s="2" t="str">
        <x:v>62052000_MM_202510_IMPORT</x:v>
      </x:c>
      <x:c r="B704" s="2" t="n">
        <x:v>202510</x:v>
      </x:c>
      <x:c r="C704" s="2" t="str">
        <x:v>62052000</x:v>
      </x:c>
      <x:c r="D704" s="2" t="str">
        <x:v>Myanmar</x:v>
      </x:c>
      <x:c r="E704" s="16" t="n">
        <x:v>30762</x:v>
      </x:c>
      <x:c r="F704" s="16" t="n">
        <x:v>3608</x:v>
      </x:c>
      <x:c r="G704" s="2" t="str">
        <x:v>REVIEW</x:v>
      </x:c>
      <x:c r="H704" s="2" t="n">
        <x:v>1</x:v>
      </x:c>
      <x:c r="I704" s="2" t="n">
        <x:f>IF(AND(COUNTIFS($B$6:$B$797,B704,$C$6:$C$797,C704)=11,COUNTIFS($B$6:$B$797,B704,$C$6:$C$797,C704,$G$6:$G$797,"REVIEW")=0,COUNTIFS($B$6:$B$797,B704,$C$6:$C$797,C704,$H$6:$H$797,1)=11,COUNTIFS($B$6:$B$797,B704,$C$6:$C$797,C704,$F$6:$F$797,"&gt;0")=11),1,0)</x:f>
        <x:v>0</x:v>
      </x:c>
      <x:c r="J704" s="2" t="n">
        <x:f>COUNTIFS($A$6:$A$797,A704)</x:f>
        <x:v>1</x:v>
      </x:c>
    </x:row>
    <x:row r="705" ht="23" customHeight="1">
      <x:c r="A705" s="2" t="str">
        <x:v>62052000_PK_202510_IMPORT</x:v>
      </x:c>
      <x:c r="B705" s="2" t="n">
        <x:v>202510</x:v>
      </x:c>
      <x:c r="C705" s="2" t="str">
        <x:v>62052000</x:v>
      </x:c>
      <x:c r="D705" s="2" t="str">
        <x:v>Pakistan</x:v>
      </x:c>
      <x:c r="E705" s="16" t="n">
        <x:v>86693</x:v>
      </x:c>
      <x:c r="F705" s="16" t="n">
        <x:v>5748</x:v>
      </x:c>
      <x:c r="G705" s="2" t="str">
        <x:v>WITHIN_BAND</x:v>
      </x:c>
      <x:c r="H705" s="2" t="n">
        <x:v>1</x:v>
      </x:c>
      <x:c r="I705" s="2" t="n">
        <x:f>IF(AND(COUNTIFS($B$6:$B$797,B705,$C$6:$C$797,C705)=11,COUNTIFS($B$6:$B$797,B705,$C$6:$C$797,C705,$G$6:$G$797,"REVIEW")=0,COUNTIFS($B$6:$B$797,B705,$C$6:$C$797,C705,$H$6:$H$797,1)=11,COUNTIFS($B$6:$B$797,B705,$C$6:$C$797,C705,$F$6:$F$797,"&gt;0")=11),1,0)</x:f>
        <x:v>0</x:v>
      </x:c>
      <x:c r="J705" s="2" t="n">
        <x:f>COUNTIFS($A$6:$A$797,A705)</x:f>
        <x:v>1</x:v>
      </x:c>
    </x:row>
    <x:row r="706" ht="23" customHeight="1">
      <x:c r="A706" s="2" t="str">
        <x:v>62052000_LK_202510_IMPORT</x:v>
      </x:c>
      <x:c r="B706" s="2" t="n">
        <x:v>202510</x:v>
      </x:c>
      <x:c r="C706" s="2" t="str">
        <x:v>62052000</x:v>
      </x:c>
      <x:c r="D706" s="2" t="str">
        <x:v>Sri Lanka</x:v>
      </x:c>
      <x:c r="E706" s="16" t="n">
        <x:v>441736</x:v>
      </x:c>
      <x:c r="F706" s="16" t="n">
        <x:v>25775</x:v>
      </x:c>
      <x:c r="G706" s="2" t="str">
        <x:v>WITHIN_BAND</x:v>
      </x:c>
      <x:c r="H706" s="2" t="n">
        <x:v>1</x:v>
      </x:c>
      <x:c r="I706" s="2" t="n">
        <x:f>IF(AND(COUNTIFS($B$6:$B$797,B706,$C$6:$C$797,C706)=11,COUNTIFS($B$6:$B$797,B706,$C$6:$C$797,C706,$G$6:$G$797,"REVIEW")=0,COUNTIFS($B$6:$B$797,B706,$C$6:$C$797,C706,$H$6:$H$797,1)=11,COUNTIFS($B$6:$B$797,B706,$C$6:$C$797,C706,$F$6:$F$797,"&gt;0")=11),1,0)</x:f>
        <x:v>0</x:v>
      </x:c>
      <x:c r="J706" s="2" t="n">
        <x:f>COUNTIFS($A$6:$A$797,A706)</x:f>
        <x:v>1</x:v>
      </x:c>
    </x:row>
    <x:row r="707" ht="23" customHeight="1">
      <x:c r="A707" s="2" t="str">
        <x:v>62052000_TR_202510_IMPORT</x:v>
      </x:c>
      <x:c r="B707" s="2" t="n">
        <x:v>202510</x:v>
      </x:c>
      <x:c r="C707" s="2" t="str">
        <x:v>62052000</x:v>
      </x:c>
      <x:c r="D707" s="2" t="str">
        <x:v>Turkey</x:v>
      </x:c>
      <x:c r="E707" s="16" t="n">
        <x:v>1092544</x:v>
      </x:c>
      <x:c r="F707" s="16" t="n">
        <x:v>32544</x:v>
      </x:c>
      <x:c r="G707" s="2" t="str">
        <x:v>WITHIN_BAND</x:v>
      </x:c>
      <x:c r="H707" s="2" t="n">
        <x:v>1</x:v>
      </x:c>
      <x:c r="I707" s="2" t="n">
        <x:f>IF(AND(COUNTIFS($B$6:$B$797,B707,$C$6:$C$797,C707)=11,COUNTIFS($B$6:$B$797,B707,$C$6:$C$797,C707,$G$6:$G$797,"REVIEW")=0,COUNTIFS($B$6:$B$797,B707,$C$6:$C$797,C707,$H$6:$H$797,1)=11,COUNTIFS($B$6:$B$797,B707,$C$6:$C$797,C707,$F$6:$F$797,"&gt;0")=11),1,0)</x:f>
        <x:v>0</x:v>
      </x:c>
      <x:c r="J707" s="2" t="n">
        <x:f>COUNTIFS($A$6:$A$797,A707)</x:f>
        <x:v>1</x:v>
      </x:c>
    </x:row>
    <x:row r="708" ht="23" customHeight="1">
      <x:c r="A708" s="2" t="str">
        <x:v>62052000_VN_202510_IMPORT</x:v>
      </x:c>
      <x:c r="B708" s="2" t="n">
        <x:v>202510</x:v>
      </x:c>
      <x:c r="C708" s="2" t="str">
        <x:v>62052000</x:v>
      </x:c>
      <x:c r="D708" s="2" t="str">
        <x:v>Vietnam</x:v>
      </x:c>
      <x:c r="E708" s="16" t="n">
        <x:v>1341526</x:v>
      </x:c>
      <x:c r="F708" s="16" t="n">
        <x:v>49143</x:v>
      </x:c>
      <x:c r="G708" s="2" t="str">
        <x:v>WITHIN_BAND</x:v>
      </x:c>
      <x:c r="H708" s="2" t="n">
        <x:v>1</x:v>
      </x:c>
      <x:c r="I708" s="2" t="n">
        <x:f>IF(AND(COUNTIFS($B$6:$B$797,B708,$C$6:$C$797,C708)=11,COUNTIFS($B$6:$B$797,B708,$C$6:$C$797,C708,$G$6:$G$797,"REVIEW")=0,COUNTIFS($B$6:$B$797,B708,$C$6:$C$797,C708,$H$6:$H$797,1)=11,COUNTIFS($B$6:$B$797,B708,$C$6:$C$797,C708,$F$6:$F$797,"&gt;0")=11),1,0)</x:f>
        <x:v>0</x:v>
      </x:c>
      <x:c r="J708" s="2" t="n">
        <x:f>COUNTIFS($A$6:$A$797,A708)</x:f>
        <x:v>1</x:v>
      </x:c>
    </x:row>
    <x:row r="709" ht="23" customHeight="1">
      <x:c r="A709" s="2" t="str">
        <x:v>62052000_WORLD_202510_IMPORT</x:v>
      </x:c>
      <x:c r="B709" s="2" t="n">
        <x:v>202510</x:v>
      </x:c>
      <x:c r="C709" s="2" t="str">
        <x:v>62052000</x:v>
      </x:c>
      <x:c r="D709" s="2" t="str">
        <x:v>World</x:v>
      </x:c>
      <x:c r="E709" s="16" t="n">
        <x:v>24639571</x:v>
      </x:c>
      <x:c r="F709" s="16" t="n">
        <x:v>1046047</x:v>
      </x:c>
      <x:c r="G709" s="2" t="str">
        <x:v>WITHIN_BAND</x:v>
      </x:c>
      <x:c r="H709" s="2" t="n">
        <x:v>1</x:v>
      </x:c>
      <x:c r="I709" s="2" t="n">
        <x:f>IF(AND(COUNTIFS($B$6:$B$797,B709,$C$6:$C$797,C709)=11,COUNTIFS($B$6:$B$797,B709,$C$6:$C$797,C709,$G$6:$G$797,"REVIEW")=0,COUNTIFS($B$6:$B$797,B709,$C$6:$C$797,C709,$H$6:$H$797,1)=11,COUNTIFS($B$6:$B$797,B709,$C$6:$C$797,C709,$F$6:$F$797,"&gt;0")=11),1,0)</x:f>
        <x:v>0</x:v>
      </x:c>
      <x:c r="J709" s="2" t="n">
        <x:f>COUNTIFS($A$6:$A$797,A709)</x:f>
        <x:v>1</x:v>
      </x:c>
    </x:row>
    <x:row r="710" ht="23" customHeight="1">
      <x:c r="A710" s="2" t="str">
        <x:v>62052000_BD_202511_IMPORT</x:v>
      </x:c>
      <x:c r="B710" s="2" t="n">
        <x:v>202511</x:v>
      </x:c>
      <x:c r="C710" s="2" t="str">
        <x:v>62052000</x:v>
      </x:c>
      <x:c r="D710" s="2" t="str">
        <x:v>Bangladesh</x:v>
      </x:c>
      <x:c r="E710" s="16" t="n">
        <x:v>5446978</x:v>
      </x:c>
      <x:c r="F710" s="16" t="n">
        <x:v>359619</x:v>
      </x:c>
      <x:c r="G710" s="2" t="str">
        <x:v>WITHIN_BAND</x:v>
      </x:c>
      <x:c r="H710" s="2" t="n">
        <x:v>1</x:v>
      </x:c>
      <x:c r="I710" s="2" t="n">
        <x:f>IF(AND(COUNTIFS($B$6:$B$797,B710,$C$6:$C$797,C710)=11,COUNTIFS($B$6:$B$797,B710,$C$6:$C$797,C710,$G$6:$G$797,"REVIEW")=0,COUNTIFS($B$6:$B$797,B710,$C$6:$C$797,C710,$H$6:$H$797,1)=11,COUNTIFS($B$6:$B$797,B710,$C$6:$C$797,C710,$F$6:$F$797,"&gt;0")=11),1,0)</x:f>
        <x:v>1</x:v>
      </x:c>
      <x:c r="J710" s="2" t="n">
        <x:f>COUNTIFS($A$6:$A$797,A710)</x:f>
        <x:v>1</x:v>
      </x:c>
    </x:row>
    <x:row r="711" ht="23" customHeight="1">
      <x:c r="A711" s="2" t="str">
        <x:v>62052000_KH_202511_IMPORT</x:v>
      </x:c>
      <x:c r="B711" s="2" t="n">
        <x:v>202511</x:v>
      </x:c>
      <x:c r="C711" s="2" t="str">
        <x:v>62052000</x:v>
      </x:c>
      <x:c r="D711" s="2" t="str">
        <x:v>Cambodia</x:v>
      </x:c>
      <x:c r="E711" s="16" t="n">
        <x:v>585756</x:v>
      </x:c>
      <x:c r="F711" s="16" t="n">
        <x:v>32846</x:v>
      </x:c>
      <x:c r="G711" s="2" t="str">
        <x:v>WITHIN_BAND</x:v>
      </x:c>
      <x:c r="H711" s="2" t="n">
        <x:v>1</x:v>
      </x:c>
      <x:c r="I711" s="2" t="n">
        <x:f>IF(AND(COUNTIFS($B$6:$B$797,B711,$C$6:$C$797,C711)=11,COUNTIFS($B$6:$B$797,B711,$C$6:$C$797,C711,$G$6:$G$797,"REVIEW")=0,COUNTIFS($B$6:$B$797,B711,$C$6:$C$797,C711,$H$6:$H$797,1)=11,COUNTIFS($B$6:$B$797,B711,$C$6:$C$797,C711,$F$6:$F$797,"&gt;0")=11),1,0)</x:f>
        <x:v>1</x:v>
      </x:c>
      <x:c r="J711" s="2" t="n">
        <x:f>COUNTIFS($A$6:$A$797,A711)</x:f>
        <x:v>1</x:v>
      </x:c>
    </x:row>
    <x:row r="712" ht="23" customHeight="1">
      <x:c r="A712" s="2" t="str">
        <x:v>62052000_CN_202511_IMPORT</x:v>
      </x:c>
      <x:c r="B712" s="2" t="n">
        <x:v>202511</x:v>
      </x:c>
      <x:c r="C712" s="2" t="str">
        <x:v>62052000</x:v>
      </x:c>
      <x:c r="D712" s="2" t="str">
        <x:v>China</x:v>
      </x:c>
      <x:c r="E712" s="16" t="n">
        <x:v>730082</x:v>
      </x:c>
      <x:c r="F712" s="16" t="n">
        <x:v>42501</x:v>
      </x:c>
      <x:c r="G712" s="2" t="str">
        <x:v>WITHIN_BAND</x:v>
      </x:c>
      <x:c r="H712" s="2" t="n">
        <x:v>1</x:v>
      </x:c>
      <x:c r="I712" s="2" t="n">
        <x:f>IF(AND(COUNTIFS($B$6:$B$797,B712,$C$6:$C$797,C712)=11,COUNTIFS($B$6:$B$797,B712,$C$6:$C$797,C712,$G$6:$G$797,"REVIEW")=0,COUNTIFS($B$6:$B$797,B712,$C$6:$C$797,C712,$H$6:$H$797,1)=11,COUNTIFS($B$6:$B$797,B712,$C$6:$C$797,C712,$F$6:$F$797,"&gt;0")=11),1,0)</x:f>
        <x:v>1</x:v>
      </x:c>
      <x:c r="J712" s="2" t="n">
        <x:f>COUNTIFS($A$6:$A$797,A712)</x:f>
        <x:v>1</x:v>
      </x:c>
    </x:row>
    <x:row r="713" ht="23" customHeight="1">
      <x:c r="A713" s="2" t="str">
        <x:v>62052000_IN_202511_IMPORT</x:v>
      </x:c>
      <x:c r="B713" s="2" t="n">
        <x:v>202511</x:v>
      </x:c>
      <x:c r="C713" s="2" t="str">
        <x:v>62052000</x:v>
      </x:c>
      <x:c r="D713" s="2" t="str">
        <x:v>India</x:v>
      </x:c>
      <x:c r="E713" s="16" t="n">
        <x:v>1534616</x:v>
      </x:c>
      <x:c r="F713" s="16" t="n">
        <x:v>85011</x:v>
      </x:c>
      <x:c r="G713" s="2" t="str">
        <x:v>WITHIN_BAND</x:v>
      </x:c>
      <x:c r="H713" s="2" t="n">
        <x:v>1</x:v>
      </x:c>
      <x:c r="I713" s="2" t="n">
        <x:f>IF(AND(COUNTIFS($B$6:$B$797,B713,$C$6:$C$797,C713)=11,COUNTIFS($B$6:$B$797,B713,$C$6:$C$797,C713,$G$6:$G$797,"REVIEW")=0,COUNTIFS($B$6:$B$797,B713,$C$6:$C$797,C713,$H$6:$H$797,1)=11,COUNTIFS($B$6:$B$797,B713,$C$6:$C$797,C713,$F$6:$F$797,"&gt;0")=11),1,0)</x:f>
        <x:v>1</x:v>
      </x:c>
      <x:c r="J713" s="2" t="n">
        <x:f>COUNTIFS($A$6:$A$797,A713)</x:f>
        <x:v>1</x:v>
      </x:c>
    </x:row>
    <x:row r="714" ht="23" customHeight="1">
      <x:c r="A714" s="2" t="str">
        <x:v>62052000_MA_202511_IMPORT</x:v>
      </x:c>
      <x:c r="B714" s="2" t="n">
        <x:v>202511</x:v>
      </x:c>
      <x:c r="C714" s="2" t="str">
        <x:v>62052000</x:v>
      </x:c>
      <x:c r="D714" s="2" t="str">
        <x:v>Morocco</x:v>
      </x:c>
      <x:c r="E714" s="16" t="n">
        <x:v>137945</x:v>
      </x:c>
      <x:c r="F714" s="16" t="n">
        <x:v>3666</x:v>
      </x:c>
      <x:c r="G714" s="2" t="str">
        <x:v>WITHIN_BAND</x:v>
      </x:c>
      <x:c r="H714" s="2" t="n">
        <x:v>1</x:v>
      </x:c>
      <x:c r="I714" s="2" t="n">
        <x:f>IF(AND(COUNTIFS($B$6:$B$797,B714,$C$6:$C$797,C714)=11,COUNTIFS($B$6:$B$797,B714,$C$6:$C$797,C714,$G$6:$G$797,"REVIEW")=0,COUNTIFS($B$6:$B$797,B714,$C$6:$C$797,C714,$H$6:$H$797,1)=11,COUNTIFS($B$6:$B$797,B714,$C$6:$C$797,C714,$F$6:$F$797,"&gt;0")=11),1,0)</x:f>
        <x:v>1</x:v>
      </x:c>
      <x:c r="J714" s="2" t="n">
        <x:f>COUNTIFS($A$6:$A$797,A714)</x:f>
        <x:v>1</x:v>
      </x:c>
    </x:row>
    <x:row r="715" ht="23" customHeight="1">
      <x:c r="A715" s="2" t="str">
        <x:v>62052000_MM_202511_IMPORT</x:v>
      </x:c>
      <x:c r="B715" s="2" t="n">
        <x:v>202511</x:v>
      </x:c>
      <x:c r="C715" s="2" t="str">
        <x:v>62052000</x:v>
      </x:c>
      <x:c r="D715" s="2" t="str">
        <x:v>Myanmar</x:v>
      </x:c>
      <x:c r="E715" s="16" t="n">
        <x:v>30383</x:v>
      </x:c>
      <x:c r="F715" s="16" t="n">
        <x:v>3301</x:v>
      </x:c>
      <x:c r="G715" s="2" t="str">
        <x:v>WITHIN_BAND</x:v>
      </x:c>
      <x:c r="H715" s="2" t="n">
        <x:v>1</x:v>
      </x:c>
      <x:c r="I715" s="2" t="n">
        <x:f>IF(AND(COUNTIFS($B$6:$B$797,B715,$C$6:$C$797,C715)=11,COUNTIFS($B$6:$B$797,B715,$C$6:$C$797,C715,$G$6:$G$797,"REVIEW")=0,COUNTIFS($B$6:$B$797,B715,$C$6:$C$797,C715,$H$6:$H$797,1)=11,COUNTIFS($B$6:$B$797,B715,$C$6:$C$797,C715,$F$6:$F$797,"&gt;0")=11),1,0)</x:f>
        <x:v>1</x:v>
      </x:c>
      <x:c r="J715" s="2" t="n">
        <x:f>COUNTIFS($A$6:$A$797,A715)</x:f>
        <x:v>1</x:v>
      </x:c>
    </x:row>
    <x:row r="716" ht="23" customHeight="1">
      <x:c r="A716" s="2" t="str">
        <x:v>62052000_PK_202511_IMPORT</x:v>
      </x:c>
      <x:c r="B716" s="2" t="n">
        <x:v>202511</x:v>
      </x:c>
      <x:c r="C716" s="2" t="str">
        <x:v>62052000</x:v>
      </x:c>
      <x:c r="D716" s="2" t="str">
        <x:v>Pakistan</x:v>
      </x:c>
      <x:c r="E716" s="16" t="n">
        <x:v>38129</x:v>
      </x:c>
      <x:c r="F716" s="16" t="n">
        <x:v>5085</x:v>
      </x:c>
      <x:c r="G716" s="2" t="str">
        <x:v>WITHIN_BAND</x:v>
      </x:c>
      <x:c r="H716" s="2" t="n">
        <x:v>1</x:v>
      </x:c>
      <x:c r="I716" s="2" t="n">
        <x:f>IF(AND(COUNTIFS($B$6:$B$797,B716,$C$6:$C$797,C716)=11,COUNTIFS($B$6:$B$797,B716,$C$6:$C$797,C716,$G$6:$G$797,"REVIEW")=0,COUNTIFS($B$6:$B$797,B716,$C$6:$C$797,C716,$H$6:$H$797,1)=11,COUNTIFS($B$6:$B$797,B716,$C$6:$C$797,C716,$F$6:$F$797,"&gt;0")=11),1,0)</x:f>
        <x:v>1</x:v>
      </x:c>
      <x:c r="J716" s="2" t="n">
        <x:f>COUNTIFS($A$6:$A$797,A716)</x:f>
        <x:v>1</x:v>
      </x:c>
    </x:row>
    <x:row r="717" ht="23" customHeight="1">
      <x:c r="A717" s="2" t="str">
        <x:v>62052000_LK_202511_IMPORT</x:v>
      </x:c>
      <x:c r="B717" s="2" t="n">
        <x:v>202511</x:v>
      </x:c>
      <x:c r="C717" s="2" t="str">
        <x:v>62052000</x:v>
      </x:c>
      <x:c r="D717" s="2" t="str">
        <x:v>Sri Lanka</x:v>
      </x:c>
      <x:c r="E717" s="16" t="n">
        <x:v>296317</x:v>
      </x:c>
      <x:c r="F717" s="16" t="n">
        <x:v>16552</x:v>
      </x:c>
      <x:c r="G717" s="2" t="str">
        <x:v>WITHIN_BAND</x:v>
      </x:c>
      <x:c r="H717" s="2" t="n">
        <x:v>1</x:v>
      </x:c>
      <x:c r="I717" s="2" t="n">
        <x:f>IF(AND(COUNTIFS($B$6:$B$797,B717,$C$6:$C$797,C717)=11,COUNTIFS($B$6:$B$797,B717,$C$6:$C$797,C717,$G$6:$G$797,"REVIEW")=0,COUNTIFS($B$6:$B$797,B717,$C$6:$C$797,C717,$H$6:$H$797,1)=11,COUNTIFS($B$6:$B$797,B717,$C$6:$C$797,C717,$F$6:$F$797,"&gt;0")=11),1,0)</x:f>
        <x:v>1</x:v>
      </x:c>
      <x:c r="J717" s="2" t="n">
        <x:f>COUNTIFS($A$6:$A$797,A717)</x:f>
        <x:v>1</x:v>
      </x:c>
    </x:row>
    <x:row r="718" ht="23" customHeight="1">
      <x:c r="A718" s="2" t="str">
        <x:v>62052000_TR_202511_IMPORT</x:v>
      </x:c>
      <x:c r="B718" s="2" t="n">
        <x:v>202511</x:v>
      </x:c>
      <x:c r="C718" s="2" t="str">
        <x:v>62052000</x:v>
      </x:c>
      <x:c r="D718" s="2" t="str">
        <x:v>Turkey</x:v>
      </x:c>
      <x:c r="E718" s="16" t="n">
        <x:v>878189</x:v>
      </x:c>
      <x:c r="F718" s="16" t="n">
        <x:v>20661</x:v>
      </x:c>
      <x:c r="G718" s="2" t="str">
        <x:v>WITHIN_BAND</x:v>
      </x:c>
      <x:c r="H718" s="2" t="n">
        <x:v>1</x:v>
      </x:c>
      <x:c r="I718" s="2" t="n">
        <x:f>IF(AND(COUNTIFS($B$6:$B$797,B718,$C$6:$C$797,C718)=11,COUNTIFS($B$6:$B$797,B718,$C$6:$C$797,C718,$G$6:$G$797,"REVIEW")=0,COUNTIFS($B$6:$B$797,B718,$C$6:$C$797,C718,$H$6:$H$797,1)=11,COUNTIFS($B$6:$B$797,B718,$C$6:$C$797,C718,$F$6:$F$797,"&gt;0")=11),1,0)</x:f>
        <x:v>1</x:v>
      </x:c>
      <x:c r="J718" s="2" t="n">
        <x:f>COUNTIFS($A$6:$A$797,A718)</x:f>
        <x:v>1</x:v>
      </x:c>
    </x:row>
    <x:row r="719" ht="23" customHeight="1">
      <x:c r="A719" s="2" t="str">
        <x:v>62052000_VN_202511_IMPORT</x:v>
      </x:c>
      <x:c r="B719" s="2" t="n">
        <x:v>202511</x:v>
      </x:c>
      <x:c r="C719" s="2" t="str">
        <x:v>62052000</x:v>
      </x:c>
      <x:c r="D719" s="2" t="str">
        <x:v>Vietnam</x:v>
      </x:c>
      <x:c r="E719" s="16" t="n">
        <x:v>1571395</x:v>
      </x:c>
      <x:c r="F719" s="16" t="n">
        <x:v>50223</x:v>
      </x:c>
      <x:c r="G719" s="2" t="str">
        <x:v>WITHIN_BAND</x:v>
      </x:c>
      <x:c r="H719" s="2" t="n">
        <x:v>1</x:v>
      </x:c>
      <x:c r="I719" s="2" t="n">
        <x:f>IF(AND(COUNTIFS($B$6:$B$797,B719,$C$6:$C$797,C719)=11,COUNTIFS($B$6:$B$797,B719,$C$6:$C$797,C719,$G$6:$G$797,"REVIEW")=0,COUNTIFS($B$6:$B$797,B719,$C$6:$C$797,C719,$H$6:$H$797,1)=11,COUNTIFS($B$6:$B$797,B719,$C$6:$C$797,C719,$F$6:$F$797,"&gt;0")=11),1,0)</x:f>
        <x:v>1</x:v>
      </x:c>
      <x:c r="J719" s="2" t="n">
        <x:f>COUNTIFS($A$6:$A$797,A719)</x:f>
        <x:v>1</x:v>
      </x:c>
    </x:row>
    <x:row r="720" ht="23" customHeight="1">
      <x:c r="A720" s="2" t="str">
        <x:v>62052000_WORLD_202511_IMPORT</x:v>
      </x:c>
      <x:c r="B720" s="2" t="n">
        <x:v>202511</x:v>
      </x:c>
      <x:c r="C720" s="2" t="str">
        <x:v>62052000</x:v>
      </x:c>
      <x:c r="D720" s="2" t="str">
        <x:v>World</x:v>
      </x:c>
      <x:c r="E720" s="16" t="n">
        <x:v>17808006</x:v>
      </x:c>
      <x:c r="F720" s="16" t="n">
        <x:v>741586</x:v>
      </x:c>
      <x:c r="G720" s="2" t="str">
        <x:v>WITHIN_BAND</x:v>
      </x:c>
      <x:c r="H720" s="2" t="n">
        <x:v>1</x:v>
      </x:c>
      <x:c r="I720" s="2" t="n">
        <x:f>IF(AND(COUNTIFS($B$6:$B$797,B720,$C$6:$C$797,C720)=11,COUNTIFS($B$6:$B$797,B720,$C$6:$C$797,C720,$G$6:$G$797,"REVIEW")=0,COUNTIFS($B$6:$B$797,B720,$C$6:$C$797,C720,$H$6:$H$797,1)=11,COUNTIFS($B$6:$B$797,B720,$C$6:$C$797,C720,$F$6:$F$797,"&gt;0")=11),1,0)</x:f>
        <x:v>1</x:v>
      </x:c>
      <x:c r="J720" s="2" t="n">
        <x:f>COUNTIFS($A$6:$A$797,A720)</x:f>
        <x:v>1</x:v>
      </x:c>
    </x:row>
    <x:row r="721" ht="23" customHeight="1">
      <x:c r="A721" s="2" t="str">
        <x:v>62052000_BD_202512_IMPORT</x:v>
      </x:c>
      <x:c r="B721" s="2" t="n">
        <x:v>202512</x:v>
      </x:c>
      <x:c r="C721" s="2" t="str">
        <x:v>62052000</x:v>
      </x:c>
      <x:c r="D721" s="2" t="str">
        <x:v>Bangladesh</x:v>
      </x:c>
      <x:c r="E721" s="16" t="n">
        <x:v>5766530</x:v>
      </x:c>
      <x:c r="F721" s="16" t="n">
        <x:v>353265</x:v>
      </x:c>
      <x:c r="G721" s="2" t="str">
        <x:v>WITHIN_BAND</x:v>
      </x:c>
      <x:c r="H721" s="2" t="n">
        <x:v>1</x:v>
      </x:c>
      <x:c r="I721" s="2" t="n">
        <x:f>IF(AND(COUNTIFS($B$6:$B$797,B721,$C$6:$C$797,C721)=11,COUNTIFS($B$6:$B$797,B721,$C$6:$C$797,C721,$G$6:$G$797,"REVIEW")=0,COUNTIFS($B$6:$B$797,B721,$C$6:$C$797,C721,$H$6:$H$797,1)=11,COUNTIFS($B$6:$B$797,B721,$C$6:$C$797,C721,$F$6:$F$797,"&gt;0")=11),1,0)</x:f>
        <x:v>0</x:v>
      </x:c>
      <x:c r="J721" s="2" t="n">
        <x:f>COUNTIFS($A$6:$A$797,A721)</x:f>
        <x:v>1</x:v>
      </x:c>
    </x:row>
    <x:row r="722" ht="23" customHeight="1">
      <x:c r="A722" s="2" t="str">
        <x:v>62052000_KH_202512_IMPORT</x:v>
      </x:c>
      <x:c r="B722" s="2" t="n">
        <x:v>202512</x:v>
      </x:c>
      <x:c r="C722" s="2" t="str">
        <x:v>62052000</x:v>
      </x:c>
      <x:c r="D722" s="2" t="str">
        <x:v>Cambodia</x:v>
      </x:c>
      <x:c r="E722" s="16" t="n">
        <x:v>1482774</x:v>
      </x:c>
      <x:c r="F722" s="16" t="n">
        <x:v>60718</x:v>
      </x:c>
      <x:c r="G722" s="2" t="str">
        <x:v>WITHIN_BAND</x:v>
      </x:c>
      <x:c r="H722" s="2" t="n">
        <x:v>1</x:v>
      </x:c>
      <x:c r="I722" s="2" t="n">
        <x:f>IF(AND(COUNTIFS($B$6:$B$797,B722,$C$6:$C$797,C722)=11,COUNTIFS($B$6:$B$797,B722,$C$6:$C$797,C722,$G$6:$G$797,"REVIEW")=0,COUNTIFS($B$6:$B$797,B722,$C$6:$C$797,C722,$H$6:$H$797,1)=11,COUNTIFS($B$6:$B$797,B722,$C$6:$C$797,C722,$F$6:$F$797,"&gt;0")=11),1,0)</x:f>
        <x:v>0</x:v>
      </x:c>
      <x:c r="J722" s="2" t="n">
        <x:f>COUNTIFS($A$6:$A$797,A722)</x:f>
        <x:v>1</x:v>
      </x:c>
    </x:row>
    <x:row r="723" ht="23" customHeight="1">
      <x:c r="A723" s="2" t="str">
        <x:v>62052000_CN_202512_IMPORT</x:v>
      </x:c>
      <x:c r="B723" s="2" t="n">
        <x:v>202512</x:v>
      </x:c>
      <x:c r="C723" s="2" t="str">
        <x:v>62052000</x:v>
      </x:c>
      <x:c r="D723" s="2" t="str">
        <x:v>China</x:v>
      </x:c>
      <x:c r="E723" s="16" t="n">
        <x:v>484351</x:v>
      </x:c>
      <x:c r="F723" s="16" t="n">
        <x:v>23409</x:v>
      </x:c>
      <x:c r="G723" s="2" t="str">
        <x:v>WITHIN_BAND</x:v>
      </x:c>
      <x:c r="H723" s="2" t="n">
        <x:v>1</x:v>
      </x:c>
      <x:c r="I723" s="2" t="n">
        <x:f>IF(AND(COUNTIFS($B$6:$B$797,B723,$C$6:$C$797,C723)=11,COUNTIFS($B$6:$B$797,B723,$C$6:$C$797,C723,$G$6:$G$797,"REVIEW")=0,COUNTIFS($B$6:$B$797,B723,$C$6:$C$797,C723,$H$6:$H$797,1)=11,COUNTIFS($B$6:$B$797,B723,$C$6:$C$797,C723,$F$6:$F$797,"&gt;0")=11),1,0)</x:f>
        <x:v>0</x:v>
      </x:c>
      <x:c r="J723" s="2" t="n">
        <x:f>COUNTIFS($A$6:$A$797,A723)</x:f>
        <x:v>1</x:v>
      </x:c>
    </x:row>
    <x:row r="724" ht="23" customHeight="1">
      <x:c r="A724" s="2" t="str">
        <x:v>62052000_IN_202512_IMPORT</x:v>
      </x:c>
      <x:c r="B724" s="2" t="n">
        <x:v>202512</x:v>
      </x:c>
      <x:c r="C724" s="2" t="str">
        <x:v>62052000</x:v>
      </x:c>
      <x:c r="D724" s="2" t="str">
        <x:v>India</x:v>
      </x:c>
      <x:c r="E724" s="16" t="n">
        <x:v>2017497</x:v>
      </x:c>
      <x:c r="F724" s="16" t="n">
        <x:v>92876</x:v>
      </x:c>
      <x:c r="G724" s="2" t="str">
        <x:v>WITHIN_BAND</x:v>
      </x:c>
      <x:c r="H724" s="2" t="n">
        <x:v>1</x:v>
      </x:c>
      <x:c r="I724" s="2" t="n">
        <x:f>IF(AND(COUNTIFS($B$6:$B$797,B724,$C$6:$C$797,C724)=11,COUNTIFS($B$6:$B$797,B724,$C$6:$C$797,C724,$G$6:$G$797,"REVIEW")=0,COUNTIFS($B$6:$B$797,B724,$C$6:$C$797,C724,$H$6:$H$797,1)=11,COUNTIFS($B$6:$B$797,B724,$C$6:$C$797,C724,$F$6:$F$797,"&gt;0")=11),1,0)</x:f>
        <x:v>0</x:v>
      </x:c>
      <x:c r="J724" s="2" t="n">
        <x:f>COUNTIFS($A$6:$A$797,A724)</x:f>
        <x:v>1</x:v>
      </x:c>
    </x:row>
    <x:row r="725" ht="23" customHeight="1">
      <x:c r="A725" s="2" t="str">
        <x:v>62052000_MA_202512_IMPORT</x:v>
      </x:c>
      <x:c r="B725" s="2" t="n">
        <x:v>202512</x:v>
      </x:c>
      <x:c r="C725" s="2" t="str">
        <x:v>62052000</x:v>
      </x:c>
      <x:c r="D725" s="2" t="str">
        <x:v>Morocco</x:v>
      </x:c>
      <x:c r="E725" s="16" t="n">
        <x:v>129579</x:v>
      </x:c>
      <x:c r="F725" s="16" t="n">
        <x:v>3478</x:v>
      </x:c>
      <x:c r="G725" s="2" t="str">
        <x:v>WITHIN_BAND</x:v>
      </x:c>
      <x:c r="H725" s="2" t="n">
        <x:v>1</x:v>
      </x:c>
      <x:c r="I725" s="2" t="n">
        <x:f>IF(AND(COUNTIFS($B$6:$B$797,B725,$C$6:$C$797,C725)=11,COUNTIFS($B$6:$B$797,B725,$C$6:$C$797,C725,$G$6:$G$797,"REVIEW")=0,COUNTIFS($B$6:$B$797,B725,$C$6:$C$797,C725,$H$6:$H$797,1)=11,COUNTIFS($B$6:$B$797,B725,$C$6:$C$797,C725,$F$6:$F$797,"&gt;0")=11),1,0)</x:f>
        <x:v>0</x:v>
      </x:c>
      <x:c r="J725" s="2" t="n">
        <x:f>COUNTIFS($A$6:$A$797,A725)</x:f>
        <x:v>1</x:v>
      </x:c>
    </x:row>
    <x:row r="726" ht="23" customHeight="1">
      <x:c r="A726" s="2" t="str">
        <x:v>62052000_MM_202512_IMPORT</x:v>
      </x:c>
      <x:c r="B726" s="2" t="n">
        <x:v>202512</x:v>
      </x:c>
      <x:c r="C726" s="2" t="str">
        <x:v>62052000</x:v>
      </x:c>
      <x:c r="D726" s="2" t="str">
        <x:v>Myanmar</x:v>
      </x:c>
      <x:c r="E726" s="16" t="n">
        <x:v>24466</x:v>
      </x:c>
      <x:c r="F726" s="16" t="n">
        <x:v>2726</x:v>
      </x:c>
      <x:c r="G726" s="2" t="str">
        <x:v>REVIEW</x:v>
      </x:c>
      <x:c r="H726" s="2" t="n">
        <x:v>1</x:v>
      </x:c>
      <x:c r="I726" s="2" t="n">
        <x:f>IF(AND(COUNTIFS($B$6:$B$797,B726,$C$6:$C$797,C726)=11,COUNTIFS($B$6:$B$797,B726,$C$6:$C$797,C726,$G$6:$G$797,"REVIEW")=0,COUNTIFS($B$6:$B$797,B726,$C$6:$C$797,C726,$H$6:$H$797,1)=11,COUNTIFS($B$6:$B$797,B726,$C$6:$C$797,C726,$F$6:$F$797,"&gt;0")=11),1,0)</x:f>
        <x:v>0</x:v>
      </x:c>
      <x:c r="J726" s="2" t="n">
        <x:f>COUNTIFS($A$6:$A$797,A726)</x:f>
        <x:v>1</x:v>
      </x:c>
    </x:row>
    <x:row r="727" ht="23" customHeight="1">
      <x:c r="A727" s="2" t="str">
        <x:v>62052000_PK_202512_IMPORT</x:v>
      </x:c>
      <x:c r="B727" s="2" t="n">
        <x:v>202512</x:v>
      </x:c>
      <x:c r="C727" s="2" t="str">
        <x:v>62052000</x:v>
      </x:c>
      <x:c r="D727" s="2" t="str">
        <x:v>Pakistan</x:v>
      </x:c>
      <x:c r="E727" s="16" t="n">
        <x:v>60058</x:v>
      </x:c>
      <x:c r="F727" s="16" t="n">
        <x:v>9798</x:v>
      </x:c>
      <x:c r="G727" s="2" t="str">
        <x:v>WITHIN_BAND</x:v>
      </x:c>
      <x:c r="H727" s="2" t="n">
        <x:v>1</x:v>
      </x:c>
      <x:c r="I727" s="2" t="n">
        <x:f>IF(AND(COUNTIFS($B$6:$B$797,B727,$C$6:$C$797,C727)=11,COUNTIFS($B$6:$B$797,B727,$C$6:$C$797,C727,$G$6:$G$797,"REVIEW")=0,COUNTIFS($B$6:$B$797,B727,$C$6:$C$797,C727,$H$6:$H$797,1)=11,COUNTIFS($B$6:$B$797,B727,$C$6:$C$797,C727,$F$6:$F$797,"&gt;0")=11),1,0)</x:f>
        <x:v>0</x:v>
      </x:c>
      <x:c r="J727" s="2" t="n">
        <x:f>COUNTIFS($A$6:$A$797,A727)</x:f>
        <x:v>1</x:v>
      </x:c>
    </x:row>
    <x:row r="728" ht="23" customHeight="1">
      <x:c r="A728" s="2" t="str">
        <x:v>62052000_LK_202512_IMPORT</x:v>
      </x:c>
      <x:c r="B728" s="2" t="n">
        <x:v>202512</x:v>
      </x:c>
      <x:c r="C728" s="2" t="str">
        <x:v>62052000</x:v>
      </x:c>
      <x:c r="D728" s="2" t="str">
        <x:v>Sri Lanka</x:v>
      </x:c>
      <x:c r="E728" s="16" t="n">
        <x:v>362860</x:v>
      </x:c>
      <x:c r="F728" s="16" t="n">
        <x:v>21386</x:v>
      </x:c>
      <x:c r="G728" s="2" t="str">
        <x:v>WITHIN_BAND</x:v>
      </x:c>
      <x:c r="H728" s="2" t="n">
        <x:v>1</x:v>
      </x:c>
      <x:c r="I728" s="2" t="n">
        <x:f>IF(AND(COUNTIFS($B$6:$B$797,B728,$C$6:$C$797,C728)=11,COUNTIFS($B$6:$B$797,B728,$C$6:$C$797,C728,$G$6:$G$797,"REVIEW")=0,COUNTIFS($B$6:$B$797,B728,$C$6:$C$797,C728,$H$6:$H$797,1)=11,COUNTIFS($B$6:$B$797,B728,$C$6:$C$797,C728,$F$6:$F$797,"&gt;0")=11),1,0)</x:f>
        <x:v>0</x:v>
      </x:c>
      <x:c r="J728" s="2" t="n">
        <x:f>COUNTIFS($A$6:$A$797,A728)</x:f>
        <x:v>1</x:v>
      </x:c>
    </x:row>
    <x:row r="729" ht="23" customHeight="1">
      <x:c r="A729" s="2" t="str">
        <x:v>62052000_TR_202512_IMPORT</x:v>
      </x:c>
      <x:c r="B729" s="2" t="n">
        <x:v>202512</x:v>
      </x:c>
      <x:c r="C729" s="2" t="str">
        <x:v>62052000</x:v>
      </x:c>
      <x:c r="D729" s="2" t="str">
        <x:v>Turkey</x:v>
      </x:c>
      <x:c r="E729" s="16" t="n">
        <x:v>616316</x:v>
      </x:c>
      <x:c r="F729" s="16" t="n">
        <x:v>15541</x:v>
      </x:c>
      <x:c r="G729" s="2" t="str">
        <x:v>WITHIN_BAND</x:v>
      </x:c>
      <x:c r="H729" s="2" t="n">
        <x:v>1</x:v>
      </x:c>
      <x:c r="I729" s="2" t="n">
        <x:f>IF(AND(COUNTIFS($B$6:$B$797,B729,$C$6:$C$797,C729)=11,COUNTIFS($B$6:$B$797,B729,$C$6:$C$797,C729,$G$6:$G$797,"REVIEW")=0,COUNTIFS($B$6:$B$797,B729,$C$6:$C$797,C729,$H$6:$H$797,1)=11,COUNTIFS($B$6:$B$797,B729,$C$6:$C$797,C729,$F$6:$F$797,"&gt;0")=11),1,0)</x:f>
        <x:v>0</x:v>
      </x:c>
      <x:c r="J729" s="2" t="n">
        <x:f>COUNTIFS($A$6:$A$797,A729)</x:f>
        <x:v>1</x:v>
      </x:c>
    </x:row>
    <x:row r="730" ht="23" customHeight="1">
      <x:c r="A730" s="2" t="str">
        <x:v>62052000_VN_202512_IMPORT</x:v>
      </x:c>
      <x:c r="B730" s="2" t="n">
        <x:v>202512</x:v>
      </x:c>
      <x:c r="C730" s="2" t="str">
        <x:v>62052000</x:v>
      </x:c>
      <x:c r="D730" s="2" t="str">
        <x:v>Vietnam</x:v>
      </x:c>
      <x:c r="E730" s="16" t="n">
        <x:v>1206091</x:v>
      </x:c>
      <x:c r="F730" s="16" t="n">
        <x:v>46158</x:v>
      </x:c>
      <x:c r="G730" s="2" t="str">
        <x:v>WITHIN_BAND</x:v>
      </x:c>
      <x:c r="H730" s="2" t="n">
        <x:v>1</x:v>
      </x:c>
      <x:c r="I730" s="2" t="n">
        <x:f>IF(AND(COUNTIFS($B$6:$B$797,B730,$C$6:$C$797,C730)=11,COUNTIFS($B$6:$B$797,B730,$C$6:$C$797,C730,$G$6:$G$797,"REVIEW")=0,COUNTIFS($B$6:$B$797,B730,$C$6:$C$797,C730,$H$6:$H$797,1)=11,COUNTIFS($B$6:$B$797,B730,$C$6:$C$797,C730,$F$6:$F$797,"&gt;0")=11),1,0)</x:f>
        <x:v>0</x:v>
      </x:c>
      <x:c r="J730" s="2" t="n">
        <x:f>COUNTIFS($A$6:$A$797,A730)</x:f>
        <x:v>1</x:v>
      </x:c>
    </x:row>
    <x:row r="731" ht="23" customHeight="1">
      <x:c r="A731" s="2" t="str">
        <x:v>62052000_WORLD_202512_IMPORT</x:v>
      </x:c>
      <x:c r="B731" s="2" t="n">
        <x:v>202512</x:v>
      </x:c>
      <x:c r="C731" s="2" t="str">
        <x:v>62052000</x:v>
      </x:c>
      <x:c r="D731" s="2" t="str">
        <x:v>World</x:v>
      </x:c>
      <x:c r="E731" s="16" t="n">
        <x:v>19148318</x:v>
      </x:c>
      <x:c r="F731" s="16" t="n">
        <x:v>808496</x:v>
      </x:c>
      <x:c r="G731" s="2" t="str">
        <x:v>WITHIN_BAND</x:v>
      </x:c>
      <x:c r="H731" s="2" t="n">
        <x:v>1</x:v>
      </x:c>
      <x:c r="I731" s="2" t="n">
        <x:f>IF(AND(COUNTIFS($B$6:$B$797,B731,$C$6:$C$797,C731)=11,COUNTIFS($B$6:$B$797,B731,$C$6:$C$797,C731,$G$6:$G$797,"REVIEW")=0,COUNTIFS($B$6:$B$797,B731,$C$6:$C$797,C731,$H$6:$H$797,1)=11,COUNTIFS($B$6:$B$797,B731,$C$6:$C$797,C731,$F$6:$F$797,"&gt;0")=11),1,0)</x:f>
        <x:v>0</x:v>
      </x:c>
      <x:c r="J731" s="2" t="n">
        <x:f>COUNTIFS($A$6:$A$797,A731)</x:f>
        <x:v>1</x:v>
      </x:c>
    </x:row>
    <x:row r="732" ht="23" customHeight="1">
      <x:c r="A732" s="2" t="str">
        <x:v>62052000_BD_202601_IMPORT</x:v>
      </x:c>
      <x:c r="B732" s="2" t="n">
        <x:v>202601</x:v>
      </x:c>
      <x:c r="C732" s="2" t="str">
        <x:v>62052000</x:v>
      </x:c>
      <x:c r="D732" s="2" t="str">
        <x:v>Bangladesh</x:v>
      </x:c>
      <x:c r="E732" s="16" t="n">
        <x:v>4162204</x:v>
      </x:c>
      <x:c r="F732" s="16" t="n">
        <x:v>250802</x:v>
      </x:c>
      <x:c r="G732" s="2" t="str">
        <x:v>WITHIN_BAND</x:v>
      </x:c>
      <x:c r="H732" s="2" t="n">
        <x:v>1</x:v>
      </x:c>
      <x:c r="I732" s="2" t="n">
        <x:f>IF(AND(COUNTIFS($B$6:$B$797,B732,$C$6:$C$797,C732)=11,COUNTIFS($B$6:$B$797,B732,$C$6:$C$797,C732,$G$6:$G$797,"REVIEW")=0,COUNTIFS($B$6:$B$797,B732,$C$6:$C$797,C732,$H$6:$H$797,1)=11,COUNTIFS($B$6:$B$797,B732,$C$6:$C$797,C732,$F$6:$F$797,"&gt;0")=11),1,0)</x:f>
        <x:v>0</x:v>
      </x:c>
      <x:c r="J732" s="2" t="n">
        <x:f>COUNTIFS($A$6:$A$797,A732)</x:f>
        <x:v>1</x:v>
      </x:c>
    </x:row>
    <x:row r="733" ht="23" customHeight="1">
      <x:c r="A733" s="2" t="str">
        <x:v>62052000_KH_202601_IMPORT</x:v>
      </x:c>
      <x:c r="B733" s="2" t="n">
        <x:v>202601</x:v>
      </x:c>
      <x:c r="C733" s="2" t="str">
        <x:v>62052000</x:v>
      </x:c>
      <x:c r="D733" s="2" t="str">
        <x:v>Cambodia</x:v>
      </x:c>
      <x:c r="E733" s="16" t="n">
        <x:v>1075528</x:v>
      </x:c>
      <x:c r="F733" s="16" t="n">
        <x:v>53207</x:v>
      </x:c>
      <x:c r="G733" s="2" t="str">
        <x:v>WITHIN_BAND</x:v>
      </x:c>
      <x:c r="H733" s="2" t="n">
        <x:v>1</x:v>
      </x:c>
      <x:c r="I733" s="2" t="n">
        <x:f>IF(AND(COUNTIFS($B$6:$B$797,B733,$C$6:$C$797,C733)=11,COUNTIFS($B$6:$B$797,B733,$C$6:$C$797,C733,$G$6:$G$797,"REVIEW")=0,COUNTIFS($B$6:$B$797,B733,$C$6:$C$797,C733,$H$6:$H$797,1)=11,COUNTIFS($B$6:$B$797,B733,$C$6:$C$797,C733,$F$6:$F$797,"&gt;0")=11),1,0)</x:f>
        <x:v>0</x:v>
      </x:c>
      <x:c r="J733" s="2" t="n">
        <x:f>COUNTIFS($A$6:$A$797,A733)</x:f>
        <x:v>1</x:v>
      </x:c>
    </x:row>
    <x:row r="734" ht="23" customHeight="1">
      <x:c r="A734" s="2" t="str">
        <x:v>62052000_CN_202601_IMPORT</x:v>
      </x:c>
      <x:c r="B734" s="2" t="n">
        <x:v>202601</x:v>
      </x:c>
      <x:c r="C734" s="2" t="str">
        <x:v>62052000</x:v>
      </x:c>
      <x:c r="D734" s="2" t="str">
        <x:v>China</x:v>
      </x:c>
      <x:c r="E734" s="16" t="n">
        <x:v>766410</x:v>
      </x:c>
      <x:c r="F734" s="16" t="n">
        <x:v>33797</x:v>
      </x:c>
      <x:c r="G734" s="2" t="str">
        <x:v>WITHIN_BAND</x:v>
      </x:c>
      <x:c r="H734" s="2" t="n">
        <x:v>1</x:v>
      </x:c>
      <x:c r="I734" s="2" t="n">
        <x:f>IF(AND(COUNTIFS($B$6:$B$797,B734,$C$6:$C$797,C734)=11,COUNTIFS($B$6:$B$797,B734,$C$6:$C$797,C734,$G$6:$G$797,"REVIEW")=0,COUNTIFS($B$6:$B$797,B734,$C$6:$C$797,C734,$H$6:$H$797,1)=11,COUNTIFS($B$6:$B$797,B734,$C$6:$C$797,C734,$F$6:$F$797,"&gt;0")=11),1,0)</x:f>
        <x:v>0</x:v>
      </x:c>
      <x:c r="J734" s="2" t="n">
        <x:f>COUNTIFS($A$6:$A$797,A734)</x:f>
        <x:v>1</x:v>
      </x:c>
    </x:row>
    <x:row r="735" ht="23" customHeight="1">
      <x:c r="A735" s="2" t="str">
        <x:v>62052000_IN_202601_IMPORT</x:v>
      </x:c>
      <x:c r="B735" s="2" t="n">
        <x:v>202601</x:v>
      </x:c>
      <x:c r="C735" s="2" t="str">
        <x:v>62052000</x:v>
      </x:c>
      <x:c r="D735" s="2" t="str">
        <x:v>India</x:v>
      </x:c>
      <x:c r="E735" s="16" t="n">
        <x:v>3235414</x:v>
      </x:c>
      <x:c r="F735" s="16" t="n">
        <x:v>130393</x:v>
      </x:c>
      <x:c r="G735" s="2" t="str">
        <x:v>WITHIN_BAND</x:v>
      </x:c>
      <x:c r="H735" s="2" t="n">
        <x:v>1</x:v>
      </x:c>
      <x:c r="I735" s="2" t="n">
        <x:f>IF(AND(COUNTIFS($B$6:$B$797,B735,$C$6:$C$797,C735)=11,COUNTIFS($B$6:$B$797,B735,$C$6:$C$797,C735,$G$6:$G$797,"REVIEW")=0,COUNTIFS($B$6:$B$797,B735,$C$6:$C$797,C735,$H$6:$H$797,1)=11,COUNTIFS($B$6:$B$797,B735,$C$6:$C$797,C735,$F$6:$F$797,"&gt;0")=11),1,0)</x:f>
        <x:v>0</x:v>
      </x:c>
      <x:c r="J735" s="2" t="n">
        <x:f>COUNTIFS($A$6:$A$797,A735)</x:f>
        <x:v>1</x:v>
      </x:c>
    </x:row>
    <x:row r="736" ht="23" customHeight="1">
      <x:c r="A736" s="2" t="str">
        <x:v>62052000_MA_202601_IMPORT</x:v>
      </x:c>
      <x:c r="B736" s="2" t="n">
        <x:v>202601</x:v>
      </x:c>
      <x:c r="C736" s="2" t="str">
        <x:v>62052000</x:v>
      </x:c>
      <x:c r="D736" s="2" t="str">
        <x:v>Morocco</x:v>
      </x:c>
      <x:c r="E736" s="16" t="n">
        <x:v>90236</x:v>
      </x:c>
      <x:c r="F736" s="16" t="n">
        <x:v>2455</x:v>
      </x:c>
      <x:c r="G736" s="2" t="str">
        <x:v>WITHIN_BAND</x:v>
      </x:c>
      <x:c r="H736" s="2" t="n">
        <x:v>1</x:v>
      </x:c>
      <x:c r="I736" s="2" t="n">
        <x:f>IF(AND(COUNTIFS($B$6:$B$797,B736,$C$6:$C$797,C736)=11,COUNTIFS($B$6:$B$797,B736,$C$6:$C$797,C736,$G$6:$G$797,"REVIEW")=0,COUNTIFS($B$6:$B$797,B736,$C$6:$C$797,C736,$H$6:$H$797,1)=11,COUNTIFS($B$6:$B$797,B736,$C$6:$C$797,C736,$F$6:$F$797,"&gt;0")=11),1,0)</x:f>
        <x:v>0</x:v>
      </x:c>
      <x:c r="J736" s="2" t="n">
        <x:f>COUNTIFS($A$6:$A$797,A736)</x:f>
        <x:v>1</x:v>
      </x:c>
    </x:row>
    <x:row r="737" ht="23" customHeight="1">
      <x:c r="A737" s="2" t="str">
        <x:v>62052000_MM_202601_IMPORT</x:v>
      </x:c>
      <x:c r="B737" s="2" t="n">
        <x:v>202601</x:v>
      </x:c>
      <x:c r="C737" s="2" t="str">
        <x:v>62052000</x:v>
      </x:c>
      <x:c r="D737" s="2" t="str">
        <x:v>Myanmar</x:v>
      </x:c>
      <x:c r="E737" s="16" t="n">
        <x:v>8474</x:v>
      </x:c>
      <x:c r="F737" s="16" t="n">
        <x:v>1016</x:v>
      </x:c>
      <x:c r="G737" s="2" t="str">
        <x:v>REVIEW</x:v>
      </x:c>
      <x:c r="H737" s="2" t="n">
        <x:v>1</x:v>
      </x:c>
      <x:c r="I737" s="2" t="n">
        <x:f>IF(AND(COUNTIFS($B$6:$B$797,B737,$C$6:$C$797,C737)=11,COUNTIFS($B$6:$B$797,B737,$C$6:$C$797,C737,$G$6:$G$797,"REVIEW")=0,COUNTIFS($B$6:$B$797,B737,$C$6:$C$797,C737,$H$6:$H$797,1)=11,COUNTIFS($B$6:$B$797,B737,$C$6:$C$797,C737,$F$6:$F$797,"&gt;0")=11),1,0)</x:f>
        <x:v>0</x:v>
      </x:c>
      <x:c r="J737" s="2" t="n">
        <x:f>COUNTIFS($A$6:$A$797,A737)</x:f>
        <x:v>1</x:v>
      </x:c>
    </x:row>
    <x:row r="738" ht="23" customHeight="1">
      <x:c r="A738" s="2" t="str">
        <x:v>62052000_PK_202601_IMPORT</x:v>
      </x:c>
      <x:c r="B738" s="2" t="n">
        <x:v>202601</x:v>
      </x:c>
      <x:c r="C738" s="2" t="str">
        <x:v>62052000</x:v>
      </x:c>
      <x:c r="D738" s="2" t="str">
        <x:v>Pakistan</x:v>
      </x:c>
      <x:c r="E738" s="16" t="n">
        <x:v>118887</x:v>
      </x:c>
      <x:c r="F738" s="16" t="n">
        <x:v>8511</x:v>
      </x:c>
      <x:c r="G738" s="2" t="str">
        <x:v>WITHIN_BAND</x:v>
      </x:c>
      <x:c r="H738" s="2" t="n">
        <x:v>1</x:v>
      </x:c>
      <x:c r="I738" s="2" t="n">
        <x:f>IF(AND(COUNTIFS($B$6:$B$797,B738,$C$6:$C$797,C738)=11,COUNTIFS($B$6:$B$797,B738,$C$6:$C$797,C738,$G$6:$G$797,"REVIEW")=0,COUNTIFS($B$6:$B$797,B738,$C$6:$C$797,C738,$H$6:$H$797,1)=11,COUNTIFS($B$6:$B$797,B738,$C$6:$C$797,C738,$F$6:$F$797,"&gt;0")=11),1,0)</x:f>
        <x:v>0</x:v>
      </x:c>
      <x:c r="J738" s="2" t="n">
        <x:f>COUNTIFS($A$6:$A$797,A738)</x:f>
        <x:v>1</x:v>
      </x:c>
    </x:row>
    <x:row r="739" ht="23" customHeight="1">
      <x:c r="A739" s="2" t="str">
        <x:v>62052000_LK_202601_IMPORT</x:v>
      </x:c>
      <x:c r="B739" s="2" t="n">
        <x:v>202601</x:v>
      </x:c>
      <x:c r="C739" s="2" t="str">
        <x:v>62052000</x:v>
      </x:c>
      <x:c r="D739" s="2" t="str">
        <x:v>Sri Lanka</x:v>
      </x:c>
      <x:c r="E739" s="16" t="n">
        <x:v>263759</x:v>
      </x:c>
      <x:c r="F739" s="16" t="n">
        <x:v>13563</x:v>
      </x:c>
      <x:c r="G739" s="2" t="str">
        <x:v>WITHIN_BAND</x:v>
      </x:c>
      <x:c r="H739" s="2" t="n">
        <x:v>1</x:v>
      </x:c>
      <x:c r="I739" s="2" t="n">
        <x:f>IF(AND(COUNTIFS($B$6:$B$797,B739,$C$6:$C$797,C739)=11,COUNTIFS($B$6:$B$797,B739,$C$6:$C$797,C739,$G$6:$G$797,"REVIEW")=0,COUNTIFS($B$6:$B$797,B739,$C$6:$C$797,C739,$H$6:$H$797,1)=11,COUNTIFS($B$6:$B$797,B739,$C$6:$C$797,C739,$F$6:$F$797,"&gt;0")=11),1,0)</x:f>
        <x:v>0</x:v>
      </x:c>
      <x:c r="J739" s="2" t="n">
        <x:f>COUNTIFS($A$6:$A$797,A739)</x:f>
        <x:v>1</x:v>
      </x:c>
    </x:row>
    <x:row r="740" ht="23" customHeight="1">
      <x:c r="A740" s="2" t="str">
        <x:v>62052000_TR_202601_IMPORT</x:v>
      </x:c>
      <x:c r="B740" s="2" t="n">
        <x:v>202601</x:v>
      </x:c>
      <x:c r="C740" s="2" t="str">
        <x:v>62052000</x:v>
      </x:c>
      <x:c r="D740" s="2" t="str">
        <x:v>Turkey</x:v>
      </x:c>
      <x:c r="E740" s="16" t="n">
        <x:v>1117606</x:v>
      </x:c>
      <x:c r="F740" s="16" t="n">
        <x:v>28291</x:v>
      </x:c>
      <x:c r="G740" s="2" t="str">
        <x:v>WITHIN_BAND</x:v>
      </x:c>
      <x:c r="H740" s="2" t="n">
        <x:v>1</x:v>
      </x:c>
      <x:c r="I740" s="2" t="n">
        <x:f>IF(AND(COUNTIFS($B$6:$B$797,B740,$C$6:$C$797,C740)=11,COUNTIFS($B$6:$B$797,B740,$C$6:$C$797,C740,$G$6:$G$797,"REVIEW")=0,COUNTIFS($B$6:$B$797,B740,$C$6:$C$797,C740,$H$6:$H$797,1)=11,COUNTIFS($B$6:$B$797,B740,$C$6:$C$797,C740,$F$6:$F$797,"&gt;0")=11),1,0)</x:f>
        <x:v>0</x:v>
      </x:c>
      <x:c r="J740" s="2" t="n">
        <x:f>COUNTIFS($A$6:$A$797,A740)</x:f>
        <x:v>1</x:v>
      </x:c>
    </x:row>
    <x:row r="741" ht="23" customHeight="1">
      <x:c r="A741" s="2" t="str">
        <x:v>62052000_VN_202601_IMPORT</x:v>
      </x:c>
      <x:c r="B741" s="2" t="n">
        <x:v>202601</x:v>
      </x:c>
      <x:c r="C741" s="2" t="str">
        <x:v>62052000</x:v>
      </x:c>
      <x:c r="D741" s="2" t="str">
        <x:v>Vietnam</x:v>
      </x:c>
      <x:c r="E741" s="16" t="n">
        <x:v>1188753</x:v>
      </x:c>
      <x:c r="F741" s="16" t="n">
        <x:v>40326</x:v>
      </x:c>
      <x:c r="G741" s="2" t="str">
        <x:v>WITHIN_BAND</x:v>
      </x:c>
      <x:c r="H741" s="2" t="n">
        <x:v>1</x:v>
      </x:c>
      <x:c r="I741" s="2" t="n">
        <x:f>IF(AND(COUNTIFS($B$6:$B$797,B741,$C$6:$C$797,C741)=11,COUNTIFS($B$6:$B$797,B741,$C$6:$C$797,C741,$G$6:$G$797,"REVIEW")=0,COUNTIFS($B$6:$B$797,B741,$C$6:$C$797,C741,$H$6:$H$797,1)=11,COUNTIFS($B$6:$B$797,B741,$C$6:$C$797,C741,$F$6:$F$797,"&gt;0")=11),1,0)</x:f>
        <x:v>0</x:v>
      </x:c>
      <x:c r="J741" s="2" t="n">
        <x:f>COUNTIFS($A$6:$A$797,A741)</x:f>
        <x:v>1</x:v>
      </x:c>
    </x:row>
    <x:row r="742" ht="23" customHeight="1">
      <x:c r="A742" s="2" t="str">
        <x:v>62052000_WORLD_202601_IMPORT</x:v>
      </x:c>
      <x:c r="B742" s="2" t="n">
        <x:v>202601</x:v>
      </x:c>
      <x:c r="C742" s="2" t="str">
        <x:v>62052000</x:v>
      </x:c>
      <x:c r="D742" s="2" t="str">
        <x:v>World</x:v>
      </x:c>
      <x:c r="E742" s="16" t="n">
        <x:v>18955486</x:v>
      </x:c>
      <x:c r="F742" s="16" t="n">
        <x:v>678833</x:v>
      </x:c>
      <x:c r="G742" s="2" t="str">
        <x:v>WITHIN_BAND</x:v>
      </x:c>
      <x:c r="H742" s="2" t="n">
        <x:v>1</x:v>
      </x:c>
      <x:c r="I742" s="2" t="n">
        <x:f>IF(AND(COUNTIFS($B$6:$B$797,B742,$C$6:$C$797,C742)=11,COUNTIFS($B$6:$B$797,B742,$C$6:$C$797,C742,$G$6:$G$797,"REVIEW")=0,COUNTIFS($B$6:$B$797,B742,$C$6:$C$797,C742,$H$6:$H$797,1)=11,COUNTIFS($B$6:$B$797,B742,$C$6:$C$797,C742,$F$6:$F$797,"&gt;0")=11),1,0)</x:f>
        <x:v>0</x:v>
      </x:c>
      <x:c r="J742" s="2" t="n">
        <x:f>COUNTIFS($A$6:$A$797,A742)</x:f>
        <x:v>1</x:v>
      </x:c>
    </x:row>
    <x:row r="743" ht="23" customHeight="1">
      <x:c r="A743" s="2" t="str">
        <x:v>62052000_BD_202602_IMPORT</x:v>
      </x:c>
      <x:c r="B743" s="2" t="n">
        <x:v>202602</x:v>
      </x:c>
      <x:c r="C743" s="2" t="str">
        <x:v>62052000</x:v>
      </x:c>
      <x:c r="D743" s="2" t="str">
        <x:v>Bangladesh</x:v>
      </x:c>
      <x:c r="E743" s="16" t="n">
        <x:v>6426648</x:v>
      </x:c>
      <x:c r="F743" s="16" t="n">
        <x:v>373145</x:v>
      </x:c>
      <x:c r="G743" s="2" t="str">
        <x:v>WITHIN_BAND</x:v>
      </x:c>
      <x:c r="H743" s="2" t="n">
        <x:v>1</x:v>
      </x:c>
      <x:c r="I743" s="2" t="n">
        <x:f>IF(AND(COUNTIFS($B$6:$B$797,B743,$C$6:$C$797,C743)=11,COUNTIFS($B$6:$B$797,B743,$C$6:$C$797,C743,$G$6:$G$797,"REVIEW")=0,COUNTIFS($B$6:$B$797,B743,$C$6:$C$797,C743,$H$6:$H$797,1)=11,COUNTIFS($B$6:$B$797,B743,$C$6:$C$797,C743,$F$6:$F$797,"&gt;0")=11),1,0)</x:f>
        <x:v>1</x:v>
      </x:c>
      <x:c r="J743" s="2" t="n">
        <x:f>COUNTIFS($A$6:$A$797,A743)</x:f>
        <x:v>1</x:v>
      </x:c>
    </x:row>
    <x:row r="744" ht="23" customHeight="1">
      <x:c r="A744" s="2" t="str">
        <x:v>62052000_KH_202602_IMPORT</x:v>
      </x:c>
      <x:c r="B744" s="2" t="n">
        <x:v>202602</x:v>
      </x:c>
      <x:c r="C744" s="2" t="str">
        <x:v>62052000</x:v>
      </x:c>
      <x:c r="D744" s="2" t="str">
        <x:v>Cambodia</x:v>
      </x:c>
      <x:c r="E744" s="16" t="n">
        <x:v>1114957</x:v>
      </x:c>
      <x:c r="F744" s="16" t="n">
        <x:v>54447</x:v>
      </x:c>
      <x:c r="G744" s="2" t="str">
        <x:v>WITHIN_BAND</x:v>
      </x:c>
      <x:c r="H744" s="2" t="n">
        <x:v>1</x:v>
      </x:c>
      <x:c r="I744" s="2" t="n">
        <x:f>IF(AND(COUNTIFS($B$6:$B$797,B744,$C$6:$C$797,C744)=11,COUNTIFS($B$6:$B$797,B744,$C$6:$C$797,C744,$G$6:$G$797,"REVIEW")=0,COUNTIFS($B$6:$B$797,B744,$C$6:$C$797,C744,$H$6:$H$797,1)=11,COUNTIFS($B$6:$B$797,B744,$C$6:$C$797,C744,$F$6:$F$797,"&gt;0")=11),1,0)</x:f>
        <x:v>1</x:v>
      </x:c>
      <x:c r="J744" s="2" t="n">
        <x:f>COUNTIFS($A$6:$A$797,A744)</x:f>
        <x:v>1</x:v>
      </x:c>
    </x:row>
    <x:row r="745" ht="23" customHeight="1">
      <x:c r="A745" s="2" t="str">
        <x:v>62052000_CN_202602_IMPORT</x:v>
      </x:c>
      <x:c r="B745" s="2" t="n">
        <x:v>202602</x:v>
      </x:c>
      <x:c r="C745" s="2" t="str">
        <x:v>62052000</x:v>
      </x:c>
      <x:c r="D745" s="2" t="str">
        <x:v>China</x:v>
      </x:c>
      <x:c r="E745" s="16" t="n">
        <x:v>1102656</x:v>
      </x:c>
      <x:c r="F745" s="16" t="n">
        <x:v>46879</x:v>
      </x:c>
      <x:c r="G745" s="2" t="str">
        <x:v>WITHIN_BAND</x:v>
      </x:c>
      <x:c r="H745" s="2" t="n">
        <x:v>1</x:v>
      </x:c>
      <x:c r="I745" s="2" t="n">
        <x:f>IF(AND(COUNTIFS($B$6:$B$797,B745,$C$6:$C$797,C745)=11,COUNTIFS($B$6:$B$797,B745,$C$6:$C$797,C745,$G$6:$G$797,"REVIEW")=0,COUNTIFS($B$6:$B$797,B745,$C$6:$C$797,C745,$H$6:$H$797,1)=11,COUNTIFS($B$6:$B$797,B745,$C$6:$C$797,C745,$F$6:$F$797,"&gt;0")=11),1,0)</x:f>
        <x:v>1</x:v>
      </x:c>
      <x:c r="J745" s="2" t="n">
        <x:f>COUNTIFS($A$6:$A$797,A745)</x:f>
        <x:v>1</x:v>
      </x:c>
    </x:row>
    <x:row r="746" ht="23" customHeight="1">
      <x:c r="A746" s="2" t="str">
        <x:v>62052000_IN_202602_IMPORT</x:v>
      </x:c>
      <x:c r="B746" s="2" t="n">
        <x:v>202602</x:v>
      </x:c>
      <x:c r="C746" s="2" t="str">
        <x:v>62052000</x:v>
      </x:c>
      <x:c r="D746" s="2" t="str">
        <x:v>India</x:v>
      </x:c>
      <x:c r="E746" s="16" t="n">
        <x:v>3055628</x:v>
      </x:c>
      <x:c r="F746" s="16" t="n">
        <x:v>138365</x:v>
      </x:c>
      <x:c r="G746" s="2" t="str">
        <x:v>WITHIN_BAND</x:v>
      </x:c>
      <x:c r="H746" s="2" t="n">
        <x:v>1</x:v>
      </x:c>
      <x:c r="I746" s="2" t="n">
        <x:f>IF(AND(COUNTIFS($B$6:$B$797,B746,$C$6:$C$797,C746)=11,COUNTIFS($B$6:$B$797,B746,$C$6:$C$797,C746,$G$6:$G$797,"REVIEW")=0,COUNTIFS($B$6:$B$797,B746,$C$6:$C$797,C746,$H$6:$H$797,1)=11,COUNTIFS($B$6:$B$797,B746,$C$6:$C$797,C746,$F$6:$F$797,"&gt;0")=11),1,0)</x:f>
        <x:v>1</x:v>
      </x:c>
      <x:c r="J746" s="2" t="n">
        <x:f>COUNTIFS($A$6:$A$797,A746)</x:f>
        <x:v>1</x:v>
      </x:c>
    </x:row>
    <x:row r="747" ht="23" customHeight="1">
      <x:c r="A747" s="2" t="str">
        <x:v>62052000_MA_202602_IMPORT</x:v>
      </x:c>
      <x:c r="B747" s="2" t="n">
        <x:v>202602</x:v>
      </x:c>
      <x:c r="C747" s="2" t="str">
        <x:v>62052000</x:v>
      </x:c>
      <x:c r="D747" s="2" t="str">
        <x:v>Morocco</x:v>
      </x:c>
      <x:c r="E747" s="16" t="n">
        <x:v>63732</x:v>
      </x:c>
      <x:c r="F747" s="16" t="n">
        <x:v>1819</x:v>
      </x:c>
      <x:c r="G747" s="2" t="str">
        <x:v>WITHIN_BAND</x:v>
      </x:c>
      <x:c r="H747" s="2" t="n">
        <x:v>1</x:v>
      </x:c>
      <x:c r="I747" s="2" t="n">
        <x:f>IF(AND(COUNTIFS($B$6:$B$797,B747,$C$6:$C$797,C747)=11,COUNTIFS($B$6:$B$797,B747,$C$6:$C$797,C747,$G$6:$G$797,"REVIEW")=0,COUNTIFS($B$6:$B$797,B747,$C$6:$C$797,C747,$H$6:$H$797,1)=11,COUNTIFS($B$6:$B$797,B747,$C$6:$C$797,C747,$F$6:$F$797,"&gt;0")=11),1,0)</x:f>
        <x:v>1</x:v>
      </x:c>
      <x:c r="J747" s="2" t="n">
        <x:f>COUNTIFS($A$6:$A$797,A747)</x:f>
        <x:v>1</x:v>
      </x:c>
    </x:row>
    <x:row r="748" ht="23" customHeight="1">
      <x:c r="A748" s="2" t="str">
        <x:v>62052000_MM_202602_IMPORT</x:v>
      </x:c>
      <x:c r="B748" s="2" t="n">
        <x:v>202602</x:v>
      </x:c>
      <x:c r="C748" s="2" t="str">
        <x:v>62052000</x:v>
      </x:c>
      <x:c r="D748" s="2" t="str">
        <x:v>Myanmar</x:v>
      </x:c>
      <x:c r="E748" s="16" t="n">
        <x:v>72733</x:v>
      </x:c>
      <x:c r="F748" s="16" t="n">
        <x:v>3710</x:v>
      </x:c>
      <x:c r="G748" s="2" t="str">
        <x:v>WITHIN_BAND</x:v>
      </x:c>
      <x:c r="H748" s="2" t="n">
        <x:v>1</x:v>
      </x:c>
      <x:c r="I748" s="2" t="n">
        <x:f>IF(AND(COUNTIFS($B$6:$B$797,B748,$C$6:$C$797,C748)=11,COUNTIFS($B$6:$B$797,B748,$C$6:$C$797,C748,$G$6:$G$797,"REVIEW")=0,COUNTIFS($B$6:$B$797,B748,$C$6:$C$797,C748,$H$6:$H$797,1)=11,COUNTIFS($B$6:$B$797,B748,$C$6:$C$797,C748,$F$6:$F$797,"&gt;0")=11),1,0)</x:f>
        <x:v>1</x:v>
      </x:c>
      <x:c r="J748" s="2" t="n">
        <x:f>COUNTIFS($A$6:$A$797,A748)</x:f>
        <x:v>1</x:v>
      </x:c>
    </x:row>
    <x:row r="749" ht="23" customHeight="1">
      <x:c r="A749" s="2" t="str">
        <x:v>62052000_PK_202602_IMPORT</x:v>
      </x:c>
      <x:c r="B749" s="2" t="n">
        <x:v>202602</x:v>
      </x:c>
      <x:c r="C749" s="2" t="str">
        <x:v>62052000</x:v>
      </x:c>
      <x:c r="D749" s="2" t="str">
        <x:v>Pakistan</x:v>
      </x:c>
      <x:c r="E749" s="16" t="n">
        <x:v>55286</x:v>
      </x:c>
      <x:c r="F749" s="16" t="n">
        <x:v>4655</x:v>
      </x:c>
      <x:c r="G749" s="2" t="str">
        <x:v>WITHIN_BAND</x:v>
      </x:c>
      <x:c r="H749" s="2" t="n">
        <x:v>1</x:v>
      </x:c>
      <x:c r="I749" s="2" t="n">
        <x:f>IF(AND(COUNTIFS($B$6:$B$797,B749,$C$6:$C$797,C749)=11,COUNTIFS($B$6:$B$797,B749,$C$6:$C$797,C749,$G$6:$G$797,"REVIEW")=0,COUNTIFS($B$6:$B$797,B749,$C$6:$C$797,C749,$H$6:$H$797,1)=11,COUNTIFS($B$6:$B$797,B749,$C$6:$C$797,C749,$F$6:$F$797,"&gt;0")=11),1,0)</x:f>
        <x:v>1</x:v>
      </x:c>
      <x:c r="J749" s="2" t="n">
        <x:f>COUNTIFS($A$6:$A$797,A749)</x:f>
        <x:v>1</x:v>
      </x:c>
    </x:row>
    <x:row r="750" ht="23" customHeight="1">
      <x:c r="A750" s="2" t="str">
        <x:v>62052000_LK_202602_IMPORT</x:v>
      </x:c>
      <x:c r="B750" s="2" t="n">
        <x:v>202602</x:v>
      </x:c>
      <x:c r="C750" s="2" t="str">
        <x:v>62052000</x:v>
      </x:c>
      <x:c r="D750" s="2" t="str">
        <x:v>Sri Lanka</x:v>
      </x:c>
      <x:c r="E750" s="16" t="n">
        <x:v>372800</x:v>
      </x:c>
      <x:c r="F750" s="16" t="n">
        <x:v>15552</x:v>
      </x:c>
      <x:c r="G750" s="2" t="str">
        <x:v>WITHIN_BAND</x:v>
      </x:c>
      <x:c r="H750" s="2" t="n">
        <x:v>1</x:v>
      </x:c>
      <x:c r="I750" s="2" t="n">
        <x:f>IF(AND(COUNTIFS($B$6:$B$797,B750,$C$6:$C$797,C750)=11,COUNTIFS($B$6:$B$797,B750,$C$6:$C$797,C750,$G$6:$G$797,"REVIEW")=0,COUNTIFS($B$6:$B$797,B750,$C$6:$C$797,C750,$H$6:$H$797,1)=11,COUNTIFS($B$6:$B$797,B750,$C$6:$C$797,C750,$F$6:$F$797,"&gt;0")=11),1,0)</x:f>
        <x:v>1</x:v>
      </x:c>
      <x:c r="J750" s="2" t="n">
        <x:f>COUNTIFS($A$6:$A$797,A750)</x:f>
        <x:v>1</x:v>
      </x:c>
    </x:row>
    <x:row r="751" ht="23" customHeight="1">
      <x:c r="A751" s="2" t="str">
        <x:v>62052000_TR_202602_IMPORT</x:v>
      </x:c>
      <x:c r="B751" s="2" t="n">
        <x:v>202602</x:v>
      </x:c>
      <x:c r="C751" s="2" t="str">
        <x:v>62052000</x:v>
      </x:c>
      <x:c r="D751" s="2" t="str">
        <x:v>Turkey</x:v>
      </x:c>
      <x:c r="E751" s="16" t="n">
        <x:v>907564</x:v>
      </x:c>
      <x:c r="F751" s="16" t="n">
        <x:v>23374</x:v>
      </x:c>
      <x:c r="G751" s="2" t="str">
        <x:v>WITHIN_BAND</x:v>
      </x:c>
      <x:c r="H751" s="2" t="n">
        <x:v>1</x:v>
      </x:c>
      <x:c r="I751" s="2" t="n">
        <x:f>IF(AND(COUNTIFS($B$6:$B$797,B751,$C$6:$C$797,C751)=11,COUNTIFS($B$6:$B$797,B751,$C$6:$C$797,C751,$G$6:$G$797,"REVIEW")=0,COUNTIFS($B$6:$B$797,B751,$C$6:$C$797,C751,$H$6:$H$797,1)=11,COUNTIFS($B$6:$B$797,B751,$C$6:$C$797,C751,$F$6:$F$797,"&gt;0")=11),1,0)</x:f>
        <x:v>1</x:v>
      </x:c>
      <x:c r="J751" s="2" t="n">
        <x:f>COUNTIFS($A$6:$A$797,A751)</x:f>
        <x:v>1</x:v>
      </x:c>
    </x:row>
    <x:row r="752" ht="23" customHeight="1">
      <x:c r="A752" s="2" t="str">
        <x:v>62052000_VN_202602_IMPORT</x:v>
      </x:c>
      <x:c r="B752" s="2" t="n">
        <x:v>202602</x:v>
      </x:c>
      <x:c r="C752" s="2" t="str">
        <x:v>62052000</x:v>
      </x:c>
      <x:c r="D752" s="2" t="str">
        <x:v>Vietnam</x:v>
      </x:c>
      <x:c r="E752" s="16" t="n">
        <x:v>1342210</x:v>
      </x:c>
      <x:c r="F752" s="16" t="n">
        <x:v>46772</x:v>
      </x:c>
      <x:c r="G752" s="2" t="str">
        <x:v>WITHIN_BAND</x:v>
      </x:c>
      <x:c r="H752" s="2" t="n">
        <x:v>1</x:v>
      </x:c>
      <x:c r="I752" s="2" t="n">
        <x:f>IF(AND(COUNTIFS($B$6:$B$797,B752,$C$6:$C$797,C752)=11,COUNTIFS($B$6:$B$797,B752,$C$6:$C$797,C752,$G$6:$G$797,"REVIEW")=0,COUNTIFS($B$6:$B$797,B752,$C$6:$C$797,C752,$H$6:$H$797,1)=11,COUNTIFS($B$6:$B$797,B752,$C$6:$C$797,C752,$F$6:$F$797,"&gt;0")=11),1,0)</x:f>
        <x:v>1</x:v>
      </x:c>
      <x:c r="J752" s="2" t="n">
        <x:f>COUNTIFS($A$6:$A$797,A752)</x:f>
        <x:v>1</x:v>
      </x:c>
    </x:row>
    <x:row r="753" ht="23" customHeight="1">
      <x:c r="A753" s="2" t="str">
        <x:v>62052000_WORLD_202602_IMPORT</x:v>
      </x:c>
      <x:c r="B753" s="2" t="n">
        <x:v>202602</x:v>
      </x:c>
      <x:c r="C753" s="2" t="str">
        <x:v>62052000</x:v>
      </x:c>
      <x:c r="D753" s="2" t="str">
        <x:v>World</x:v>
      </x:c>
      <x:c r="E753" s="16" t="n">
        <x:v>21330779</x:v>
      </x:c>
      <x:c r="F753" s="16" t="n">
        <x:v>808655</x:v>
      </x:c>
      <x:c r="G753" s="2" t="str">
        <x:v>WITHIN_BAND</x:v>
      </x:c>
      <x:c r="H753" s="2" t="n">
        <x:v>1</x:v>
      </x:c>
      <x:c r="I753" s="2" t="n">
        <x:f>IF(AND(COUNTIFS($B$6:$B$797,B753,$C$6:$C$797,C753)=11,COUNTIFS($B$6:$B$797,B753,$C$6:$C$797,C753,$G$6:$G$797,"REVIEW")=0,COUNTIFS($B$6:$B$797,B753,$C$6:$C$797,C753,$H$6:$H$797,1)=11,COUNTIFS($B$6:$B$797,B753,$C$6:$C$797,C753,$F$6:$F$797,"&gt;0")=11),1,0)</x:f>
        <x:v>1</x:v>
      </x:c>
      <x:c r="J753" s="2" t="n">
        <x:f>COUNTIFS($A$6:$A$797,A753)</x:f>
        <x:v>1</x:v>
      </x:c>
    </x:row>
    <x:row r="754" ht="23" customHeight="1">
      <x:c r="A754" s="2" t="str">
        <x:v>62052000_BD_202603_IMPORT</x:v>
      </x:c>
      <x:c r="B754" s="2" t="n">
        <x:v>202603</x:v>
      </x:c>
      <x:c r="C754" s="2" t="str">
        <x:v>62052000</x:v>
      </x:c>
      <x:c r="D754" s="2" t="str">
        <x:v>Bangladesh</x:v>
      </x:c>
      <x:c r="E754" s="16" t="n">
        <x:v>7183022</x:v>
      </x:c>
      <x:c r="F754" s="16" t="n">
        <x:v>432618</x:v>
      </x:c>
      <x:c r="G754" s="2" t="str">
        <x:v>WITHIN_BAND</x:v>
      </x:c>
      <x:c r="H754" s="2" t="n">
        <x:v>1</x:v>
      </x:c>
      <x:c r="I754" s="2" t="n">
        <x:f>IF(AND(COUNTIFS($B$6:$B$797,B754,$C$6:$C$797,C754)=11,COUNTIFS($B$6:$B$797,B754,$C$6:$C$797,C754,$G$6:$G$797,"REVIEW")=0,COUNTIFS($B$6:$B$797,B754,$C$6:$C$797,C754,$H$6:$H$797,1)=11,COUNTIFS($B$6:$B$797,B754,$C$6:$C$797,C754,$F$6:$F$797,"&gt;0")=11),1,0)</x:f>
        <x:v>1</x:v>
      </x:c>
      <x:c r="J754" s="2" t="n">
        <x:f>COUNTIFS($A$6:$A$797,A754)</x:f>
        <x:v>1</x:v>
      </x:c>
    </x:row>
    <x:row r="755" ht="23" customHeight="1">
      <x:c r="A755" s="2" t="str">
        <x:v>62052000_KH_202603_IMPORT</x:v>
      </x:c>
      <x:c r="B755" s="2" t="n">
        <x:v>202603</x:v>
      </x:c>
      <x:c r="C755" s="2" t="str">
        <x:v>62052000</x:v>
      </x:c>
      <x:c r="D755" s="2" t="str">
        <x:v>Cambodia</x:v>
      </x:c>
      <x:c r="E755" s="16" t="n">
        <x:v>491911</x:v>
      </x:c>
      <x:c r="F755" s="16" t="n">
        <x:v>27026</x:v>
      </x:c>
      <x:c r="G755" s="2" t="str">
        <x:v>WITHIN_BAND</x:v>
      </x:c>
      <x:c r="H755" s="2" t="n">
        <x:v>1</x:v>
      </x:c>
      <x:c r="I755" s="2" t="n">
        <x:f>IF(AND(COUNTIFS($B$6:$B$797,B755,$C$6:$C$797,C755)=11,COUNTIFS($B$6:$B$797,B755,$C$6:$C$797,C755,$G$6:$G$797,"REVIEW")=0,COUNTIFS($B$6:$B$797,B755,$C$6:$C$797,C755,$H$6:$H$797,1)=11,COUNTIFS($B$6:$B$797,B755,$C$6:$C$797,C755,$F$6:$F$797,"&gt;0")=11),1,0)</x:f>
        <x:v>1</x:v>
      </x:c>
      <x:c r="J755" s="2" t="n">
        <x:f>COUNTIFS($A$6:$A$797,A755)</x:f>
        <x:v>1</x:v>
      </x:c>
    </x:row>
    <x:row r="756" ht="23" customHeight="1">
      <x:c r="A756" s="2" t="str">
        <x:v>62052000_CN_202603_IMPORT</x:v>
      </x:c>
      <x:c r="B756" s="2" t="n">
        <x:v>202603</x:v>
      </x:c>
      <x:c r="C756" s="2" t="str">
        <x:v>62052000</x:v>
      </x:c>
      <x:c r="D756" s="2" t="str">
        <x:v>China</x:v>
      </x:c>
      <x:c r="E756" s="16" t="n">
        <x:v>804232</x:v>
      </x:c>
      <x:c r="F756" s="16" t="n">
        <x:v>41873</x:v>
      </x:c>
      <x:c r="G756" s="2" t="str">
        <x:v>WITHIN_BAND</x:v>
      </x:c>
      <x:c r="H756" s="2" t="n">
        <x:v>1</x:v>
      </x:c>
      <x:c r="I756" s="2" t="n">
        <x:f>IF(AND(COUNTIFS($B$6:$B$797,B756,$C$6:$C$797,C756)=11,COUNTIFS($B$6:$B$797,B756,$C$6:$C$797,C756,$G$6:$G$797,"REVIEW")=0,COUNTIFS($B$6:$B$797,B756,$C$6:$C$797,C756,$H$6:$H$797,1)=11,COUNTIFS($B$6:$B$797,B756,$C$6:$C$797,C756,$F$6:$F$797,"&gt;0")=11),1,0)</x:f>
        <x:v>1</x:v>
      </x:c>
      <x:c r="J756" s="2" t="n">
        <x:f>COUNTIFS($A$6:$A$797,A756)</x:f>
        <x:v>1</x:v>
      </x:c>
    </x:row>
    <x:row r="757" ht="23" customHeight="1">
      <x:c r="A757" s="2" t="str">
        <x:v>62052000_IN_202603_IMPORT</x:v>
      </x:c>
      <x:c r="B757" s="2" t="n">
        <x:v>202603</x:v>
      </x:c>
      <x:c r="C757" s="2" t="str">
        <x:v>62052000</x:v>
      </x:c>
      <x:c r="D757" s="2" t="str">
        <x:v>India</x:v>
      </x:c>
      <x:c r="E757" s="16" t="n">
        <x:v>2142796</x:v>
      </x:c>
      <x:c r="F757" s="16" t="n">
        <x:v>103542</x:v>
      </x:c>
      <x:c r="G757" s="2" t="str">
        <x:v>WITHIN_BAND</x:v>
      </x:c>
      <x:c r="H757" s="2" t="n">
        <x:v>1</x:v>
      </x:c>
      <x:c r="I757" s="2" t="n">
        <x:f>IF(AND(COUNTIFS($B$6:$B$797,B757,$C$6:$C$797,C757)=11,COUNTIFS($B$6:$B$797,B757,$C$6:$C$797,C757,$G$6:$G$797,"REVIEW")=0,COUNTIFS($B$6:$B$797,B757,$C$6:$C$797,C757,$H$6:$H$797,1)=11,COUNTIFS($B$6:$B$797,B757,$C$6:$C$797,C757,$F$6:$F$797,"&gt;0")=11),1,0)</x:f>
        <x:v>1</x:v>
      </x:c>
      <x:c r="J757" s="2" t="n">
        <x:f>COUNTIFS($A$6:$A$797,A757)</x:f>
        <x:v>1</x:v>
      </x:c>
    </x:row>
    <x:row r="758" ht="23" customHeight="1">
      <x:c r="A758" s="2" t="str">
        <x:v>62052000_MA_202603_IMPORT</x:v>
      </x:c>
      <x:c r="B758" s="2" t="n">
        <x:v>202603</x:v>
      </x:c>
      <x:c r="C758" s="2" t="str">
        <x:v>62052000</x:v>
      </x:c>
      <x:c r="D758" s="2" t="str">
        <x:v>Morocco</x:v>
      </x:c>
      <x:c r="E758" s="16" t="n">
        <x:v>53697</x:v>
      </x:c>
      <x:c r="F758" s="16" t="n">
        <x:v>993</x:v>
      </x:c>
      <x:c r="G758" s="2" t="str">
        <x:v>WITHIN_BAND</x:v>
      </x:c>
      <x:c r="H758" s="2" t="n">
        <x:v>1</x:v>
      </x:c>
      <x:c r="I758" s="2" t="n">
        <x:f>IF(AND(COUNTIFS($B$6:$B$797,B758,$C$6:$C$797,C758)=11,COUNTIFS($B$6:$B$797,B758,$C$6:$C$797,C758,$G$6:$G$797,"REVIEW")=0,COUNTIFS($B$6:$B$797,B758,$C$6:$C$797,C758,$H$6:$H$797,1)=11,COUNTIFS($B$6:$B$797,B758,$C$6:$C$797,C758,$F$6:$F$797,"&gt;0")=11),1,0)</x:f>
        <x:v>1</x:v>
      </x:c>
      <x:c r="J758" s="2" t="n">
        <x:f>COUNTIFS($A$6:$A$797,A758)</x:f>
        <x:v>1</x:v>
      </x:c>
    </x:row>
    <x:row r="759" ht="23" customHeight="1">
      <x:c r="A759" s="2" t="str">
        <x:v>62052000_MM_202603_IMPORT</x:v>
      </x:c>
      <x:c r="B759" s="2" t="n">
        <x:v>202603</x:v>
      </x:c>
      <x:c r="C759" s="2" t="str">
        <x:v>62052000</x:v>
      </x:c>
      <x:c r="D759" s="2" t="str">
        <x:v>Myanmar</x:v>
      </x:c>
      <x:c r="E759" s="16" t="n">
        <x:v>69675</x:v>
      </x:c>
      <x:c r="F759" s="16" t="n">
        <x:v>5010</x:v>
      </x:c>
      <x:c r="G759" s="2" t="str">
        <x:v>WITHIN_BAND</x:v>
      </x:c>
      <x:c r="H759" s="2" t="n">
        <x:v>1</x:v>
      </x:c>
      <x:c r="I759" s="2" t="n">
        <x:f>IF(AND(COUNTIFS($B$6:$B$797,B759,$C$6:$C$797,C759)=11,COUNTIFS($B$6:$B$797,B759,$C$6:$C$797,C759,$G$6:$G$797,"REVIEW")=0,COUNTIFS($B$6:$B$797,B759,$C$6:$C$797,C759,$H$6:$H$797,1)=11,COUNTIFS($B$6:$B$797,B759,$C$6:$C$797,C759,$F$6:$F$797,"&gt;0")=11),1,0)</x:f>
        <x:v>1</x:v>
      </x:c>
      <x:c r="J759" s="2" t="n">
        <x:f>COUNTIFS($A$6:$A$797,A759)</x:f>
        <x:v>1</x:v>
      </x:c>
    </x:row>
    <x:row r="760" ht="23" customHeight="1">
      <x:c r="A760" s="2" t="str">
        <x:v>62052000_PK_202603_IMPORT</x:v>
      </x:c>
      <x:c r="B760" s="2" t="n">
        <x:v>202603</x:v>
      </x:c>
      <x:c r="C760" s="2" t="str">
        <x:v>62052000</x:v>
      </x:c>
      <x:c r="D760" s="2" t="str">
        <x:v>Pakistan</x:v>
      </x:c>
      <x:c r="E760" s="16" t="n">
        <x:v>34937</x:v>
      </x:c>
      <x:c r="F760" s="16" t="n">
        <x:v>4289</x:v>
      </x:c>
      <x:c r="G760" s="2" t="str">
        <x:v>WITHIN_BAND</x:v>
      </x:c>
      <x:c r="H760" s="2" t="n">
        <x:v>1</x:v>
      </x:c>
      <x:c r="I760" s="2" t="n">
        <x:f>IF(AND(COUNTIFS($B$6:$B$797,B760,$C$6:$C$797,C760)=11,COUNTIFS($B$6:$B$797,B760,$C$6:$C$797,C760,$G$6:$G$797,"REVIEW")=0,COUNTIFS($B$6:$B$797,B760,$C$6:$C$797,C760,$H$6:$H$797,1)=11,COUNTIFS($B$6:$B$797,B760,$C$6:$C$797,C760,$F$6:$F$797,"&gt;0")=11),1,0)</x:f>
        <x:v>1</x:v>
      </x:c>
      <x:c r="J760" s="2" t="n">
        <x:f>COUNTIFS($A$6:$A$797,A760)</x:f>
        <x:v>1</x:v>
      </x:c>
    </x:row>
    <x:row r="761" ht="23" customHeight="1">
      <x:c r="A761" s="2" t="str">
        <x:v>62052000_LK_202603_IMPORT</x:v>
      </x:c>
      <x:c r="B761" s="2" t="n">
        <x:v>202603</x:v>
      </x:c>
      <x:c r="C761" s="2" t="str">
        <x:v>62052000</x:v>
      </x:c>
      <x:c r="D761" s="2" t="str">
        <x:v>Sri Lanka</x:v>
      </x:c>
      <x:c r="E761" s="16" t="n">
        <x:v>230731</x:v>
      </x:c>
      <x:c r="F761" s="16" t="n">
        <x:v>15189</x:v>
      </x:c>
      <x:c r="G761" s="2" t="str">
        <x:v>WITHIN_BAND</x:v>
      </x:c>
      <x:c r="H761" s="2" t="n">
        <x:v>1</x:v>
      </x:c>
      <x:c r="I761" s="2" t="n">
        <x:f>IF(AND(COUNTIFS($B$6:$B$797,B761,$C$6:$C$797,C761)=11,COUNTIFS($B$6:$B$797,B761,$C$6:$C$797,C761,$G$6:$G$797,"REVIEW")=0,COUNTIFS($B$6:$B$797,B761,$C$6:$C$797,C761,$H$6:$H$797,1)=11,COUNTIFS($B$6:$B$797,B761,$C$6:$C$797,C761,$F$6:$F$797,"&gt;0")=11),1,0)</x:f>
        <x:v>1</x:v>
      </x:c>
      <x:c r="J761" s="2" t="n">
        <x:f>COUNTIFS($A$6:$A$797,A761)</x:f>
        <x:v>1</x:v>
      </x:c>
    </x:row>
    <x:row r="762" ht="23" customHeight="1">
      <x:c r="A762" s="2" t="str">
        <x:v>62052000_TR_202603_IMPORT</x:v>
      </x:c>
      <x:c r="B762" s="2" t="n">
        <x:v>202603</x:v>
      </x:c>
      <x:c r="C762" s="2" t="str">
        <x:v>62052000</x:v>
      </x:c>
      <x:c r="D762" s="2" t="str">
        <x:v>Turkey</x:v>
      </x:c>
      <x:c r="E762" s="16" t="n">
        <x:v>1104837</x:v>
      </x:c>
      <x:c r="F762" s="16" t="n">
        <x:v>26043</x:v>
      </x:c>
      <x:c r="G762" s="2" t="str">
        <x:v>WITHIN_BAND</x:v>
      </x:c>
      <x:c r="H762" s="2" t="n">
        <x:v>1</x:v>
      </x:c>
      <x:c r="I762" s="2" t="n">
        <x:f>IF(AND(COUNTIFS($B$6:$B$797,B762,$C$6:$C$797,C762)=11,COUNTIFS($B$6:$B$797,B762,$C$6:$C$797,C762,$G$6:$G$797,"REVIEW")=0,COUNTIFS($B$6:$B$797,B762,$C$6:$C$797,C762,$H$6:$H$797,1)=11,COUNTIFS($B$6:$B$797,B762,$C$6:$C$797,C762,$F$6:$F$797,"&gt;0")=11),1,0)</x:f>
        <x:v>1</x:v>
      </x:c>
      <x:c r="J762" s="2" t="n">
        <x:f>COUNTIFS($A$6:$A$797,A762)</x:f>
        <x:v>1</x:v>
      </x:c>
    </x:row>
    <x:row r="763" ht="23" customHeight="1">
      <x:c r="A763" s="2" t="str">
        <x:v>62052000_VN_202603_IMPORT</x:v>
      </x:c>
      <x:c r="B763" s="2" t="n">
        <x:v>202603</x:v>
      </x:c>
      <x:c r="C763" s="2" t="str">
        <x:v>62052000</x:v>
      </x:c>
      <x:c r="D763" s="2" t="str">
        <x:v>Vietnam</x:v>
      </x:c>
      <x:c r="E763" s="16" t="n">
        <x:v>936993</x:v>
      </x:c>
      <x:c r="F763" s="16" t="n">
        <x:v>33912</x:v>
      </x:c>
      <x:c r="G763" s="2" t="str">
        <x:v>WITHIN_BAND</x:v>
      </x:c>
      <x:c r="H763" s="2" t="n">
        <x:v>1</x:v>
      </x:c>
      <x:c r="I763" s="2" t="n">
        <x:f>IF(AND(COUNTIFS($B$6:$B$797,B763,$C$6:$C$797,C763)=11,COUNTIFS($B$6:$B$797,B763,$C$6:$C$797,C763,$G$6:$G$797,"REVIEW")=0,COUNTIFS($B$6:$B$797,B763,$C$6:$C$797,C763,$H$6:$H$797,1)=11,COUNTIFS($B$6:$B$797,B763,$C$6:$C$797,C763,$F$6:$F$797,"&gt;0")=11),1,0)</x:f>
        <x:v>1</x:v>
      </x:c>
      <x:c r="J763" s="2" t="n">
        <x:f>COUNTIFS($A$6:$A$797,A763)</x:f>
        <x:v>1</x:v>
      </x:c>
    </x:row>
    <x:row r="764" ht="23" customHeight="1">
      <x:c r="A764" s="2" t="str">
        <x:v>62052000_WORLD_202603_IMPORT</x:v>
      </x:c>
      <x:c r="B764" s="2" t="n">
        <x:v>202603</x:v>
      </x:c>
      <x:c r="C764" s="2" t="str">
        <x:v>62052000</x:v>
      </x:c>
      <x:c r="D764" s="2" t="str">
        <x:v>World</x:v>
      </x:c>
      <x:c r="E764" s="16" t="n">
        <x:v>20603018</x:v>
      </x:c>
      <x:c r="F764" s="16" t="n">
        <x:v>832618</x:v>
      </x:c>
      <x:c r="G764" s="2" t="str">
        <x:v>WITHIN_BAND</x:v>
      </x:c>
      <x:c r="H764" s="2" t="n">
        <x:v>1</x:v>
      </x:c>
      <x:c r="I764" s="2" t="n">
        <x:f>IF(AND(COUNTIFS($B$6:$B$797,B764,$C$6:$C$797,C764)=11,COUNTIFS($B$6:$B$797,B764,$C$6:$C$797,C764,$G$6:$G$797,"REVIEW")=0,COUNTIFS($B$6:$B$797,B764,$C$6:$C$797,C764,$H$6:$H$797,1)=11,COUNTIFS($B$6:$B$797,B764,$C$6:$C$797,C764,$F$6:$F$797,"&gt;0")=11),1,0)</x:f>
        <x:v>1</x:v>
      </x:c>
      <x:c r="J764" s="2" t="n">
        <x:f>COUNTIFS($A$6:$A$797,A764)</x:f>
        <x:v>1</x:v>
      </x:c>
    </x:row>
    <x:row r="765" ht="23" customHeight="1">
      <x:c r="A765" s="2" t="str">
        <x:v>62052000_BD_202604_IMPORT</x:v>
      </x:c>
      <x:c r="B765" s="2" t="n">
        <x:v>202604</x:v>
      </x:c>
      <x:c r="C765" s="2" t="str">
        <x:v>62052000</x:v>
      </x:c>
      <x:c r="D765" s="2" t="str">
        <x:v>Bangladesh</x:v>
      </x:c>
      <x:c r="E765" s="16" t="n">
        <x:v>7863304</x:v>
      </x:c>
      <x:c r="F765" s="16" t="n">
        <x:v>428101</x:v>
      </x:c>
      <x:c r="G765" s="2" t="str">
        <x:v>WITHIN_BAND</x:v>
      </x:c>
      <x:c r="H765" s="2" t="n">
        <x:v>1</x:v>
      </x:c>
      <x:c r="I765" s="2" t="n">
        <x:f>IF(AND(COUNTIFS($B$6:$B$797,B765,$C$6:$C$797,C765)=11,COUNTIFS($B$6:$B$797,B765,$C$6:$C$797,C765,$G$6:$G$797,"REVIEW")=0,COUNTIFS($B$6:$B$797,B765,$C$6:$C$797,C765,$H$6:$H$797,1)=11,COUNTIFS($B$6:$B$797,B765,$C$6:$C$797,C765,$F$6:$F$797,"&gt;0")=11),1,0)</x:f>
        <x:v>1</x:v>
      </x:c>
      <x:c r="J765" s="2" t="n">
        <x:f>COUNTIFS($A$6:$A$797,A765)</x:f>
        <x:v>1</x:v>
      </x:c>
    </x:row>
    <x:row r="766" ht="23" customHeight="1">
      <x:c r="A766" s="2" t="str">
        <x:v>62052000_KH_202604_IMPORT</x:v>
      </x:c>
      <x:c r="B766" s="2" t="n">
        <x:v>202604</x:v>
      </x:c>
      <x:c r="C766" s="2" t="str">
        <x:v>62052000</x:v>
      </x:c>
      <x:c r="D766" s="2" t="str">
        <x:v>Cambodia</x:v>
      </x:c>
      <x:c r="E766" s="16" t="n">
        <x:v>1213364</x:v>
      </x:c>
      <x:c r="F766" s="16" t="n">
        <x:v>48491</x:v>
      </x:c>
      <x:c r="G766" s="2" t="str">
        <x:v>WITHIN_BAND</x:v>
      </x:c>
      <x:c r="H766" s="2" t="n">
        <x:v>1</x:v>
      </x:c>
      <x:c r="I766" s="2" t="n">
        <x:f>IF(AND(COUNTIFS($B$6:$B$797,B766,$C$6:$C$797,C766)=11,COUNTIFS($B$6:$B$797,B766,$C$6:$C$797,C766,$G$6:$G$797,"REVIEW")=0,COUNTIFS($B$6:$B$797,B766,$C$6:$C$797,C766,$H$6:$H$797,1)=11,COUNTIFS($B$6:$B$797,B766,$C$6:$C$797,C766,$F$6:$F$797,"&gt;0")=11),1,0)</x:f>
        <x:v>1</x:v>
      </x:c>
      <x:c r="J766" s="2" t="n">
        <x:f>COUNTIFS($A$6:$A$797,A766)</x:f>
        <x:v>1</x:v>
      </x:c>
    </x:row>
    <x:row r="767" ht="23" customHeight="1">
      <x:c r="A767" s="2" t="str">
        <x:v>62052000_CN_202604_IMPORT</x:v>
      </x:c>
      <x:c r="B767" s="2" t="n">
        <x:v>202604</x:v>
      </x:c>
      <x:c r="C767" s="2" t="str">
        <x:v>62052000</x:v>
      </x:c>
      <x:c r="D767" s="2" t="str">
        <x:v>China</x:v>
      </x:c>
      <x:c r="E767" s="16" t="n">
        <x:v>1095198</x:v>
      </x:c>
      <x:c r="F767" s="16" t="n">
        <x:v>44299</x:v>
      </x:c>
      <x:c r="G767" s="2" t="str">
        <x:v>WITHIN_BAND</x:v>
      </x:c>
      <x:c r="H767" s="2" t="n">
        <x:v>1</x:v>
      </x:c>
      <x:c r="I767" s="2" t="n">
        <x:f>IF(AND(COUNTIFS($B$6:$B$797,B767,$C$6:$C$797,C767)=11,COUNTIFS($B$6:$B$797,B767,$C$6:$C$797,C767,$G$6:$G$797,"REVIEW")=0,COUNTIFS($B$6:$B$797,B767,$C$6:$C$797,C767,$H$6:$H$797,1)=11,COUNTIFS($B$6:$B$797,B767,$C$6:$C$797,C767,$F$6:$F$797,"&gt;0")=11),1,0)</x:f>
        <x:v>1</x:v>
      </x:c>
      <x:c r="J767" s="2" t="n">
        <x:f>COUNTIFS($A$6:$A$797,A767)</x:f>
        <x:v>1</x:v>
      </x:c>
    </x:row>
    <x:row r="768" ht="23" customHeight="1">
      <x:c r="A768" s="2" t="str">
        <x:v>62052000_IN_202604_IMPORT</x:v>
      </x:c>
      <x:c r="B768" s="2" t="n">
        <x:v>202604</x:v>
      </x:c>
      <x:c r="C768" s="2" t="str">
        <x:v>62052000</x:v>
      </x:c>
      <x:c r="D768" s="2" t="str">
        <x:v>India</x:v>
      </x:c>
      <x:c r="E768" s="16" t="n">
        <x:v>3330258</x:v>
      </x:c>
      <x:c r="F768" s="16" t="n">
        <x:v>150028</x:v>
      </x:c>
      <x:c r="G768" s="2" t="str">
        <x:v>WITHIN_BAND</x:v>
      </x:c>
      <x:c r="H768" s="2" t="n">
        <x:v>1</x:v>
      </x:c>
      <x:c r="I768" s="2" t="n">
        <x:f>IF(AND(COUNTIFS($B$6:$B$797,B768,$C$6:$C$797,C768)=11,COUNTIFS($B$6:$B$797,B768,$C$6:$C$797,C768,$G$6:$G$797,"REVIEW")=0,COUNTIFS($B$6:$B$797,B768,$C$6:$C$797,C768,$H$6:$H$797,1)=11,COUNTIFS($B$6:$B$797,B768,$C$6:$C$797,C768,$F$6:$F$797,"&gt;0")=11),1,0)</x:f>
        <x:v>1</x:v>
      </x:c>
      <x:c r="J768" s="2" t="n">
        <x:f>COUNTIFS($A$6:$A$797,A768)</x:f>
        <x:v>1</x:v>
      </x:c>
    </x:row>
    <x:row r="769" ht="23" customHeight="1">
      <x:c r="A769" s="2" t="str">
        <x:v>62052000_MA_202604_IMPORT</x:v>
      </x:c>
      <x:c r="B769" s="2" t="n">
        <x:v>202604</x:v>
      </x:c>
      <x:c r="C769" s="2" t="str">
        <x:v>62052000</x:v>
      </x:c>
      <x:c r="D769" s="2" t="str">
        <x:v>Morocco</x:v>
      </x:c>
      <x:c r="E769" s="16" t="n">
        <x:v>66857</x:v>
      </x:c>
      <x:c r="F769" s="16" t="n">
        <x:v>2086</x:v>
      </x:c>
      <x:c r="G769" s="2" t="str">
        <x:v>WITHIN_BAND</x:v>
      </x:c>
      <x:c r="H769" s="2" t="n">
        <x:v>1</x:v>
      </x:c>
      <x:c r="I769" s="2" t="n">
        <x:f>IF(AND(COUNTIFS($B$6:$B$797,B769,$C$6:$C$797,C769)=11,COUNTIFS($B$6:$B$797,B769,$C$6:$C$797,C769,$G$6:$G$797,"REVIEW")=0,COUNTIFS($B$6:$B$797,B769,$C$6:$C$797,C769,$H$6:$H$797,1)=11,COUNTIFS($B$6:$B$797,B769,$C$6:$C$797,C769,$F$6:$F$797,"&gt;0")=11),1,0)</x:f>
        <x:v>1</x:v>
      </x:c>
      <x:c r="J769" s="2" t="n">
        <x:f>COUNTIFS($A$6:$A$797,A769)</x:f>
        <x:v>1</x:v>
      </x:c>
    </x:row>
    <x:row r="770" ht="23" customHeight="1">
      <x:c r="A770" s="2" t="str">
        <x:v>62052000_MM_202604_IMPORT</x:v>
      </x:c>
      <x:c r="B770" s="2" t="n">
        <x:v>202604</x:v>
      </x:c>
      <x:c r="C770" s="2" t="str">
        <x:v>62052000</x:v>
      </x:c>
      <x:c r="D770" s="2" t="str">
        <x:v>Myanmar</x:v>
      </x:c>
      <x:c r="E770" s="16" t="n">
        <x:v>121726</x:v>
      </x:c>
      <x:c r="F770" s="16" t="n">
        <x:v>6424</x:v>
      </x:c>
      <x:c r="G770" s="2" t="str">
        <x:v>WITHIN_BAND</x:v>
      </x:c>
      <x:c r="H770" s="2" t="n">
        <x:v>1</x:v>
      </x:c>
      <x:c r="I770" s="2" t="n">
        <x:f>IF(AND(COUNTIFS($B$6:$B$797,B770,$C$6:$C$797,C770)=11,COUNTIFS($B$6:$B$797,B770,$C$6:$C$797,C770,$G$6:$G$797,"REVIEW")=0,COUNTIFS($B$6:$B$797,B770,$C$6:$C$797,C770,$H$6:$H$797,1)=11,COUNTIFS($B$6:$B$797,B770,$C$6:$C$797,C770,$F$6:$F$797,"&gt;0")=11),1,0)</x:f>
        <x:v>1</x:v>
      </x:c>
      <x:c r="J770" s="2" t="n">
        <x:f>COUNTIFS($A$6:$A$797,A770)</x:f>
        <x:v>1</x:v>
      </x:c>
    </x:row>
    <x:row r="771" ht="23" customHeight="1">
      <x:c r="A771" s="2" t="str">
        <x:v>62052000_PK_202604_IMPORT</x:v>
      </x:c>
      <x:c r="B771" s="2" t="n">
        <x:v>202604</x:v>
      </x:c>
      <x:c r="C771" s="2" t="str">
        <x:v>62052000</x:v>
      </x:c>
      <x:c r="D771" s="2" t="str">
        <x:v>Pakistan</x:v>
      </x:c>
      <x:c r="E771" s="16" t="n">
        <x:v>42626</x:v>
      </x:c>
      <x:c r="F771" s="16" t="n">
        <x:v>2149</x:v>
      </x:c>
      <x:c r="G771" s="2" t="str">
        <x:v>WITHIN_BAND</x:v>
      </x:c>
      <x:c r="H771" s="2" t="n">
        <x:v>1</x:v>
      </x:c>
      <x:c r="I771" s="2" t="n">
        <x:f>IF(AND(COUNTIFS($B$6:$B$797,B771,$C$6:$C$797,C771)=11,COUNTIFS($B$6:$B$797,B771,$C$6:$C$797,C771,$G$6:$G$797,"REVIEW")=0,COUNTIFS($B$6:$B$797,B771,$C$6:$C$797,C771,$H$6:$H$797,1)=11,COUNTIFS($B$6:$B$797,B771,$C$6:$C$797,C771,$F$6:$F$797,"&gt;0")=11),1,0)</x:f>
        <x:v>1</x:v>
      </x:c>
      <x:c r="J771" s="2" t="n">
        <x:f>COUNTIFS($A$6:$A$797,A771)</x:f>
        <x:v>1</x:v>
      </x:c>
    </x:row>
    <x:row r="772" ht="23" customHeight="1">
      <x:c r="A772" s="2" t="str">
        <x:v>62052000_LK_202604_IMPORT</x:v>
      </x:c>
      <x:c r="B772" s="2" t="n">
        <x:v>202604</x:v>
      </x:c>
      <x:c r="C772" s="2" t="str">
        <x:v>62052000</x:v>
      </x:c>
      <x:c r="D772" s="2" t="str">
        <x:v>Sri Lanka</x:v>
      </x:c>
      <x:c r="E772" s="16" t="n">
        <x:v>238544</x:v>
      </x:c>
      <x:c r="F772" s="16" t="n">
        <x:v>15257</x:v>
      </x:c>
      <x:c r="G772" s="2" t="str">
        <x:v>WITHIN_BAND</x:v>
      </x:c>
      <x:c r="H772" s="2" t="n">
        <x:v>1</x:v>
      </x:c>
      <x:c r="I772" s="2" t="n">
        <x:f>IF(AND(COUNTIFS($B$6:$B$797,B772,$C$6:$C$797,C772)=11,COUNTIFS($B$6:$B$797,B772,$C$6:$C$797,C772,$G$6:$G$797,"REVIEW")=0,COUNTIFS($B$6:$B$797,B772,$C$6:$C$797,C772,$H$6:$H$797,1)=11,COUNTIFS($B$6:$B$797,B772,$C$6:$C$797,C772,$F$6:$F$797,"&gt;0")=11),1,0)</x:f>
        <x:v>1</x:v>
      </x:c>
      <x:c r="J772" s="2" t="n">
        <x:f>COUNTIFS($A$6:$A$797,A772)</x:f>
        <x:v>1</x:v>
      </x:c>
    </x:row>
    <x:row r="773" ht="23" customHeight="1">
      <x:c r="A773" s="2" t="str">
        <x:v>62052000_TR_202604_IMPORT</x:v>
      </x:c>
      <x:c r="B773" s="2" t="n">
        <x:v>202604</x:v>
      </x:c>
      <x:c r="C773" s="2" t="str">
        <x:v>62052000</x:v>
      </x:c>
      <x:c r="D773" s="2" t="str">
        <x:v>Turkey</x:v>
      </x:c>
      <x:c r="E773" s="16" t="n">
        <x:v>720011</x:v>
      </x:c>
      <x:c r="F773" s="16" t="n">
        <x:v>20462</x:v>
      </x:c>
      <x:c r="G773" s="2" t="str">
        <x:v>WITHIN_BAND</x:v>
      </x:c>
      <x:c r="H773" s="2" t="n">
        <x:v>1</x:v>
      </x:c>
      <x:c r="I773" s="2" t="n">
        <x:f>IF(AND(COUNTIFS($B$6:$B$797,B773,$C$6:$C$797,C773)=11,COUNTIFS($B$6:$B$797,B773,$C$6:$C$797,C773,$G$6:$G$797,"REVIEW")=0,COUNTIFS($B$6:$B$797,B773,$C$6:$C$797,C773,$H$6:$H$797,1)=11,COUNTIFS($B$6:$B$797,B773,$C$6:$C$797,C773,$F$6:$F$797,"&gt;0")=11),1,0)</x:f>
        <x:v>1</x:v>
      </x:c>
      <x:c r="J773" s="2" t="n">
        <x:f>COUNTIFS($A$6:$A$797,A773)</x:f>
        <x:v>1</x:v>
      </x:c>
    </x:row>
    <x:row r="774" ht="23" customHeight="1">
      <x:c r="A774" s="2" t="str">
        <x:v>62052000_VN_202604_IMPORT</x:v>
      </x:c>
      <x:c r="B774" s="2" t="n">
        <x:v>202604</x:v>
      </x:c>
      <x:c r="C774" s="2" t="str">
        <x:v>62052000</x:v>
      </x:c>
      <x:c r="D774" s="2" t="str">
        <x:v>Vietnam</x:v>
      </x:c>
      <x:c r="E774" s="16" t="n">
        <x:v>1133444</x:v>
      </x:c>
      <x:c r="F774" s="16" t="n">
        <x:v>35210</x:v>
      </x:c>
      <x:c r="G774" s="2" t="str">
        <x:v>WITHIN_BAND</x:v>
      </x:c>
      <x:c r="H774" s="2" t="n">
        <x:v>1</x:v>
      </x:c>
      <x:c r="I774" s="2" t="n">
        <x:f>IF(AND(COUNTIFS($B$6:$B$797,B774,$C$6:$C$797,C774)=11,COUNTIFS($B$6:$B$797,B774,$C$6:$C$797,C774,$G$6:$G$797,"REVIEW")=0,COUNTIFS($B$6:$B$797,B774,$C$6:$C$797,C774,$H$6:$H$797,1)=11,COUNTIFS($B$6:$B$797,B774,$C$6:$C$797,C774,$F$6:$F$797,"&gt;0")=11),1,0)</x:f>
        <x:v>1</x:v>
      </x:c>
      <x:c r="J774" s="2" t="n">
        <x:f>COUNTIFS($A$6:$A$797,A774)</x:f>
        <x:v>1</x:v>
      </x:c>
    </x:row>
    <x:row r="775" ht="23" customHeight="1">
      <x:c r="A775" s="2" t="str">
        <x:v>62052000_WORLD_202604_IMPORT</x:v>
      </x:c>
      <x:c r="B775" s="2" t="n">
        <x:v>202604</x:v>
      </x:c>
      <x:c r="C775" s="2" t="str">
        <x:v>62052000</x:v>
      </x:c>
      <x:c r="D775" s="2" t="str">
        <x:v>World</x:v>
      </x:c>
      <x:c r="E775" s="16" t="n">
        <x:v>22467448</x:v>
      </x:c>
      <x:c r="F775" s="16" t="n">
        <x:v>869486</x:v>
      </x:c>
      <x:c r="G775" s="2" t="str">
        <x:v>WITHIN_BAND</x:v>
      </x:c>
      <x:c r="H775" s="2" t="n">
        <x:v>1</x:v>
      </x:c>
      <x:c r="I775" s="2" t="n">
        <x:f>IF(AND(COUNTIFS($B$6:$B$797,B775,$C$6:$C$797,C775)=11,COUNTIFS($B$6:$B$797,B775,$C$6:$C$797,C775,$G$6:$G$797,"REVIEW")=0,COUNTIFS($B$6:$B$797,B775,$C$6:$C$797,C775,$H$6:$H$797,1)=11,COUNTIFS($B$6:$B$797,B775,$C$6:$C$797,C775,$F$6:$F$797,"&gt;0")=11),1,0)</x:f>
        <x:v>1</x:v>
      </x:c>
      <x:c r="J775" s="2" t="n">
        <x:f>COUNTIFS($A$6:$A$797,A775)</x:f>
        <x:v>1</x:v>
      </x:c>
    </x:row>
    <x:row r="776" ht="23" customHeight="1">
      <x:c r="A776" s="2" t="str">
        <x:v>62052000_BD_202605_IMPORT</x:v>
      </x:c>
      <x:c r="B776" s="2" t="n">
        <x:v>202605</x:v>
      </x:c>
      <x:c r="C776" s="2" t="str">
        <x:v>62052000</x:v>
      </x:c>
      <x:c r="D776" s="2" t="str">
        <x:v>Bangladesh</x:v>
      </x:c>
      <x:c r="E776" s="16" t="n">
        <x:v>5310848</x:v>
      </x:c>
      <x:c r="F776" s="16" t="n">
        <x:v>301517</x:v>
      </x:c>
      <x:c r="G776" s="2" t="str">
        <x:v>WITHIN_BAND</x:v>
      </x:c>
      <x:c r="H776" s="2" t="n">
        <x:v>1</x:v>
      </x:c>
      <x:c r="I776" s="2" t="n">
        <x:f>IF(AND(COUNTIFS($B$6:$B$797,B776,$C$6:$C$797,C776)=11,COUNTIFS($B$6:$B$797,B776,$C$6:$C$797,C776,$G$6:$G$797,"REVIEW")=0,COUNTIFS($B$6:$B$797,B776,$C$6:$C$797,C776,$H$6:$H$797,1)=11,COUNTIFS($B$6:$B$797,B776,$C$6:$C$797,C776,$F$6:$F$797,"&gt;0")=11),1,0)</x:f>
        <x:v>1</x:v>
      </x:c>
      <x:c r="J776" s="2" t="n">
        <x:f>COUNTIFS($A$6:$A$797,A776)</x:f>
        <x:v>1</x:v>
      </x:c>
    </x:row>
    <x:row r="777" ht="23" customHeight="1">
      <x:c r="A777" s="2" t="str">
        <x:v>62052000_KH_202605_IMPORT</x:v>
      </x:c>
      <x:c r="B777" s="2" t="n">
        <x:v>202605</x:v>
      </x:c>
      <x:c r="C777" s="2" t="str">
        <x:v>62052000</x:v>
      </x:c>
      <x:c r="D777" s="2" t="str">
        <x:v>Cambodia</x:v>
      </x:c>
      <x:c r="E777" s="16" t="n">
        <x:v>1315054</x:v>
      </x:c>
      <x:c r="F777" s="16" t="n">
        <x:v>62661</x:v>
      </x:c>
      <x:c r="G777" s="2" t="str">
        <x:v>WITHIN_BAND</x:v>
      </x:c>
      <x:c r="H777" s="2" t="n">
        <x:v>1</x:v>
      </x:c>
      <x:c r="I777" s="2" t="n">
        <x:f>IF(AND(COUNTIFS($B$6:$B$797,B777,$C$6:$C$797,C777)=11,COUNTIFS($B$6:$B$797,B777,$C$6:$C$797,C777,$G$6:$G$797,"REVIEW")=0,COUNTIFS($B$6:$B$797,B777,$C$6:$C$797,C777,$H$6:$H$797,1)=11,COUNTIFS($B$6:$B$797,B777,$C$6:$C$797,C777,$F$6:$F$797,"&gt;0")=11),1,0)</x:f>
        <x:v>1</x:v>
      </x:c>
      <x:c r="J777" s="2" t="n">
        <x:f>COUNTIFS($A$6:$A$797,A777)</x:f>
        <x:v>1</x:v>
      </x:c>
    </x:row>
    <x:row r="778" ht="23" customHeight="1">
      <x:c r="A778" s="2" t="str">
        <x:v>62052000_CN_202605_IMPORT</x:v>
      </x:c>
      <x:c r="B778" s="2" t="n">
        <x:v>202605</x:v>
      </x:c>
      <x:c r="C778" s="2" t="str">
        <x:v>62052000</x:v>
      </x:c>
      <x:c r="D778" s="2" t="str">
        <x:v>China</x:v>
      </x:c>
      <x:c r="E778" s="16" t="n">
        <x:v>725226</x:v>
      </x:c>
      <x:c r="F778" s="16" t="n">
        <x:v>34193</x:v>
      </x:c>
      <x:c r="G778" s="2" t="str">
        <x:v>WITHIN_BAND</x:v>
      </x:c>
      <x:c r="H778" s="2" t="n">
        <x:v>1</x:v>
      </x:c>
      <x:c r="I778" s="2" t="n">
        <x:f>IF(AND(COUNTIFS($B$6:$B$797,B778,$C$6:$C$797,C778)=11,COUNTIFS($B$6:$B$797,B778,$C$6:$C$797,C778,$G$6:$G$797,"REVIEW")=0,COUNTIFS($B$6:$B$797,B778,$C$6:$C$797,C778,$H$6:$H$797,1)=11,COUNTIFS($B$6:$B$797,B778,$C$6:$C$797,C778,$F$6:$F$797,"&gt;0")=11),1,0)</x:f>
        <x:v>1</x:v>
      </x:c>
      <x:c r="J778" s="2" t="n">
        <x:f>COUNTIFS($A$6:$A$797,A778)</x:f>
        <x:v>1</x:v>
      </x:c>
    </x:row>
    <x:row r="779" ht="23" customHeight="1">
      <x:c r="A779" s="2" t="str">
        <x:v>62052000_IN_202605_IMPORT</x:v>
      </x:c>
      <x:c r="B779" s="2" t="n">
        <x:v>202605</x:v>
      </x:c>
      <x:c r="C779" s="2" t="str">
        <x:v>62052000</x:v>
      </x:c>
      <x:c r="D779" s="2" t="str">
        <x:v>India</x:v>
      </x:c>
      <x:c r="E779" s="16" t="n">
        <x:v>2790481</x:v>
      </x:c>
      <x:c r="F779" s="16" t="n">
        <x:v>139763</x:v>
      </x:c>
      <x:c r="G779" s="2" t="str">
        <x:v>WITHIN_BAND</x:v>
      </x:c>
      <x:c r="H779" s="2" t="n">
        <x:v>1</x:v>
      </x:c>
      <x:c r="I779" s="2" t="n">
        <x:f>IF(AND(COUNTIFS($B$6:$B$797,B779,$C$6:$C$797,C779)=11,COUNTIFS($B$6:$B$797,B779,$C$6:$C$797,C779,$G$6:$G$797,"REVIEW")=0,COUNTIFS($B$6:$B$797,B779,$C$6:$C$797,C779,$H$6:$H$797,1)=11,COUNTIFS($B$6:$B$797,B779,$C$6:$C$797,C779,$F$6:$F$797,"&gt;0")=11),1,0)</x:f>
        <x:v>1</x:v>
      </x:c>
      <x:c r="J779" s="2" t="n">
        <x:f>COUNTIFS($A$6:$A$797,A779)</x:f>
        <x:v>1</x:v>
      </x:c>
    </x:row>
    <x:row r="780" ht="23" customHeight="1">
      <x:c r="A780" s="2" t="str">
        <x:v>62052000_MA_202605_IMPORT</x:v>
      </x:c>
      <x:c r="B780" s="2" t="n">
        <x:v>202605</x:v>
      </x:c>
      <x:c r="C780" s="2" t="str">
        <x:v>62052000</x:v>
      </x:c>
      <x:c r="D780" s="2" t="str">
        <x:v>Morocco</x:v>
      </x:c>
      <x:c r="E780" s="16" t="n">
        <x:v>70203</x:v>
      </x:c>
      <x:c r="F780" s="16" t="n">
        <x:v>1304</x:v>
      </x:c>
      <x:c r="G780" s="2" t="str">
        <x:v>WITHIN_BAND</x:v>
      </x:c>
      <x:c r="H780" s="2" t="n">
        <x:v>1</x:v>
      </x:c>
      <x:c r="I780" s="2" t="n">
        <x:f>IF(AND(COUNTIFS($B$6:$B$797,B780,$C$6:$C$797,C780)=11,COUNTIFS($B$6:$B$797,B780,$C$6:$C$797,C780,$G$6:$G$797,"REVIEW")=0,COUNTIFS($B$6:$B$797,B780,$C$6:$C$797,C780,$H$6:$H$797,1)=11,COUNTIFS($B$6:$B$797,B780,$C$6:$C$797,C780,$F$6:$F$797,"&gt;0")=11),1,0)</x:f>
        <x:v>1</x:v>
      </x:c>
      <x:c r="J780" s="2" t="n">
        <x:f>COUNTIFS($A$6:$A$797,A780)</x:f>
        <x:v>1</x:v>
      </x:c>
    </x:row>
    <x:row r="781" ht="23" customHeight="1">
      <x:c r="A781" s="2" t="str">
        <x:v>62052000_MM_202605_IMPORT</x:v>
      </x:c>
      <x:c r="B781" s="2" t="n">
        <x:v>202605</x:v>
      </x:c>
      <x:c r="C781" s="2" t="str">
        <x:v>62052000</x:v>
      </x:c>
      <x:c r="D781" s="2" t="str">
        <x:v>Myanmar</x:v>
      </x:c>
      <x:c r="E781" s="16" t="n">
        <x:v>59472</x:v>
      </x:c>
      <x:c r="F781" s="16" t="n">
        <x:v>4997</x:v>
      </x:c>
      <x:c r="G781" s="2" t="str">
        <x:v>WITHIN_BAND</x:v>
      </x:c>
      <x:c r="H781" s="2" t="n">
        <x:v>1</x:v>
      </x:c>
      <x:c r="I781" s="2" t="n">
        <x:f>IF(AND(COUNTIFS($B$6:$B$797,B781,$C$6:$C$797,C781)=11,COUNTIFS($B$6:$B$797,B781,$C$6:$C$797,C781,$G$6:$G$797,"REVIEW")=0,COUNTIFS($B$6:$B$797,B781,$C$6:$C$797,C781,$H$6:$H$797,1)=11,COUNTIFS($B$6:$B$797,B781,$C$6:$C$797,C781,$F$6:$F$797,"&gt;0")=11),1,0)</x:f>
        <x:v>1</x:v>
      </x:c>
      <x:c r="J781" s="2" t="n">
        <x:f>COUNTIFS($A$6:$A$797,A781)</x:f>
        <x:v>1</x:v>
      </x:c>
    </x:row>
    <x:row r="782" ht="23" customHeight="1">
      <x:c r="A782" s="2" t="str">
        <x:v>62052000_PK_202605_IMPORT</x:v>
      </x:c>
      <x:c r="B782" s="2" t="n">
        <x:v>202605</x:v>
      </x:c>
      <x:c r="C782" s="2" t="str">
        <x:v>62052000</x:v>
      </x:c>
      <x:c r="D782" s="2" t="str">
        <x:v>Pakistan</x:v>
      </x:c>
      <x:c r="E782" s="16" t="n">
        <x:v>32727</x:v>
      </x:c>
      <x:c r="F782" s="16" t="n">
        <x:v>1760</x:v>
      </x:c>
      <x:c r="G782" s="2" t="str">
        <x:v>WITHIN_BAND</x:v>
      </x:c>
      <x:c r="H782" s="2" t="n">
        <x:v>1</x:v>
      </x:c>
      <x:c r="I782" s="2" t="n">
        <x:f>IF(AND(COUNTIFS($B$6:$B$797,B782,$C$6:$C$797,C782)=11,COUNTIFS($B$6:$B$797,B782,$C$6:$C$797,C782,$G$6:$G$797,"REVIEW")=0,COUNTIFS($B$6:$B$797,B782,$C$6:$C$797,C782,$H$6:$H$797,1)=11,COUNTIFS($B$6:$B$797,B782,$C$6:$C$797,C782,$F$6:$F$797,"&gt;0")=11),1,0)</x:f>
        <x:v>1</x:v>
      </x:c>
      <x:c r="J782" s="2" t="n">
        <x:f>COUNTIFS($A$6:$A$797,A782)</x:f>
        <x:v>1</x:v>
      </x:c>
    </x:row>
    <x:row r="783" ht="23" customHeight="1">
      <x:c r="A783" s="2" t="str">
        <x:v>62052000_LK_202605_IMPORT</x:v>
      </x:c>
      <x:c r="B783" s="2" t="n">
        <x:v>202605</x:v>
      </x:c>
      <x:c r="C783" s="2" t="str">
        <x:v>62052000</x:v>
      </x:c>
      <x:c r="D783" s="2" t="str">
        <x:v>Sri Lanka</x:v>
      </x:c>
      <x:c r="E783" s="16" t="n">
        <x:v>193786</x:v>
      </x:c>
      <x:c r="F783" s="16" t="n">
        <x:v>11334</x:v>
      </x:c>
      <x:c r="G783" s="2" t="str">
        <x:v>WITHIN_BAND</x:v>
      </x:c>
      <x:c r="H783" s="2" t="n">
        <x:v>1</x:v>
      </x:c>
      <x:c r="I783" s="2" t="n">
        <x:f>IF(AND(COUNTIFS($B$6:$B$797,B783,$C$6:$C$797,C783)=11,COUNTIFS($B$6:$B$797,B783,$C$6:$C$797,C783,$G$6:$G$797,"REVIEW")=0,COUNTIFS($B$6:$B$797,B783,$C$6:$C$797,C783,$H$6:$H$797,1)=11,COUNTIFS($B$6:$B$797,B783,$C$6:$C$797,C783,$F$6:$F$797,"&gt;0")=11),1,0)</x:f>
        <x:v>1</x:v>
      </x:c>
      <x:c r="J783" s="2" t="n">
        <x:f>COUNTIFS($A$6:$A$797,A783)</x:f>
        <x:v>1</x:v>
      </x:c>
    </x:row>
    <x:row r="784" ht="23" customHeight="1">
      <x:c r="A784" s="2" t="str">
        <x:v>62052000_TR_202605_IMPORT</x:v>
      </x:c>
      <x:c r="B784" s="2" t="n">
        <x:v>202605</x:v>
      </x:c>
      <x:c r="C784" s="2" t="str">
        <x:v>62052000</x:v>
      </x:c>
      <x:c r="D784" s="2" t="str">
        <x:v>Turkey</x:v>
      </x:c>
      <x:c r="E784" s="16" t="n">
        <x:v>835184</x:v>
      </x:c>
      <x:c r="F784" s="16" t="n">
        <x:v>20585</x:v>
      </x:c>
      <x:c r="G784" s="2" t="str">
        <x:v>WITHIN_BAND</x:v>
      </x:c>
      <x:c r="H784" s="2" t="n">
        <x:v>1</x:v>
      </x:c>
      <x:c r="I784" s="2" t="n">
        <x:f>IF(AND(COUNTIFS($B$6:$B$797,B784,$C$6:$C$797,C784)=11,COUNTIFS($B$6:$B$797,B784,$C$6:$C$797,C784,$G$6:$G$797,"REVIEW")=0,COUNTIFS($B$6:$B$797,B784,$C$6:$C$797,C784,$H$6:$H$797,1)=11,COUNTIFS($B$6:$B$797,B784,$C$6:$C$797,C784,$F$6:$F$797,"&gt;0")=11),1,0)</x:f>
        <x:v>1</x:v>
      </x:c>
      <x:c r="J784" s="2" t="n">
        <x:f>COUNTIFS($A$6:$A$797,A784)</x:f>
        <x:v>1</x:v>
      </x:c>
    </x:row>
    <x:row r="785" ht="23" customHeight="1">
      <x:c r="A785" s="2" t="str">
        <x:v>62052000_VN_202605_IMPORT</x:v>
      </x:c>
      <x:c r="B785" s="2" t="n">
        <x:v>202605</x:v>
      </x:c>
      <x:c r="C785" s="2" t="str">
        <x:v>62052000</x:v>
      </x:c>
      <x:c r="D785" s="2" t="str">
        <x:v>Vietnam</x:v>
      </x:c>
      <x:c r="E785" s="16" t="n">
        <x:v>832588</x:v>
      </x:c>
      <x:c r="F785" s="16" t="n">
        <x:v>26374</x:v>
      </x:c>
      <x:c r="G785" s="2" t="str">
        <x:v>WITHIN_BAND</x:v>
      </x:c>
      <x:c r="H785" s="2" t="n">
        <x:v>1</x:v>
      </x:c>
      <x:c r="I785" s="2" t="n">
        <x:f>IF(AND(COUNTIFS($B$6:$B$797,B785,$C$6:$C$797,C785)=11,COUNTIFS($B$6:$B$797,B785,$C$6:$C$797,C785,$G$6:$G$797,"REVIEW")=0,COUNTIFS($B$6:$B$797,B785,$C$6:$C$797,C785,$H$6:$H$797,1)=11,COUNTIFS($B$6:$B$797,B785,$C$6:$C$797,C785,$F$6:$F$797,"&gt;0")=11),1,0)</x:f>
        <x:v>1</x:v>
      </x:c>
      <x:c r="J785" s="2" t="n">
        <x:f>COUNTIFS($A$6:$A$797,A785)</x:f>
        <x:v>1</x:v>
      </x:c>
    </x:row>
    <x:row r="786" ht="23" customHeight="1">
      <x:c r="A786" s="2" t="str">
        <x:v>62052000_WORLD_202605_IMPORT</x:v>
      </x:c>
      <x:c r="B786" s="2" t="n">
        <x:v>202605</x:v>
      </x:c>
      <x:c r="C786" s="2" t="str">
        <x:v>62052000</x:v>
      </x:c>
      <x:c r="D786" s="2" t="str">
        <x:v>World</x:v>
      </x:c>
      <x:c r="E786" s="16" t="n">
        <x:v>19070349</x:v>
      </x:c>
      <x:c r="F786" s="16" t="n">
        <x:v>745612</x:v>
      </x:c>
      <x:c r="G786" s="2" t="str">
        <x:v>WITHIN_BAND</x:v>
      </x:c>
      <x:c r="H786" s="2" t="n">
        <x:v>1</x:v>
      </x:c>
      <x:c r="I786" s="2" t="n">
        <x:f>IF(AND(COUNTIFS($B$6:$B$797,B786,$C$6:$C$797,C786)=11,COUNTIFS($B$6:$B$797,B786,$C$6:$C$797,C786,$G$6:$G$797,"REVIEW")=0,COUNTIFS($B$6:$B$797,B786,$C$6:$C$797,C786,$H$6:$H$797,1)=11,COUNTIFS($B$6:$B$797,B786,$C$6:$C$797,C786,$F$6:$F$797,"&gt;0")=11),1,0)</x:f>
        <x:v>1</x:v>
      </x:c>
      <x:c r="J786" s="2" t="n">
        <x:f>COUNTIFS($A$6:$A$797,A786)</x:f>
        <x:v>1</x:v>
      </x:c>
    </x:row>
    <x:row r="787" ht="23" customHeight="1">
      <x:c r="A787" s="2" t="str">
        <x:v>62052000_BD_202606_IMPORT</x:v>
      </x:c>
      <x:c r="B787" s="2" t="n">
        <x:v>202606</x:v>
      </x:c>
      <x:c r="C787" s="2" t="str">
        <x:v>62052000</x:v>
      </x:c>
      <x:c r="D787" s="2" t="str">
        <x:v>Bangladesh</x:v>
      </x:c>
      <x:c r="E787" s="16" t="n">
        <x:v>5310423</x:v>
      </x:c>
      <x:c r="F787" s="16" t="n">
        <x:v>330689</x:v>
      </x:c>
      <x:c r="G787" s="2" t="str">
        <x:v>WITHIN_BAND</x:v>
      </x:c>
      <x:c r="H787" s="2" t="n">
        <x:v>1</x:v>
      </x:c>
      <x:c r="I787" s="2" t="n">
        <x:f>IF(AND(COUNTIFS($B$6:$B$797,B787,$C$6:$C$797,C787)=11,COUNTIFS($B$6:$B$797,B787,$C$6:$C$797,C787,$G$6:$G$797,"REVIEW")=0,COUNTIFS($B$6:$B$797,B787,$C$6:$C$797,C787,$H$6:$H$797,1)=11,COUNTIFS($B$6:$B$797,B787,$C$6:$C$797,C787,$F$6:$F$797,"&gt;0")=11),1,0)</x:f>
        <x:v>1</x:v>
      </x:c>
      <x:c r="J787" s="2" t="n">
        <x:f>COUNTIFS($A$6:$A$797,A787)</x:f>
        <x:v>1</x:v>
      </x:c>
    </x:row>
    <x:row r="788" ht="23" customHeight="1">
      <x:c r="A788" s="2" t="str">
        <x:v>62052000_KH_202606_IMPORT</x:v>
      </x:c>
      <x:c r="B788" s="2" t="n">
        <x:v>202606</x:v>
      </x:c>
      <x:c r="C788" s="2" t="str">
        <x:v>62052000</x:v>
      </x:c>
      <x:c r="D788" s="2" t="str">
        <x:v>Cambodia</x:v>
      </x:c>
      <x:c r="E788" s="16" t="n">
        <x:v>1005912</x:v>
      </x:c>
      <x:c r="F788" s="16" t="n">
        <x:v>39334</x:v>
      </x:c>
      <x:c r="G788" s="2" t="str">
        <x:v>WITHIN_BAND</x:v>
      </x:c>
      <x:c r="H788" s="2" t="n">
        <x:v>1</x:v>
      </x:c>
      <x:c r="I788" s="2" t="n">
        <x:f>IF(AND(COUNTIFS($B$6:$B$797,B788,$C$6:$C$797,C788)=11,COUNTIFS($B$6:$B$797,B788,$C$6:$C$797,C788,$G$6:$G$797,"REVIEW")=0,COUNTIFS($B$6:$B$797,B788,$C$6:$C$797,C788,$H$6:$H$797,1)=11,COUNTIFS($B$6:$B$797,B788,$C$6:$C$797,C788,$F$6:$F$797,"&gt;0")=11),1,0)</x:f>
        <x:v>1</x:v>
      </x:c>
      <x:c r="J788" s="2" t="n">
        <x:f>COUNTIFS($A$6:$A$797,A788)</x:f>
        <x:v>1</x:v>
      </x:c>
    </x:row>
    <x:row r="789" ht="23" customHeight="1">
      <x:c r="A789" s="2" t="str">
        <x:v>62052000_CN_202606_IMPORT</x:v>
      </x:c>
      <x:c r="B789" s="2" t="n">
        <x:v>202606</x:v>
      </x:c>
      <x:c r="C789" s="2" t="str">
        <x:v>62052000</x:v>
      </x:c>
      <x:c r="D789" s="2" t="str">
        <x:v>China</x:v>
      </x:c>
      <x:c r="E789" s="16" t="n">
        <x:v>824050</x:v>
      </x:c>
      <x:c r="F789" s="16" t="n">
        <x:v>44185</x:v>
      </x:c>
      <x:c r="G789" s="2" t="str">
        <x:v>WITHIN_BAND</x:v>
      </x:c>
      <x:c r="H789" s="2" t="n">
        <x:v>1</x:v>
      </x:c>
      <x:c r="I789" s="2" t="n">
        <x:f>IF(AND(COUNTIFS($B$6:$B$797,B789,$C$6:$C$797,C789)=11,COUNTIFS($B$6:$B$797,B789,$C$6:$C$797,C789,$G$6:$G$797,"REVIEW")=0,COUNTIFS($B$6:$B$797,B789,$C$6:$C$797,C789,$H$6:$H$797,1)=11,COUNTIFS($B$6:$B$797,B789,$C$6:$C$797,C789,$F$6:$F$797,"&gt;0")=11),1,0)</x:f>
        <x:v>1</x:v>
      </x:c>
      <x:c r="J789" s="2" t="n">
        <x:f>COUNTIFS($A$6:$A$797,A789)</x:f>
        <x:v>1</x:v>
      </x:c>
    </x:row>
    <x:row r="790" ht="23" customHeight="1">
      <x:c r="A790" s="2" t="str">
        <x:v>62052000_IN_202606_IMPORT</x:v>
      </x:c>
      <x:c r="B790" s="2" t="n">
        <x:v>202606</x:v>
      </x:c>
      <x:c r="C790" s="2" t="str">
        <x:v>62052000</x:v>
      </x:c>
      <x:c r="D790" s="2" t="str">
        <x:v>India</x:v>
      </x:c>
      <x:c r="E790" s="16" t="n">
        <x:v>1593150</x:v>
      </x:c>
      <x:c r="F790" s="16" t="n">
        <x:v>75336</x:v>
      </x:c>
      <x:c r="G790" s="2" t="str">
        <x:v>WITHIN_BAND</x:v>
      </x:c>
      <x:c r="H790" s="2" t="n">
        <x:v>1</x:v>
      </x:c>
      <x:c r="I790" s="2" t="n">
        <x:f>IF(AND(COUNTIFS($B$6:$B$797,B790,$C$6:$C$797,C790)=11,COUNTIFS($B$6:$B$797,B790,$C$6:$C$797,C790,$G$6:$G$797,"REVIEW")=0,COUNTIFS($B$6:$B$797,B790,$C$6:$C$797,C790,$H$6:$H$797,1)=11,COUNTIFS($B$6:$B$797,B790,$C$6:$C$797,C790,$F$6:$F$797,"&gt;0")=11),1,0)</x:f>
        <x:v>1</x:v>
      </x:c>
      <x:c r="J790" s="2" t="n">
        <x:f>COUNTIFS($A$6:$A$797,A790)</x:f>
        <x:v>1</x:v>
      </x:c>
    </x:row>
    <x:row r="791" ht="23" customHeight="1">
      <x:c r="A791" s="2" t="str">
        <x:v>62052000_MA_202606_IMPORT</x:v>
      </x:c>
      <x:c r="B791" s="2" t="n">
        <x:v>202606</x:v>
      </x:c>
      <x:c r="C791" s="2" t="str">
        <x:v>62052000</x:v>
      </x:c>
      <x:c r="D791" s="2" t="str">
        <x:v>Morocco</x:v>
      </x:c>
      <x:c r="E791" s="16" t="n">
        <x:v>216390</x:v>
      </x:c>
      <x:c r="F791" s="16" t="n">
        <x:v>7093</x:v>
      </x:c>
      <x:c r="G791" s="2" t="str">
        <x:v>WITHIN_BAND</x:v>
      </x:c>
      <x:c r="H791" s="2" t="n">
        <x:v>1</x:v>
      </x:c>
      <x:c r="I791" s="2" t="n">
        <x:f>IF(AND(COUNTIFS($B$6:$B$797,B791,$C$6:$C$797,C791)=11,COUNTIFS($B$6:$B$797,B791,$C$6:$C$797,C791,$G$6:$G$797,"REVIEW")=0,COUNTIFS($B$6:$B$797,B791,$C$6:$C$797,C791,$H$6:$H$797,1)=11,COUNTIFS($B$6:$B$797,B791,$C$6:$C$797,C791,$F$6:$F$797,"&gt;0")=11),1,0)</x:f>
        <x:v>1</x:v>
      </x:c>
      <x:c r="J791" s="2" t="n">
        <x:f>COUNTIFS($A$6:$A$797,A791)</x:f>
        <x:v>1</x:v>
      </x:c>
    </x:row>
    <x:row r="792" ht="23" customHeight="1">
      <x:c r="A792" s="2" t="str">
        <x:v>62052000_MM_202606_IMPORT</x:v>
      </x:c>
      <x:c r="B792" s="2" t="n">
        <x:v>202606</x:v>
      </x:c>
      <x:c r="C792" s="2" t="str">
        <x:v>62052000</x:v>
      </x:c>
      <x:c r="D792" s="2" t="str">
        <x:v>Myanmar</x:v>
      </x:c>
      <x:c r="E792" s="16" t="n">
        <x:v>105980</x:v>
      </x:c>
      <x:c r="F792" s="16" t="n">
        <x:v>9031</x:v>
      </x:c>
      <x:c r="G792" s="2" t="str">
        <x:v>WITHIN_BAND</x:v>
      </x:c>
      <x:c r="H792" s="2" t="n">
        <x:v>1</x:v>
      </x:c>
      <x:c r="I792" s="2" t="n">
        <x:f>IF(AND(COUNTIFS($B$6:$B$797,B792,$C$6:$C$797,C792)=11,COUNTIFS($B$6:$B$797,B792,$C$6:$C$797,C792,$G$6:$G$797,"REVIEW")=0,COUNTIFS($B$6:$B$797,B792,$C$6:$C$797,C792,$H$6:$H$797,1)=11,COUNTIFS($B$6:$B$797,B792,$C$6:$C$797,C792,$F$6:$F$797,"&gt;0")=11),1,0)</x:f>
        <x:v>1</x:v>
      </x:c>
      <x:c r="J792" s="2" t="n">
        <x:f>COUNTIFS($A$6:$A$797,A792)</x:f>
        <x:v>1</x:v>
      </x:c>
    </x:row>
    <x:row r="793" ht="23" customHeight="1">
      <x:c r="A793" s="2" t="str">
        <x:v>62052000_PK_202606_IMPORT</x:v>
      </x:c>
      <x:c r="B793" s="2" t="n">
        <x:v>202606</x:v>
      </x:c>
      <x:c r="C793" s="2" t="str">
        <x:v>62052000</x:v>
      </x:c>
      <x:c r="D793" s="2" t="str">
        <x:v>Pakistan</x:v>
      </x:c>
      <x:c r="E793" s="16" t="n">
        <x:v>74075</x:v>
      </x:c>
      <x:c r="F793" s="16" t="n">
        <x:v>4559</x:v>
      </x:c>
      <x:c r="G793" s="2" t="str">
        <x:v>WITHIN_BAND</x:v>
      </x:c>
      <x:c r="H793" s="2" t="n">
        <x:v>1</x:v>
      </x:c>
      <x:c r="I793" s="2" t="n">
        <x:f>IF(AND(COUNTIFS($B$6:$B$797,B793,$C$6:$C$797,C793)=11,COUNTIFS($B$6:$B$797,B793,$C$6:$C$797,C793,$G$6:$G$797,"REVIEW")=0,COUNTIFS($B$6:$B$797,B793,$C$6:$C$797,C793,$H$6:$H$797,1)=11,COUNTIFS($B$6:$B$797,B793,$C$6:$C$797,C793,$F$6:$F$797,"&gt;0")=11),1,0)</x:f>
        <x:v>1</x:v>
      </x:c>
      <x:c r="J793" s="2" t="n">
        <x:f>COUNTIFS($A$6:$A$797,A793)</x:f>
        <x:v>1</x:v>
      </x:c>
    </x:row>
    <x:row r="794" ht="23" customHeight="1">
      <x:c r="A794" s="2" t="str">
        <x:v>62052000_LK_202606_IMPORT</x:v>
      </x:c>
      <x:c r="B794" s="2" t="n">
        <x:v>202606</x:v>
      </x:c>
      <x:c r="C794" s="2" t="str">
        <x:v>62052000</x:v>
      </x:c>
      <x:c r="D794" s="2" t="str">
        <x:v>Sri Lanka</x:v>
      </x:c>
      <x:c r="E794" s="16" t="n">
        <x:v>257200</x:v>
      </x:c>
      <x:c r="F794" s="16" t="n">
        <x:v>8243</x:v>
      </x:c>
      <x:c r="G794" s="2" t="str">
        <x:v>WITHIN_BAND</x:v>
      </x:c>
      <x:c r="H794" s="2" t="n">
        <x:v>1</x:v>
      </x:c>
      <x:c r="I794" s="2" t="n">
        <x:f>IF(AND(COUNTIFS($B$6:$B$797,B794,$C$6:$C$797,C794)=11,COUNTIFS($B$6:$B$797,B794,$C$6:$C$797,C794,$G$6:$G$797,"REVIEW")=0,COUNTIFS($B$6:$B$797,B794,$C$6:$C$797,C794,$H$6:$H$797,1)=11,COUNTIFS($B$6:$B$797,B794,$C$6:$C$797,C794,$F$6:$F$797,"&gt;0")=11),1,0)</x:f>
        <x:v>1</x:v>
      </x:c>
      <x:c r="J794" s="2" t="n">
        <x:f>COUNTIFS($A$6:$A$797,A794)</x:f>
        <x:v>1</x:v>
      </x:c>
    </x:row>
    <x:row r="795" ht="23" customHeight="1">
      <x:c r="A795" s="2" t="str">
        <x:v>62052000_TR_202606_IMPORT</x:v>
      </x:c>
      <x:c r="B795" s="2" t="n">
        <x:v>202606</x:v>
      </x:c>
      <x:c r="C795" s="2" t="str">
        <x:v>62052000</x:v>
      </x:c>
      <x:c r="D795" s="2" t="str">
        <x:v>Turkey</x:v>
      </x:c>
      <x:c r="E795" s="16" t="n">
        <x:v>1140177</x:v>
      </x:c>
      <x:c r="F795" s="16" t="n">
        <x:v>29237</x:v>
      </x:c>
      <x:c r="G795" s="2" t="str">
        <x:v>WITHIN_BAND</x:v>
      </x:c>
      <x:c r="H795" s="2" t="n">
        <x:v>1</x:v>
      </x:c>
      <x:c r="I795" s="2" t="n">
        <x:f>IF(AND(COUNTIFS($B$6:$B$797,B795,$C$6:$C$797,C795)=11,COUNTIFS($B$6:$B$797,B795,$C$6:$C$797,C795,$G$6:$G$797,"REVIEW")=0,COUNTIFS($B$6:$B$797,B795,$C$6:$C$797,C795,$H$6:$H$797,1)=11,COUNTIFS($B$6:$B$797,B795,$C$6:$C$797,C795,$F$6:$F$797,"&gt;0")=11),1,0)</x:f>
        <x:v>1</x:v>
      </x:c>
      <x:c r="J795" s="2" t="n">
        <x:f>COUNTIFS($A$6:$A$797,A795)</x:f>
        <x:v>1</x:v>
      </x:c>
    </x:row>
    <x:row r="796" ht="23" customHeight="1">
      <x:c r="A796" s="2" t="str">
        <x:v>62052000_VN_202606_IMPORT</x:v>
      </x:c>
      <x:c r="B796" s="2" t="n">
        <x:v>202606</x:v>
      </x:c>
      <x:c r="C796" s="2" t="str">
        <x:v>62052000</x:v>
      </x:c>
      <x:c r="D796" s="2" t="str">
        <x:v>Vietnam</x:v>
      </x:c>
      <x:c r="E796" s="16" t="n">
        <x:v>451350</x:v>
      </x:c>
      <x:c r="F796" s="16" t="n">
        <x:v>14231</x:v>
      </x:c>
      <x:c r="G796" s="2" t="str">
        <x:v>WITHIN_BAND</x:v>
      </x:c>
      <x:c r="H796" s="2" t="n">
        <x:v>1</x:v>
      </x:c>
      <x:c r="I796" s="2" t="n">
        <x:f>IF(AND(COUNTIFS($B$6:$B$797,B796,$C$6:$C$797,C796)=11,COUNTIFS($B$6:$B$797,B796,$C$6:$C$797,C796,$G$6:$G$797,"REVIEW")=0,COUNTIFS($B$6:$B$797,B796,$C$6:$C$797,C796,$H$6:$H$797,1)=11,COUNTIFS($B$6:$B$797,B796,$C$6:$C$797,C796,$F$6:$F$797,"&gt;0")=11),1,0)</x:f>
        <x:v>1</x:v>
      </x:c>
      <x:c r="J796" s="2" t="n">
        <x:f>COUNTIFS($A$6:$A$797,A796)</x:f>
        <x:v>1</x:v>
      </x:c>
    </x:row>
    <x:row r="797" ht="23" customHeight="1">
      <x:c r="A797" s="2" t="str">
        <x:v>62052000_WORLD_202606_IMPORT</x:v>
      </x:c>
      <x:c r="B797" s="2" t="n">
        <x:v>202606</x:v>
      </x:c>
      <x:c r="C797" s="2" t="str">
        <x:v>62052000</x:v>
      </x:c>
      <x:c r="D797" s="2" t="str">
        <x:v>World</x:v>
      </x:c>
      <x:c r="E797" s="16" t="n">
        <x:v>18430383</x:v>
      </x:c>
      <x:c r="F797" s="16" t="n">
        <x:v>704182</x:v>
      </x:c>
      <x:c r="G797" s="2" t="str">
        <x:v>WITHIN_BAND</x:v>
      </x:c>
      <x:c r="H797" s="2" t="n">
        <x:v>1</x:v>
      </x:c>
      <x:c r="I797" s="2" t="n">
        <x:f>IF(AND(COUNTIFS($B$6:$B$797,B797,$C$6:$C$797,C797)=11,COUNTIFS($B$6:$B$797,B797,$C$6:$C$797,C797,$G$6:$G$797,"REVIEW")=0,COUNTIFS($B$6:$B$797,B797,$C$6:$C$797,C797,$H$6:$H$797,1)=11,COUNTIFS($B$6:$B$797,B797,$C$6:$C$797,C797,$F$6:$F$797,"&gt;0")=11),1,0)</x:f>
        <x:v>1</x:v>
      </x:c>
      <x:c r="J797" s="2" t="n">
        <x:f>COUNTIFS($A$6:$A$797,A797)</x:f>
        <x:v>1</x:v>
      </x:c>
    </x:row>
    <x:row r="798" ht="23" customHeight="1">
      <x:c r="A798" s="2"/>
      <x:c r="B798" s="2"/>
      <x:c r="C798" s="2"/>
      <x:c r="D798" s="2"/>
      <x:c r="E798" s="2"/>
      <x:c r="F798" s="2"/>
      <x:c r="G798" s="2"/>
      <x:c r="H798" s="2"/>
      <x:c r="I798" s="2"/>
      <x:c r="J798" s="2"/>
    </x:row>
    <x:row r="799" ht="23" customHeight="1">
      <x:c r="A799" s="2"/>
      <x:c r="B799" s="2"/>
      <x:c r="C799" s="2"/>
      <x:c r="D799" s="2"/>
      <x:c r="E799" s="2"/>
      <x:c r="F799" s="2"/>
      <x:c r="G799" s="2"/>
      <x:c r="H799" s="2"/>
      <x:c r="I799" s="2"/>
      <x:c r="J799" s="2"/>
    </x:row>
    <x:row r="800" ht="23" customHeight="1">
      <x:c r="A800" s="2"/>
      <x:c r="B800" s="2"/>
      <x:c r="C800" s="2"/>
      <x:c r="D800" s="2"/>
      <x:c r="E800" s="2"/>
      <x:c r="F800" s="2"/>
      <x:c r="G800" s="2"/>
      <x:c r="H800" s="2"/>
      <x:c r="I800" s="2"/>
      <x:c r="J800" s="2"/>
    </x:row>
  </x:sheetData>
  <x:mergeCells>
    <x:mergeCell ref="A3:J3"/>
  </x:mergeCell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37" hidden="0" customWidth="1"/>
    <x:col min="2" max="2" width="18" hidden="0" customWidth="1"/>
    <x:col min="3" max="3" width="18" hidden="0" customWidth="1"/>
    <x:col min="4" max="4" width="18" hidden="0" customWidth="1"/>
    <x:col min="5" max="5" width="63" hidden="0" customWidth="1"/>
    <x:col min="6" max="6" width="18" hidden="0" customWidth="1"/>
    <x:col min="7" max="7" width="18" hidden="0" customWidth="1"/>
    <x:col min="8" max="8" width="18" hidden="0" customWidth="1"/>
  </x:cols>
  <x:sheetData>
    <x:row r="1" ht="23" customHeight="1">
      <x:c r="A1" s="2"/>
      <x:c r="B1" s="2"/>
      <x:c r="C1" s="2"/>
      <x:c r="D1" s="2"/>
      <x:c r="E1" s="2"/>
      <x:c r="F1" s="2"/>
      <x:c r="G1" s="2"/>
      <x:c r="H1" s="2"/>
    </x:row>
    <x:row r="2" ht="29" customHeight="1">
      <x:c r="A2" s="3" t="str">
        <x:v>Source reconciliation and active-model checks</x:v>
      </x:c>
      <x:c r="B2" s="2"/>
      <x:c r="C2" s="2"/>
      <x:c r="D2" s="2"/>
      <x:c r="E2" s="2"/>
      <x:c r="F2" s="2"/>
      <x:c r="G2" s="2"/>
      <x:c r="H2" s="2"/>
    </x:row>
    <x:row r="3" ht="23" customHeight="1">
      <x:c r="A3" s="2"/>
      <x:c r="B3" s="2"/>
      <x:c r="C3" s="2"/>
      <x:c r="D3" s="2"/>
      <x:c r="E3" s="2"/>
      <x:c r="F3" s="2"/>
      <x:c r="G3" s="2"/>
      <x:c r="H3" s="2"/>
    </x:row>
    <x:row r="4" ht="30" customHeight="1">
      <x:c r="A4" s="2" t="str">
        <x:v>Case selected:</x:v>
      </x:c>
      <x:c r="B4" s="21" t="str">
        <x:f>'Assumptions'!B8</x:f>
        <x:v>Balanced, 3x</x:v>
      </x:c>
      <x:c r="C4" s="22"/>
      <x:c r="D4" s="23"/>
      <x:c r="E4" s="2"/>
      <x:c r="F4" s="2"/>
      <x:c r="G4" s="2"/>
      <x:c r="H4" s="2"/>
    </x:row>
    <x:row r="5" ht="23" customHeight="1">
      <x:c r="A5" s="2"/>
      <x:c r="B5" s="2"/>
      <x:c r="C5" s="2"/>
      <x:c r="D5" s="2"/>
      <x:c r="E5" s="2"/>
      <x:c r="F5" s="2"/>
      <x:c r="G5" s="2"/>
      <x:c r="H5" s="2"/>
    </x:row>
    <x:row r="6" ht="42" customHeight="1">
      <x:c r="A6" s="11" t="str">
        <x:v>Check</x:v>
      </x:c>
      <x:c r="B6" s="11" t="str">
        <x:v>Observed</x:v>
      </x:c>
      <x:c r="C6" s="11" t="str">
        <x:v>Expected</x:v>
      </x:c>
      <x:c r="D6" s="11" t="str">
        <x:v>Result</x:v>
      </x:c>
      <x:c r="E6" s="11" t="str">
        <x:v>Explanation</x:v>
      </x:c>
      <x:c r="F6" s="2"/>
      <x:c r="G6" s="2"/>
      <x:c r="H6" s="2"/>
    </x:row>
    <x:row r="7" ht="33" customHeight="1">
      <x:c r="A7" s="2" t="str">
        <x:v>Reported period rows</x:v>
      </x:c>
      <x:c r="B7" s="33" t="n">
        <x:f>COUNTA('Source_Data'!A6:A125)</x:f>
        <x:v>120</x:v>
      </x:c>
      <x:c r="C7" s="33" t="n">
        <x:v>120</x:v>
      </x:c>
      <x:c r="D7" s="29" t="str">
        <x:f>IF(AND(ISNUMBER(B7),ABS(B7-C7)&lt;0.0000001),"PASS","FAIL")</x:f>
        <x:v>PASS</x:v>
      </x:c>
      <x:c r="E7" s="12" t="str">
        <x:v>Three periods, four codes and ten countries.</x:v>
      </x:c>
      <x:c r="F7" s="2"/>
      <x:c r="G7" s="2"/>
      <x:c r="H7" s="2"/>
    </x:row>
    <x:row r="8" ht="33" customHeight="1">
      <x:c r="A8" s="2" t="str">
        <x:v>Monthly observations</x:v>
      </x:c>
      <x:c r="B8" s="33" t="n">
        <x:f>COUNTA('Monthly_Data'!A6:A797)</x:f>
        <x:v>792</x:v>
      </x:c>
      <x:c r="C8" s="33" t="n">
        <x:v>792</x:v>
      </x:c>
      <x:c r="D8" s="29" t="str">
        <x:f>IF(AND(ISNUMBER(B8),ABS(B8-C8)&lt;0.0000001),"PASS","FAIL")</x:f>
        <x:v>PASS</x:v>
      </x:c>
      <x:c r="E8" s="12" t="str">
        <x:v>18 months x four codes x 11 partner/World observations.</x:v>
      </x:c>
      <x:c r="F8" s="2"/>
      <x:c r="G8" s="2"/>
      <x:c r="H8" s="2"/>
    </x:row>
    <x:row r="9" ht="33" customHeight="1">
      <x:c r="A9" s="2" t="str">
        <x:v>Tariff rows</x:v>
      </x:c>
      <x:c r="B9" s="33" t="n">
        <x:f>COUNTA('Source_Data'!A131:A170)</x:f>
        <x:v>40</x:v>
      </x:c>
      <x:c r="C9" s="33" t="n">
        <x:v>40</x:v>
      </x:c>
      <x:c r="D9" s="29" t="str">
        <x:f>IF(AND(ISNUMBER(B9),ABS(B9-C9)&lt;0.0000001),"PASS","FAIL")</x:f>
        <x:v>PASS</x:v>
      </x:c>
      <x:c r="E9" s="12" t="str">
        <x:v>Four codes x ten countries.</x:v>
      </x:c>
      <x:c r="F9" s="2"/>
      <x:c r="G9" s="2"/>
      <x:c r="H9" s="2"/>
    </x:row>
    <x:row r="10" ht="33" customHeight="1">
      <x:c r="A10" s="2" t="str">
        <x:v>Duplicate period keys</x:v>
      </x:c>
      <x:c r="B10" s="33" t="n">
        <x:f>COUNTIFS('Source_Data'!P6:P125,"&gt;1")</x:f>
        <x:v>0</x:v>
      </x:c>
      <x:c r="C10" s="33" t="n">
        <x:v>0</x:v>
      </x:c>
      <x:c r="D10" s="29" t="str">
        <x:f>IF(AND(ISNUMBER(B10),ABS(B10-C10)&lt;0.0000001),"PASS","FAIL")</x:f>
        <x:v>PASS</x:v>
      </x:c>
      <x:c r="E10" s="12" t="str">
        <x:v>Unique period/country/code records.</x:v>
      </x:c>
      <x:c r="F10" s="2"/>
      <x:c r="G10" s="2"/>
      <x:c r="H10" s="2"/>
    </x:row>
    <x:row r="11" ht="33" customHeight="1">
      <x:c r="A11" s="2" t="str">
        <x:v>Duplicate monthly keys</x:v>
      </x:c>
      <x:c r="B11" s="33" t="n">
        <x:f>COUNTIFS('Monthly_Data'!J6:J797,"&gt;1")</x:f>
        <x:v>0</x:v>
      </x:c>
      <x:c r="C11" s="33" t="n">
        <x:v>0</x:v>
      </x:c>
      <x:c r="D11" s="29" t="str">
        <x:f>IF(AND(ISNUMBER(B11),ABS(B11-C11)&lt;0.0000001),"PASS","FAIL")</x:f>
        <x:v>PASS</x:v>
      </x:c>
      <x:c r="E11" s="12" t="str">
        <x:v>Unique original monthly observation keys.</x:v>
      </x:c>
      <x:c r="F11" s="2"/>
      <x:c r="G11" s="2"/>
      <x:c r="H11" s="2"/>
    </x:row>
    <x:row r="12" ht="33" customHeight="1">
      <x:c r="A12" s="2" t="str">
        <x:v>Duplicate tariff keys</x:v>
      </x:c>
      <x:c r="B12" s="33" t="n">
        <x:f>COUNTIFS('Source_Data'!L131:L170,"&gt;1")</x:f>
        <x:v>0</x:v>
      </x:c>
      <x:c r="C12" s="33" t="n">
        <x:v>0</x:v>
      </x:c>
      <x:c r="D12" s="29" t="str">
        <x:f>IF(AND(ISNUMBER(B12),ABS(B12-C12)&lt;0.0000001),"PASS","FAIL")</x:f>
        <x:v>PASS</x:v>
      </x:c>
      <x:c r="E12" s="12" t="str">
        <x:v>Unique country/code tariff records.</x:v>
      </x:c>
      <x:c r="F12" s="2"/>
      <x:c r="G12" s="2"/>
      <x:c r="H12" s="2"/>
    </x:row>
    <x:row r="13" ht="33" customHeight="1">
      <x:c r="A13" s="2" t="str">
        <x:v>Reported value reconciliation</x:v>
      </x:c>
      <x:c r="B13" s="28" t="n">
        <x:f>SUM(E65:E184)</x:f>
        <x:v>0</x:v>
      </x:c>
      <x:c r="C13" s="28" t="n">
        <x:v>0</x:v>
      </x:c>
      <x:c r="D13" s="29" t="str">
        <x:f>IF(AND(ISNUMBER(B13),ABS(B13-C13)&lt;0.0000001),"PASS","FAIL")</x:f>
        <x:v>PASS</x:v>
      </x:c>
      <x:c r="E13" s="12" t="str">
        <x:v>Absolute difference between reported period values and monthly sums.</x:v>
      </x:c>
      <x:c r="F13" s="2"/>
      <x:c r="G13" s="2"/>
      <x:c r="H13" s="2"/>
    </x:row>
    <x:row r="14" ht="33" customHeight="1">
      <x:c r="A14" s="2" t="str">
        <x:v>Reported mass reconciliation</x:v>
      </x:c>
      <x:c r="B14" s="28" t="n">
        <x:f>SUM(F65:F184)</x:f>
        <x:v>0</x:v>
      </x:c>
      <x:c r="C14" s="28" t="n">
        <x:v>0</x:v>
      </x:c>
      <x:c r="D14" s="29" t="str">
        <x:f>IF(AND(ISNUMBER(B14),ABS(B14-C14)&lt;0.0000001),"PASS","FAIL")</x:f>
        <x:v>PASS</x:v>
      </x:c>
      <x:c r="E14" s="12" t="str">
        <x:v>Absolute difference between reported period masses and monthly sums.</x:v>
      </x:c>
      <x:c r="F14" s="2"/>
      <x:c r="G14" s="2"/>
      <x:c r="H14" s="2"/>
    </x:row>
    <x:row r="15" ht="33" customHeight="1">
      <x:c r="A15" s="2" t="str">
        <x:v>Equal weights total</x:v>
      </x:c>
      <x:c r="B15" s="28" t="n">
        <x:f>SUM('Source_Data'!C176:C179)</x:f>
        <x:v>1</x:v>
      </x:c>
      <x:c r="C15" s="28" t="n">
        <x:v>1</x:v>
      </x:c>
      <x:c r="D15" s="29" t="str">
        <x:f>IF(AND(ISNUMBER(B15),ABS(B15-C15)&lt;0.0000001),"PASS","FAIL")</x:f>
        <x:v>PASS</x:v>
      </x:c>
      <x:c r="E15" s="12" t="str">
        <x:v>Basket denominator.</x:v>
      </x:c>
      <x:c r="F15" s="2"/>
      <x:c r="G15" s="2"/>
      <x:c r="H15" s="2"/>
    </x:row>
    <x:row r="16" ht="33" customHeight="1">
      <x:c r="A16" s="2" t="str">
        <x:v>Value weights total</x:v>
      </x:c>
      <x:c r="B16" s="28" t="n">
        <x:f>SUM('Source_Data'!E176:E179)</x:f>
        <x:v>1</x:v>
      </x:c>
      <x:c r="C16" s="28" t="n">
        <x:v>1</x:v>
      </x:c>
      <x:c r="D16" s="29" t="str">
        <x:f>IF(AND(ISNUMBER(B16),ABS(B16-C16)&lt;0.0000001),"PASS","FAIL")</x:f>
        <x:v>PASS</x:v>
      </x:c>
      <x:c r="E16" s="12" t="str">
        <x:v>Basket denominator.</x:v>
      </x:c>
      <x:c r="F16" s="2"/>
      <x:c r="G16" s="2"/>
      <x:c r="H16" s="2"/>
    </x:row>
    <x:row r="17" ht="33" customHeight="1">
      <x:c r="A17" s="2" t="str">
        <x:v>Active input validation</x:v>
      </x:c>
      <x:c r="B17" s="33" t="n">
        <x:f>IF('Assumptions'!L8="Valid",1,0)</x:f>
        <x:v>1</x:v>
      </x:c>
      <x:c r="C17" s="33" t="n">
        <x:v>1</x:v>
      </x:c>
      <x:c r="D17" s="29" t="str">
        <x:f>IF(AND(ISNUMBER(B17),ABS(B17-C17)&lt;0.0000001),"PASS","FAIL")</x:f>
        <x:v>PASS</x:v>
      </x:c>
      <x:c r="E17" s="12" t="str">
        <x:v>Required selected inputs are numeric and within domain.</x:v>
      </x:c>
      <x:c r="F17" s="2"/>
      <x:c r="G17" s="2"/>
      <x:c r="H17" s="2"/>
    </x:row>
    <x:row r="18" ht="33" customHeight="1">
      <x:c r="A18" s="2" t="str">
        <x:v>Category readiness</x:v>
      </x:c>
      <x:c r="B18" s="33" t="n">
        <x:f>COUNTIFS('Model'!T52:T55,"Ready")</x:f>
        <x:v>4</x:v>
      </x:c>
      <x:c r="C18" s="33" t="n">
        <x:v>4</x:v>
      </x:c>
      <x:c r="D18" s="29" t="str">
        <x:f>IF(AND(ISNUMBER(B18),ABS(B18-C18)&lt;0.0000001),"PASS","FAIL")</x:f>
        <x:v>PASS</x:v>
      </x:c>
      <x:c r="E18" s="12" t="str">
        <x:v>All source coverage and receiver mix checks pass.</x:v>
      </x:c>
      <x:c r="F18" s="2"/>
      <x:c r="G18" s="2"/>
      <x:c r="H18" s="2"/>
    </x:row>
    <x:row r="19" ht="33" customHeight="1">
      <x:c r="A19" s="2" t="str">
        <x:v>61091000 share total</x:v>
      </x:c>
      <x:c r="B19" s="28" t="n">
        <x:f>SUM('Model'!R6:R15)</x:f>
        <x:v>0.9999999999999999</x:v>
      </x:c>
      <x:c r="C19" s="28" t="n">
        <x:v>1</x:v>
      </x:c>
      <x:c r="D19" s="29" t="str">
        <x:f>IF(AND(ISNUMBER(B19),ABS(B19-C19)&lt;0.0000001),"PASS","FAIL")</x:f>
        <x:v>PASS</x:v>
      </x:c>
      <x:c r="E19" s="12" t="str">
        <x:v>After-share conservation.</x:v>
      </x:c>
      <x:c r="F19" s="2"/>
      <x:c r="G19" s="2"/>
      <x:c r="H19" s="2"/>
    </x:row>
    <x:row r="20" ht="33" customHeight="1">
      <x:c r="A20" s="2" t="str">
        <x:v>61091000 Myanmar addition</x:v>
      </x:c>
      <x:c r="B20" s="28" t="n">
        <x:f>'Model'!Q11</x:f>
        <x:v>0</x:v>
      </x:c>
      <x:c r="C20" s="28" t="n">
        <x:v>0</x:v>
      </x:c>
      <x:c r="D20" s="29" t="str">
        <x:f>IF(AND(ISNUMBER(B20),ABS(B20-C20)&lt;0.0000001),"PASS","FAIL")</x:f>
        <x:v>PASS</x:v>
      </x:c>
      <x:c r="E20" s="12" t="str">
        <x:v>Myanmar remains excluded from additional allocation.</x:v>
      </x:c>
      <x:c r="F20" s="2"/>
      <x:c r="G20" s="2"/>
      <x:c r="H20" s="2"/>
    </x:row>
    <x:row r="21" ht="33" customHeight="1">
      <x:c r="A21" s="2" t="str">
        <x:v>61091000 cost bridge</x:v>
      </x:c>
      <x:c r="B21" s="28" t="n">
        <x:f>'Model'!J52-('Model'!C52+'Model'!I52*('Break_Even'!H18))</x:f>
        <x:v>0</x:v>
      </x:c>
      <x:c r="C21" s="28" t="n">
        <x:v>0</x:v>
      </x:c>
      <x:c r="D21" s="29" t="str">
        <x:f>IF(AND(ISNUMBER(B21),ABS(B21-C21)&lt;0.0000001),"PASS","FAIL")</x:f>
        <x:v>PASS</x:v>
      </x:c>
      <x:c r="E21" s="12" t="str">
        <x:v>Direct country contributions reconcile to the incremental operating bridge.</x:v>
      </x:c>
      <x:c r="F21" s="2"/>
      <x:c r="G21" s="2"/>
      <x:c r="H21" s="2"/>
    </x:row>
    <x:row r="22" ht="33" customHeight="1">
      <x:c r="A22" s="2" t="str">
        <x:v>61091000 premium threshold</x:v>
      </x:c>
      <x:c r="B22" s="28" t="n">
        <x:f>'Model'!E52*(1+'Model'!P52)*(1+'Assumptions'!E47*'Assumptions'!F47/365)+'Assumptions'!C47+'Assumptions'!D47-'Model'!D52</x:f>
        <x:v>-3.552713678800501e-15</x:v>
      </x:c>
      <x:c r="C22" s="28" t="n">
        <x:v>0</x:v>
      </x:c>
      <x:c r="D22" s="29" t="str">
        <x:f>IF(AND(ISNUMBER(B22),ABS(B22-C22)&lt;0.0000001),"PASS","FAIL")</x:f>
        <x:v>PASS</x:v>
      </x:c>
      <x:c r="E22" s="12" t="str">
        <x:v>Substitute the calculated premium into the receiver-versus-China equality.</x:v>
      </x:c>
      <x:c r="F22" s="2"/>
      <x:c r="G22" s="2"/>
      <x:c r="H22" s="2"/>
    </x:row>
    <x:row r="23" ht="33" customHeight="1">
      <x:c r="A23" s="2" t="str">
        <x:v>61091000 tariff threshold</x:v>
      </x:c>
      <x:c r="B23" s="28" t="n">
        <x:f>('Model'!E52+'Model'!F52*'Model'!Q52)*(1+'Assumptions'!I8)*(1+'Assumptions'!E47*'Assumptions'!F47/365)+'Assumptions'!C47+'Assumptions'!D47-'Model'!D52</x:f>
        <x:v>0</x:v>
      </x:c>
      <x:c r="C23" s="28" t="n">
        <x:v>0</x:v>
      </x:c>
      <x:c r="D23" s="29" t="str">
        <x:f>IF(AND(ISNUMBER(B23),ABS(B23-C23)&lt;0.0000001),"PASS","FAIL")</x:f>
        <x:v>PASS</x:v>
      </x:c>
      <x:c r="E23" s="12" t="str">
        <x:v>Substitute the calculated extra duty into the same equality.</x:v>
      </x:c>
      <x:c r="F23" s="2"/>
      <x:c r="G23" s="2"/>
      <x:c r="H23" s="2"/>
    </x:row>
    <x:row r="24" ht="33" customHeight="1">
      <x:c r="A24" s="2" t="str">
        <x:v>61103099 share total</x:v>
      </x:c>
      <x:c r="B24" s="28" t="n">
        <x:f>SUM('Model'!R16:R25)</x:f>
        <x:v>0.9999999999999999</x:v>
      </x:c>
      <x:c r="C24" s="28" t="n">
        <x:v>1</x:v>
      </x:c>
      <x:c r="D24" s="29" t="str">
        <x:f>IF(AND(ISNUMBER(B24),ABS(B24-C24)&lt;0.0000001),"PASS","FAIL")</x:f>
        <x:v>PASS</x:v>
      </x:c>
      <x:c r="E24" s="12" t="str">
        <x:v>After-share conservation.</x:v>
      </x:c>
      <x:c r="F24" s="2"/>
      <x:c r="G24" s="2"/>
      <x:c r="H24" s="2"/>
    </x:row>
    <x:row r="25" ht="33" customHeight="1">
      <x:c r="A25" s="2" t="str">
        <x:v>61103099 Myanmar addition</x:v>
      </x:c>
      <x:c r="B25" s="28" t="n">
        <x:f>'Model'!Q21</x:f>
        <x:v>0</x:v>
      </x:c>
      <x:c r="C25" s="28" t="n">
        <x:v>0</x:v>
      </x:c>
      <x:c r="D25" s="29" t="str">
        <x:f>IF(AND(ISNUMBER(B25),ABS(B25-C25)&lt;0.0000001),"PASS","FAIL")</x:f>
        <x:v>PASS</x:v>
      </x:c>
      <x:c r="E25" s="12" t="str">
        <x:v>Myanmar remains excluded from additional allocation.</x:v>
      </x:c>
      <x:c r="F25" s="2"/>
      <x:c r="G25" s="2"/>
      <x:c r="H25" s="2"/>
    </x:row>
    <x:row r="26" ht="33" customHeight="1">
      <x:c r="A26" s="2" t="str">
        <x:v>61103099 cost bridge</x:v>
      </x:c>
      <x:c r="B26" s="28" t="n">
        <x:f>'Model'!J53-('Model'!C53+'Model'!I53*('Break_Even'!H19))</x:f>
        <x:v>1.7763568394002505e-15</x:v>
      </x:c>
      <x:c r="C26" s="28" t="n">
        <x:v>0</x:v>
      </x:c>
      <x:c r="D26" s="29" t="str">
        <x:f>IF(AND(ISNUMBER(B26),ABS(B26-C26)&lt;0.0000001),"PASS","FAIL")</x:f>
        <x:v>PASS</x:v>
      </x:c>
      <x:c r="E26" s="12" t="str">
        <x:v>Direct country contributions reconcile to the incremental operating bridge.</x:v>
      </x:c>
      <x:c r="F26" s="2"/>
      <x:c r="G26" s="2"/>
      <x:c r="H26" s="2"/>
    </x:row>
    <x:row r="27" ht="33" customHeight="1">
      <x:c r="A27" s="2" t="str">
        <x:v>61103099 premium threshold</x:v>
      </x:c>
      <x:c r="B27" s="28" t="n">
        <x:f>'Model'!E53*(1+'Model'!P53)*(1+'Assumptions'!E47*'Assumptions'!F47/365)+'Assumptions'!C47+'Assumptions'!D47-'Model'!D53</x:f>
        <x:v>0</x:v>
      </x:c>
      <x:c r="C27" s="28" t="n">
        <x:v>0</x:v>
      </x:c>
      <x:c r="D27" s="29" t="str">
        <x:f>IF(AND(ISNUMBER(B27),ABS(B27-C27)&lt;0.0000001),"PASS","FAIL")</x:f>
        <x:v>PASS</x:v>
      </x:c>
      <x:c r="E27" s="12" t="str">
        <x:v>Substitute the calculated premium into the receiver-versus-China equality.</x:v>
      </x:c>
      <x:c r="F27" s="2"/>
      <x:c r="G27" s="2"/>
      <x:c r="H27" s="2"/>
    </x:row>
    <x:row r="28" ht="33" customHeight="1">
      <x:c r="A28" s="2" t="str">
        <x:v>61103099 tariff threshold</x:v>
      </x:c>
      <x:c r="B28" s="28" t="n">
        <x:f>('Model'!E53+'Model'!F53*'Model'!Q53)*(1+'Assumptions'!I8)*(1+'Assumptions'!E47*'Assumptions'!F47/365)+'Assumptions'!C47+'Assumptions'!D47-'Model'!D53</x:f>
        <x:v>0</x:v>
      </x:c>
      <x:c r="C28" s="28" t="n">
        <x:v>0</x:v>
      </x:c>
      <x:c r="D28" s="29" t="str">
        <x:f>IF(AND(ISNUMBER(B28),ABS(B28-C28)&lt;0.0000001),"PASS","FAIL")</x:f>
        <x:v>PASS</x:v>
      </x:c>
      <x:c r="E28" s="12" t="str">
        <x:v>Substitute the calculated extra duty into the same equality.</x:v>
      </x:c>
      <x:c r="F28" s="2"/>
      <x:c r="G28" s="2"/>
      <x:c r="H28" s="2"/>
    </x:row>
    <x:row r="29" ht="33" customHeight="1">
      <x:c r="A29" s="2" t="str">
        <x:v>62044300 share total</x:v>
      </x:c>
      <x:c r="B29" s="28" t="n">
        <x:f>SUM('Model'!R26:R35)</x:f>
        <x:v>1.0000000000000002</x:v>
      </x:c>
      <x:c r="C29" s="28" t="n">
        <x:v>1</x:v>
      </x:c>
      <x:c r="D29" s="29" t="str">
        <x:f>IF(AND(ISNUMBER(B29),ABS(B29-C29)&lt;0.0000001),"PASS","FAIL")</x:f>
        <x:v>PASS</x:v>
      </x:c>
      <x:c r="E29" s="12" t="str">
        <x:v>After-share conservation.</x:v>
      </x:c>
      <x:c r="F29" s="2"/>
      <x:c r="G29" s="2"/>
      <x:c r="H29" s="2"/>
    </x:row>
    <x:row r="30" ht="33" customHeight="1">
      <x:c r="A30" s="2" t="str">
        <x:v>62044300 Myanmar addition</x:v>
      </x:c>
      <x:c r="B30" s="28" t="n">
        <x:f>'Model'!Q31</x:f>
        <x:v>0</x:v>
      </x:c>
      <x:c r="C30" s="28" t="n">
        <x:v>0</x:v>
      </x:c>
      <x:c r="D30" s="29" t="str">
        <x:f>IF(AND(ISNUMBER(B30),ABS(B30-C30)&lt;0.0000001),"PASS","FAIL")</x:f>
        <x:v>PASS</x:v>
      </x:c>
      <x:c r="E30" s="12" t="str">
        <x:v>Myanmar remains excluded from additional allocation.</x:v>
      </x:c>
      <x:c r="F30" s="2"/>
      <x:c r="G30" s="2"/>
      <x:c r="H30" s="2"/>
    </x:row>
    <x:row r="31" ht="33" customHeight="1">
      <x:c r="A31" s="2" t="str">
        <x:v>62044300 cost bridge</x:v>
      </x:c>
      <x:c r="B31" s="28" t="n">
        <x:f>'Model'!J54-('Model'!C54+'Model'!I54*('Break_Even'!H20))</x:f>
        <x:v>-7.105427357601002e-15</x:v>
      </x:c>
      <x:c r="C31" s="28" t="n">
        <x:v>0</x:v>
      </x:c>
      <x:c r="D31" s="29" t="str">
        <x:f>IF(AND(ISNUMBER(B31),ABS(B31-C31)&lt;0.0000001),"PASS","FAIL")</x:f>
        <x:v>PASS</x:v>
      </x:c>
      <x:c r="E31" s="12" t="str">
        <x:v>Direct country contributions reconcile to the incremental operating bridge.</x:v>
      </x:c>
      <x:c r="F31" s="2"/>
      <x:c r="G31" s="2"/>
      <x:c r="H31" s="2"/>
    </x:row>
    <x:row r="32" ht="33" customHeight="1">
      <x:c r="A32" s="2" t="str">
        <x:v>62044300 premium threshold</x:v>
      </x:c>
      <x:c r="B32" s="28" t="n">
        <x:f>'Model'!E54*(1+'Model'!P54)*(1+'Assumptions'!E47*'Assumptions'!F47/365)+'Assumptions'!C47+'Assumptions'!D47-'Model'!D54</x:f>
        <x:v>-3.552713678800501e-15</x:v>
      </x:c>
      <x:c r="C32" s="28" t="n">
        <x:v>0</x:v>
      </x:c>
      <x:c r="D32" s="29" t="str">
        <x:f>IF(AND(ISNUMBER(B32),ABS(B32-C32)&lt;0.0000001),"PASS","FAIL")</x:f>
        <x:v>PASS</x:v>
      </x:c>
      <x:c r="E32" s="12" t="str">
        <x:v>Substitute the calculated premium into the receiver-versus-China equality.</x:v>
      </x:c>
      <x:c r="F32" s="2"/>
      <x:c r="G32" s="2"/>
      <x:c r="H32" s="2"/>
    </x:row>
    <x:row r="33" ht="33" customHeight="1">
      <x:c r="A33" s="2" t="str">
        <x:v>62044300 tariff threshold</x:v>
      </x:c>
      <x:c r="B33" s="28" t="n">
        <x:f>('Model'!E54+'Model'!F54*'Model'!Q54)*(1+'Assumptions'!I8)*(1+'Assumptions'!E47*'Assumptions'!F47/365)+'Assumptions'!C47+'Assumptions'!D47-'Model'!D54</x:f>
        <x:v>0</x:v>
      </x:c>
      <x:c r="C33" s="28" t="n">
        <x:v>0</x:v>
      </x:c>
      <x:c r="D33" s="29" t="str">
        <x:f>IF(AND(ISNUMBER(B33),ABS(B33-C33)&lt;0.0000001),"PASS","FAIL")</x:f>
        <x:v>PASS</x:v>
      </x:c>
      <x:c r="E33" s="12" t="str">
        <x:v>Substitute the calculated extra duty into the same equality.</x:v>
      </x:c>
      <x:c r="F33" s="2"/>
      <x:c r="G33" s="2"/>
      <x:c r="H33" s="2"/>
    </x:row>
    <x:row r="34" ht="33" customHeight="1">
      <x:c r="A34" s="2" t="str">
        <x:v>62052000 share total</x:v>
      </x:c>
      <x:c r="B34" s="28" t="n">
        <x:f>SUM('Model'!R36:R45)</x:f>
        <x:v>1.0000000000000002</x:v>
      </x:c>
      <x:c r="C34" s="28" t="n">
        <x:v>1</x:v>
      </x:c>
      <x:c r="D34" s="29" t="str">
        <x:f>IF(AND(ISNUMBER(B34),ABS(B34-C34)&lt;0.0000001),"PASS","FAIL")</x:f>
        <x:v>PASS</x:v>
      </x:c>
      <x:c r="E34" s="12" t="str">
        <x:v>After-share conservation.</x:v>
      </x:c>
      <x:c r="F34" s="2"/>
      <x:c r="G34" s="2"/>
      <x:c r="H34" s="2"/>
    </x:row>
    <x:row r="35" ht="33" customHeight="1">
      <x:c r="A35" s="2" t="str">
        <x:v>62052000 Myanmar addition</x:v>
      </x:c>
      <x:c r="B35" s="28" t="n">
        <x:f>'Model'!Q41</x:f>
        <x:v>0</x:v>
      </x:c>
      <x:c r="C35" s="28" t="n">
        <x:v>0</x:v>
      </x:c>
      <x:c r="D35" s="29" t="str">
        <x:f>IF(AND(ISNUMBER(B35),ABS(B35-C35)&lt;0.0000001),"PASS","FAIL")</x:f>
        <x:v>PASS</x:v>
      </x:c>
      <x:c r="E35" s="12" t="str">
        <x:v>Myanmar remains excluded from additional allocation.</x:v>
      </x:c>
      <x:c r="F35" s="2"/>
      <x:c r="G35" s="2"/>
      <x:c r="H35" s="2"/>
    </x:row>
    <x:row r="36" ht="33" customHeight="1">
      <x:c r="A36" s="2" t="str">
        <x:v>62052000 cost bridge</x:v>
      </x:c>
      <x:c r="B36" s="28" t="n">
        <x:f>'Model'!J55-('Model'!C55+'Model'!I55*('Break_Even'!H21))</x:f>
        <x:v>-3.552713678800501e-15</x:v>
      </x:c>
      <x:c r="C36" s="28" t="n">
        <x:v>0</x:v>
      </x:c>
      <x:c r="D36" s="29" t="str">
        <x:f>IF(AND(ISNUMBER(B36),ABS(B36-C36)&lt;0.0000001),"PASS","FAIL")</x:f>
        <x:v>PASS</x:v>
      </x:c>
      <x:c r="E36" s="12" t="str">
        <x:v>Direct country contributions reconcile to the incremental operating bridge.</x:v>
      </x:c>
      <x:c r="F36" s="2"/>
      <x:c r="G36" s="2"/>
      <x:c r="H36" s="2"/>
    </x:row>
    <x:row r="37" ht="33" customHeight="1">
      <x:c r="A37" s="2" t="str">
        <x:v>62052000 premium threshold</x:v>
      </x:c>
      <x:c r="B37" s="28" t="n">
        <x:f>'Model'!E55*(1+'Model'!P55)*(1+'Assumptions'!E47*'Assumptions'!F47/365)+'Assumptions'!C47+'Assumptions'!D47-'Model'!D55</x:f>
        <x:v>0</x:v>
      </x:c>
      <x:c r="C37" s="28" t="n">
        <x:v>0</x:v>
      </x:c>
      <x:c r="D37" s="29" t="str">
        <x:f>IF(AND(ISNUMBER(B37),ABS(B37-C37)&lt;0.0000001),"PASS","FAIL")</x:f>
        <x:v>PASS</x:v>
      </x:c>
      <x:c r="E37" s="12" t="str">
        <x:v>Substitute the calculated premium into the receiver-versus-China equality.</x:v>
      </x:c>
      <x:c r="F37" s="2"/>
      <x:c r="G37" s="2"/>
      <x:c r="H37" s="2"/>
    </x:row>
    <x:row r="38" ht="33" customHeight="1">
      <x:c r="A38" s="2" t="str">
        <x:v>62052000 tariff threshold</x:v>
      </x:c>
      <x:c r="B38" s="28" t="n">
        <x:f>('Model'!E55+'Model'!F55*'Model'!Q55)*(1+'Assumptions'!I8)*(1+'Assumptions'!E47*'Assumptions'!F47/365)+'Assumptions'!C47+'Assumptions'!D47-'Model'!D55</x:f>
        <x:v>0</x:v>
      </x:c>
      <x:c r="C38" s="28" t="n">
        <x:v>0</x:v>
      </x:c>
      <x:c r="D38" s="29" t="str">
        <x:f>IF(AND(ISNUMBER(B38),ABS(B38-C38)&lt;0.0000001),"PASS","FAIL")</x:f>
        <x:v>PASS</x:v>
      </x:c>
      <x:c r="E38" s="12" t="str">
        <x:v>Substitute the calculated extra duty into the same equality.</x:v>
      </x:c>
      <x:c r="F38" s="2"/>
      <x:c r="G38" s="2"/>
      <x:c r="H38" s="2"/>
    </x:row>
    <x:row r="39" ht="33" customHeight="1">
      <x:c r="A39" s="2" t="str">
        <x:v>Candidate holds</x:v>
      </x:c>
      <x:c r="B39" s="33" t="n">
        <x:f>COUNTIFS('Model'!U52:U55,"Hold")</x:f>
        <x:v>4</x:v>
      </x:c>
      <x:c r="C39" s="33" t="n">
        <x:v>4</x:v>
      </x:c>
      <x:c r="D39" s="29" t="str">
        <x:f>IF(AND(ISNUMBER(B39),ABS(B39-C39)&lt;0.0000001),"PASS","FAIL")</x:f>
        <x:v>PASS</x:v>
      </x:c>
      <x:c r="E39" s="12" t="str">
        <x:v>Analytical feasibility does not release sourcing allocations.</x:v>
      </x:c>
      <x:c r="F39" s="2"/>
      <x:c r="G39" s="2"/>
      <x:c r="H39" s="2"/>
    </x:row>
    <x:row r="40" ht="51" customHeight="1">
      <x:c r="A40" s="12" t="str">
        <x:v>Live default vs WP008</x:v>
      </x:c>
      <x:c r="B40" s="44" t="n">
        <x:f>IF('Assumptions'!B5=1,SUM(G188:G191),"n.a.")</x:f>
        <x:v>9.809930645587883e-13</x:v>
      </x:c>
      <x:c r="C40" s="44" t="n">
        <x:v>0</x:v>
      </x:c>
      <x:c r="D40" s="38" t="str">
        <x:f>IF('Assumptions'!B5&lt;&gt;1,"n.a. (set case 1)",IF(AND(ISNUMBER(B40),ABS(B40)&lt;0.000000001),"PASS","FAIL"))</x:f>
        <x:v>PASS</x:v>
      </x:c>
      <x:c r="E40" s="12" t="str">
        <x:v>Set case 1. Live cost changes, HHI changes and shifts are compared with the recorded WP008 baseline. Other active cases are not assessed by this check.</x:v>
      </x:c>
      <x:c r="F40" s="2"/>
      <x:c r="G40" s="2"/>
      <x:c r="H40" s="2"/>
    </x:row>
    <x:row r="41" ht="51" customHeight="1">
      <x:c r="A41" s="12" t="str">
        <x:v>Active case vs saved results</x:v>
      </x:c>
      <x:c r="B41" s="44" t="n">
        <x:f>IF(COUNTIFS('Model'!T52:T55,"Ready")=4,SUM(D196:D199,G196:I199)+ABS('Model'!B60-SUMIFS('Sensitivity'!C7:C32,'Sensitivity'!A7:A32,'Assumptions'!B5))+ABS('Model'!B61-SUMIFS('Sensitivity'!D7:D32,'Sensitivity'!A7:A32,'Assumptions'!B5)),"n.a.")</x:f>
        <x:v>0</x:v>
      </x:c>
      <x:c r="C41" s="44" t="n">
        <x:v>0</x:v>
      </x:c>
      <x:c r="D41" s="38" t="str">
        <x:f>IF(AND(ISNUMBER(B41),ABS(B41)&lt;0.000000001),"PASS","FAIL")</x:f>
        <x:v>PASS</x:v>
      </x:c>
      <x:c r="E41" s="12" t="str">
        <x:v>Live cost, HHI, shift, receiver multiples and both baskets reconcile to the selected saved case.</x:v>
      </x:c>
      <x:c r="F41" s="2"/>
      <x:c r="G41" s="2"/>
      <x:c r="H41" s="2"/>
    </x:row>
    <x:row r="42" ht="51" customHeight="1">
      <x:c r="A42" s="12" t="str">
        <x:v>Shared inputs vs snapshot</x:v>
      </x:c>
      <x:c r="B42" s="44" t="n">
        <x:f>'Sensitivity'!C207</x:f>
        <x:v>0</x:v>
      </x:c>
      <x:c r="C42" s="44" t="n">
        <x:v>0</x:v>
      </x:c>
      <x:c r="D42" s="38" t="str">
        <x:f>IF(AND(ISNUMBER(B42),ABS(B42)&lt;0.000000001),"PASS","FAIL")</x:f>
        <x:v>PASS</x:v>
      </x:c>
      <x:c r="E42" s="12" t="str">
        <x:v>Any change to a captured source, mix, operating set or shared limit requires ensemble refresh.</x:v>
      </x:c>
      <x:c r="F42" s="2"/>
      <x:c r="G42" s="2"/>
      <x:c r="H42" s="2"/>
    </x:row>
    <x:row r="43" ht="51" customHeight="1">
      <x:c r="A43" s="12" t="str">
        <x:v>Saved cases needing refresh</x:v>
      </x:c>
      <x:c r="B43" s="44" t="n">
        <x:f>COUNTIFS('Sensitivity'!K7:K32,"Refresh required")</x:f>
        <x:v>0</x:v>
      </x:c>
      <x:c r="C43" s="44" t="n">
        <x:v>0</x:v>
      </x:c>
      <x:c r="D43" s="38" t="str">
        <x:f>IF(AND(ISNUMBER(B43),ABS(B43)&lt;0.000000001),"PASS","FAIL")</x:f>
        <x:v>PASS</x:v>
      </x:c>
      <x:c r="E43" s="12" t="str">
        <x:v>Case definitions and shared inputs must match the saved ensemble.</x:v>
      </x:c>
      <x:c r="F43" s="2"/>
      <x:c r="G43" s="2"/>
      <x:c r="H43" s="2"/>
    </x:row>
    <x:row r="44" ht="23" customHeight="1">
      <x:c r="A44" s="2"/>
      <x:c r="B44" s="2"/>
      <x:c r="C44" s="2"/>
      <x:c r="D44" s="2"/>
      <x:c r="E44" s="2"/>
      <x:c r="F44" s="2"/>
      <x:c r="G44" s="2"/>
      <x:c r="H44" s="2"/>
    </x:row>
    <x:row r="45" ht="23" customHeight="1">
      <x:c r="A45" s="2"/>
      <x:c r="B45" s="2"/>
      <x:c r="C45" s="2"/>
      <x:c r="D45" s="2"/>
      <x:c r="E45" s="2"/>
      <x:c r="F45" s="2"/>
      <x:c r="G45" s="2"/>
      <x:c r="H45" s="2"/>
    </x:row>
    <x:row r="46" ht="23" customHeight="1">
      <x:c r="A46" s="2"/>
      <x:c r="B46" s="2"/>
      <x:c r="C46" s="2"/>
      <x:c r="D46" s="2"/>
      <x:c r="E46" s="2"/>
      <x:c r="F46" s="2"/>
      <x:c r="G46" s="2"/>
      <x:c r="H46" s="2"/>
    </x:row>
    <x:row r="47" ht="23" customHeight="1">
      <x:c r="A47" s="2"/>
      <x:c r="B47" s="2"/>
      <x:c r="C47" s="2"/>
      <x:c r="D47" s="2"/>
      <x:c r="E47" s="2"/>
      <x:c r="F47" s="2"/>
      <x:c r="G47" s="2"/>
      <x:c r="H47" s="2"/>
    </x:row>
    <x:row r="48" ht="23" customHeight="1">
      <x:c r="A48" s="2"/>
      <x:c r="B48" s="2"/>
      <x:c r="C48" s="2"/>
      <x:c r="D48" s="2"/>
      <x:c r="E48" s="2"/>
      <x:c r="F48" s="2"/>
      <x:c r="G48" s="2"/>
      <x:c r="H48" s="2"/>
    </x:row>
    <x:row r="49" ht="23" customHeight="1">
      <x:c r="A49" s="2"/>
      <x:c r="B49" s="2"/>
      <x:c r="C49" s="2"/>
      <x:c r="D49" s="2"/>
      <x:c r="E49" s="2"/>
      <x:c r="F49" s="2"/>
      <x:c r="G49" s="2"/>
      <x:c r="H49" s="2"/>
    </x:row>
    <x:row r="50" ht="23" customHeight="1">
      <x:c r="A50" s="2"/>
      <x:c r="B50" s="2"/>
      <x:c r="C50" s="2"/>
      <x:c r="D50" s="2"/>
      <x:c r="E50" s="2"/>
      <x:c r="F50" s="2"/>
      <x:c r="G50" s="2"/>
      <x:c r="H50" s="2"/>
    </x:row>
    <x:row r="51" ht="23" customHeight="1">
      <x:c r="A51" s="2"/>
      <x:c r="B51" s="2"/>
      <x:c r="C51" s="2"/>
      <x:c r="D51" s="2"/>
      <x:c r="E51" s="2"/>
      <x:c r="F51" s="2"/>
      <x:c r="G51" s="2"/>
      <x:c r="H51" s="2"/>
    </x:row>
    <x:row r="52" ht="23" customHeight="1">
      <x:c r="A52" s="2"/>
      <x:c r="B52" s="2"/>
      <x:c r="C52" s="2"/>
      <x:c r="D52" s="2"/>
      <x:c r="E52" s="2"/>
      <x:c r="F52" s="2"/>
      <x:c r="G52" s="2"/>
      <x:c r="H52" s="2"/>
    </x:row>
    <x:row r="53" ht="23" customHeight="1">
      <x:c r="A53" s="2"/>
      <x:c r="B53" s="2"/>
      <x:c r="C53" s="2"/>
      <x:c r="D53" s="2"/>
      <x:c r="E53" s="2"/>
      <x:c r="F53" s="2"/>
      <x:c r="G53" s="2"/>
      <x:c r="H53" s="2"/>
    </x:row>
    <x:row r="54" ht="23" customHeight="1">
      <x:c r="A54" s="2"/>
      <x:c r="B54" s="2"/>
      <x:c r="C54" s="2"/>
      <x:c r="D54" s="2"/>
      <x:c r="E54" s="2"/>
      <x:c r="F54" s="2"/>
      <x:c r="G54" s="2"/>
      <x:c r="H54" s="2"/>
    </x:row>
    <x:row r="55" ht="23" customHeight="1">
      <x:c r="A55" s="2"/>
      <x:c r="B55" s="2"/>
      <x:c r="C55" s="2"/>
      <x:c r="D55" s="2"/>
      <x:c r="E55" s="2"/>
      <x:c r="F55" s="2"/>
      <x:c r="G55" s="2"/>
      <x:c r="H55" s="2"/>
    </x:row>
    <x:row r="56" ht="23" customHeight="1">
      <x:c r="A56" s="2"/>
      <x:c r="B56" s="2"/>
      <x:c r="C56" s="2"/>
      <x:c r="D56" s="2"/>
      <x:c r="E56" s="2"/>
      <x:c r="F56" s="2"/>
      <x:c r="G56" s="2"/>
      <x:c r="H56" s="2"/>
    </x:row>
    <x:row r="57" ht="23" customHeight="1">
      <x:c r="A57" s="2"/>
      <x:c r="B57" s="2"/>
      <x:c r="C57" s="2"/>
      <x:c r="D57" s="2"/>
      <x:c r="E57" s="2"/>
      <x:c r="F57" s="2"/>
      <x:c r="G57" s="2"/>
      <x:c r="H57" s="2"/>
    </x:row>
    <x:row r="58" ht="23" customHeight="1">
      <x:c r="A58" s="2"/>
      <x:c r="B58" s="2"/>
      <x:c r="C58" s="2"/>
      <x:c r="D58" s="2"/>
      <x:c r="E58" s="2"/>
      <x:c r="F58" s="2"/>
      <x:c r="G58" s="2"/>
      <x:c r="H58" s="2"/>
    </x:row>
    <x:row r="59" ht="23" customHeight="1">
      <x:c r="A59" s="2"/>
      <x:c r="B59" s="2"/>
      <x:c r="C59" s="2"/>
      <x:c r="D59" s="2"/>
      <x:c r="E59" s="2"/>
      <x:c r="F59" s="2"/>
      <x:c r="G59" s="2"/>
      <x:c r="H59" s="2"/>
    </x:row>
    <x:row r="60" ht="23" customHeight="1">
      <x:c r="A60" s="2"/>
      <x:c r="B60" s="2"/>
      <x:c r="C60" s="2"/>
      <x:c r="D60" s="2"/>
      <x:c r="E60" s="2"/>
      <x:c r="F60" s="2"/>
      <x:c r="G60" s="2"/>
      <x:c r="H60" s="2"/>
    </x:row>
    <x:row r="61" ht="23" customHeight="1">
      <x:c r="A61" s="2"/>
      <x:c r="B61" s="2"/>
      <x:c r="C61" s="2"/>
      <x:c r="D61" s="2"/>
      <x:c r="E61" s="2"/>
      <x:c r="F61" s="2"/>
      <x:c r="G61" s="2"/>
      <x:c r="H61" s="2"/>
    </x:row>
    <x:row r="62" ht="23" customHeight="1">
      <x:c r="A62" s="2"/>
      <x:c r="B62" s="2"/>
      <x:c r="C62" s="2"/>
      <x:c r="D62" s="2"/>
      <x:c r="E62" s="2"/>
      <x:c r="F62" s="2"/>
      <x:c r="G62" s="2"/>
      <x:c r="H62" s="2"/>
    </x:row>
    <x:row r="63" ht="23" customHeight="1">
      <x:c r="A63" s="2"/>
      <x:c r="B63" s="2"/>
      <x:c r="C63" s="2"/>
      <x:c r="D63" s="2"/>
      <x:c r="E63" s="2"/>
      <x:c r="F63" s="2"/>
      <x:c r="G63" s="2"/>
      <x:c r="H63" s="2"/>
    </x:row>
    <x:row r="64" ht="42" customHeight="1">
      <x:c r="A64" s="11" t="str">
        <x:v>Source key</x:v>
      </x:c>
      <x:c r="B64" s="11" t="str">
        <x:v>Period value £</x:v>
      </x:c>
      <x:c r="C64" s="11" t="str">
        <x:v>Monthly value £</x:v>
      </x:c>
      <x:c r="D64" s="11" t="str">
        <x:v>Monthly mass kg</x:v>
      </x:c>
      <x:c r="E64" s="11" t="str">
        <x:v>Absolute value difference</x:v>
      </x:c>
      <x:c r="F64" s="11" t="str">
        <x:v>Absolute mass difference</x:v>
      </x:c>
      <x:c r="G64" s="2"/>
      <x:c r="H64" s="2"/>
    </x:row>
    <x:row r="65" ht="23" customHeight="1">
      <x:c r="A65" s="2" t="str">
        <x:f>'Source_Data'!A6</x:f>
        <x:v>FY2025|Bangladesh|61091000</x:v>
      </x:c>
      <x:c r="B65" s="2" t="n">
        <x:f>'Source_Data'!E6</x:f>
        <x:v>455361217</x:v>
      </x:c>
      <x:c r="C65" s="2" t="n">
        <x:f>SUMIFS('Monthly_Data'!$E$6:$E$797,'Monthly_Data'!$B$6:$B$797,"&gt;="&amp;'Source_Data'!J6,'Monthly_Data'!$B$6:$B$797,"&lt;="&amp;'Source_Data'!K6,'Monthly_Data'!$C$6:$C$797,'Source_Data'!D6,'Monthly_Data'!$D$6:$D$797,'Source_Data'!C6)</x:f>
        <x:v>455361217</x:v>
      </x:c>
      <x:c r="D65" s="2" t="n">
        <x:f>SUMIFS('Monthly_Data'!$F$6:$F$797,'Monthly_Data'!$B$6:$B$797,"&gt;="&amp;'Source_Data'!J6,'Monthly_Data'!$B$6:$B$797,"&lt;="&amp;'Source_Data'!K6,'Monthly_Data'!$C$6:$C$797,'Source_Data'!D6,'Monthly_Data'!$D$6:$D$797,'Source_Data'!C6)</x:f>
        <x:v>44227971</x:v>
      </x:c>
      <x:c r="E65" s="2" t="n">
        <x:f>ABS(B65-C65)</x:f>
        <x:v>0</x:v>
      </x:c>
      <x:c r="F65" s="2" t="n">
        <x:f>ABS(D65-'Source_Data'!F6)</x:f>
        <x:v>0</x:v>
      </x:c>
      <x:c r="G65" s="2"/>
      <x:c r="H65" s="2"/>
    </x:row>
    <x:row r="66" ht="23" customHeight="1">
      <x:c r="A66" s="2" t="str">
        <x:f>'Source_Data'!A7</x:f>
        <x:v>FY2025|Cambodia|61091000</x:v>
      </x:c>
      <x:c r="B66" s="2" t="n">
        <x:f>'Source_Data'!E7</x:f>
        <x:v>10485143</x:v>
      </x:c>
      <x:c r="C66" s="2" t="n">
        <x:f>SUMIFS('Monthly_Data'!$E$6:$E$797,'Monthly_Data'!$B$6:$B$797,"&gt;="&amp;'Source_Data'!J7,'Monthly_Data'!$B$6:$B$797,"&lt;="&amp;'Source_Data'!K7,'Monthly_Data'!$C$6:$C$797,'Source_Data'!D7,'Monthly_Data'!$D$6:$D$797,'Source_Data'!C7)</x:f>
        <x:v>10485143</x:v>
      </x:c>
      <x:c r="D66" s="2" t="n">
        <x:f>SUMIFS('Monthly_Data'!$F$6:$F$797,'Monthly_Data'!$B$6:$B$797,"&gt;="&amp;'Source_Data'!J7,'Monthly_Data'!$B$6:$B$797,"&lt;="&amp;'Source_Data'!K7,'Monthly_Data'!$C$6:$C$797,'Source_Data'!D7,'Monthly_Data'!$D$6:$D$797,'Source_Data'!C7)</x:f>
        <x:v>547756</x:v>
      </x:c>
      <x:c r="E66" s="2" t="n">
        <x:f>ABS(B66-C66)</x:f>
        <x:v>0</x:v>
      </x:c>
      <x:c r="F66" s="2" t="n">
        <x:f>ABS(D66-'Source_Data'!F7)</x:f>
        <x:v>0</x:v>
      </x:c>
      <x:c r="G66" s="2"/>
      <x:c r="H66" s="2"/>
    </x:row>
    <x:row r="67" ht="23" customHeight="1">
      <x:c r="A67" s="2" t="str">
        <x:f>'Source_Data'!A8</x:f>
        <x:v>FY2025|China|61091000</x:v>
      </x:c>
      <x:c r="B67" s="2" t="n">
        <x:f>'Source_Data'!E8</x:f>
        <x:v>44790747</x:v>
      </x:c>
      <x:c r="C67" s="2" t="n">
        <x:f>SUMIFS('Monthly_Data'!$E$6:$E$797,'Monthly_Data'!$B$6:$B$797,"&gt;="&amp;'Source_Data'!J8,'Monthly_Data'!$B$6:$B$797,"&lt;="&amp;'Source_Data'!K8,'Monthly_Data'!$C$6:$C$797,'Source_Data'!D8,'Monthly_Data'!$D$6:$D$797,'Source_Data'!C8)</x:f>
        <x:v>44790747</x:v>
      </x:c>
      <x:c r="D67" s="2" t="n">
        <x:f>SUMIFS('Monthly_Data'!$F$6:$F$797,'Monthly_Data'!$B$6:$B$797,"&gt;="&amp;'Source_Data'!J8,'Monthly_Data'!$B$6:$B$797,"&lt;="&amp;'Source_Data'!K8,'Monthly_Data'!$C$6:$C$797,'Source_Data'!D8,'Monthly_Data'!$D$6:$D$797,'Source_Data'!C8)</x:f>
        <x:v>2430960</x:v>
      </x:c>
      <x:c r="E67" s="2" t="n">
        <x:f>ABS(B67-C67)</x:f>
        <x:v>0</x:v>
      </x:c>
      <x:c r="F67" s="2" t="n">
        <x:f>ABS(D67-'Source_Data'!F8)</x:f>
        <x:v>0</x:v>
      </x:c>
      <x:c r="G67" s="2"/>
      <x:c r="H67" s="2"/>
    </x:row>
    <x:row r="68" ht="23" customHeight="1">
      <x:c r="A68" s="2" t="str">
        <x:f>'Source_Data'!A9</x:f>
        <x:v>FY2025|India|61091000</x:v>
      </x:c>
      <x:c r="B68" s="2" t="n">
        <x:f>'Source_Data'!E9</x:f>
        <x:v>100902224</x:v>
      </x:c>
      <x:c r="C68" s="2" t="n">
        <x:f>SUMIFS('Monthly_Data'!$E$6:$E$797,'Monthly_Data'!$B$6:$B$797,"&gt;="&amp;'Source_Data'!J9,'Monthly_Data'!$B$6:$B$797,"&lt;="&amp;'Source_Data'!K9,'Monthly_Data'!$C$6:$C$797,'Source_Data'!D9,'Monthly_Data'!$D$6:$D$797,'Source_Data'!C9)</x:f>
        <x:v>100902224</x:v>
      </x:c>
      <x:c r="D68" s="2" t="n">
        <x:f>SUMIFS('Monthly_Data'!$F$6:$F$797,'Monthly_Data'!$B$6:$B$797,"&gt;="&amp;'Source_Data'!J9,'Monthly_Data'!$B$6:$B$797,"&lt;="&amp;'Source_Data'!K9,'Monthly_Data'!$C$6:$C$797,'Source_Data'!D9,'Monthly_Data'!$D$6:$D$797,'Source_Data'!C9)</x:f>
        <x:v>7735285</x:v>
      </x:c>
      <x:c r="E68" s="2" t="n">
        <x:f>ABS(B68-C68)</x:f>
        <x:v>0</x:v>
      </x:c>
      <x:c r="F68" s="2" t="n">
        <x:f>ABS(D68-'Source_Data'!F9)</x:f>
        <x:v>0</x:v>
      </x:c>
      <x:c r="G68" s="2"/>
      <x:c r="H68" s="2"/>
    </x:row>
    <x:row r="69" ht="23" customHeight="1">
      <x:c r="A69" s="2" t="str">
        <x:f>'Source_Data'!A10</x:f>
        <x:v>FY2025|Morocco|61091000</x:v>
      </x:c>
      <x:c r="B69" s="2" t="n">
        <x:f>'Source_Data'!E10</x:f>
        <x:v>11996927</x:v>
      </x:c>
      <x:c r="C69" s="2" t="n">
        <x:f>SUMIFS('Monthly_Data'!$E$6:$E$797,'Monthly_Data'!$B$6:$B$797,"&gt;="&amp;'Source_Data'!J10,'Monthly_Data'!$B$6:$B$797,"&lt;="&amp;'Source_Data'!K10,'Monthly_Data'!$C$6:$C$797,'Source_Data'!D10,'Monthly_Data'!$D$6:$D$797,'Source_Data'!C10)</x:f>
        <x:v>11996927</x:v>
      </x:c>
      <x:c r="D69" s="2" t="n">
        <x:f>SUMIFS('Monthly_Data'!$F$6:$F$797,'Monthly_Data'!$B$6:$B$797,"&gt;="&amp;'Source_Data'!J10,'Monthly_Data'!$B$6:$B$797,"&lt;="&amp;'Source_Data'!K10,'Monthly_Data'!$C$6:$C$797,'Source_Data'!D10,'Monthly_Data'!$D$6:$D$797,'Source_Data'!C10)</x:f>
        <x:v>1265062</x:v>
      </x:c>
      <x:c r="E69" s="2" t="n">
        <x:f>ABS(B69-C69)</x:f>
        <x:v>0</x:v>
      </x:c>
      <x:c r="F69" s="2" t="n">
        <x:f>ABS(D69-'Source_Data'!F10)</x:f>
        <x:v>0</x:v>
      </x:c>
      <x:c r="G69" s="2"/>
      <x:c r="H69" s="2"/>
    </x:row>
    <x:row r="70" ht="23" customHeight="1">
      <x:c r="A70" s="2" t="str">
        <x:f>'Source_Data'!A11</x:f>
        <x:v>FY2025|Myanmar|61091000</x:v>
      </x:c>
      <x:c r="B70" s="2" t="n">
        <x:f>'Source_Data'!E11</x:f>
        <x:v>377935</x:v>
      </x:c>
      <x:c r="C70" s="2" t="n">
        <x:f>SUMIFS('Monthly_Data'!$E$6:$E$797,'Monthly_Data'!$B$6:$B$797,"&gt;="&amp;'Source_Data'!J11,'Monthly_Data'!$B$6:$B$797,"&lt;="&amp;'Source_Data'!K11,'Monthly_Data'!$C$6:$C$797,'Source_Data'!D11,'Monthly_Data'!$D$6:$D$797,'Source_Data'!C11)</x:f>
        <x:v>377935</x:v>
      </x:c>
      <x:c r="D70" s="2" t="n">
        <x:f>SUMIFS('Monthly_Data'!$F$6:$F$797,'Monthly_Data'!$B$6:$B$797,"&gt;="&amp;'Source_Data'!J11,'Monthly_Data'!$B$6:$B$797,"&lt;="&amp;'Source_Data'!K11,'Monthly_Data'!$C$6:$C$797,'Source_Data'!D11,'Monthly_Data'!$D$6:$D$797,'Source_Data'!C11)</x:f>
        <x:v>29326</x:v>
      </x:c>
      <x:c r="E70" s="2" t="n">
        <x:f>ABS(B70-C70)</x:f>
        <x:v>0</x:v>
      </x:c>
      <x:c r="F70" s="2" t="n">
        <x:f>ABS(D70-'Source_Data'!F11)</x:f>
        <x:v>0</x:v>
      </x:c>
      <x:c r="G70" s="2"/>
      <x:c r="H70" s="2"/>
    </x:row>
    <x:row r="71" ht="23" customHeight="1">
      <x:c r="A71" s="2" t="str">
        <x:f>'Source_Data'!A12</x:f>
        <x:v>FY2025|Pakistan|61091000</x:v>
      </x:c>
      <x:c r="B71" s="2" t="n">
        <x:f>'Source_Data'!E12</x:f>
        <x:v>50802167</x:v>
      </x:c>
      <x:c r="C71" s="2" t="n">
        <x:f>SUMIFS('Monthly_Data'!$E$6:$E$797,'Monthly_Data'!$B$6:$B$797,"&gt;="&amp;'Source_Data'!J12,'Monthly_Data'!$B$6:$B$797,"&lt;="&amp;'Source_Data'!K12,'Monthly_Data'!$C$6:$C$797,'Source_Data'!D12,'Monthly_Data'!$D$6:$D$797,'Source_Data'!C12)</x:f>
        <x:v>50802167</x:v>
      </x:c>
      <x:c r="D71" s="2" t="n">
        <x:f>SUMIFS('Monthly_Data'!$F$6:$F$797,'Monthly_Data'!$B$6:$B$797,"&gt;="&amp;'Source_Data'!J12,'Monthly_Data'!$B$6:$B$797,"&lt;="&amp;'Source_Data'!K12,'Monthly_Data'!$C$6:$C$797,'Source_Data'!D12,'Monthly_Data'!$D$6:$D$797,'Source_Data'!C12)</x:f>
        <x:v>10896985</x:v>
      </x:c>
      <x:c r="E71" s="2" t="n">
        <x:f>ABS(B71-C71)</x:f>
        <x:v>0</x:v>
      </x:c>
      <x:c r="F71" s="2" t="n">
        <x:f>ABS(D71-'Source_Data'!F12)</x:f>
        <x:v>0</x:v>
      </x:c>
      <x:c r="G71" s="2"/>
      <x:c r="H71" s="2"/>
    </x:row>
    <x:row r="72" ht="23" customHeight="1">
      <x:c r="A72" s="2" t="str">
        <x:f>'Source_Data'!A13</x:f>
        <x:v>FY2025|Sri Lanka|61091000</x:v>
      </x:c>
      <x:c r="B72" s="2" t="n">
        <x:f>'Source_Data'!E13</x:f>
        <x:v>22682066</x:v>
      </x:c>
      <x:c r="C72" s="2" t="n">
        <x:f>SUMIFS('Monthly_Data'!$E$6:$E$797,'Monthly_Data'!$B$6:$B$797,"&gt;="&amp;'Source_Data'!J13,'Monthly_Data'!$B$6:$B$797,"&lt;="&amp;'Source_Data'!K13,'Monthly_Data'!$C$6:$C$797,'Source_Data'!D13,'Monthly_Data'!$D$6:$D$797,'Source_Data'!C13)</x:f>
        <x:v>22682066</x:v>
      </x:c>
      <x:c r="D72" s="2" t="n">
        <x:f>SUMIFS('Monthly_Data'!$F$6:$F$797,'Monthly_Data'!$B$6:$B$797,"&gt;="&amp;'Source_Data'!J13,'Monthly_Data'!$B$6:$B$797,"&lt;="&amp;'Source_Data'!K13,'Monthly_Data'!$C$6:$C$797,'Source_Data'!D13,'Monthly_Data'!$D$6:$D$797,'Source_Data'!C13)</x:f>
        <x:v>2215013</x:v>
      </x:c>
      <x:c r="E72" s="2" t="n">
        <x:f>ABS(B72-C72)</x:f>
        <x:v>0</x:v>
      </x:c>
      <x:c r="F72" s="2" t="n">
        <x:f>ABS(D72-'Source_Data'!F13)</x:f>
        <x:v>0</x:v>
      </x:c>
      <x:c r="G72" s="2"/>
      <x:c r="H72" s="2"/>
    </x:row>
    <x:row r="73" ht="23" customHeight="1">
      <x:c r="A73" s="2" t="str">
        <x:f>'Source_Data'!A14</x:f>
        <x:v>FY2025|Turkey|61091000</x:v>
      </x:c>
      <x:c r="B73" s="2" t="n">
        <x:f>'Source_Data'!E14</x:f>
        <x:v>109167119</x:v>
      </x:c>
      <x:c r="C73" s="2" t="n">
        <x:f>SUMIFS('Monthly_Data'!$E$6:$E$797,'Monthly_Data'!$B$6:$B$797,"&gt;="&amp;'Source_Data'!J14,'Monthly_Data'!$B$6:$B$797,"&lt;="&amp;'Source_Data'!K14,'Monthly_Data'!$C$6:$C$797,'Source_Data'!D14,'Monthly_Data'!$D$6:$D$797,'Source_Data'!C14)</x:f>
        <x:v>109167119</x:v>
      </x:c>
      <x:c r="D73" s="2" t="n">
        <x:f>SUMIFS('Monthly_Data'!$F$6:$F$797,'Monthly_Data'!$B$6:$B$797,"&gt;="&amp;'Source_Data'!J14,'Monthly_Data'!$B$6:$B$797,"&lt;="&amp;'Source_Data'!K14,'Monthly_Data'!$C$6:$C$797,'Source_Data'!D14,'Monthly_Data'!$D$6:$D$797,'Source_Data'!C14)</x:f>
        <x:v>4927477</x:v>
      </x:c>
      <x:c r="E73" s="2" t="n">
        <x:f>ABS(B73-C73)</x:f>
        <x:v>0</x:v>
      </x:c>
      <x:c r="F73" s="2" t="n">
        <x:f>ABS(D73-'Source_Data'!F14)</x:f>
        <x:v>0</x:v>
      </x:c>
      <x:c r="G73" s="2"/>
      <x:c r="H73" s="2"/>
    </x:row>
    <x:row r="74" ht="23" customHeight="1">
      <x:c r="A74" s="2" t="str">
        <x:f>'Source_Data'!A15</x:f>
        <x:v>FY2025|Vietnam|61091000</x:v>
      </x:c>
      <x:c r="B74" s="2" t="n">
        <x:f>'Source_Data'!E15</x:f>
        <x:v>23980546</x:v>
      </x:c>
      <x:c r="C74" s="2" t="n">
        <x:f>SUMIFS('Monthly_Data'!$E$6:$E$797,'Monthly_Data'!$B$6:$B$797,"&gt;="&amp;'Source_Data'!J15,'Monthly_Data'!$B$6:$B$797,"&lt;="&amp;'Source_Data'!K15,'Monthly_Data'!$C$6:$C$797,'Source_Data'!D15,'Monthly_Data'!$D$6:$D$797,'Source_Data'!C15)</x:f>
        <x:v>23980546</x:v>
      </x:c>
      <x:c r="D74" s="2" t="n">
        <x:f>SUMIFS('Monthly_Data'!$F$6:$F$797,'Monthly_Data'!$B$6:$B$797,"&gt;="&amp;'Source_Data'!J15,'Monthly_Data'!$B$6:$B$797,"&lt;="&amp;'Source_Data'!K15,'Monthly_Data'!$C$6:$C$797,'Source_Data'!D15,'Monthly_Data'!$D$6:$D$797,'Source_Data'!C15)</x:f>
        <x:v>1170082</x:v>
      </x:c>
      <x:c r="E74" s="2" t="n">
        <x:f>ABS(B74-C74)</x:f>
        <x:v>0</x:v>
      </x:c>
      <x:c r="F74" s="2" t="n">
        <x:f>ABS(D74-'Source_Data'!F15)</x:f>
        <x:v>0</x:v>
      </x:c>
      <x:c r="G74" s="2"/>
      <x:c r="H74" s="2"/>
    </x:row>
    <x:row r="75" ht="23" customHeight="1">
      <x:c r="A75" s="2" t="str">
        <x:f>'Source_Data'!A16</x:f>
        <x:v>FY2025|Bangladesh|61103099</x:v>
      </x:c>
      <x:c r="B75" s="2" t="n">
        <x:f>'Source_Data'!E16</x:f>
        <x:v>164836619</x:v>
      </x:c>
      <x:c r="C75" s="2" t="n">
        <x:f>SUMIFS('Monthly_Data'!$E$6:$E$797,'Monthly_Data'!$B$6:$B$797,"&gt;="&amp;'Source_Data'!J16,'Monthly_Data'!$B$6:$B$797,"&lt;="&amp;'Source_Data'!K16,'Monthly_Data'!$C$6:$C$797,'Source_Data'!D16,'Monthly_Data'!$D$6:$D$797,'Source_Data'!C16)</x:f>
        <x:v>164836619</x:v>
      </x:c>
      <x:c r="D75" s="2" t="n">
        <x:f>SUMIFS('Monthly_Data'!$F$6:$F$797,'Monthly_Data'!$B$6:$B$797,"&gt;="&amp;'Source_Data'!J16,'Monthly_Data'!$B$6:$B$797,"&lt;="&amp;'Source_Data'!K16,'Monthly_Data'!$C$6:$C$797,'Source_Data'!D16,'Monthly_Data'!$D$6:$D$797,'Source_Data'!C16)</x:f>
        <x:v>13246692</x:v>
      </x:c>
      <x:c r="E75" s="2" t="n">
        <x:f>ABS(B75-C75)</x:f>
        <x:v>0</x:v>
      </x:c>
      <x:c r="F75" s="2" t="n">
        <x:f>ABS(D75-'Source_Data'!F16)</x:f>
        <x:v>0</x:v>
      </x:c>
      <x:c r="G75" s="2"/>
      <x:c r="H75" s="2"/>
    </x:row>
    <x:row r="76" ht="23" customHeight="1">
      <x:c r="A76" s="2" t="str">
        <x:f>'Source_Data'!A17</x:f>
        <x:v>FY2025|Cambodia|61103099</x:v>
      </x:c>
      <x:c r="B76" s="2" t="n">
        <x:f>'Source_Data'!E17</x:f>
        <x:v>72460733</x:v>
      </x:c>
      <x:c r="C76" s="2" t="n">
        <x:f>SUMIFS('Monthly_Data'!$E$6:$E$797,'Monthly_Data'!$B$6:$B$797,"&gt;="&amp;'Source_Data'!J17,'Monthly_Data'!$B$6:$B$797,"&lt;="&amp;'Source_Data'!K17,'Monthly_Data'!$C$6:$C$797,'Source_Data'!D17,'Monthly_Data'!$D$6:$D$797,'Source_Data'!C17)</x:f>
        <x:v>72460733</x:v>
      </x:c>
      <x:c r="D76" s="2" t="n">
        <x:f>SUMIFS('Monthly_Data'!$F$6:$F$797,'Monthly_Data'!$B$6:$B$797,"&gt;="&amp;'Source_Data'!J17,'Monthly_Data'!$B$6:$B$797,"&lt;="&amp;'Source_Data'!K17,'Monthly_Data'!$C$6:$C$797,'Source_Data'!D17,'Monthly_Data'!$D$6:$D$797,'Source_Data'!C17)</x:f>
        <x:v>6288565</x:v>
      </x:c>
      <x:c r="E76" s="2" t="n">
        <x:f>ABS(B76-C76)</x:f>
        <x:v>0</x:v>
      </x:c>
      <x:c r="F76" s="2" t="n">
        <x:f>ABS(D76-'Source_Data'!F17)</x:f>
        <x:v>0</x:v>
      </x:c>
      <x:c r="G76" s="2"/>
      <x:c r="H76" s="2"/>
    </x:row>
    <x:row r="77" ht="23" customHeight="1">
      <x:c r="A77" s="2" t="str">
        <x:f>'Source_Data'!A18</x:f>
        <x:v>FY2025|China|61103099</x:v>
      </x:c>
      <x:c r="B77" s="2" t="n">
        <x:f>'Source_Data'!E18</x:f>
        <x:v>235660674</x:v>
      </x:c>
      <x:c r="C77" s="2" t="n">
        <x:f>SUMIFS('Monthly_Data'!$E$6:$E$797,'Monthly_Data'!$B$6:$B$797,"&gt;="&amp;'Source_Data'!J18,'Monthly_Data'!$B$6:$B$797,"&lt;="&amp;'Source_Data'!K18,'Monthly_Data'!$C$6:$C$797,'Source_Data'!D18,'Monthly_Data'!$D$6:$D$797,'Source_Data'!C18)</x:f>
        <x:v>235660674</x:v>
      </x:c>
      <x:c r="D77" s="2" t="n">
        <x:f>SUMIFS('Monthly_Data'!$F$6:$F$797,'Monthly_Data'!$B$6:$B$797,"&gt;="&amp;'Source_Data'!J18,'Monthly_Data'!$B$6:$B$797,"&lt;="&amp;'Source_Data'!K18,'Monthly_Data'!$C$6:$C$797,'Source_Data'!D18,'Monthly_Data'!$D$6:$D$797,'Source_Data'!C18)</x:f>
        <x:v>16459562</x:v>
      </x:c>
      <x:c r="E77" s="2" t="n">
        <x:f>ABS(B77-C77)</x:f>
        <x:v>0</x:v>
      </x:c>
      <x:c r="F77" s="2" t="n">
        <x:f>ABS(D77-'Source_Data'!F18)</x:f>
        <x:v>0</x:v>
      </x:c>
      <x:c r="G77" s="2"/>
      <x:c r="H77" s="2"/>
    </x:row>
    <x:row r="78" ht="23" customHeight="1">
      <x:c r="A78" s="2" t="str">
        <x:f>'Source_Data'!A19</x:f>
        <x:v>FY2025|India|61103099</x:v>
      </x:c>
      <x:c r="B78" s="2" t="n">
        <x:f>'Source_Data'!E19</x:f>
        <x:v>2259458</x:v>
      </x:c>
      <x:c r="C78" s="2" t="n">
        <x:f>SUMIFS('Monthly_Data'!$E$6:$E$797,'Monthly_Data'!$B$6:$B$797,"&gt;="&amp;'Source_Data'!J19,'Monthly_Data'!$B$6:$B$797,"&lt;="&amp;'Source_Data'!K19,'Monthly_Data'!$C$6:$C$797,'Source_Data'!D19,'Monthly_Data'!$D$6:$D$797,'Source_Data'!C19)</x:f>
        <x:v>2259458</x:v>
      </x:c>
      <x:c r="D78" s="2" t="n">
        <x:f>SUMIFS('Monthly_Data'!$F$6:$F$797,'Monthly_Data'!$B$6:$B$797,"&gt;="&amp;'Source_Data'!J19,'Monthly_Data'!$B$6:$B$797,"&lt;="&amp;'Source_Data'!K19,'Monthly_Data'!$C$6:$C$797,'Source_Data'!D19,'Monthly_Data'!$D$6:$D$797,'Source_Data'!C19)</x:f>
        <x:v>159066</x:v>
      </x:c>
      <x:c r="E78" s="2" t="n">
        <x:f>ABS(B78-C78)</x:f>
        <x:v>0</x:v>
      </x:c>
      <x:c r="F78" s="2" t="n">
        <x:f>ABS(D78-'Source_Data'!F19)</x:f>
        <x:v>0</x:v>
      </x:c>
      <x:c r="G78" s="2"/>
      <x:c r="H78" s="2"/>
    </x:row>
    <x:row r="79" ht="23" customHeight="1">
      <x:c r="A79" s="2" t="str">
        <x:f>'Source_Data'!A20</x:f>
        <x:v>FY2025|Morocco|61103099</x:v>
      </x:c>
      <x:c r="B79" s="2" t="n">
        <x:f>'Source_Data'!E20</x:f>
        <x:v>389054</x:v>
      </x:c>
      <x:c r="C79" s="2" t="n">
        <x:f>SUMIFS('Monthly_Data'!$E$6:$E$797,'Monthly_Data'!$B$6:$B$797,"&gt;="&amp;'Source_Data'!J20,'Monthly_Data'!$B$6:$B$797,"&lt;="&amp;'Source_Data'!K20,'Monthly_Data'!$C$6:$C$797,'Source_Data'!D20,'Monthly_Data'!$D$6:$D$797,'Source_Data'!C20)</x:f>
        <x:v>389054</x:v>
      </x:c>
      <x:c r="D79" s="2" t="n">
        <x:f>SUMIFS('Monthly_Data'!$F$6:$F$797,'Monthly_Data'!$B$6:$B$797,"&gt;="&amp;'Source_Data'!J20,'Monthly_Data'!$B$6:$B$797,"&lt;="&amp;'Source_Data'!K20,'Monthly_Data'!$C$6:$C$797,'Source_Data'!D20,'Monthly_Data'!$D$6:$D$797,'Source_Data'!C20)</x:f>
        <x:v>19704</x:v>
      </x:c>
      <x:c r="E79" s="2" t="n">
        <x:f>ABS(B79-C79)</x:f>
        <x:v>0</x:v>
      </x:c>
      <x:c r="F79" s="2" t="n">
        <x:f>ABS(D79-'Source_Data'!F20)</x:f>
        <x:v>0</x:v>
      </x:c>
      <x:c r="G79" s="2"/>
      <x:c r="H79" s="2"/>
    </x:row>
    <x:row r="80" ht="23" customHeight="1">
      <x:c r="A80" s="2" t="str">
        <x:f>'Source_Data'!A21</x:f>
        <x:v>FY2025|Myanmar|61103099</x:v>
      </x:c>
      <x:c r="B80" s="2" t="n">
        <x:f>'Source_Data'!E21</x:f>
        <x:v>8133003</x:v>
      </x:c>
      <x:c r="C80" s="2" t="n">
        <x:f>SUMIFS('Monthly_Data'!$E$6:$E$797,'Monthly_Data'!$B$6:$B$797,"&gt;="&amp;'Source_Data'!J21,'Monthly_Data'!$B$6:$B$797,"&lt;="&amp;'Source_Data'!K21,'Monthly_Data'!$C$6:$C$797,'Source_Data'!D21,'Monthly_Data'!$D$6:$D$797,'Source_Data'!C21)</x:f>
        <x:v>8133003</x:v>
      </x:c>
      <x:c r="D80" s="2" t="n">
        <x:f>SUMIFS('Monthly_Data'!$F$6:$F$797,'Monthly_Data'!$B$6:$B$797,"&gt;="&amp;'Source_Data'!J21,'Monthly_Data'!$B$6:$B$797,"&lt;="&amp;'Source_Data'!K21,'Monthly_Data'!$C$6:$C$797,'Source_Data'!D21,'Monthly_Data'!$D$6:$D$797,'Source_Data'!C21)</x:f>
        <x:v>508754</x:v>
      </x:c>
      <x:c r="E80" s="2" t="n">
        <x:f>ABS(B80-C80)</x:f>
        <x:v>0</x:v>
      </x:c>
      <x:c r="F80" s="2" t="n">
        <x:f>ABS(D80-'Source_Data'!F21)</x:f>
        <x:v>0</x:v>
      </x:c>
      <x:c r="G80" s="2"/>
      <x:c r="H80" s="2"/>
    </x:row>
    <x:row r="81" ht="23" customHeight="1">
      <x:c r="A81" s="2" t="str">
        <x:f>'Source_Data'!A22</x:f>
        <x:v>FY2025|Pakistan|61103099</x:v>
      </x:c>
      <x:c r="B81" s="2" t="n">
        <x:f>'Source_Data'!E22</x:f>
        <x:v>5754495</x:v>
      </x:c>
      <x:c r="C81" s="2" t="n">
        <x:f>SUMIFS('Monthly_Data'!$E$6:$E$797,'Monthly_Data'!$B$6:$B$797,"&gt;="&amp;'Source_Data'!J22,'Monthly_Data'!$B$6:$B$797,"&lt;="&amp;'Source_Data'!K22,'Monthly_Data'!$C$6:$C$797,'Source_Data'!D22,'Monthly_Data'!$D$6:$D$797,'Source_Data'!C22)</x:f>
        <x:v>5754495</x:v>
      </x:c>
      <x:c r="D81" s="2" t="n">
        <x:f>SUMIFS('Monthly_Data'!$F$6:$F$797,'Monthly_Data'!$B$6:$B$797,"&gt;="&amp;'Source_Data'!J22,'Monthly_Data'!$B$6:$B$797,"&lt;="&amp;'Source_Data'!K22,'Monthly_Data'!$C$6:$C$797,'Source_Data'!D22,'Monthly_Data'!$D$6:$D$797,'Source_Data'!C22)</x:f>
        <x:v>427235</x:v>
      </x:c>
      <x:c r="E81" s="2" t="n">
        <x:f>ABS(B81-C81)</x:f>
        <x:v>0</x:v>
      </x:c>
      <x:c r="F81" s="2" t="n">
        <x:f>ABS(D81-'Source_Data'!F22)</x:f>
        <x:v>0</x:v>
      </x:c>
      <x:c r="G81" s="2"/>
      <x:c r="H81" s="2"/>
    </x:row>
    <x:row r="82" ht="23" customHeight="1">
      <x:c r="A82" s="2" t="str">
        <x:f>'Source_Data'!A23</x:f>
        <x:v>FY2025|Sri Lanka|61103099</x:v>
      </x:c>
      <x:c r="B82" s="2" t="n">
        <x:f>'Source_Data'!E23</x:f>
        <x:v>1800198</x:v>
      </x:c>
      <x:c r="C82" s="2" t="n">
        <x:f>SUMIFS('Monthly_Data'!$E$6:$E$797,'Monthly_Data'!$B$6:$B$797,"&gt;="&amp;'Source_Data'!J23,'Monthly_Data'!$B$6:$B$797,"&lt;="&amp;'Source_Data'!K23,'Monthly_Data'!$C$6:$C$797,'Source_Data'!D23,'Monthly_Data'!$D$6:$D$797,'Source_Data'!C23)</x:f>
        <x:v>1800198</x:v>
      </x:c>
      <x:c r="D82" s="2" t="n">
        <x:f>SUMIFS('Monthly_Data'!$F$6:$F$797,'Monthly_Data'!$B$6:$B$797,"&gt;="&amp;'Source_Data'!J23,'Monthly_Data'!$B$6:$B$797,"&lt;="&amp;'Source_Data'!K23,'Monthly_Data'!$C$6:$C$797,'Source_Data'!D23,'Monthly_Data'!$D$6:$D$797,'Source_Data'!C23)</x:f>
        <x:v>100905</x:v>
      </x:c>
      <x:c r="E82" s="2" t="n">
        <x:f>ABS(B82-C82)</x:f>
        <x:v>0</x:v>
      </x:c>
      <x:c r="F82" s="2" t="n">
        <x:f>ABS(D82-'Source_Data'!F23)</x:f>
        <x:v>0</x:v>
      </x:c>
      <x:c r="G82" s="2"/>
      <x:c r="H82" s="2"/>
    </x:row>
    <x:row r="83" ht="23" customHeight="1">
      <x:c r="A83" s="2" t="str">
        <x:f>'Source_Data'!A24</x:f>
        <x:v>FY2025|Turkey|61103099</x:v>
      </x:c>
      <x:c r="B83" s="2" t="n">
        <x:f>'Source_Data'!E24</x:f>
        <x:v>58922223</x:v>
      </x:c>
      <x:c r="C83" s="2" t="n">
        <x:f>SUMIFS('Monthly_Data'!$E$6:$E$797,'Monthly_Data'!$B$6:$B$797,"&gt;="&amp;'Source_Data'!J24,'Monthly_Data'!$B$6:$B$797,"&lt;="&amp;'Source_Data'!K24,'Monthly_Data'!$C$6:$C$797,'Source_Data'!D24,'Monthly_Data'!$D$6:$D$797,'Source_Data'!C24)</x:f>
        <x:v>58922223</x:v>
      </x:c>
      <x:c r="D83" s="2" t="n">
        <x:f>SUMIFS('Monthly_Data'!$F$6:$F$797,'Monthly_Data'!$B$6:$B$797,"&gt;="&amp;'Source_Data'!J24,'Monthly_Data'!$B$6:$B$797,"&lt;="&amp;'Source_Data'!K24,'Monthly_Data'!$C$6:$C$797,'Source_Data'!D24,'Monthly_Data'!$D$6:$D$797,'Source_Data'!C24)</x:f>
        <x:v>7348045</x:v>
      </x:c>
      <x:c r="E83" s="2" t="n">
        <x:f>ABS(B83-C83)</x:f>
        <x:v>0</x:v>
      </x:c>
      <x:c r="F83" s="2" t="n">
        <x:f>ABS(D83-'Source_Data'!F24)</x:f>
        <x:v>0</x:v>
      </x:c>
      <x:c r="G83" s="2"/>
      <x:c r="H83" s="2"/>
    </x:row>
    <x:row r="84" ht="23" customHeight="1">
      <x:c r="A84" s="2" t="str">
        <x:f>'Source_Data'!A25</x:f>
        <x:v>FY2025|Vietnam|61103099</x:v>
      </x:c>
      <x:c r="B84" s="2" t="n">
        <x:f>'Source_Data'!E25</x:f>
        <x:v>10350943</x:v>
      </x:c>
      <x:c r="C84" s="2" t="n">
        <x:f>SUMIFS('Monthly_Data'!$E$6:$E$797,'Monthly_Data'!$B$6:$B$797,"&gt;="&amp;'Source_Data'!J25,'Monthly_Data'!$B$6:$B$797,"&lt;="&amp;'Source_Data'!K25,'Monthly_Data'!$C$6:$C$797,'Source_Data'!D25,'Monthly_Data'!$D$6:$D$797,'Source_Data'!C25)</x:f>
        <x:v>10350943</x:v>
      </x:c>
      <x:c r="D84" s="2" t="n">
        <x:f>SUMIFS('Monthly_Data'!$F$6:$F$797,'Monthly_Data'!$B$6:$B$797,"&gt;="&amp;'Source_Data'!J25,'Monthly_Data'!$B$6:$B$797,"&lt;="&amp;'Source_Data'!K25,'Monthly_Data'!$C$6:$C$797,'Source_Data'!D25,'Monthly_Data'!$D$6:$D$797,'Source_Data'!C25)</x:f>
        <x:v>396647</x:v>
      </x:c>
      <x:c r="E84" s="2" t="n">
        <x:f>ABS(B84-C84)</x:f>
        <x:v>0</x:v>
      </x:c>
      <x:c r="F84" s="2" t="n">
        <x:f>ABS(D84-'Source_Data'!F25)</x:f>
        <x:v>0</x:v>
      </x:c>
      <x:c r="G84" s="2"/>
      <x:c r="H84" s="2"/>
    </x:row>
    <x:row r="85" ht="23" customHeight="1">
      <x:c r="A85" s="2" t="str">
        <x:f>'Source_Data'!A26</x:f>
        <x:v>FY2025|Bangladesh|62044300</x:v>
      </x:c>
      <x:c r="B85" s="2" t="n">
        <x:f>'Source_Data'!E26</x:f>
        <x:v>12960863</x:v>
      </x:c>
      <x:c r="C85" s="2" t="n">
        <x:f>SUMIFS('Monthly_Data'!$E$6:$E$797,'Monthly_Data'!$B$6:$B$797,"&gt;="&amp;'Source_Data'!J26,'Monthly_Data'!$B$6:$B$797,"&lt;="&amp;'Source_Data'!K26,'Monthly_Data'!$C$6:$C$797,'Source_Data'!D26,'Monthly_Data'!$D$6:$D$797,'Source_Data'!C26)</x:f>
        <x:v>12960863</x:v>
      </x:c>
      <x:c r="D85" s="2" t="n">
        <x:f>SUMIFS('Monthly_Data'!$F$6:$F$797,'Monthly_Data'!$B$6:$B$797,"&gt;="&amp;'Source_Data'!J26,'Monthly_Data'!$B$6:$B$797,"&lt;="&amp;'Source_Data'!K26,'Monthly_Data'!$C$6:$C$797,'Source_Data'!D26,'Monthly_Data'!$D$6:$D$797,'Source_Data'!C26)</x:f>
        <x:v>788304</x:v>
      </x:c>
      <x:c r="E85" s="2" t="n">
        <x:f>ABS(B85-C85)</x:f>
        <x:v>0</x:v>
      </x:c>
      <x:c r="F85" s="2" t="n">
        <x:f>ABS(D85-'Source_Data'!F26)</x:f>
        <x:v>0</x:v>
      </x:c>
      <x:c r="G85" s="2"/>
      <x:c r="H85" s="2"/>
    </x:row>
    <x:row r="86" ht="23" customHeight="1">
      <x:c r="A86" s="2" t="str">
        <x:f>'Source_Data'!A27</x:f>
        <x:v>FY2025|Cambodia|62044300</x:v>
      </x:c>
      <x:c r="B86" s="2" t="n">
        <x:f>'Source_Data'!E27</x:f>
        <x:v>3551535</x:v>
      </x:c>
      <x:c r="C86" s="2" t="n">
        <x:f>SUMIFS('Monthly_Data'!$E$6:$E$797,'Monthly_Data'!$B$6:$B$797,"&gt;="&amp;'Source_Data'!J27,'Monthly_Data'!$B$6:$B$797,"&lt;="&amp;'Source_Data'!K27,'Monthly_Data'!$C$6:$C$797,'Source_Data'!D27,'Monthly_Data'!$D$6:$D$797,'Source_Data'!C27)</x:f>
        <x:v>3551535</x:v>
      </x:c>
      <x:c r="D86" s="2" t="n">
        <x:f>SUMIFS('Monthly_Data'!$F$6:$F$797,'Monthly_Data'!$B$6:$B$797,"&gt;="&amp;'Source_Data'!J27,'Monthly_Data'!$B$6:$B$797,"&lt;="&amp;'Source_Data'!K27,'Monthly_Data'!$C$6:$C$797,'Source_Data'!D27,'Monthly_Data'!$D$6:$D$797,'Source_Data'!C27)</x:f>
        <x:v>193821</x:v>
      </x:c>
      <x:c r="E86" s="2" t="n">
        <x:f>ABS(B86-C86)</x:f>
        <x:v>0</x:v>
      </x:c>
      <x:c r="F86" s="2" t="n">
        <x:f>ABS(D86-'Source_Data'!F27)</x:f>
        <x:v>0</x:v>
      </x:c>
      <x:c r="G86" s="2"/>
      <x:c r="H86" s="2"/>
    </x:row>
    <x:row r="87" ht="23" customHeight="1">
      <x:c r="A87" s="2" t="str">
        <x:f>'Source_Data'!A28</x:f>
        <x:v>FY2025|China|62044300</x:v>
      </x:c>
      <x:c r="B87" s="2" t="n">
        <x:f>'Source_Data'!E28</x:f>
        <x:v>102164136</x:v>
      </x:c>
      <x:c r="C87" s="2" t="n">
        <x:f>SUMIFS('Monthly_Data'!$E$6:$E$797,'Monthly_Data'!$B$6:$B$797,"&gt;="&amp;'Source_Data'!J28,'Monthly_Data'!$B$6:$B$797,"&lt;="&amp;'Source_Data'!K28,'Monthly_Data'!$C$6:$C$797,'Source_Data'!D28,'Monthly_Data'!$D$6:$D$797,'Source_Data'!C28)</x:f>
        <x:v>102164136</x:v>
      </x:c>
      <x:c r="D87" s="2" t="n">
        <x:f>SUMIFS('Monthly_Data'!$F$6:$F$797,'Monthly_Data'!$B$6:$B$797,"&gt;="&amp;'Source_Data'!J28,'Monthly_Data'!$B$6:$B$797,"&lt;="&amp;'Source_Data'!K28,'Monthly_Data'!$C$6:$C$797,'Source_Data'!D28,'Monthly_Data'!$D$6:$D$797,'Source_Data'!C28)</x:f>
        <x:v>3777711</x:v>
      </x:c>
      <x:c r="E87" s="2" t="n">
        <x:f>ABS(B87-C87)</x:f>
        <x:v>0</x:v>
      </x:c>
      <x:c r="F87" s="2" t="n">
        <x:f>ABS(D87-'Source_Data'!F28)</x:f>
        <x:v>0</x:v>
      </x:c>
      <x:c r="G87" s="2"/>
      <x:c r="H87" s="2"/>
    </x:row>
    <x:row r="88" ht="23" customHeight="1">
      <x:c r="A88" s="2" t="str">
        <x:f>'Source_Data'!A29</x:f>
        <x:v>FY2025|India|62044300</x:v>
      </x:c>
      <x:c r="B88" s="2" t="n">
        <x:f>'Source_Data'!E29</x:f>
        <x:v>35008468</x:v>
      </x:c>
      <x:c r="C88" s="2" t="n">
        <x:f>SUMIFS('Monthly_Data'!$E$6:$E$797,'Monthly_Data'!$B$6:$B$797,"&gt;="&amp;'Source_Data'!J29,'Monthly_Data'!$B$6:$B$797,"&lt;="&amp;'Source_Data'!K29,'Monthly_Data'!$C$6:$C$797,'Source_Data'!D29,'Monthly_Data'!$D$6:$D$797,'Source_Data'!C29)</x:f>
        <x:v>35008468</x:v>
      </x:c>
      <x:c r="D88" s="2" t="n">
        <x:f>SUMIFS('Monthly_Data'!$F$6:$F$797,'Monthly_Data'!$B$6:$B$797,"&gt;="&amp;'Source_Data'!J29,'Monthly_Data'!$B$6:$B$797,"&lt;="&amp;'Source_Data'!K29,'Monthly_Data'!$C$6:$C$797,'Source_Data'!D29,'Monthly_Data'!$D$6:$D$797,'Source_Data'!C29)</x:f>
        <x:v>1191708</x:v>
      </x:c>
      <x:c r="E88" s="2" t="n">
        <x:f>ABS(B88-C88)</x:f>
        <x:v>0</x:v>
      </x:c>
      <x:c r="F88" s="2" t="n">
        <x:f>ABS(D88-'Source_Data'!F29)</x:f>
        <x:v>0</x:v>
      </x:c>
      <x:c r="G88" s="2"/>
      <x:c r="H88" s="2"/>
    </x:row>
    <x:row r="89" ht="23" customHeight="1">
      <x:c r="A89" s="2" t="str">
        <x:f>'Source_Data'!A30</x:f>
        <x:v>FY2025|Morocco|62044300</x:v>
      </x:c>
      <x:c r="B89" s="2" t="n">
        <x:f>'Source_Data'!E30</x:f>
        <x:v>10494510</x:v>
      </x:c>
      <x:c r="C89" s="2" t="n">
        <x:f>SUMIFS('Monthly_Data'!$E$6:$E$797,'Monthly_Data'!$B$6:$B$797,"&gt;="&amp;'Source_Data'!J30,'Monthly_Data'!$B$6:$B$797,"&lt;="&amp;'Source_Data'!K30,'Monthly_Data'!$C$6:$C$797,'Source_Data'!D30,'Monthly_Data'!$D$6:$D$797,'Source_Data'!C30)</x:f>
        <x:v>10494510</x:v>
      </x:c>
      <x:c r="D89" s="2" t="n">
        <x:f>SUMIFS('Monthly_Data'!$F$6:$F$797,'Monthly_Data'!$B$6:$B$797,"&gt;="&amp;'Source_Data'!J30,'Monthly_Data'!$B$6:$B$797,"&lt;="&amp;'Source_Data'!K30,'Monthly_Data'!$C$6:$C$797,'Source_Data'!D30,'Monthly_Data'!$D$6:$D$797,'Source_Data'!C30)</x:f>
        <x:v>483259</x:v>
      </x:c>
      <x:c r="E89" s="2" t="n">
        <x:f>ABS(B89-C89)</x:f>
        <x:v>0</x:v>
      </x:c>
      <x:c r="F89" s="2" t="n">
        <x:f>ABS(D89-'Source_Data'!F30)</x:f>
        <x:v>0</x:v>
      </x:c>
      <x:c r="G89" s="2"/>
      <x:c r="H89" s="2"/>
    </x:row>
    <x:row r="90" ht="23" customHeight="1">
      <x:c r="A90" s="2" t="str">
        <x:f>'Source_Data'!A31</x:f>
        <x:v>FY2025|Myanmar|62044300</x:v>
      </x:c>
      <x:c r="B90" s="2" t="n">
        <x:f>'Source_Data'!E31</x:f>
        <x:v>6104751</x:v>
      </x:c>
      <x:c r="C90" s="2" t="n">
        <x:f>SUMIFS('Monthly_Data'!$E$6:$E$797,'Monthly_Data'!$B$6:$B$797,"&gt;="&amp;'Source_Data'!J31,'Monthly_Data'!$B$6:$B$797,"&lt;="&amp;'Source_Data'!K31,'Monthly_Data'!$C$6:$C$797,'Source_Data'!D31,'Monthly_Data'!$D$6:$D$797,'Source_Data'!C31)</x:f>
        <x:v>6104751</x:v>
      </x:c>
      <x:c r="D90" s="2" t="n">
        <x:f>SUMIFS('Monthly_Data'!$F$6:$F$797,'Monthly_Data'!$B$6:$B$797,"&gt;="&amp;'Source_Data'!J31,'Monthly_Data'!$B$6:$B$797,"&lt;="&amp;'Source_Data'!K31,'Monthly_Data'!$C$6:$C$797,'Source_Data'!D31,'Monthly_Data'!$D$6:$D$797,'Source_Data'!C31)</x:f>
        <x:v>138284</x:v>
      </x:c>
      <x:c r="E90" s="2" t="n">
        <x:f>ABS(B90-C90)</x:f>
        <x:v>0</x:v>
      </x:c>
      <x:c r="F90" s="2" t="n">
        <x:f>ABS(D90-'Source_Data'!F31)</x:f>
        <x:v>0</x:v>
      </x:c>
      <x:c r="G90" s="2"/>
      <x:c r="H90" s="2"/>
    </x:row>
    <x:row r="91" ht="23" customHeight="1">
      <x:c r="A91" s="2" t="str">
        <x:f>'Source_Data'!A32</x:f>
        <x:v>FY2025|Pakistan|62044300</x:v>
      </x:c>
      <x:c r="B91" s="2" t="n">
        <x:f>'Source_Data'!E32</x:f>
        <x:v>1574667</x:v>
      </x:c>
      <x:c r="C91" s="2" t="n">
        <x:f>SUMIFS('Monthly_Data'!$E$6:$E$797,'Monthly_Data'!$B$6:$B$797,"&gt;="&amp;'Source_Data'!J32,'Monthly_Data'!$B$6:$B$797,"&lt;="&amp;'Source_Data'!K32,'Monthly_Data'!$C$6:$C$797,'Source_Data'!D32,'Monthly_Data'!$D$6:$D$797,'Source_Data'!C32)</x:f>
        <x:v>1574667</x:v>
      </x:c>
      <x:c r="D91" s="2" t="n">
        <x:f>SUMIFS('Monthly_Data'!$F$6:$F$797,'Monthly_Data'!$B$6:$B$797,"&gt;="&amp;'Source_Data'!J32,'Monthly_Data'!$B$6:$B$797,"&lt;="&amp;'Source_Data'!K32,'Monthly_Data'!$C$6:$C$797,'Source_Data'!D32,'Monthly_Data'!$D$6:$D$797,'Source_Data'!C32)</x:f>
        <x:v>78305</x:v>
      </x:c>
      <x:c r="E91" s="2" t="n">
        <x:f>ABS(B91-C91)</x:f>
        <x:v>0</x:v>
      </x:c>
      <x:c r="F91" s="2" t="n">
        <x:f>ABS(D91-'Source_Data'!F32)</x:f>
        <x:v>0</x:v>
      </x:c>
      <x:c r="G91" s="2"/>
      <x:c r="H91" s="2"/>
    </x:row>
    <x:row r="92" ht="23" customHeight="1">
      <x:c r="A92" s="2" t="str">
        <x:f>'Source_Data'!A33</x:f>
        <x:v>FY2025|Sri Lanka|62044300</x:v>
      </x:c>
      <x:c r="B92" s="2" t="n">
        <x:f>'Source_Data'!E33</x:f>
        <x:v>12589106</x:v>
      </x:c>
      <x:c r="C92" s="2" t="n">
        <x:f>SUMIFS('Monthly_Data'!$E$6:$E$797,'Monthly_Data'!$B$6:$B$797,"&gt;="&amp;'Source_Data'!J33,'Monthly_Data'!$B$6:$B$797,"&lt;="&amp;'Source_Data'!K33,'Monthly_Data'!$C$6:$C$797,'Source_Data'!D33,'Monthly_Data'!$D$6:$D$797,'Source_Data'!C33)</x:f>
        <x:v>12589106</x:v>
      </x:c>
      <x:c r="D92" s="2" t="n">
        <x:f>SUMIFS('Monthly_Data'!$F$6:$F$797,'Monthly_Data'!$B$6:$B$797,"&gt;="&amp;'Source_Data'!J33,'Monthly_Data'!$B$6:$B$797,"&lt;="&amp;'Source_Data'!K33,'Monthly_Data'!$C$6:$C$797,'Source_Data'!D33,'Monthly_Data'!$D$6:$D$797,'Source_Data'!C33)</x:f>
        <x:v>683522</x:v>
      </x:c>
      <x:c r="E92" s="2" t="n">
        <x:f>ABS(B92-C92)</x:f>
        <x:v>0</x:v>
      </x:c>
      <x:c r="F92" s="2" t="n">
        <x:f>ABS(D92-'Source_Data'!F33)</x:f>
        <x:v>0</x:v>
      </x:c>
      <x:c r="G92" s="2"/>
      <x:c r="H92" s="2"/>
    </x:row>
    <x:row r="93" ht="23" customHeight="1">
      <x:c r="A93" s="2" t="str">
        <x:f>'Source_Data'!A34</x:f>
        <x:v>FY2025|Turkey|62044300</x:v>
      </x:c>
      <x:c r="B93" s="2" t="n">
        <x:f>'Source_Data'!E34</x:f>
        <x:v>9800274</x:v>
      </x:c>
      <x:c r="C93" s="2" t="n">
        <x:f>SUMIFS('Monthly_Data'!$E$6:$E$797,'Monthly_Data'!$B$6:$B$797,"&gt;="&amp;'Source_Data'!J34,'Monthly_Data'!$B$6:$B$797,"&lt;="&amp;'Source_Data'!K34,'Monthly_Data'!$C$6:$C$797,'Source_Data'!D34,'Monthly_Data'!$D$6:$D$797,'Source_Data'!C34)</x:f>
        <x:v>9800274</x:v>
      </x:c>
      <x:c r="D93" s="2" t="n">
        <x:f>SUMIFS('Monthly_Data'!$F$6:$F$797,'Monthly_Data'!$B$6:$B$797,"&gt;="&amp;'Source_Data'!J34,'Monthly_Data'!$B$6:$B$797,"&lt;="&amp;'Source_Data'!K34,'Monthly_Data'!$C$6:$C$797,'Source_Data'!D34,'Monthly_Data'!$D$6:$D$797,'Source_Data'!C34)</x:f>
        <x:v>268083</x:v>
      </x:c>
      <x:c r="E93" s="2" t="n">
        <x:f>ABS(B93-C93)</x:f>
        <x:v>0</x:v>
      </x:c>
      <x:c r="F93" s="2" t="n">
        <x:f>ABS(D93-'Source_Data'!F34)</x:f>
        <x:v>0</x:v>
      </x:c>
      <x:c r="G93" s="2"/>
      <x:c r="H93" s="2"/>
    </x:row>
    <x:row r="94" ht="23" customHeight="1">
      <x:c r="A94" s="2" t="str">
        <x:f>'Source_Data'!A35</x:f>
        <x:v>FY2025|Vietnam|62044300</x:v>
      </x:c>
      <x:c r="B94" s="2" t="n">
        <x:f>'Source_Data'!E35</x:f>
        <x:v>6910466</x:v>
      </x:c>
      <x:c r="C94" s="2" t="n">
        <x:f>SUMIFS('Monthly_Data'!$E$6:$E$797,'Monthly_Data'!$B$6:$B$797,"&gt;="&amp;'Source_Data'!J35,'Monthly_Data'!$B$6:$B$797,"&lt;="&amp;'Source_Data'!K35,'Monthly_Data'!$C$6:$C$797,'Source_Data'!D35,'Monthly_Data'!$D$6:$D$797,'Source_Data'!C35)</x:f>
        <x:v>6910466</x:v>
      </x:c>
      <x:c r="D94" s="2" t="n">
        <x:f>SUMIFS('Monthly_Data'!$F$6:$F$797,'Monthly_Data'!$B$6:$B$797,"&gt;="&amp;'Source_Data'!J35,'Monthly_Data'!$B$6:$B$797,"&lt;="&amp;'Source_Data'!K35,'Monthly_Data'!$C$6:$C$797,'Source_Data'!D35,'Monthly_Data'!$D$6:$D$797,'Source_Data'!C35)</x:f>
        <x:v>275082</x:v>
      </x:c>
      <x:c r="E94" s="2" t="n">
        <x:f>ABS(B94-C94)</x:f>
        <x:v>0</x:v>
      </x:c>
      <x:c r="F94" s="2" t="n">
        <x:f>ABS(D94-'Source_Data'!F35)</x:f>
        <x:v>0</x:v>
      </x:c>
      <x:c r="G94" s="2"/>
      <x:c r="H94" s="2"/>
    </x:row>
    <x:row r="95" ht="23" customHeight="1">
      <x:c r="A95" s="2" t="str">
        <x:f>'Source_Data'!A36</x:f>
        <x:v>FY2025|Bangladesh|62052000</x:v>
      </x:c>
      <x:c r="B95" s="2" t="n">
        <x:f>'Source_Data'!E36</x:f>
        <x:v>81131664</x:v>
      </x:c>
      <x:c r="C95" s="2" t="n">
        <x:f>SUMIFS('Monthly_Data'!$E$6:$E$797,'Monthly_Data'!$B$6:$B$797,"&gt;="&amp;'Source_Data'!J36,'Monthly_Data'!$B$6:$B$797,"&lt;="&amp;'Source_Data'!K36,'Monthly_Data'!$C$6:$C$797,'Source_Data'!D36,'Monthly_Data'!$D$6:$D$797,'Source_Data'!C36)</x:f>
        <x:v>81131664</x:v>
      </x:c>
      <x:c r="D95" s="2" t="n">
        <x:f>SUMIFS('Monthly_Data'!$F$6:$F$797,'Monthly_Data'!$B$6:$B$797,"&gt;="&amp;'Source_Data'!J36,'Monthly_Data'!$B$6:$B$797,"&lt;="&amp;'Source_Data'!K36,'Monthly_Data'!$C$6:$C$797,'Source_Data'!D36,'Monthly_Data'!$D$6:$D$797,'Source_Data'!C36)</x:f>
        <x:v>4630717</x:v>
      </x:c>
      <x:c r="E95" s="2" t="n">
        <x:f>ABS(B95-C95)</x:f>
        <x:v>0</x:v>
      </x:c>
      <x:c r="F95" s="2" t="n">
        <x:f>ABS(D95-'Source_Data'!F36)</x:f>
        <x:v>0</x:v>
      </x:c>
      <x:c r="G95" s="2"/>
      <x:c r="H95" s="2"/>
    </x:row>
    <x:row r="96" ht="23" customHeight="1">
      <x:c r="A96" s="2" t="str">
        <x:f>'Source_Data'!A37</x:f>
        <x:v>FY2025|Cambodia|62052000</x:v>
      </x:c>
      <x:c r="B96" s="2" t="n">
        <x:f>'Source_Data'!E37</x:f>
        <x:v>15422184</x:v>
      </x:c>
      <x:c r="C96" s="2" t="n">
        <x:f>SUMIFS('Monthly_Data'!$E$6:$E$797,'Monthly_Data'!$B$6:$B$797,"&gt;="&amp;'Source_Data'!J37,'Monthly_Data'!$B$6:$B$797,"&lt;="&amp;'Source_Data'!K37,'Monthly_Data'!$C$6:$C$797,'Source_Data'!D37,'Monthly_Data'!$D$6:$D$797,'Source_Data'!C37)</x:f>
        <x:v>15422184</x:v>
      </x:c>
      <x:c r="D96" s="2" t="n">
        <x:f>SUMIFS('Monthly_Data'!$F$6:$F$797,'Monthly_Data'!$B$6:$B$797,"&gt;="&amp;'Source_Data'!J37,'Monthly_Data'!$B$6:$B$797,"&lt;="&amp;'Source_Data'!K37,'Monthly_Data'!$C$6:$C$797,'Source_Data'!D37,'Monthly_Data'!$D$6:$D$797,'Source_Data'!C37)</x:f>
        <x:v>674204</x:v>
      </x:c>
      <x:c r="E96" s="2" t="n">
        <x:f>ABS(B96-C96)</x:f>
        <x:v>0</x:v>
      </x:c>
      <x:c r="F96" s="2" t="n">
        <x:f>ABS(D96-'Source_Data'!F37)</x:f>
        <x:v>0</x:v>
      </x:c>
      <x:c r="G96" s="2"/>
      <x:c r="H96" s="2"/>
    </x:row>
    <x:row r="97" ht="23" customHeight="1">
      <x:c r="A97" s="2" t="str">
        <x:f>'Source_Data'!A38</x:f>
        <x:v>FY2025|China|62052000</x:v>
      </x:c>
      <x:c r="B97" s="2" t="n">
        <x:f>'Source_Data'!E38</x:f>
        <x:v>11991268</x:v>
      </x:c>
      <x:c r="C97" s="2" t="n">
        <x:f>SUMIFS('Monthly_Data'!$E$6:$E$797,'Monthly_Data'!$B$6:$B$797,"&gt;="&amp;'Source_Data'!J38,'Monthly_Data'!$B$6:$B$797,"&lt;="&amp;'Source_Data'!K38,'Monthly_Data'!$C$6:$C$797,'Source_Data'!D38,'Monthly_Data'!$D$6:$D$797,'Source_Data'!C38)</x:f>
        <x:v>11991268</x:v>
      </x:c>
      <x:c r="D97" s="2" t="n">
        <x:f>SUMIFS('Monthly_Data'!$F$6:$F$797,'Monthly_Data'!$B$6:$B$797,"&gt;="&amp;'Source_Data'!J38,'Monthly_Data'!$B$6:$B$797,"&lt;="&amp;'Source_Data'!K38,'Monthly_Data'!$C$6:$C$797,'Source_Data'!D38,'Monthly_Data'!$D$6:$D$797,'Source_Data'!C38)</x:f>
        <x:v>584970</x:v>
      </x:c>
      <x:c r="E97" s="2" t="n">
        <x:f>ABS(B97-C97)</x:f>
        <x:v>0</x:v>
      </x:c>
      <x:c r="F97" s="2" t="n">
        <x:f>ABS(D97-'Source_Data'!F38)</x:f>
        <x:v>0</x:v>
      </x:c>
      <x:c r="G97" s="2"/>
      <x:c r="H97" s="2"/>
    </x:row>
    <x:row r="98" ht="23" customHeight="1">
      <x:c r="A98" s="2" t="str">
        <x:f>'Source_Data'!A39</x:f>
        <x:v>FY2025|India|62052000</x:v>
      </x:c>
      <x:c r="B98" s="2" t="n">
        <x:f>'Source_Data'!E39</x:f>
        <x:v>30022861</x:v>
      </x:c>
      <x:c r="C98" s="2" t="n">
        <x:f>SUMIFS('Monthly_Data'!$E$6:$E$797,'Monthly_Data'!$B$6:$B$797,"&gt;="&amp;'Source_Data'!J39,'Monthly_Data'!$B$6:$B$797,"&lt;="&amp;'Source_Data'!K39,'Monthly_Data'!$C$6:$C$797,'Source_Data'!D39,'Monthly_Data'!$D$6:$D$797,'Source_Data'!C39)</x:f>
        <x:v>30022861</x:v>
      </x:c>
      <x:c r="D98" s="2" t="n">
        <x:f>SUMIFS('Monthly_Data'!$F$6:$F$797,'Monthly_Data'!$B$6:$B$797,"&gt;="&amp;'Source_Data'!J39,'Monthly_Data'!$B$6:$B$797,"&lt;="&amp;'Source_Data'!K39,'Monthly_Data'!$C$6:$C$797,'Source_Data'!D39,'Monthly_Data'!$D$6:$D$797,'Source_Data'!C39)</x:f>
        <x:v>1414140</x:v>
      </x:c>
      <x:c r="E98" s="2" t="n">
        <x:f>ABS(B98-C98)</x:f>
        <x:v>0</x:v>
      </x:c>
      <x:c r="F98" s="2" t="n">
        <x:f>ABS(D98-'Source_Data'!F39)</x:f>
        <x:v>0</x:v>
      </x:c>
      <x:c r="G98" s="2"/>
      <x:c r="H98" s="2"/>
    </x:row>
    <x:row r="99" ht="23" customHeight="1">
      <x:c r="A99" s="2" t="str">
        <x:f>'Source_Data'!A40</x:f>
        <x:v>FY2025|Morocco|62052000</x:v>
      </x:c>
      <x:c r="B99" s="2" t="n">
        <x:f>'Source_Data'!E40</x:f>
        <x:v>1395876</x:v>
      </x:c>
      <x:c r="C99" s="2" t="n">
        <x:f>SUMIFS('Monthly_Data'!$E$6:$E$797,'Monthly_Data'!$B$6:$B$797,"&gt;="&amp;'Source_Data'!J40,'Monthly_Data'!$B$6:$B$797,"&lt;="&amp;'Source_Data'!K40,'Monthly_Data'!$C$6:$C$797,'Source_Data'!D40,'Monthly_Data'!$D$6:$D$797,'Source_Data'!C40)</x:f>
        <x:v>1395876</x:v>
      </x:c>
      <x:c r="D99" s="2" t="n">
        <x:f>SUMIFS('Monthly_Data'!$F$6:$F$797,'Monthly_Data'!$B$6:$B$797,"&gt;="&amp;'Source_Data'!J40,'Monthly_Data'!$B$6:$B$797,"&lt;="&amp;'Source_Data'!K40,'Monthly_Data'!$C$6:$C$797,'Source_Data'!D40,'Monthly_Data'!$D$6:$D$797,'Source_Data'!C40)</x:f>
        <x:v>33234</x:v>
      </x:c>
      <x:c r="E99" s="2" t="n">
        <x:f>ABS(B99-C99)</x:f>
        <x:v>0</x:v>
      </x:c>
      <x:c r="F99" s="2" t="n">
        <x:f>ABS(D99-'Source_Data'!F40)</x:f>
        <x:v>0</x:v>
      </x:c>
      <x:c r="G99" s="2"/>
      <x:c r="H99" s="2"/>
    </x:row>
    <x:row r="100" ht="23" customHeight="1">
      <x:c r="A100" s="2" t="str">
        <x:f>'Source_Data'!A41</x:f>
        <x:v>FY2025|Myanmar|62052000</x:v>
      </x:c>
      <x:c r="B100" s="2" t="n">
        <x:f>'Source_Data'!E41</x:f>
        <x:v>798136</x:v>
      </x:c>
      <x:c r="C100" s="2" t="n">
        <x:f>SUMIFS('Monthly_Data'!$E$6:$E$797,'Monthly_Data'!$B$6:$B$797,"&gt;="&amp;'Source_Data'!J41,'Monthly_Data'!$B$6:$B$797,"&lt;="&amp;'Source_Data'!K41,'Monthly_Data'!$C$6:$C$797,'Source_Data'!D41,'Monthly_Data'!$D$6:$D$797,'Source_Data'!C41)</x:f>
        <x:v>798136</x:v>
      </x:c>
      <x:c r="D100" s="2" t="n">
        <x:f>SUMIFS('Monthly_Data'!$F$6:$F$797,'Monthly_Data'!$B$6:$B$797,"&gt;="&amp;'Source_Data'!J41,'Monthly_Data'!$B$6:$B$797,"&lt;="&amp;'Source_Data'!K41,'Monthly_Data'!$C$6:$C$797,'Source_Data'!D41,'Monthly_Data'!$D$6:$D$797,'Source_Data'!C41)</x:f>
        <x:v>54446</x:v>
      </x:c>
      <x:c r="E100" s="2" t="n">
        <x:f>ABS(B100-C100)</x:f>
        <x:v>0</x:v>
      </x:c>
      <x:c r="F100" s="2" t="n">
        <x:f>ABS(D100-'Source_Data'!F41)</x:f>
        <x:v>0</x:v>
      </x:c>
      <x:c r="G100" s="2"/>
      <x:c r="H100" s="2"/>
    </x:row>
    <x:row r="101" ht="23" customHeight="1">
      <x:c r="A101" s="2" t="str">
        <x:f>'Source_Data'!A42</x:f>
        <x:v>FY2025|Pakistan|62052000</x:v>
      </x:c>
      <x:c r="B101" s="2" t="n">
        <x:f>'Source_Data'!E42</x:f>
        <x:v>798771</x:v>
      </x:c>
      <x:c r="C101" s="2" t="n">
        <x:f>SUMIFS('Monthly_Data'!$E$6:$E$797,'Monthly_Data'!$B$6:$B$797,"&gt;="&amp;'Source_Data'!J42,'Monthly_Data'!$B$6:$B$797,"&lt;="&amp;'Source_Data'!K42,'Monthly_Data'!$C$6:$C$797,'Source_Data'!D42,'Monthly_Data'!$D$6:$D$797,'Source_Data'!C42)</x:f>
        <x:v>798771</x:v>
      </x:c>
      <x:c r="D101" s="2" t="n">
        <x:f>SUMIFS('Monthly_Data'!$F$6:$F$797,'Monthly_Data'!$B$6:$B$797,"&gt;="&amp;'Source_Data'!J42,'Monthly_Data'!$B$6:$B$797,"&lt;="&amp;'Source_Data'!K42,'Monthly_Data'!$C$6:$C$797,'Source_Data'!D42,'Monthly_Data'!$D$6:$D$797,'Source_Data'!C42)</x:f>
        <x:v>69348</x:v>
      </x:c>
      <x:c r="E101" s="2" t="n">
        <x:f>ABS(B101-C101)</x:f>
        <x:v>0</x:v>
      </x:c>
      <x:c r="F101" s="2" t="n">
        <x:f>ABS(D101-'Source_Data'!F42)</x:f>
        <x:v>0</x:v>
      </x:c>
      <x:c r="G101" s="2"/>
      <x:c r="H101" s="2"/>
    </x:row>
    <x:row r="102" ht="23" customHeight="1">
      <x:c r="A102" s="2" t="str">
        <x:f>'Source_Data'!A43</x:f>
        <x:v>FY2025|Sri Lanka|62052000</x:v>
      </x:c>
      <x:c r="B102" s="2" t="n">
        <x:f>'Source_Data'!E43</x:f>
        <x:v>4196454</x:v>
      </x:c>
      <x:c r="C102" s="2" t="n">
        <x:f>SUMIFS('Monthly_Data'!$E$6:$E$797,'Monthly_Data'!$B$6:$B$797,"&gt;="&amp;'Source_Data'!J43,'Monthly_Data'!$B$6:$B$797,"&lt;="&amp;'Source_Data'!K43,'Monthly_Data'!$C$6:$C$797,'Source_Data'!D43,'Monthly_Data'!$D$6:$D$797,'Source_Data'!C43)</x:f>
        <x:v>4196454</x:v>
      </x:c>
      <x:c r="D102" s="2" t="n">
        <x:f>SUMIFS('Monthly_Data'!$F$6:$F$797,'Monthly_Data'!$B$6:$B$797,"&gt;="&amp;'Source_Data'!J43,'Monthly_Data'!$B$6:$B$797,"&lt;="&amp;'Source_Data'!K43,'Monthly_Data'!$C$6:$C$797,'Source_Data'!D43,'Monthly_Data'!$D$6:$D$797,'Source_Data'!C43)</x:f>
        <x:v>213562</x:v>
      </x:c>
      <x:c r="E102" s="2" t="n">
        <x:f>ABS(B102-C102)</x:f>
        <x:v>0</x:v>
      </x:c>
      <x:c r="F102" s="2" t="n">
        <x:f>ABS(D102-'Source_Data'!F43)</x:f>
        <x:v>0</x:v>
      </x:c>
      <x:c r="G102" s="2"/>
      <x:c r="H102" s="2"/>
    </x:row>
    <x:row r="103" ht="23" customHeight="1">
      <x:c r="A103" s="2" t="str">
        <x:f>'Source_Data'!A44</x:f>
        <x:v>FY2025|Turkey|62052000</x:v>
      </x:c>
      <x:c r="B103" s="2" t="n">
        <x:f>'Source_Data'!E44</x:f>
        <x:v>12908357</x:v>
      </x:c>
      <x:c r="C103" s="2" t="n">
        <x:f>SUMIFS('Monthly_Data'!$E$6:$E$797,'Monthly_Data'!$B$6:$B$797,"&gt;="&amp;'Source_Data'!J44,'Monthly_Data'!$B$6:$B$797,"&lt;="&amp;'Source_Data'!K44,'Monthly_Data'!$C$6:$C$797,'Source_Data'!D44,'Monthly_Data'!$D$6:$D$797,'Source_Data'!C44)</x:f>
        <x:v>12908357</x:v>
      </x:c>
      <x:c r="D103" s="2" t="n">
        <x:f>SUMIFS('Monthly_Data'!$F$6:$F$797,'Monthly_Data'!$B$6:$B$797,"&gt;="&amp;'Source_Data'!J44,'Monthly_Data'!$B$6:$B$797,"&lt;="&amp;'Source_Data'!K44,'Monthly_Data'!$C$6:$C$797,'Source_Data'!D44,'Monthly_Data'!$D$6:$D$797,'Source_Data'!C44)</x:f>
        <x:v>343310</x:v>
      </x:c>
      <x:c r="E103" s="2" t="n">
        <x:f>ABS(B103-C103)</x:f>
        <x:v>0</x:v>
      </x:c>
      <x:c r="F103" s="2" t="n">
        <x:f>ABS(D103-'Source_Data'!F44)</x:f>
        <x:v>0</x:v>
      </x:c>
      <x:c r="G103" s="2"/>
      <x:c r="H103" s="2"/>
    </x:row>
    <x:row r="104" ht="23" customHeight="1">
      <x:c r="A104" s="2" t="str">
        <x:f>'Source_Data'!A45</x:f>
        <x:v>FY2025|Vietnam|62052000</x:v>
      </x:c>
      <x:c r="B104" s="2" t="n">
        <x:f>'Source_Data'!E45</x:f>
        <x:v>12963317</x:v>
      </x:c>
      <x:c r="C104" s="2" t="n">
        <x:f>SUMIFS('Monthly_Data'!$E$6:$E$797,'Monthly_Data'!$B$6:$B$797,"&gt;="&amp;'Source_Data'!J45,'Monthly_Data'!$B$6:$B$797,"&lt;="&amp;'Source_Data'!K45,'Monthly_Data'!$C$6:$C$797,'Source_Data'!D45,'Monthly_Data'!$D$6:$D$797,'Source_Data'!C45)</x:f>
        <x:v>12963317</x:v>
      </x:c>
      <x:c r="D104" s="2" t="n">
        <x:f>SUMIFS('Monthly_Data'!$F$6:$F$797,'Monthly_Data'!$B$6:$B$797,"&gt;="&amp;'Source_Data'!J45,'Monthly_Data'!$B$6:$B$797,"&lt;="&amp;'Source_Data'!K45,'Monthly_Data'!$C$6:$C$797,'Source_Data'!D45,'Monthly_Data'!$D$6:$D$797,'Source_Data'!C45)</x:f>
        <x:v>440294</x:v>
      </x:c>
      <x:c r="E104" s="2" t="n">
        <x:f>ABS(B104-C104)</x:f>
        <x:v>0</x:v>
      </x:c>
      <x:c r="F104" s="2" t="n">
        <x:f>ABS(D104-'Source_Data'!F45)</x:f>
        <x:v>0</x:v>
      </x:c>
      <x:c r="G104" s="2"/>
      <x:c r="H104" s="2"/>
    </x:row>
    <x:row r="105" ht="23" customHeight="1">
      <x:c r="A105" s="2" t="str">
        <x:f>'Source_Data'!A46</x:f>
        <x:v>H1 2025|Bangladesh|61091000</x:v>
      </x:c>
      <x:c r="B105" s="2" t="n">
        <x:f>'Source_Data'!E46</x:f>
        <x:v>258563902</x:v>
      </x:c>
      <x:c r="C105" s="2" t="n">
        <x:f>SUMIFS('Monthly_Data'!$E$6:$E$797,'Monthly_Data'!$B$6:$B$797,"&gt;="&amp;'Source_Data'!J46,'Monthly_Data'!$B$6:$B$797,"&lt;="&amp;'Source_Data'!K46,'Monthly_Data'!$C$6:$C$797,'Source_Data'!D46,'Monthly_Data'!$D$6:$D$797,'Source_Data'!C46)</x:f>
        <x:v>258563902</x:v>
      </x:c>
      <x:c r="D105" s="2" t="n">
        <x:f>SUMIFS('Monthly_Data'!$F$6:$F$797,'Monthly_Data'!$B$6:$B$797,"&gt;="&amp;'Source_Data'!J46,'Monthly_Data'!$B$6:$B$797,"&lt;="&amp;'Source_Data'!K46,'Monthly_Data'!$C$6:$C$797,'Source_Data'!D46,'Monthly_Data'!$D$6:$D$797,'Source_Data'!C46)</x:f>
        <x:v>24659774</x:v>
      </x:c>
      <x:c r="E105" s="2" t="n">
        <x:f>ABS(B105-C105)</x:f>
        <x:v>0</x:v>
      </x:c>
      <x:c r="F105" s="2" t="n">
        <x:f>ABS(D105-'Source_Data'!F46)</x:f>
        <x:v>0</x:v>
      </x:c>
      <x:c r="G105" s="2"/>
      <x:c r="H105" s="2"/>
    </x:row>
    <x:row r="106" ht="23" customHeight="1">
      <x:c r="A106" s="2" t="str">
        <x:f>'Source_Data'!A47</x:f>
        <x:v>H1 2025|Cambodia|61091000</x:v>
      </x:c>
      <x:c r="B106" s="2" t="n">
        <x:f>'Source_Data'!E47</x:f>
        <x:v>5558924</x:v>
      </x:c>
      <x:c r="C106" s="2" t="n">
        <x:f>SUMIFS('Monthly_Data'!$E$6:$E$797,'Monthly_Data'!$B$6:$B$797,"&gt;="&amp;'Source_Data'!J47,'Monthly_Data'!$B$6:$B$797,"&lt;="&amp;'Source_Data'!K47,'Monthly_Data'!$C$6:$C$797,'Source_Data'!D47,'Monthly_Data'!$D$6:$D$797,'Source_Data'!C47)</x:f>
        <x:v>5558924</x:v>
      </x:c>
      <x:c r="D106" s="2" t="n">
        <x:f>SUMIFS('Monthly_Data'!$F$6:$F$797,'Monthly_Data'!$B$6:$B$797,"&gt;="&amp;'Source_Data'!J47,'Monthly_Data'!$B$6:$B$797,"&lt;="&amp;'Source_Data'!K47,'Monthly_Data'!$C$6:$C$797,'Source_Data'!D47,'Monthly_Data'!$D$6:$D$797,'Source_Data'!C47)</x:f>
        <x:v>287747</x:v>
      </x:c>
      <x:c r="E106" s="2" t="n">
        <x:f>ABS(B106-C106)</x:f>
        <x:v>0</x:v>
      </x:c>
      <x:c r="F106" s="2" t="n">
        <x:f>ABS(D106-'Source_Data'!F47)</x:f>
        <x:v>0</x:v>
      </x:c>
      <x:c r="G106" s="2"/>
      <x:c r="H106" s="2"/>
    </x:row>
    <x:row r="107" ht="23" customHeight="1">
      <x:c r="A107" s="2" t="str">
        <x:f>'Source_Data'!A48</x:f>
        <x:v>H1 2025|China|61091000</x:v>
      </x:c>
      <x:c r="B107" s="2" t="n">
        <x:f>'Source_Data'!E48</x:f>
        <x:v>26770914</x:v>
      </x:c>
      <x:c r="C107" s="2" t="n">
        <x:f>SUMIFS('Monthly_Data'!$E$6:$E$797,'Monthly_Data'!$B$6:$B$797,"&gt;="&amp;'Source_Data'!J48,'Monthly_Data'!$B$6:$B$797,"&lt;="&amp;'Source_Data'!K48,'Monthly_Data'!$C$6:$C$797,'Source_Data'!D48,'Monthly_Data'!$D$6:$D$797,'Source_Data'!C48)</x:f>
        <x:v>26770914</x:v>
      </x:c>
      <x:c r="D107" s="2" t="n">
        <x:f>SUMIFS('Monthly_Data'!$F$6:$F$797,'Monthly_Data'!$B$6:$B$797,"&gt;="&amp;'Source_Data'!J48,'Monthly_Data'!$B$6:$B$797,"&lt;="&amp;'Source_Data'!K48,'Monthly_Data'!$C$6:$C$797,'Source_Data'!D48,'Monthly_Data'!$D$6:$D$797,'Source_Data'!C48)</x:f>
        <x:v>1389800</x:v>
      </x:c>
      <x:c r="E107" s="2" t="n">
        <x:f>ABS(B107-C107)</x:f>
        <x:v>0</x:v>
      </x:c>
      <x:c r="F107" s="2" t="n">
        <x:f>ABS(D107-'Source_Data'!F48)</x:f>
        <x:v>0</x:v>
      </x:c>
      <x:c r="G107" s="2"/>
      <x:c r="H107" s="2"/>
    </x:row>
    <x:row r="108" ht="23" customHeight="1">
      <x:c r="A108" s="2" t="str">
        <x:f>'Source_Data'!A49</x:f>
        <x:v>H1 2025|India|61091000</x:v>
      </x:c>
      <x:c r="B108" s="2" t="n">
        <x:f>'Source_Data'!E49</x:f>
        <x:v>57601904</x:v>
      </x:c>
      <x:c r="C108" s="2" t="n">
        <x:f>SUMIFS('Monthly_Data'!$E$6:$E$797,'Monthly_Data'!$B$6:$B$797,"&gt;="&amp;'Source_Data'!J49,'Monthly_Data'!$B$6:$B$797,"&lt;="&amp;'Source_Data'!K49,'Monthly_Data'!$C$6:$C$797,'Source_Data'!D49,'Monthly_Data'!$D$6:$D$797,'Source_Data'!C49)</x:f>
        <x:v>57601904</x:v>
      </x:c>
      <x:c r="D108" s="2" t="n">
        <x:f>SUMIFS('Monthly_Data'!$F$6:$F$797,'Monthly_Data'!$B$6:$B$797,"&gt;="&amp;'Source_Data'!J49,'Monthly_Data'!$B$6:$B$797,"&lt;="&amp;'Source_Data'!K49,'Monthly_Data'!$C$6:$C$797,'Source_Data'!D49,'Monthly_Data'!$D$6:$D$797,'Source_Data'!C49)</x:f>
        <x:v>4255633</x:v>
      </x:c>
      <x:c r="E108" s="2" t="n">
        <x:f>ABS(B108-C108)</x:f>
        <x:v>0</x:v>
      </x:c>
      <x:c r="F108" s="2" t="n">
        <x:f>ABS(D108-'Source_Data'!F49)</x:f>
        <x:v>0</x:v>
      </x:c>
      <x:c r="G108" s="2"/>
      <x:c r="H108" s="2"/>
    </x:row>
    <x:row r="109" ht="23" customHeight="1">
      <x:c r="A109" s="2" t="str">
        <x:f>'Source_Data'!A50</x:f>
        <x:v>H1 2025|Morocco|61091000</x:v>
      </x:c>
      <x:c r="B109" s="2" t="n">
        <x:f>'Source_Data'!E50</x:f>
        <x:v>7105682</x:v>
      </x:c>
      <x:c r="C109" s="2" t="n">
        <x:f>SUMIFS('Monthly_Data'!$E$6:$E$797,'Monthly_Data'!$B$6:$B$797,"&gt;="&amp;'Source_Data'!J50,'Monthly_Data'!$B$6:$B$797,"&lt;="&amp;'Source_Data'!K50,'Monthly_Data'!$C$6:$C$797,'Source_Data'!D50,'Monthly_Data'!$D$6:$D$797,'Source_Data'!C50)</x:f>
        <x:v>7105682</x:v>
      </x:c>
      <x:c r="D109" s="2" t="n">
        <x:f>SUMIFS('Monthly_Data'!$F$6:$F$797,'Monthly_Data'!$B$6:$B$797,"&gt;="&amp;'Source_Data'!J50,'Monthly_Data'!$B$6:$B$797,"&lt;="&amp;'Source_Data'!K50,'Monthly_Data'!$C$6:$C$797,'Source_Data'!D50,'Monthly_Data'!$D$6:$D$797,'Source_Data'!C50)</x:f>
        <x:v>780049</x:v>
      </x:c>
      <x:c r="E109" s="2" t="n">
        <x:f>ABS(B109-C109)</x:f>
        <x:v>0</x:v>
      </x:c>
      <x:c r="F109" s="2" t="n">
        <x:f>ABS(D109-'Source_Data'!F50)</x:f>
        <x:v>0</x:v>
      </x:c>
      <x:c r="G109" s="2"/>
      <x:c r="H109" s="2"/>
    </x:row>
    <x:row r="110" ht="23" customHeight="1">
      <x:c r="A110" s="2" t="str">
        <x:f>'Source_Data'!A51</x:f>
        <x:v>H1 2025|Myanmar|61091000</x:v>
      </x:c>
      <x:c r="B110" s="2" t="n">
        <x:f>'Source_Data'!E51</x:f>
        <x:v>221408</x:v>
      </x:c>
      <x:c r="C110" s="2" t="n">
        <x:f>SUMIFS('Monthly_Data'!$E$6:$E$797,'Monthly_Data'!$B$6:$B$797,"&gt;="&amp;'Source_Data'!J51,'Monthly_Data'!$B$6:$B$797,"&lt;="&amp;'Source_Data'!K51,'Monthly_Data'!$C$6:$C$797,'Source_Data'!D51,'Monthly_Data'!$D$6:$D$797,'Source_Data'!C51)</x:f>
        <x:v>221408</x:v>
      </x:c>
      <x:c r="D110" s="2" t="n">
        <x:f>SUMIFS('Monthly_Data'!$F$6:$F$797,'Monthly_Data'!$B$6:$B$797,"&gt;="&amp;'Source_Data'!J51,'Monthly_Data'!$B$6:$B$797,"&lt;="&amp;'Source_Data'!K51,'Monthly_Data'!$C$6:$C$797,'Source_Data'!D51,'Monthly_Data'!$D$6:$D$797,'Source_Data'!C51)</x:f>
        <x:v>14557</x:v>
      </x:c>
      <x:c r="E110" s="2" t="n">
        <x:f>ABS(B110-C110)</x:f>
        <x:v>0</x:v>
      </x:c>
      <x:c r="F110" s="2" t="n">
        <x:f>ABS(D110-'Source_Data'!F51)</x:f>
        <x:v>0</x:v>
      </x:c>
      <x:c r="G110" s="2"/>
      <x:c r="H110" s="2"/>
    </x:row>
    <x:row r="111" ht="23" customHeight="1">
      <x:c r="A111" s="2" t="str">
        <x:f>'Source_Data'!A52</x:f>
        <x:v>H1 2025|Pakistan|61091000</x:v>
      </x:c>
      <x:c r="B111" s="2" t="n">
        <x:f>'Source_Data'!E52</x:f>
        <x:v>30121288</x:v>
      </x:c>
      <x:c r="C111" s="2" t="n">
        <x:f>SUMIFS('Monthly_Data'!$E$6:$E$797,'Monthly_Data'!$B$6:$B$797,"&gt;="&amp;'Source_Data'!J52,'Monthly_Data'!$B$6:$B$797,"&lt;="&amp;'Source_Data'!K52,'Monthly_Data'!$C$6:$C$797,'Source_Data'!D52,'Monthly_Data'!$D$6:$D$797,'Source_Data'!C52)</x:f>
        <x:v>30121288</x:v>
      </x:c>
      <x:c r="D111" s="2" t="n">
        <x:f>SUMIFS('Monthly_Data'!$F$6:$F$797,'Monthly_Data'!$B$6:$B$797,"&gt;="&amp;'Source_Data'!J52,'Monthly_Data'!$B$6:$B$797,"&lt;="&amp;'Source_Data'!K52,'Monthly_Data'!$C$6:$C$797,'Source_Data'!D52,'Monthly_Data'!$D$6:$D$797,'Source_Data'!C52)</x:f>
        <x:v>7875332</x:v>
      </x:c>
      <x:c r="E111" s="2" t="n">
        <x:f>ABS(B111-C111)</x:f>
        <x:v>0</x:v>
      </x:c>
      <x:c r="F111" s="2" t="n">
        <x:f>ABS(D111-'Source_Data'!F52)</x:f>
        <x:v>0</x:v>
      </x:c>
      <x:c r="G111" s="2"/>
      <x:c r="H111" s="2"/>
    </x:row>
    <x:row r="112" ht="23" customHeight="1">
      <x:c r="A112" s="2" t="str">
        <x:f>'Source_Data'!A53</x:f>
        <x:v>H1 2025|Sri Lanka|61091000</x:v>
      </x:c>
      <x:c r="B112" s="2" t="n">
        <x:f>'Source_Data'!E53</x:f>
        <x:v>13060146</x:v>
      </x:c>
      <x:c r="C112" s="2" t="n">
        <x:f>SUMIFS('Monthly_Data'!$E$6:$E$797,'Monthly_Data'!$B$6:$B$797,"&gt;="&amp;'Source_Data'!J53,'Monthly_Data'!$B$6:$B$797,"&lt;="&amp;'Source_Data'!K53,'Monthly_Data'!$C$6:$C$797,'Source_Data'!D53,'Monthly_Data'!$D$6:$D$797,'Source_Data'!C53)</x:f>
        <x:v>13060146</x:v>
      </x:c>
      <x:c r="D112" s="2" t="n">
        <x:f>SUMIFS('Monthly_Data'!$F$6:$F$797,'Monthly_Data'!$B$6:$B$797,"&gt;="&amp;'Source_Data'!J53,'Monthly_Data'!$B$6:$B$797,"&lt;="&amp;'Source_Data'!K53,'Monthly_Data'!$C$6:$C$797,'Source_Data'!D53,'Monthly_Data'!$D$6:$D$797,'Source_Data'!C53)</x:f>
        <x:v>1195844</x:v>
      </x:c>
      <x:c r="E112" s="2" t="n">
        <x:f>ABS(B112-C112)</x:f>
        <x:v>0</x:v>
      </x:c>
      <x:c r="F112" s="2" t="n">
        <x:f>ABS(D112-'Source_Data'!F53)</x:f>
        <x:v>0</x:v>
      </x:c>
      <x:c r="G112" s="2"/>
      <x:c r="H112" s="2"/>
    </x:row>
    <x:row r="113" ht="23" customHeight="1">
      <x:c r="A113" s="2" t="str">
        <x:f>'Source_Data'!A54</x:f>
        <x:v>H1 2025|Turkey|61091000</x:v>
      </x:c>
      <x:c r="B113" s="2" t="n">
        <x:f>'Source_Data'!E54</x:f>
        <x:v>60323637</x:v>
      </x:c>
      <x:c r="C113" s="2" t="n">
        <x:f>SUMIFS('Monthly_Data'!$E$6:$E$797,'Monthly_Data'!$B$6:$B$797,"&gt;="&amp;'Source_Data'!J54,'Monthly_Data'!$B$6:$B$797,"&lt;="&amp;'Source_Data'!K54,'Monthly_Data'!$C$6:$C$797,'Source_Data'!D54,'Monthly_Data'!$D$6:$D$797,'Source_Data'!C54)</x:f>
        <x:v>60323637</x:v>
      </x:c>
      <x:c r="D113" s="2" t="n">
        <x:f>SUMIFS('Monthly_Data'!$F$6:$F$797,'Monthly_Data'!$B$6:$B$797,"&gt;="&amp;'Source_Data'!J54,'Monthly_Data'!$B$6:$B$797,"&lt;="&amp;'Source_Data'!K54,'Monthly_Data'!$C$6:$C$797,'Source_Data'!D54,'Monthly_Data'!$D$6:$D$797,'Source_Data'!C54)</x:f>
        <x:v>2604971</x:v>
      </x:c>
      <x:c r="E113" s="2" t="n">
        <x:f>ABS(B113-C113)</x:f>
        <x:v>0</x:v>
      </x:c>
      <x:c r="F113" s="2" t="n">
        <x:f>ABS(D113-'Source_Data'!F54)</x:f>
        <x:v>0</x:v>
      </x:c>
      <x:c r="G113" s="2"/>
      <x:c r="H113" s="2"/>
    </x:row>
    <x:row r="114" ht="23" customHeight="1">
      <x:c r="A114" s="2" t="str">
        <x:f>'Source_Data'!A55</x:f>
        <x:v>H1 2025|Vietnam|61091000</x:v>
      </x:c>
      <x:c r="B114" s="2" t="n">
        <x:f>'Source_Data'!E55</x:f>
        <x:v>13823729</x:v>
      </x:c>
      <x:c r="C114" s="2" t="n">
        <x:f>SUMIFS('Monthly_Data'!$E$6:$E$797,'Monthly_Data'!$B$6:$B$797,"&gt;="&amp;'Source_Data'!J55,'Monthly_Data'!$B$6:$B$797,"&lt;="&amp;'Source_Data'!K55,'Monthly_Data'!$C$6:$C$797,'Source_Data'!D55,'Monthly_Data'!$D$6:$D$797,'Source_Data'!C55)</x:f>
        <x:v>13823729</x:v>
      </x:c>
      <x:c r="D114" s="2" t="n">
        <x:f>SUMIFS('Monthly_Data'!$F$6:$F$797,'Monthly_Data'!$B$6:$B$797,"&gt;="&amp;'Source_Data'!J55,'Monthly_Data'!$B$6:$B$797,"&lt;="&amp;'Source_Data'!K55,'Monthly_Data'!$C$6:$C$797,'Source_Data'!D55,'Monthly_Data'!$D$6:$D$797,'Source_Data'!C55)</x:f>
        <x:v>647804</x:v>
      </x:c>
      <x:c r="E114" s="2" t="n">
        <x:f>ABS(B114-C114)</x:f>
        <x:v>0</x:v>
      </x:c>
      <x:c r="F114" s="2" t="n">
        <x:f>ABS(D114-'Source_Data'!F55)</x:f>
        <x:v>0</x:v>
      </x:c>
      <x:c r="G114" s="2"/>
      <x:c r="H114" s="2"/>
    </x:row>
    <x:row r="115" ht="23" customHeight="1">
      <x:c r="A115" s="2" t="str">
        <x:f>'Source_Data'!A56</x:f>
        <x:v>H1 2025|Bangladesh|61103099</x:v>
      </x:c>
      <x:c r="B115" s="2" t="n">
        <x:f>'Source_Data'!E56</x:f>
        <x:v>43232053</x:v>
      </x:c>
      <x:c r="C115" s="2" t="n">
        <x:f>SUMIFS('Monthly_Data'!$E$6:$E$797,'Monthly_Data'!$B$6:$B$797,"&gt;="&amp;'Source_Data'!J56,'Monthly_Data'!$B$6:$B$797,"&lt;="&amp;'Source_Data'!K56,'Monthly_Data'!$C$6:$C$797,'Source_Data'!D56,'Monthly_Data'!$D$6:$D$797,'Source_Data'!C56)</x:f>
        <x:v>43232053</x:v>
      </x:c>
      <x:c r="D115" s="2" t="n">
        <x:f>SUMIFS('Monthly_Data'!$F$6:$F$797,'Monthly_Data'!$B$6:$B$797,"&gt;="&amp;'Source_Data'!J56,'Monthly_Data'!$B$6:$B$797,"&lt;="&amp;'Source_Data'!K56,'Monthly_Data'!$C$6:$C$797,'Source_Data'!D56,'Monthly_Data'!$D$6:$D$797,'Source_Data'!C56)</x:f>
        <x:v>3424431</x:v>
      </x:c>
      <x:c r="E115" s="2" t="n">
        <x:f>ABS(B115-C115)</x:f>
        <x:v>0</x:v>
      </x:c>
      <x:c r="F115" s="2" t="n">
        <x:f>ABS(D115-'Source_Data'!F56)</x:f>
        <x:v>0</x:v>
      </x:c>
      <x:c r="G115" s="2"/>
      <x:c r="H115" s="2"/>
    </x:row>
    <x:row r="116" ht="23" customHeight="1">
      <x:c r="A116" s="2" t="str">
        <x:f>'Source_Data'!A57</x:f>
        <x:v>H1 2025|Cambodia|61103099</x:v>
      </x:c>
      <x:c r="B116" s="2" t="n">
        <x:f>'Source_Data'!E57</x:f>
        <x:v>26147920</x:v>
      </x:c>
      <x:c r="C116" s="2" t="n">
        <x:f>SUMIFS('Monthly_Data'!$E$6:$E$797,'Monthly_Data'!$B$6:$B$797,"&gt;="&amp;'Source_Data'!J57,'Monthly_Data'!$B$6:$B$797,"&lt;="&amp;'Source_Data'!K57,'Monthly_Data'!$C$6:$C$797,'Source_Data'!D57,'Monthly_Data'!$D$6:$D$797,'Source_Data'!C57)</x:f>
        <x:v>26147920</x:v>
      </x:c>
      <x:c r="D116" s="2" t="n">
        <x:f>SUMIFS('Monthly_Data'!$F$6:$F$797,'Monthly_Data'!$B$6:$B$797,"&gt;="&amp;'Source_Data'!J57,'Monthly_Data'!$B$6:$B$797,"&lt;="&amp;'Source_Data'!K57,'Monthly_Data'!$C$6:$C$797,'Source_Data'!D57,'Monthly_Data'!$D$6:$D$797,'Source_Data'!C57)</x:f>
        <x:v>2287952</x:v>
      </x:c>
      <x:c r="E116" s="2" t="n">
        <x:f>ABS(B116-C116)</x:f>
        <x:v>0</x:v>
      </x:c>
      <x:c r="F116" s="2" t="n">
        <x:f>ABS(D116-'Source_Data'!F57)</x:f>
        <x:v>0</x:v>
      </x:c>
      <x:c r="G116" s="2"/>
      <x:c r="H116" s="2"/>
    </x:row>
    <x:row r="117" ht="23" customHeight="1">
      <x:c r="A117" s="2" t="str">
        <x:f>'Source_Data'!A58</x:f>
        <x:v>H1 2025|China|61103099</x:v>
      </x:c>
      <x:c r="B117" s="2" t="n">
        <x:f>'Source_Data'!E58</x:f>
        <x:v>48301351</x:v>
      </x:c>
      <x:c r="C117" s="2" t="n">
        <x:f>SUMIFS('Monthly_Data'!$E$6:$E$797,'Monthly_Data'!$B$6:$B$797,"&gt;="&amp;'Source_Data'!J58,'Monthly_Data'!$B$6:$B$797,"&lt;="&amp;'Source_Data'!K58,'Monthly_Data'!$C$6:$C$797,'Source_Data'!D58,'Monthly_Data'!$D$6:$D$797,'Source_Data'!C58)</x:f>
        <x:v>48301351</x:v>
      </x:c>
      <x:c r="D117" s="2" t="n">
        <x:f>SUMIFS('Monthly_Data'!$F$6:$F$797,'Monthly_Data'!$B$6:$B$797,"&gt;="&amp;'Source_Data'!J58,'Monthly_Data'!$B$6:$B$797,"&lt;="&amp;'Source_Data'!K58,'Monthly_Data'!$C$6:$C$797,'Source_Data'!D58,'Monthly_Data'!$D$6:$D$797,'Source_Data'!C58)</x:f>
        <x:v>2829858</x:v>
      </x:c>
      <x:c r="E117" s="2" t="n">
        <x:f>ABS(B117-C117)</x:f>
        <x:v>0</x:v>
      </x:c>
      <x:c r="F117" s="2" t="n">
        <x:f>ABS(D117-'Source_Data'!F58)</x:f>
        <x:v>0</x:v>
      </x:c>
      <x:c r="G117" s="2"/>
      <x:c r="H117" s="2"/>
    </x:row>
    <x:row r="118" ht="23" customHeight="1">
      <x:c r="A118" s="2" t="str">
        <x:f>'Source_Data'!A59</x:f>
        <x:v>H1 2025|India|61103099</x:v>
      </x:c>
      <x:c r="B118" s="2" t="n">
        <x:f>'Source_Data'!E59</x:f>
        <x:v>932801</x:v>
      </x:c>
      <x:c r="C118" s="2" t="n">
        <x:f>SUMIFS('Monthly_Data'!$E$6:$E$797,'Monthly_Data'!$B$6:$B$797,"&gt;="&amp;'Source_Data'!J59,'Monthly_Data'!$B$6:$B$797,"&lt;="&amp;'Source_Data'!K59,'Monthly_Data'!$C$6:$C$797,'Source_Data'!D59,'Monthly_Data'!$D$6:$D$797,'Source_Data'!C59)</x:f>
        <x:v>932801</x:v>
      </x:c>
      <x:c r="D118" s="2" t="n">
        <x:f>SUMIFS('Monthly_Data'!$F$6:$F$797,'Monthly_Data'!$B$6:$B$797,"&gt;="&amp;'Source_Data'!J59,'Monthly_Data'!$B$6:$B$797,"&lt;="&amp;'Source_Data'!K59,'Monthly_Data'!$C$6:$C$797,'Source_Data'!D59,'Monthly_Data'!$D$6:$D$797,'Source_Data'!C59)</x:f>
        <x:v>64901</x:v>
      </x:c>
      <x:c r="E118" s="2" t="n">
        <x:f>ABS(B118-C118)</x:f>
        <x:v>0</x:v>
      </x:c>
      <x:c r="F118" s="2" t="n">
        <x:f>ABS(D118-'Source_Data'!F59)</x:f>
        <x:v>0</x:v>
      </x:c>
      <x:c r="G118" s="2"/>
      <x:c r="H118" s="2"/>
    </x:row>
    <x:row r="119" ht="23" customHeight="1">
      <x:c r="A119" s="2" t="str">
        <x:f>'Source_Data'!A60</x:f>
        <x:v>H1 2025|Morocco|61103099</x:v>
      </x:c>
      <x:c r="B119" s="2" t="n">
        <x:f>'Source_Data'!E60</x:f>
        <x:v>177153</x:v>
      </x:c>
      <x:c r="C119" s="2" t="n">
        <x:f>SUMIFS('Monthly_Data'!$E$6:$E$797,'Monthly_Data'!$B$6:$B$797,"&gt;="&amp;'Source_Data'!J60,'Monthly_Data'!$B$6:$B$797,"&lt;="&amp;'Source_Data'!K60,'Monthly_Data'!$C$6:$C$797,'Source_Data'!D60,'Monthly_Data'!$D$6:$D$797,'Source_Data'!C60)</x:f>
        <x:v>177153</x:v>
      </x:c>
      <x:c r="D119" s="2" t="n">
        <x:f>SUMIFS('Monthly_Data'!$F$6:$F$797,'Monthly_Data'!$B$6:$B$797,"&gt;="&amp;'Source_Data'!J60,'Monthly_Data'!$B$6:$B$797,"&lt;="&amp;'Source_Data'!K60,'Monthly_Data'!$C$6:$C$797,'Source_Data'!D60,'Monthly_Data'!$D$6:$D$797,'Source_Data'!C60)</x:f>
        <x:v>12853</x:v>
      </x:c>
      <x:c r="E119" s="2" t="n">
        <x:f>ABS(B119-C119)</x:f>
        <x:v>0</x:v>
      </x:c>
      <x:c r="F119" s="2" t="n">
        <x:f>ABS(D119-'Source_Data'!F60)</x:f>
        <x:v>0</x:v>
      </x:c>
      <x:c r="G119" s="2"/>
      <x:c r="H119" s="2"/>
    </x:row>
    <x:row r="120" ht="23" customHeight="1">
      <x:c r="A120" s="2" t="str">
        <x:f>'Source_Data'!A61</x:f>
        <x:v>H1 2025|Myanmar|61103099</x:v>
      </x:c>
      <x:c r="B120" s="2" t="n">
        <x:f>'Source_Data'!E61</x:f>
        <x:v>1277975</x:v>
      </x:c>
      <x:c r="C120" s="2" t="n">
        <x:f>SUMIFS('Monthly_Data'!$E$6:$E$797,'Monthly_Data'!$B$6:$B$797,"&gt;="&amp;'Source_Data'!J61,'Monthly_Data'!$B$6:$B$797,"&lt;="&amp;'Source_Data'!K61,'Monthly_Data'!$C$6:$C$797,'Source_Data'!D61,'Monthly_Data'!$D$6:$D$797,'Source_Data'!C61)</x:f>
        <x:v>1277975</x:v>
      </x:c>
      <x:c r="D120" s="2" t="n">
        <x:f>SUMIFS('Monthly_Data'!$F$6:$F$797,'Monthly_Data'!$B$6:$B$797,"&gt;="&amp;'Source_Data'!J61,'Monthly_Data'!$B$6:$B$797,"&lt;="&amp;'Source_Data'!K61,'Monthly_Data'!$C$6:$C$797,'Source_Data'!D61,'Monthly_Data'!$D$6:$D$797,'Source_Data'!C61)</x:f>
        <x:v>75072</x:v>
      </x:c>
      <x:c r="E120" s="2" t="n">
        <x:f>ABS(B120-C120)</x:f>
        <x:v>0</x:v>
      </x:c>
      <x:c r="F120" s="2" t="n">
        <x:f>ABS(D120-'Source_Data'!F61)</x:f>
        <x:v>0</x:v>
      </x:c>
      <x:c r="G120" s="2"/>
      <x:c r="H120" s="2"/>
    </x:row>
    <x:row r="121" ht="23" customHeight="1">
      <x:c r="A121" s="2" t="str">
        <x:f>'Source_Data'!A62</x:f>
        <x:v>H1 2025|Pakistan|61103099</x:v>
      </x:c>
      <x:c r="B121" s="2" t="n">
        <x:f>'Source_Data'!E62</x:f>
        <x:v>2863632</x:v>
      </x:c>
      <x:c r="C121" s="2" t="n">
        <x:f>SUMIFS('Monthly_Data'!$E$6:$E$797,'Monthly_Data'!$B$6:$B$797,"&gt;="&amp;'Source_Data'!J62,'Monthly_Data'!$B$6:$B$797,"&lt;="&amp;'Source_Data'!K62,'Monthly_Data'!$C$6:$C$797,'Source_Data'!D62,'Monthly_Data'!$D$6:$D$797,'Source_Data'!C62)</x:f>
        <x:v>2863632</x:v>
      </x:c>
      <x:c r="D121" s="2" t="n">
        <x:f>SUMIFS('Monthly_Data'!$F$6:$F$797,'Monthly_Data'!$B$6:$B$797,"&gt;="&amp;'Source_Data'!J62,'Monthly_Data'!$B$6:$B$797,"&lt;="&amp;'Source_Data'!K62,'Monthly_Data'!$C$6:$C$797,'Source_Data'!D62,'Monthly_Data'!$D$6:$D$797,'Source_Data'!C62)</x:f>
        <x:v>208997</x:v>
      </x:c>
      <x:c r="E121" s="2" t="n">
        <x:f>ABS(B121-C121)</x:f>
        <x:v>0</x:v>
      </x:c>
      <x:c r="F121" s="2" t="n">
        <x:f>ABS(D121-'Source_Data'!F62)</x:f>
        <x:v>0</x:v>
      </x:c>
      <x:c r="G121" s="2"/>
      <x:c r="H121" s="2"/>
    </x:row>
    <x:row r="122" ht="23" customHeight="1">
      <x:c r="A122" s="2" t="str">
        <x:f>'Source_Data'!A63</x:f>
        <x:v>H1 2025|Sri Lanka|61103099</x:v>
      </x:c>
      <x:c r="B122" s="2" t="n">
        <x:f>'Source_Data'!E63</x:f>
        <x:v>707193</x:v>
      </x:c>
      <x:c r="C122" s="2" t="n">
        <x:f>SUMIFS('Monthly_Data'!$E$6:$E$797,'Monthly_Data'!$B$6:$B$797,"&gt;="&amp;'Source_Data'!J63,'Monthly_Data'!$B$6:$B$797,"&lt;="&amp;'Source_Data'!K63,'Monthly_Data'!$C$6:$C$797,'Source_Data'!D63,'Monthly_Data'!$D$6:$D$797,'Source_Data'!C63)</x:f>
        <x:v>707193</x:v>
      </x:c>
      <x:c r="D122" s="2" t="n">
        <x:f>SUMIFS('Monthly_Data'!$F$6:$F$797,'Monthly_Data'!$B$6:$B$797,"&gt;="&amp;'Source_Data'!J63,'Monthly_Data'!$B$6:$B$797,"&lt;="&amp;'Source_Data'!K63,'Monthly_Data'!$C$6:$C$797,'Source_Data'!D63,'Monthly_Data'!$D$6:$D$797,'Source_Data'!C63)</x:f>
        <x:v>37952</x:v>
      </x:c>
      <x:c r="E122" s="2" t="n">
        <x:f>ABS(B122-C122)</x:f>
        <x:v>0</x:v>
      </x:c>
      <x:c r="F122" s="2" t="n">
        <x:f>ABS(D122-'Source_Data'!F63)</x:f>
        <x:v>0</x:v>
      </x:c>
      <x:c r="G122" s="2"/>
      <x:c r="H122" s="2"/>
    </x:row>
    <x:row r="123" ht="23" customHeight="1">
      <x:c r="A123" s="2" t="str">
        <x:f>'Source_Data'!A64</x:f>
        <x:v>H1 2025|Turkey|61103099</x:v>
      </x:c>
      <x:c r="B123" s="2" t="n">
        <x:f>'Source_Data'!E64</x:f>
        <x:v>19881485</x:v>
      </x:c>
      <x:c r="C123" s="2" t="n">
        <x:f>SUMIFS('Monthly_Data'!$E$6:$E$797,'Monthly_Data'!$B$6:$B$797,"&gt;="&amp;'Source_Data'!J64,'Monthly_Data'!$B$6:$B$797,"&lt;="&amp;'Source_Data'!K64,'Monthly_Data'!$C$6:$C$797,'Source_Data'!D64,'Monthly_Data'!$D$6:$D$797,'Source_Data'!C64)</x:f>
        <x:v>19881485</x:v>
      </x:c>
      <x:c r="D123" s="2" t="n">
        <x:f>SUMIFS('Monthly_Data'!$F$6:$F$797,'Monthly_Data'!$B$6:$B$797,"&gt;="&amp;'Source_Data'!J64,'Monthly_Data'!$B$6:$B$797,"&lt;="&amp;'Source_Data'!K64,'Monthly_Data'!$C$6:$C$797,'Source_Data'!D64,'Monthly_Data'!$D$6:$D$797,'Source_Data'!C64)</x:f>
        <x:v>1087527</x:v>
      </x:c>
      <x:c r="E123" s="2" t="n">
        <x:f>ABS(B123-C123)</x:f>
        <x:v>0</x:v>
      </x:c>
      <x:c r="F123" s="2" t="n">
        <x:f>ABS(D123-'Source_Data'!F64)</x:f>
        <x:v>0</x:v>
      </x:c>
      <x:c r="G123" s="2"/>
      <x:c r="H123" s="2"/>
    </x:row>
    <x:row r="124" ht="23" customHeight="1">
      <x:c r="A124" s="2" t="str">
        <x:f>'Source_Data'!A65</x:f>
        <x:v>H1 2025|Vietnam|61103099</x:v>
      </x:c>
      <x:c r="B124" s="2" t="n">
        <x:f>'Source_Data'!E65</x:f>
        <x:v>4270297</x:v>
      </x:c>
      <x:c r="C124" s="2" t="n">
        <x:f>SUMIFS('Monthly_Data'!$E$6:$E$797,'Monthly_Data'!$B$6:$B$797,"&gt;="&amp;'Source_Data'!J65,'Monthly_Data'!$B$6:$B$797,"&lt;="&amp;'Source_Data'!K65,'Monthly_Data'!$C$6:$C$797,'Source_Data'!D65,'Monthly_Data'!$D$6:$D$797,'Source_Data'!C65)</x:f>
        <x:v>4270297</x:v>
      </x:c>
      <x:c r="D124" s="2" t="n">
        <x:f>SUMIFS('Monthly_Data'!$F$6:$F$797,'Monthly_Data'!$B$6:$B$797,"&gt;="&amp;'Source_Data'!J65,'Monthly_Data'!$B$6:$B$797,"&lt;="&amp;'Source_Data'!K65,'Monthly_Data'!$C$6:$C$797,'Source_Data'!D65,'Monthly_Data'!$D$6:$D$797,'Source_Data'!C65)</x:f>
        <x:v>151487</x:v>
      </x:c>
      <x:c r="E124" s="2" t="n">
        <x:f>ABS(B124-C124)</x:f>
        <x:v>0</x:v>
      </x:c>
      <x:c r="F124" s="2" t="n">
        <x:f>ABS(D124-'Source_Data'!F65)</x:f>
        <x:v>0</x:v>
      </x:c>
      <x:c r="G124" s="2"/>
      <x:c r="H124" s="2"/>
    </x:row>
    <x:row r="125" ht="23" customHeight="1">
      <x:c r="A125" s="2" t="str">
        <x:f>'Source_Data'!A66</x:f>
        <x:v>H1 2025|Bangladesh|62044300</x:v>
      </x:c>
      <x:c r="B125" s="2" t="n">
        <x:f>'Source_Data'!E66</x:f>
        <x:v>6638434</x:v>
      </x:c>
      <x:c r="C125" s="2" t="n">
        <x:f>SUMIFS('Monthly_Data'!$E$6:$E$797,'Monthly_Data'!$B$6:$B$797,"&gt;="&amp;'Source_Data'!J66,'Monthly_Data'!$B$6:$B$797,"&lt;="&amp;'Source_Data'!K66,'Monthly_Data'!$C$6:$C$797,'Source_Data'!D66,'Monthly_Data'!$D$6:$D$797,'Source_Data'!C66)</x:f>
        <x:v>6638434</x:v>
      </x:c>
      <x:c r="D125" s="2" t="n">
        <x:f>SUMIFS('Monthly_Data'!$F$6:$F$797,'Monthly_Data'!$B$6:$B$797,"&gt;="&amp;'Source_Data'!J66,'Monthly_Data'!$B$6:$B$797,"&lt;="&amp;'Source_Data'!K66,'Monthly_Data'!$C$6:$C$797,'Source_Data'!D66,'Monthly_Data'!$D$6:$D$797,'Source_Data'!C66)</x:f>
        <x:v>395583</x:v>
      </x:c>
      <x:c r="E125" s="2" t="n">
        <x:f>ABS(B125-C125)</x:f>
        <x:v>0</x:v>
      </x:c>
      <x:c r="F125" s="2" t="n">
        <x:f>ABS(D125-'Source_Data'!F66)</x:f>
        <x:v>0</x:v>
      </x:c>
      <x:c r="G125" s="2"/>
      <x:c r="H125" s="2"/>
    </x:row>
    <x:row r="126" ht="23" customHeight="1">
      <x:c r="A126" s="2" t="str">
        <x:f>'Source_Data'!A67</x:f>
        <x:v>H1 2025|Cambodia|62044300</x:v>
      </x:c>
      <x:c r="B126" s="2" t="n">
        <x:f>'Source_Data'!E67</x:f>
        <x:v>1967492</x:v>
      </x:c>
      <x:c r="C126" s="2" t="n">
        <x:f>SUMIFS('Monthly_Data'!$E$6:$E$797,'Monthly_Data'!$B$6:$B$797,"&gt;="&amp;'Source_Data'!J67,'Monthly_Data'!$B$6:$B$797,"&lt;="&amp;'Source_Data'!K67,'Monthly_Data'!$C$6:$C$797,'Source_Data'!D67,'Monthly_Data'!$D$6:$D$797,'Source_Data'!C67)</x:f>
        <x:v>1967492</x:v>
      </x:c>
      <x:c r="D126" s="2" t="n">
        <x:f>SUMIFS('Monthly_Data'!$F$6:$F$797,'Monthly_Data'!$B$6:$B$797,"&gt;="&amp;'Source_Data'!J67,'Monthly_Data'!$B$6:$B$797,"&lt;="&amp;'Source_Data'!K67,'Monthly_Data'!$C$6:$C$797,'Source_Data'!D67,'Monthly_Data'!$D$6:$D$797,'Source_Data'!C67)</x:f>
        <x:v>114785</x:v>
      </x:c>
      <x:c r="E126" s="2" t="n">
        <x:f>ABS(B126-C126)</x:f>
        <x:v>0</x:v>
      </x:c>
      <x:c r="F126" s="2" t="n">
        <x:f>ABS(D126-'Source_Data'!F67)</x:f>
        <x:v>0</x:v>
      </x:c>
      <x:c r="G126" s="2"/>
      <x:c r="H126" s="2"/>
    </x:row>
    <x:row r="127" ht="23" customHeight="1">
      <x:c r="A127" s="2" t="str">
        <x:f>'Source_Data'!A68</x:f>
        <x:v>H1 2025|China|62044300</x:v>
      </x:c>
      <x:c r="B127" s="2" t="n">
        <x:f>'Source_Data'!E68</x:f>
        <x:v>49523896</x:v>
      </x:c>
      <x:c r="C127" s="2" t="n">
        <x:f>SUMIFS('Monthly_Data'!$E$6:$E$797,'Monthly_Data'!$B$6:$B$797,"&gt;="&amp;'Source_Data'!J68,'Monthly_Data'!$B$6:$B$797,"&lt;="&amp;'Source_Data'!K68,'Monthly_Data'!$C$6:$C$797,'Source_Data'!D68,'Monthly_Data'!$D$6:$D$797,'Source_Data'!C68)</x:f>
        <x:v>49523896</x:v>
      </x:c>
      <x:c r="D127" s="2" t="n">
        <x:f>SUMIFS('Monthly_Data'!$F$6:$F$797,'Monthly_Data'!$B$6:$B$797,"&gt;="&amp;'Source_Data'!J68,'Monthly_Data'!$B$6:$B$797,"&lt;="&amp;'Source_Data'!K68,'Monthly_Data'!$C$6:$C$797,'Source_Data'!D68,'Monthly_Data'!$D$6:$D$797,'Source_Data'!C68)</x:f>
        <x:v>1751053</x:v>
      </x:c>
      <x:c r="E127" s="2" t="n">
        <x:f>ABS(B127-C127)</x:f>
        <x:v>0</x:v>
      </x:c>
      <x:c r="F127" s="2" t="n">
        <x:f>ABS(D127-'Source_Data'!F68)</x:f>
        <x:v>0</x:v>
      </x:c>
      <x:c r="G127" s="2"/>
      <x:c r="H127" s="2"/>
    </x:row>
    <x:row r="128" ht="23" customHeight="1">
      <x:c r="A128" s="2" t="str">
        <x:f>'Source_Data'!A69</x:f>
        <x:v>H1 2025|India|62044300</x:v>
      </x:c>
      <x:c r="B128" s="2" t="n">
        <x:f>'Source_Data'!E69</x:f>
        <x:v>20894616</x:v>
      </x:c>
      <x:c r="C128" s="2" t="n">
        <x:f>SUMIFS('Monthly_Data'!$E$6:$E$797,'Monthly_Data'!$B$6:$B$797,"&gt;="&amp;'Source_Data'!J69,'Monthly_Data'!$B$6:$B$797,"&lt;="&amp;'Source_Data'!K69,'Monthly_Data'!$C$6:$C$797,'Source_Data'!D69,'Monthly_Data'!$D$6:$D$797,'Source_Data'!C69)</x:f>
        <x:v>20894616</x:v>
      </x:c>
      <x:c r="D128" s="2" t="n">
        <x:f>SUMIFS('Monthly_Data'!$F$6:$F$797,'Monthly_Data'!$B$6:$B$797,"&gt;="&amp;'Source_Data'!J69,'Monthly_Data'!$B$6:$B$797,"&lt;="&amp;'Source_Data'!K69,'Monthly_Data'!$C$6:$C$797,'Source_Data'!D69,'Monthly_Data'!$D$6:$D$797,'Source_Data'!C69)</x:f>
        <x:v>746374</x:v>
      </x:c>
      <x:c r="E128" s="2" t="n">
        <x:f>ABS(B128-C128)</x:f>
        <x:v>0</x:v>
      </x:c>
      <x:c r="F128" s="2" t="n">
        <x:f>ABS(D128-'Source_Data'!F69)</x:f>
        <x:v>0</x:v>
      </x:c>
      <x:c r="G128" s="2"/>
      <x:c r="H128" s="2"/>
    </x:row>
    <x:row r="129" ht="23" customHeight="1">
      <x:c r="A129" s="2" t="str">
        <x:f>'Source_Data'!A70</x:f>
        <x:v>H1 2025|Morocco|62044300</x:v>
      </x:c>
      <x:c r="B129" s="2" t="n">
        <x:f>'Source_Data'!E70</x:f>
        <x:v>6596648</x:v>
      </x:c>
      <x:c r="C129" s="2" t="n">
        <x:f>SUMIFS('Monthly_Data'!$E$6:$E$797,'Monthly_Data'!$B$6:$B$797,"&gt;="&amp;'Source_Data'!J70,'Monthly_Data'!$B$6:$B$797,"&lt;="&amp;'Source_Data'!K70,'Monthly_Data'!$C$6:$C$797,'Source_Data'!D70,'Monthly_Data'!$D$6:$D$797,'Source_Data'!C70)</x:f>
        <x:v>6596648</x:v>
      </x:c>
      <x:c r="D129" s="2" t="n">
        <x:f>SUMIFS('Monthly_Data'!$F$6:$F$797,'Monthly_Data'!$B$6:$B$797,"&gt;="&amp;'Source_Data'!J70,'Monthly_Data'!$B$6:$B$797,"&lt;="&amp;'Source_Data'!K70,'Monthly_Data'!$C$6:$C$797,'Source_Data'!D70,'Monthly_Data'!$D$6:$D$797,'Source_Data'!C70)</x:f>
        <x:v>313649</x:v>
      </x:c>
      <x:c r="E129" s="2" t="n">
        <x:f>ABS(B129-C129)</x:f>
        <x:v>0</x:v>
      </x:c>
      <x:c r="F129" s="2" t="n">
        <x:f>ABS(D129-'Source_Data'!F70)</x:f>
        <x:v>0</x:v>
      </x:c>
      <x:c r="G129" s="2"/>
      <x:c r="H129" s="2"/>
    </x:row>
    <x:row r="130" ht="23" customHeight="1">
      <x:c r="A130" s="2" t="str">
        <x:f>'Source_Data'!A71</x:f>
        <x:v>H1 2025|Myanmar|62044300</x:v>
      </x:c>
      <x:c r="B130" s="2" t="n">
        <x:f>'Source_Data'!E71</x:f>
        <x:v>2158407</x:v>
      </x:c>
      <x:c r="C130" s="2" t="n">
        <x:f>SUMIFS('Monthly_Data'!$E$6:$E$797,'Monthly_Data'!$B$6:$B$797,"&gt;="&amp;'Source_Data'!J71,'Monthly_Data'!$B$6:$B$797,"&lt;="&amp;'Source_Data'!K71,'Monthly_Data'!$C$6:$C$797,'Source_Data'!D71,'Monthly_Data'!$D$6:$D$797,'Source_Data'!C71)</x:f>
        <x:v>2158407</x:v>
      </x:c>
      <x:c r="D130" s="2" t="n">
        <x:f>SUMIFS('Monthly_Data'!$F$6:$F$797,'Monthly_Data'!$B$6:$B$797,"&gt;="&amp;'Source_Data'!J71,'Monthly_Data'!$B$6:$B$797,"&lt;="&amp;'Source_Data'!K71,'Monthly_Data'!$C$6:$C$797,'Source_Data'!D71,'Monthly_Data'!$D$6:$D$797,'Source_Data'!C71)</x:f>
        <x:v>48030</x:v>
      </x:c>
      <x:c r="E130" s="2" t="n">
        <x:f>ABS(B130-C130)</x:f>
        <x:v>0</x:v>
      </x:c>
      <x:c r="F130" s="2" t="n">
        <x:f>ABS(D130-'Source_Data'!F71)</x:f>
        <x:v>0</x:v>
      </x:c>
      <x:c r="G130" s="2"/>
      <x:c r="H130" s="2"/>
    </x:row>
    <x:row r="131" ht="23" customHeight="1">
      <x:c r="A131" s="2" t="str">
        <x:f>'Source_Data'!A72</x:f>
        <x:v>H1 2025|Pakistan|62044300</x:v>
      </x:c>
      <x:c r="B131" s="2" t="n">
        <x:f>'Source_Data'!E72</x:f>
        <x:v>993215</x:v>
      </x:c>
      <x:c r="C131" s="2" t="n">
        <x:f>SUMIFS('Monthly_Data'!$E$6:$E$797,'Monthly_Data'!$B$6:$B$797,"&gt;="&amp;'Source_Data'!J72,'Monthly_Data'!$B$6:$B$797,"&lt;="&amp;'Source_Data'!K72,'Monthly_Data'!$C$6:$C$797,'Source_Data'!D72,'Monthly_Data'!$D$6:$D$797,'Source_Data'!C72)</x:f>
        <x:v>993215</x:v>
      </x:c>
      <x:c r="D131" s="2" t="n">
        <x:f>SUMIFS('Monthly_Data'!$F$6:$F$797,'Monthly_Data'!$B$6:$B$797,"&gt;="&amp;'Source_Data'!J72,'Monthly_Data'!$B$6:$B$797,"&lt;="&amp;'Source_Data'!K72,'Monthly_Data'!$C$6:$C$797,'Source_Data'!D72,'Monthly_Data'!$D$6:$D$797,'Source_Data'!C72)</x:f>
        <x:v>48507</x:v>
      </x:c>
      <x:c r="E131" s="2" t="n">
        <x:f>ABS(B131-C131)</x:f>
        <x:v>0</x:v>
      </x:c>
      <x:c r="F131" s="2" t="n">
        <x:f>ABS(D131-'Source_Data'!F72)</x:f>
        <x:v>0</x:v>
      </x:c>
      <x:c r="G131" s="2"/>
      <x:c r="H131" s="2"/>
    </x:row>
    <x:row r="132" ht="23" customHeight="1">
      <x:c r="A132" s="2" t="str">
        <x:f>'Source_Data'!A73</x:f>
        <x:v>H1 2025|Sri Lanka|62044300</x:v>
      </x:c>
      <x:c r="B132" s="2" t="n">
        <x:f>'Source_Data'!E73</x:f>
        <x:v>7265946</x:v>
      </x:c>
      <x:c r="C132" s="2" t="n">
        <x:f>SUMIFS('Monthly_Data'!$E$6:$E$797,'Monthly_Data'!$B$6:$B$797,"&gt;="&amp;'Source_Data'!J73,'Monthly_Data'!$B$6:$B$797,"&lt;="&amp;'Source_Data'!K73,'Monthly_Data'!$C$6:$C$797,'Source_Data'!D73,'Monthly_Data'!$D$6:$D$797,'Source_Data'!C73)</x:f>
        <x:v>7265946</x:v>
      </x:c>
      <x:c r="D132" s="2" t="n">
        <x:f>SUMIFS('Monthly_Data'!$F$6:$F$797,'Monthly_Data'!$B$6:$B$797,"&gt;="&amp;'Source_Data'!J73,'Monthly_Data'!$B$6:$B$797,"&lt;="&amp;'Source_Data'!K73,'Monthly_Data'!$C$6:$C$797,'Source_Data'!D73,'Monthly_Data'!$D$6:$D$797,'Source_Data'!C73)</x:f>
        <x:v>419671</x:v>
      </x:c>
      <x:c r="E132" s="2" t="n">
        <x:f>ABS(B132-C132)</x:f>
        <x:v>0</x:v>
      </x:c>
      <x:c r="F132" s="2" t="n">
        <x:f>ABS(D132-'Source_Data'!F73)</x:f>
        <x:v>0</x:v>
      </x:c>
      <x:c r="G132" s="2"/>
      <x:c r="H132" s="2"/>
    </x:row>
    <x:row r="133" ht="23" customHeight="1">
      <x:c r="A133" s="2" t="str">
        <x:f>'Source_Data'!A74</x:f>
        <x:v>H1 2025|Turkey|62044300</x:v>
      </x:c>
      <x:c r="B133" s="2" t="n">
        <x:f>'Source_Data'!E74</x:f>
        <x:v>5868992</x:v>
      </x:c>
      <x:c r="C133" s="2" t="n">
        <x:f>SUMIFS('Monthly_Data'!$E$6:$E$797,'Monthly_Data'!$B$6:$B$797,"&gt;="&amp;'Source_Data'!J74,'Monthly_Data'!$B$6:$B$797,"&lt;="&amp;'Source_Data'!K74,'Monthly_Data'!$C$6:$C$797,'Source_Data'!D74,'Monthly_Data'!$D$6:$D$797,'Source_Data'!C74)</x:f>
        <x:v>5868992</x:v>
      </x:c>
      <x:c r="D133" s="2" t="n">
        <x:f>SUMIFS('Monthly_Data'!$F$6:$F$797,'Monthly_Data'!$B$6:$B$797,"&gt;="&amp;'Source_Data'!J74,'Monthly_Data'!$B$6:$B$797,"&lt;="&amp;'Source_Data'!K74,'Monthly_Data'!$C$6:$C$797,'Source_Data'!D74,'Monthly_Data'!$D$6:$D$797,'Source_Data'!C74)</x:f>
        <x:v>158653</x:v>
      </x:c>
      <x:c r="E133" s="2" t="n">
        <x:f>ABS(B133-C133)</x:f>
        <x:v>0</x:v>
      </x:c>
      <x:c r="F133" s="2" t="n">
        <x:f>ABS(D133-'Source_Data'!F74)</x:f>
        <x:v>0</x:v>
      </x:c>
      <x:c r="G133" s="2"/>
      <x:c r="H133" s="2"/>
    </x:row>
    <x:row r="134" ht="23" customHeight="1">
      <x:c r="A134" s="2" t="str">
        <x:f>'Source_Data'!A75</x:f>
        <x:v>H1 2025|Vietnam|62044300</x:v>
      </x:c>
      <x:c r="B134" s="2" t="n">
        <x:f>'Source_Data'!E75</x:f>
        <x:v>4155142</x:v>
      </x:c>
      <x:c r="C134" s="2" t="n">
        <x:f>SUMIFS('Monthly_Data'!$E$6:$E$797,'Monthly_Data'!$B$6:$B$797,"&gt;="&amp;'Source_Data'!J75,'Monthly_Data'!$B$6:$B$797,"&lt;="&amp;'Source_Data'!K75,'Monthly_Data'!$C$6:$C$797,'Source_Data'!D75,'Monthly_Data'!$D$6:$D$797,'Source_Data'!C75)</x:f>
        <x:v>4155142</x:v>
      </x:c>
      <x:c r="D134" s="2" t="n">
        <x:f>SUMIFS('Monthly_Data'!$F$6:$F$797,'Monthly_Data'!$B$6:$B$797,"&gt;="&amp;'Source_Data'!J75,'Monthly_Data'!$B$6:$B$797,"&lt;="&amp;'Source_Data'!K75,'Monthly_Data'!$C$6:$C$797,'Source_Data'!D75,'Monthly_Data'!$D$6:$D$797,'Source_Data'!C75)</x:f>
        <x:v>170600</x:v>
      </x:c>
      <x:c r="E134" s="2" t="n">
        <x:f>ABS(B134-C134)</x:f>
        <x:v>0</x:v>
      </x:c>
      <x:c r="F134" s="2" t="n">
        <x:f>ABS(D134-'Source_Data'!F75)</x:f>
        <x:v>0</x:v>
      </x:c>
      <x:c r="G134" s="2"/>
      <x:c r="H134" s="2"/>
    </x:row>
    <x:row r="135" ht="23" customHeight="1">
      <x:c r="A135" s="2" t="str">
        <x:f>'Source_Data'!A76</x:f>
        <x:v>H1 2025|Bangladesh|62052000</x:v>
      </x:c>
      <x:c r="B135" s="2" t="n">
        <x:f>'Source_Data'!E76</x:f>
        <x:v>41153034</x:v>
      </x:c>
      <x:c r="C135" s="2" t="n">
        <x:f>SUMIFS('Monthly_Data'!$E$6:$E$797,'Monthly_Data'!$B$6:$B$797,"&gt;="&amp;'Source_Data'!J76,'Monthly_Data'!$B$6:$B$797,"&lt;="&amp;'Source_Data'!K76,'Monthly_Data'!$C$6:$C$797,'Source_Data'!D76,'Monthly_Data'!$D$6:$D$797,'Source_Data'!C76)</x:f>
        <x:v>41153034</x:v>
      </x:c>
      <x:c r="D135" s="2" t="n">
        <x:f>SUMIFS('Monthly_Data'!$F$6:$F$797,'Monthly_Data'!$B$6:$B$797,"&gt;="&amp;'Source_Data'!J76,'Monthly_Data'!$B$6:$B$797,"&lt;="&amp;'Source_Data'!K76,'Monthly_Data'!$C$6:$C$797,'Source_Data'!D76,'Monthly_Data'!$D$6:$D$797,'Source_Data'!C76)</x:f>
        <x:v>2170454</x:v>
      </x:c>
      <x:c r="E135" s="2" t="n">
        <x:f>ABS(B135-C135)</x:f>
        <x:v>0</x:v>
      </x:c>
      <x:c r="F135" s="2" t="n">
        <x:f>ABS(D135-'Source_Data'!F76)</x:f>
        <x:v>0</x:v>
      </x:c>
      <x:c r="G135" s="2"/>
      <x:c r="H135" s="2"/>
    </x:row>
    <x:row r="136" ht="23" customHeight="1">
      <x:c r="A136" s="2" t="str">
        <x:f>'Source_Data'!A77</x:f>
        <x:v>H1 2025|Cambodia|62052000</x:v>
      </x:c>
      <x:c r="B136" s="2" t="n">
        <x:f>'Source_Data'!E77</x:f>
        <x:v>6687232</x:v>
      </x:c>
      <x:c r="C136" s="2" t="n">
        <x:f>SUMIFS('Monthly_Data'!$E$6:$E$797,'Monthly_Data'!$B$6:$B$797,"&gt;="&amp;'Source_Data'!J77,'Monthly_Data'!$B$6:$B$797,"&lt;="&amp;'Source_Data'!K77,'Monthly_Data'!$C$6:$C$797,'Source_Data'!D77,'Monthly_Data'!$D$6:$D$797,'Source_Data'!C77)</x:f>
        <x:v>6687232</x:v>
      </x:c>
      <x:c r="D136" s="2" t="n">
        <x:f>SUMIFS('Monthly_Data'!$F$6:$F$797,'Monthly_Data'!$B$6:$B$797,"&gt;="&amp;'Source_Data'!J77,'Monthly_Data'!$B$6:$B$797,"&lt;="&amp;'Source_Data'!K77,'Monthly_Data'!$C$6:$C$797,'Source_Data'!D77,'Monthly_Data'!$D$6:$D$797,'Source_Data'!C77)</x:f>
        <x:v>272970</x:v>
      </x:c>
      <x:c r="E136" s="2" t="n">
        <x:f>ABS(B136-C136)</x:f>
        <x:v>0</x:v>
      </x:c>
      <x:c r="F136" s="2" t="n">
        <x:f>ABS(D136-'Source_Data'!F77)</x:f>
        <x:v>0</x:v>
      </x:c>
      <x:c r="G136" s="2"/>
      <x:c r="H136" s="2"/>
    </x:row>
    <x:row r="137" ht="23" customHeight="1">
      <x:c r="A137" s="2" t="str">
        <x:f>'Source_Data'!A78</x:f>
        <x:v>H1 2025|China|62052000</x:v>
      </x:c>
      <x:c r="B137" s="2" t="n">
        <x:f>'Source_Data'!E78</x:f>
        <x:v>6741715</x:v>
      </x:c>
      <x:c r="C137" s="2" t="n">
        <x:f>SUMIFS('Monthly_Data'!$E$6:$E$797,'Monthly_Data'!$B$6:$B$797,"&gt;="&amp;'Source_Data'!J78,'Monthly_Data'!$B$6:$B$797,"&lt;="&amp;'Source_Data'!K78,'Monthly_Data'!$C$6:$C$797,'Source_Data'!D78,'Monthly_Data'!$D$6:$D$797,'Source_Data'!C78)</x:f>
        <x:v>6741715</x:v>
      </x:c>
      <x:c r="D137" s="2" t="n">
        <x:f>SUMIFS('Monthly_Data'!$F$6:$F$797,'Monthly_Data'!$B$6:$B$797,"&gt;="&amp;'Source_Data'!J78,'Monthly_Data'!$B$6:$B$797,"&lt;="&amp;'Source_Data'!K78,'Monthly_Data'!$C$6:$C$797,'Source_Data'!D78,'Monthly_Data'!$D$6:$D$797,'Source_Data'!C78)</x:f>
        <x:v>310092</x:v>
      </x:c>
      <x:c r="E137" s="2" t="n">
        <x:f>ABS(B137-C137)</x:f>
        <x:v>0</x:v>
      </x:c>
      <x:c r="F137" s="2" t="n">
        <x:f>ABS(D137-'Source_Data'!F78)</x:f>
        <x:v>0</x:v>
      </x:c>
      <x:c r="G137" s="2"/>
      <x:c r="H137" s="2"/>
    </x:row>
    <x:row r="138" ht="23" customHeight="1">
      <x:c r="A138" s="2" t="str">
        <x:f>'Source_Data'!A79</x:f>
        <x:v>H1 2025|India|62052000</x:v>
      </x:c>
      <x:c r="B138" s="2" t="n">
        <x:f>'Source_Data'!E79</x:f>
        <x:v>16956630</x:v>
      </x:c>
      <x:c r="C138" s="2" t="n">
        <x:f>SUMIFS('Monthly_Data'!$E$6:$E$797,'Monthly_Data'!$B$6:$B$797,"&gt;="&amp;'Source_Data'!J79,'Monthly_Data'!$B$6:$B$797,"&lt;="&amp;'Source_Data'!K79,'Monthly_Data'!$C$6:$C$797,'Source_Data'!D79,'Monthly_Data'!$D$6:$D$797,'Source_Data'!C79)</x:f>
        <x:v>16956630</x:v>
      </x:c>
      <x:c r="D138" s="2" t="n">
        <x:f>SUMIFS('Monthly_Data'!$F$6:$F$797,'Monthly_Data'!$B$6:$B$797,"&gt;="&amp;'Source_Data'!J79,'Monthly_Data'!$B$6:$B$797,"&lt;="&amp;'Source_Data'!K79,'Monthly_Data'!$C$6:$C$797,'Source_Data'!D79,'Monthly_Data'!$D$6:$D$797,'Source_Data'!C79)</x:f>
        <x:v>741612</x:v>
      </x:c>
      <x:c r="E138" s="2" t="n">
        <x:f>ABS(B138-C138)</x:f>
        <x:v>0</x:v>
      </x:c>
      <x:c r="F138" s="2" t="n">
        <x:f>ABS(D138-'Source_Data'!F79)</x:f>
        <x:v>0</x:v>
      </x:c>
      <x:c r="G138" s="2"/>
      <x:c r="H138" s="2"/>
    </x:row>
    <x:row r="139" ht="23" customHeight="1">
      <x:c r="A139" s="2" t="str">
        <x:f>'Source_Data'!A80</x:f>
        <x:v>H1 2025|Morocco|62052000</x:v>
      </x:c>
      <x:c r="B139" s="2" t="n">
        <x:f>'Source_Data'!E80</x:f>
        <x:v>698186</x:v>
      </x:c>
      <x:c r="C139" s="2" t="n">
        <x:f>SUMIFS('Monthly_Data'!$E$6:$E$797,'Monthly_Data'!$B$6:$B$797,"&gt;="&amp;'Source_Data'!J80,'Monthly_Data'!$B$6:$B$797,"&lt;="&amp;'Source_Data'!K80,'Monthly_Data'!$C$6:$C$797,'Source_Data'!D80,'Monthly_Data'!$D$6:$D$797,'Source_Data'!C80)</x:f>
        <x:v>698186</x:v>
      </x:c>
      <x:c r="D139" s="2" t="n">
        <x:f>SUMIFS('Monthly_Data'!$F$6:$F$797,'Monthly_Data'!$B$6:$B$797,"&gt;="&amp;'Source_Data'!J80,'Monthly_Data'!$B$6:$B$797,"&lt;="&amp;'Source_Data'!K80,'Monthly_Data'!$C$6:$C$797,'Source_Data'!D80,'Monthly_Data'!$D$6:$D$797,'Source_Data'!C80)</x:f>
        <x:v>15659</x:v>
      </x:c>
      <x:c r="E139" s="2" t="n">
        <x:f>ABS(B139-C139)</x:f>
        <x:v>0</x:v>
      </x:c>
      <x:c r="F139" s="2" t="n">
        <x:f>ABS(D139-'Source_Data'!F80)</x:f>
        <x:v>0</x:v>
      </x:c>
      <x:c r="G139" s="2"/>
      <x:c r="H139" s="2"/>
    </x:row>
    <x:row r="140" ht="23" customHeight="1">
      <x:c r="A140" s="2" t="str">
        <x:f>'Source_Data'!A81</x:f>
        <x:v>H1 2025|Myanmar|62052000</x:v>
      </x:c>
      <x:c r="B140" s="2" t="n">
        <x:f>'Source_Data'!E81</x:f>
        <x:v>549871</x:v>
      </x:c>
      <x:c r="C140" s="2" t="n">
        <x:f>SUMIFS('Monthly_Data'!$E$6:$E$797,'Monthly_Data'!$B$6:$B$797,"&gt;="&amp;'Source_Data'!J81,'Monthly_Data'!$B$6:$B$797,"&lt;="&amp;'Source_Data'!K81,'Monthly_Data'!$C$6:$C$797,'Source_Data'!D81,'Monthly_Data'!$D$6:$D$797,'Source_Data'!C81)</x:f>
        <x:v>549871</x:v>
      </x:c>
      <x:c r="D140" s="2" t="n">
        <x:f>SUMIFS('Monthly_Data'!$F$6:$F$797,'Monthly_Data'!$B$6:$B$797,"&gt;="&amp;'Source_Data'!J81,'Monthly_Data'!$B$6:$B$797,"&lt;="&amp;'Source_Data'!K81,'Monthly_Data'!$C$6:$C$797,'Source_Data'!D81,'Monthly_Data'!$D$6:$D$797,'Source_Data'!C81)</x:f>
        <x:v>31192</x:v>
      </x:c>
      <x:c r="E140" s="2" t="n">
        <x:f>ABS(B140-C140)</x:f>
        <x:v>0</x:v>
      </x:c>
      <x:c r="F140" s="2" t="n">
        <x:f>ABS(D140-'Source_Data'!F81)</x:f>
        <x:v>0</x:v>
      </x:c>
      <x:c r="G140" s="2"/>
      <x:c r="H140" s="2"/>
    </x:row>
    <x:row r="141" ht="23" customHeight="1">
      <x:c r="A141" s="2" t="str">
        <x:f>'Source_Data'!A82</x:f>
        <x:v>H1 2025|Pakistan|62052000</x:v>
      </x:c>
      <x:c r="B141" s="2" t="n">
        <x:f>'Source_Data'!E82</x:f>
        <x:v>457665</x:v>
      </x:c>
      <x:c r="C141" s="2" t="n">
        <x:f>SUMIFS('Monthly_Data'!$E$6:$E$797,'Monthly_Data'!$B$6:$B$797,"&gt;="&amp;'Source_Data'!J82,'Monthly_Data'!$B$6:$B$797,"&lt;="&amp;'Source_Data'!K82,'Monthly_Data'!$C$6:$C$797,'Source_Data'!D82,'Monthly_Data'!$D$6:$D$797,'Source_Data'!C82)</x:f>
        <x:v>457665</x:v>
      </x:c>
      <x:c r="D141" s="2" t="n">
        <x:f>SUMIFS('Monthly_Data'!$F$6:$F$797,'Monthly_Data'!$B$6:$B$797,"&gt;="&amp;'Source_Data'!J82,'Monthly_Data'!$B$6:$B$797,"&lt;="&amp;'Source_Data'!K82,'Monthly_Data'!$C$6:$C$797,'Source_Data'!D82,'Monthly_Data'!$D$6:$D$797,'Source_Data'!C82)</x:f>
        <x:v>36660</x:v>
      </x:c>
      <x:c r="E141" s="2" t="n">
        <x:f>ABS(B141-C141)</x:f>
        <x:v>0</x:v>
      </x:c>
      <x:c r="F141" s="2" t="n">
        <x:f>ABS(D141-'Source_Data'!F82)</x:f>
        <x:v>0</x:v>
      </x:c>
      <x:c r="G141" s="2"/>
      <x:c r="H141" s="2"/>
    </x:row>
    <x:row r="142" ht="23" customHeight="1">
      <x:c r="A142" s="2" t="str">
        <x:f>'Source_Data'!A83</x:f>
        <x:v>H1 2025|Sri Lanka|62052000</x:v>
      </x:c>
      <x:c r="B142" s="2" t="n">
        <x:f>'Source_Data'!E83</x:f>
        <x:v>1900906</x:v>
      </x:c>
      <x:c r="C142" s="2" t="n">
        <x:f>SUMIFS('Monthly_Data'!$E$6:$E$797,'Monthly_Data'!$B$6:$B$797,"&gt;="&amp;'Source_Data'!J83,'Monthly_Data'!$B$6:$B$797,"&lt;="&amp;'Source_Data'!K83,'Monthly_Data'!$C$6:$C$797,'Source_Data'!D83,'Monthly_Data'!$D$6:$D$797,'Source_Data'!C83)</x:f>
        <x:v>1900906</x:v>
      </x:c>
      <x:c r="D142" s="2" t="n">
        <x:f>SUMIFS('Monthly_Data'!$F$6:$F$797,'Monthly_Data'!$B$6:$B$797,"&gt;="&amp;'Source_Data'!J83,'Monthly_Data'!$B$6:$B$797,"&lt;="&amp;'Source_Data'!K83,'Monthly_Data'!$C$6:$C$797,'Source_Data'!D83,'Monthly_Data'!$D$6:$D$797,'Source_Data'!C83)</x:f>
        <x:v>87885</x:v>
      </x:c>
      <x:c r="E142" s="2" t="n">
        <x:f>ABS(B142-C142)</x:f>
        <x:v>0</x:v>
      </x:c>
      <x:c r="F142" s="2" t="n">
        <x:f>ABS(D142-'Source_Data'!F83)</x:f>
        <x:v>0</x:v>
      </x:c>
      <x:c r="G142" s="2"/>
      <x:c r="H142" s="2"/>
    </x:row>
    <x:row r="143" ht="23" customHeight="1">
      <x:c r="A143" s="2" t="str">
        <x:f>'Source_Data'!A84</x:f>
        <x:v>H1 2025|Turkey|62052000</x:v>
      </x:c>
      <x:c r="B143" s="2" t="n">
        <x:f>'Source_Data'!E84</x:f>
        <x:v>6632162</x:v>
      </x:c>
      <x:c r="C143" s="2" t="n">
        <x:f>SUMIFS('Monthly_Data'!$E$6:$E$797,'Monthly_Data'!$B$6:$B$797,"&gt;="&amp;'Source_Data'!J84,'Monthly_Data'!$B$6:$B$797,"&lt;="&amp;'Source_Data'!K84,'Monthly_Data'!$C$6:$C$797,'Source_Data'!D84,'Monthly_Data'!$D$6:$D$797,'Source_Data'!C84)</x:f>
        <x:v>6632162</x:v>
      </x:c>
      <x:c r="D143" s="2" t="n">
        <x:f>SUMIFS('Monthly_Data'!$F$6:$F$797,'Monthly_Data'!$B$6:$B$797,"&gt;="&amp;'Source_Data'!J84,'Monthly_Data'!$B$6:$B$797,"&lt;="&amp;'Source_Data'!K84,'Monthly_Data'!$C$6:$C$797,'Source_Data'!D84,'Monthly_Data'!$D$6:$D$797,'Source_Data'!C84)</x:f>
        <x:v>176092</x:v>
      </x:c>
      <x:c r="E143" s="2" t="n">
        <x:f>ABS(B143-C143)</x:f>
        <x:v>0</x:v>
      </x:c>
      <x:c r="F143" s="2" t="n">
        <x:f>ABS(D143-'Source_Data'!F84)</x:f>
        <x:v>0</x:v>
      </x:c>
      <x:c r="G143" s="2"/>
      <x:c r="H143" s="2"/>
    </x:row>
    <x:row r="144" ht="23" customHeight="1">
      <x:c r="A144" s="2" t="str">
        <x:f>'Source_Data'!A85</x:f>
        <x:v>H1 2025|Vietnam|62052000</x:v>
      </x:c>
      <x:c r="B144" s="2" t="n">
        <x:f>'Source_Data'!E85</x:f>
        <x:v>4754680</x:v>
      </x:c>
      <x:c r="C144" s="2" t="n">
        <x:f>SUMIFS('Monthly_Data'!$E$6:$E$797,'Monthly_Data'!$B$6:$B$797,"&gt;="&amp;'Source_Data'!J85,'Monthly_Data'!$B$6:$B$797,"&lt;="&amp;'Source_Data'!K85,'Monthly_Data'!$C$6:$C$797,'Source_Data'!D85,'Monthly_Data'!$D$6:$D$797,'Source_Data'!C85)</x:f>
        <x:v>4754680</x:v>
      </x:c>
      <x:c r="D144" s="2" t="n">
        <x:f>SUMIFS('Monthly_Data'!$F$6:$F$797,'Monthly_Data'!$B$6:$B$797,"&gt;="&amp;'Source_Data'!J85,'Monthly_Data'!$B$6:$B$797,"&lt;="&amp;'Source_Data'!K85,'Monthly_Data'!$C$6:$C$797,'Source_Data'!D85,'Monthly_Data'!$D$6:$D$797,'Source_Data'!C85)</x:f>
        <x:v>154077</x:v>
      </x:c>
      <x:c r="E144" s="2" t="n">
        <x:f>ABS(B144-C144)</x:f>
        <x:v>0</x:v>
      </x:c>
      <x:c r="F144" s="2" t="n">
        <x:f>ABS(D144-'Source_Data'!F85)</x:f>
        <x:v>0</x:v>
      </x:c>
      <x:c r="G144" s="2"/>
      <x:c r="H144" s="2"/>
    </x:row>
    <x:row r="145" ht="23" customHeight="1">
      <x:c r="A145" s="2" t="str">
        <x:f>'Source_Data'!A86</x:f>
        <x:v>H1 2026|Bangladesh|61091000</x:v>
      </x:c>
      <x:c r="B145" s="2" t="n">
        <x:f>'Source_Data'!E86</x:f>
        <x:v>254631302</x:v>
      </x:c>
      <x:c r="C145" s="2" t="n">
        <x:f>SUMIFS('Monthly_Data'!$E$6:$E$797,'Monthly_Data'!$B$6:$B$797,"&gt;="&amp;'Source_Data'!J86,'Monthly_Data'!$B$6:$B$797,"&lt;="&amp;'Source_Data'!K86,'Monthly_Data'!$C$6:$C$797,'Source_Data'!D86,'Monthly_Data'!$D$6:$D$797,'Source_Data'!C86)</x:f>
        <x:v>254631302</x:v>
      </x:c>
      <x:c r="D145" s="2" t="n">
        <x:f>SUMIFS('Monthly_Data'!$F$6:$F$797,'Monthly_Data'!$B$6:$B$797,"&gt;="&amp;'Source_Data'!J86,'Monthly_Data'!$B$6:$B$797,"&lt;="&amp;'Source_Data'!K86,'Monthly_Data'!$C$6:$C$797,'Source_Data'!D86,'Monthly_Data'!$D$6:$D$797,'Source_Data'!C86)</x:f>
        <x:v>24484056</x:v>
      </x:c>
      <x:c r="E145" s="2" t="n">
        <x:f>ABS(B145-C145)</x:f>
        <x:v>0</x:v>
      </x:c>
      <x:c r="F145" s="2" t="n">
        <x:f>ABS(D145-'Source_Data'!F86)</x:f>
        <x:v>0</x:v>
      </x:c>
      <x:c r="G145" s="2"/>
      <x:c r="H145" s="2"/>
    </x:row>
    <x:row r="146" ht="23" customHeight="1">
      <x:c r="A146" s="2" t="str">
        <x:f>'Source_Data'!A87</x:f>
        <x:v>H1 2026|Cambodia|61091000</x:v>
      </x:c>
      <x:c r="B146" s="2" t="n">
        <x:f>'Source_Data'!E87</x:f>
        <x:v>5968533</x:v>
      </x:c>
      <x:c r="C146" s="2" t="n">
        <x:f>SUMIFS('Monthly_Data'!$E$6:$E$797,'Monthly_Data'!$B$6:$B$797,"&gt;="&amp;'Source_Data'!J87,'Monthly_Data'!$B$6:$B$797,"&lt;="&amp;'Source_Data'!K87,'Monthly_Data'!$C$6:$C$797,'Source_Data'!D87,'Monthly_Data'!$D$6:$D$797,'Source_Data'!C87)</x:f>
        <x:v>5968533</x:v>
      </x:c>
      <x:c r="D146" s="2" t="n">
        <x:f>SUMIFS('Monthly_Data'!$F$6:$F$797,'Monthly_Data'!$B$6:$B$797,"&gt;="&amp;'Source_Data'!J87,'Monthly_Data'!$B$6:$B$797,"&lt;="&amp;'Source_Data'!K87,'Monthly_Data'!$C$6:$C$797,'Source_Data'!D87,'Monthly_Data'!$D$6:$D$797,'Source_Data'!C87)</x:f>
        <x:v>334694</x:v>
      </x:c>
      <x:c r="E146" s="2" t="n">
        <x:f>ABS(B146-C146)</x:f>
        <x:v>0</x:v>
      </x:c>
      <x:c r="F146" s="2" t="n">
        <x:f>ABS(D146-'Source_Data'!F87)</x:f>
        <x:v>0</x:v>
      </x:c>
      <x:c r="G146" s="2"/>
      <x:c r="H146" s="2"/>
    </x:row>
    <x:row r="147" ht="23" customHeight="1">
      <x:c r="A147" s="2" t="str">
        <x:f>'Source_Data'!A88</x:f>
        <x:v>H1 2026|China|61091000</x:v>
      </x:c>
      <x:c r="B147" s="2" t="n">
        <x:f>'Source_Data'!E88</x:f>
        <x:v>27268063</x:v>
      </x:c>
      <x:c r="C147" s="2" t="n">
        <x:f>SUMIFS('Monthly_Data'!$E$6:$E$797,'Monthly_Data'!$B$6:$B$797,"&gt;="&amp;'Source_Data'!J88,'Monthly_Data'!$B$6:$B$797,"&lt;="&amp;'Source_Data'!K88,'Monthly_Data'!$C$6:$C$797,'Source_Data'!D88,'Monthly_Data'!$D$6:$D$797,'Source_Data'!C88)</x:f>
        <x:v>27268063</x:v>
      </x:c>
      <x:c r="D147" s="2" t="n">
        <x:f>SUMIFS('Monthly_Data'!$F$6:$F$797,'Monthly_Data'!$B$6:$B$797,"&gt;="&amp;'Source_Data'!J88,'Monthly_Data'!$B$6:$B$797,"&lt;="&amp;'Source_Data'!K88,'Monthly_Data'!$C$6:$C$797,'Source_Data'!D88,'Monthly_Data'!$D$6:$D$797,'Source_Data'!C88)</x:f>
        <x:v>1611661</x:v>
      </x:c>
      <x:c r="E147" s="2" t="n">
        <x:f>ABS(B147-C147)</x:f>
        <x:v>0</x:v>
      </x:c>
      <x:c r="F147" s="2" t="n">
        <x:f>ABS(D147-'Source_Data'!F88)</x:f>
        <x:v>0</x:v>
      </x:c>
      <x:c r="G147" s="2"/>
      <x:c r="H147" s="2"/>
    </x:row>
    <x:row r="148" ht="23" customHeight="1">
      <x:c r="A148" s="2" t="str">
        <x:f>'Source_Data'!A89</x:f>
        <x:v>H1 2026|India|61091000</x:v>
      </x:c>
      <x:c r="B148" s="2" t="n">
        <x:f>'Source_Data'!E89</x:f>
        <x:v>54416583</x:v>
      </x:c>
      <x:c r="C148" s="2" t="n">
        <x:f>SUMIFS('Monthly_Data'!$E$6:$E$797,'Monthly_Data'!$B$6:$B$797,"&gt;="&amp;'Source_Data'!J89,'Monthly_Data'!$B$6:$B$797,"&lt;="&amp;'Source_Data'!K89,'Monthly_Data'!$C$6:$C$797,'Source_Data'!D89,'Monthly_Data'!$D$6:$D$797,'Source_Data'!C89)</x:f>
        <x:v>54416583</x:v>
      </x:c>
      <x:c r="D148" s="2" t="n">
        <x:f>SUMIFS('Monthly_Data'!$F$6:$F$797,'Monthly_Data'!$B$6:$B$797,"&gt;="&amp;'Source_Data'!J89,'Monthly_Data'!$B$6:$B$797,"&lt;="&amp;'Source_Data'!K89,'Monthly_Data'!$C$6:$C$797,'Source_Data'!D89,'Monthly_Data'!$D$6:$D$797,'Source_Data'!C89)</x:f>
        <x:v>4347817</x:v>
      </x:c>
      <x:c r="E148" s="2" t="n">
        <x:f>ABS(B148-C148)</x:f>
        <x:v>0</x:v>
      </x:c>
      <x:c r="F148" s="2" t="n">
        <x:f>ABS(D148-'Source_Data'!F89)</x:f>
        <x:v>0</x:v>
      </x:c>
      <x:c r="G148" s="2"/>
      <x:c r="H148" s="2"/>
    </x:row>
    <x:row r="149" ht="23" customHeight="1">
      <x:c r="A149" s="2" t="str">
        <x:f>'Source_Data'!A90</x:f>
        <x:v>H1 2026|Morocco|61091000</x:v>
      </x:c>
      <x:c r="B149" s="2" t="n">
        <x:f>'Source_Data'!E90</x:f>
        <x:v>4957179</x:v>
      </x:c>
      <x:c r="C149" s="2" t="n">
        <x:f>SUMIFS('Monthly_Data'!$E$6:$E$797,'Monthly_Data'!$B$6:$B$797,"&gt;="&amp;'Source_Data'!J90,'Monthly_Data'!$B$6:$B$797,"&lt;="&amp;'Source_Data'!K90,'Monthly_Data'!$C$6:$C$797,'Source_Data'!D90,'Monthly_Data'!$D$6:$D$797,'Source_Data'!C90)</x:f>
        <x:v>4957179</x:v>
      </x:c>
      <x:c r="D149" s="2" t="n">
        <x:f>SUMIFS('Monthly_Data'!$F$6:$F$797,'Monthly_Data'!$B$6:$B$797,"&gt;="&amp;'Source_Data'!J90,'Monthly_Data'!$B$6:$B$797,"&lt;="&amp;'Source_Data'!K90,'Monthly_Data'!$C$6:$C$797,'Source_Data'!D90,'Monthly_Data'!$D$6:$D$797,'Source_Data'!C90)</x:f>
        <x:v>526732</x:v>
      </x:c>
      <x:c r="E149" s="2" t="n">
        <x:f>ABS(B149-C149)</x:f>
        <x:v>0</x:v>
      </x:c>
      <x:c r="F149" s="2" t="n">
        <x:f>ABS(D149-'Source_Data'!F90)</x:f>
        <x:v>0</x:v>
      </x:c>
      <x:c r="G149" s="2"/>
      <x:c r="H149" s="2"/>
    </x:row>
    <x:row r="150" ht="23" customHeight="1">
      <x:c r="A150" s="2" t="str">
        <x:f>'Source_Data'!A91</x:f>
        <x:v>H1 2026|Myanmar|61091000</x:v>
      </x:c>
      <x:c r="B150" s="2" t="n">
        <x:f>'Source_Data'!E91</x:f>
        <x:v>619607</x:v>
      </x:c>
      <x:c r="C150" s="2" t="n">
        <x:f>SUMIFS('Monthly_Data'!$E$6:$E$797,'Monthly_Data'!$B$6:$B$797,"&gt;="&amp;'Source_Data'!J91,'Monthly_Data'!$B$6:$B$797,"&lt;="&amp;'Source_Data'!K91,'Monthly_Data'!$C$6:$C$797,'Source_Data'!D91,'Monthly_Data'!$D$6:$D$797,'Source_Data'!C91)</x:f>
        <x:v>619607</x:v>
      </x:c>
      <x:c r="D150" s="2" t="n">
        <x:f>SUMIFS('Monthly_Data'!$F$6:$F$797,'Monthly_Data'!$B$6:$B$797,"&gt;="&amp;'Source_Data'!J91,'Monthly_Data'!$B$6:$B$797,"&lt;="&amp;'Source_Data'!K91,'Monthly_Data'!$C$6:$C$797,'Source_Data'!D91,'Monthly_Data'!$D$6:$D$797,'Source_Data'!C91)</x:f>
        <x:v>58361</x:v>
      </x:c>
      <x:c r="E150" s="2" t="n">
        <x:f>ABS(B150-C150)</x:f>
        <x:v>0</x:v>
      </x:c>
      <x:c r="F150" s="2" t="n">
        <x:f>ABS(D150-'Source_Data'!F91)</x:f>
        <x:v>0</x:v>
      </x:c>
      <x:c r="G150" s="2"/>
      <x:c r="H150" s="2"/>
    </x:row>
    <x:row r="151" ht="23" customHeight="1">
      <x:c r="A151" s="2" t="str">
        <x:f>'Source_Data'!A92</x:f>
        <x:v>H1 2026|Pakistan|61091000</x:v>
      </x:c>
      <x:c r="B151" s="2" t="n">
        <x:f>'Source_Data'!E92</x:f>
        <x:v>20868271</x:v>
      </x:c>
      <x:c r="C151" s="2" t="n">
        <x:f>SUMIFS('Monthly_Data'!$E$6:$E$797,'Monthly_Data'!$B$6:$B$797,"&gt;="&amp;'Source_Data'!J92,'Monthly_Data'!$B$6:$B$797,"&lt;="&amp;'Source_Data'!K92,'Monthly_Data'!$C$6:$C$797,'Source_Data'!D92,'Monthly_Data'!$D$6:$D$797,'Source_Data'!C92)</x:f>
        <x:v>20868271</x:v>
      </x:c>
      <x:c r="D151" s="2" t="n">
        <x:f>SUMIFS('Monthly_Data'!$F$6:$F$797,'Monthly_Data'!$B$6:$B$797,"&gt;="&amp;'Source_Data'!J92,'Monthly_Data'!$B$6:$B$797,"&lt;="&amp;'Source_Data'!K92,'Monthly_Data'!$C$6:$C$797,'Source_Data'!D92,'Monthly_Data'!$D$6:$D$797,'Source_Data'!C92)</x:f>
        <x:v>1714193</x:v>
      </x:c>
      <x:c r="E151" s="2" t="n">
        <x:f>ABS(B151-C151)</x:f>
        <x:v>0</x:v>
      </x:c>
      <x:c r="F151" s="2" t="n">
        <x:f>ABS(D151-'Source_Data'!F92)</x:f>
        <x:v>0</x:v>
      </x:c>
      <x:c r="G151" s="2"/>
      <x:c r="H151" s="2"/>
    </x:row>
    <x:row r="152" ht="23" customHeight="1">
      <x:c r="A152" s="2" t="str">
        <x:f>'Source_Data'!A93</x:f>
        <x:v>H1 2026|Sri Lanka|61091000</x:v>
      </x:c>
      <x:c r="B152" s="2" t="n">
        <x:f>'Source_Data'!E93</x:f>
        <x:v>8791535</x:v>
      </x:c>
      <x:c r="C152" s="2" t="n">
        <x:f>SUMIFS('Monthly_Data'!$E$6:$E$797,'Monthly_Data'!$B$6:$B$797,"&gt;="&amp;'Source_Data'!J93,'Monthly_Data'!$B$6:$B$797,"&lt;="&amp;'Source_Data'!K93,'Monthly_Data'!$C$6:$C$797,'Source_Data'!D93,'Monthly_Data'!$D$6:$D$797,'Source_Data'!C93)</x:f>
        <x:v>8791535</x:v>
      </x:c>
      <x:c r="D152" s="2" t="n">
        <x:f>SUMIFS('Monthly_Data'!$F$6:$F$797,'Monthly_Data'!$B$6:$B$797,"&gt;="&amp;'Source_Data'!J93,'Monthly_Data'!$B$6:$B$797,"&lt;="&amp;'Source_Data'!K93,'Monthly_Data'!$C$6:$C$797,'Source_Data'!D93,'Monthly_Data'!$D$6:$D$797,'Source_Data'!C93)</x:f>
        <x:v>729136</x:v>
      </x:c>
      <x:c r="E152" s="2" t="n">
        <x:f>ABS(B152-C152)</x:f>
        <x:v>0</x:v>
      </x:c>
      <x:c r="F152" s="2" t="n">
        <x:f>ABS(D152-'Source_Data'!F93)</x:f>
        <x:v>0</x:v>
      </x:c>
      <x:c r="G152" s="2"/>
      <x:c r="H152" s="2"/>
    </x:row>
    <x:row r="153" ht="23" customHeight="1">
      <x:c r="A153" s="2" t="str">
        <x:f>'Source_Data'!A94</x:f>
        <x:v>H1 2026|Turkey|61091000</x:v>
      </x:c>
      <x:c r="B153" s="2" t="n">
        <x:f>'Source_Data'!E94</x:f>
        <x:v>58384062</x:v>
      </x:c>
      <x:c r="C153" s="2" t="n">
        <x:f>SUMIFS('Monthly_Data'!$E$6:$E$797,'Monthly_Data'!$B$6:$B$797,"&gt;="&amp;'Source_Data'!J94,'Monthly_Data'!$B$6:$B$797,"&lt;="&amp;'Source_Data'!K94,'Monthly_Data'!$C$6:$C$797,'Source_Data'!D94,'Monthly_Data'!$D$6:$D$797,'Source_Data'!C94)</x:f>
        <x:v>58384062</x:v>
      </x:c>
      <x:c r="D153" s="2" t="n">
        <x:f>SUMIFS('Monthly_Data'!$F$6:$F$797,'Monthly_Data'!$B$6:$B$797,"&gt;="&amp;'Source_Data'!J94,'Monthly_Data'!$B$6:$B$797,"&lt;="&amp;'Source_Data'!K94,'Monthly_Data'!$C$6:$C$797,'Source_Data'!D94,'Monthly_Data'!$D$6:$D$797,'Source_Data'!C94)</x:f>
        <x:v>2450042</x:v>
      </x:c>
      <x:c r="E153" s="2" t="n">
        <x:f>ABS(B153-C153)</x:f>
        <x:v>0</x:v>
      </x:c>
      <x:c r="F153" s="2" t="n">
        <x:f>ABS(D153-'Source_Data'!F94)</x:f>
        <x:v>0</x:v>
      </x:c>
      <x:c r="G153" s="2"/>
      <x:c r="H153" s="2"/>
    </x:row>
    <x:row r="154" ht="23" customHeight="1">
      <x:c r="A154" s="2" t="str">
        <x:f>'Source_Data'!A95</x:f>
        <x:v>H1 2026|Vietnam|61091000</x:v>
      </x:c>
      <x:c r="B154" s="2" t="n">
        <x:f>'Source_Data'!E95</x:f>
        <x:v>13656174</x:v>
      </x:c>
      <x:c r="C154" s="2" t="n">
        <x:f>SUMIFS('Monthly_Data'!$E$6:$E$797,'Monthly_Data'!$B$6:$B$797,"&gt;="&amp;'Source_Data'!J95,'Monthly_Data'!$B$6:$B$797,"&lt;="&amp;'Source_Data'!K95,'Monthly_Data'!$C$6:$C$797,'Source_Data'!D95,'Monthly_Data'!$D$6:$D$797,'Source_Data'!C95)</x:f>
        <x:v>13656174</x:v>
      </x:c>
      <x:c r="D154" s="2" t="n">
        <x:f>SUMIFS('Monthly_Data'!$F$6:$F$797,'Monthly_Data'!$B$6:$B$797,"&gt;="&amp;'Source_Data'!J95,'Monthly_Data'!$B$6:$B$797,"&lt;="&amp;'Source_Data'!K95,'Monthly_Data'!$C$6:$C$797,'Source_Data'!D95,'Monthly_Data'!$D$6:$D$797,'Source_Data'!C95)</x:f>
        <x:v>532624</x:v>
      </x:c>
      <x:c r="E154" s="2" t="n">
        <x:f>ABS(B154-C154)</x:f>
        <x:v>0</x:v>
      </x:c>
      <x:c r="F154" s="2" t="n">
        <x:f>ABS(D154-'Source_Data'!F95)</x:f>
        <x:v>0</x:v>
      </x:c>
      <x:c r="G154" s="2"/>
      <x:c r="H154" s="2"/>
    </x:row>
    <x:row r="155" ht="23" customHeight="1">
      <x:c r="A155" s="2" t="str">
        <x:f>'Source_Data'!A96</x:f>
        <x:v>H1 2026|Bangladesh|61103099</x:v>
      </x:c>
      <x:c r="B155" s="2" t="n">
        <x:f>'Source_Data'!E96</x:f>
        <x:v>41106466</x:v>
      </x:c>
      <x:c r="C155" s="2" t="n">
        <x:f>SUMIFS('Monthly_Data'!$E$6:$E$797,'Monthly_Data'!$B$6:$B$797,"&gt;="&amp;'Source_Data'!J96,'Monthly_Data'!$B$6:$B$797,"&lt;="&amp;'Source_Data'!K96,'Monthly_Data'!$C$6:$C$797,'Source_Data'!D96,'Monthly_Data'!$D$6:$D$797,'Source_Data'!C96)</x:f>
        <x:v>41106466</x:v>
      </x:c>
      <x:c r="D155" s="2" t="n">
        <x:f>SUMIFS('Monthly_Data'!$F$6:$F$797,'Monthly_Data'!$B$6:$B$797,"&gt;="&amp;'Source_Data'!J96,'Monthly_Data'!$B$6:$B$797,"&lt;="&amp;'Source_Data'!K96,'Monthly_Data'!$C$6:$C$797,'Source_Data'!D96,'Monthly_Data'!$D$6:$D$797,'Source_Data'!C96)</x:f>
        <x:v>3340374</x:v>
      </x:c>
      <x:c r="E155" s="2" t="n">
        <x:f>ABS(B155-C155)</x:f>
        <x:v>0</x:v>
      </x:c>
      <x:c r="F155" s="2" t="n">
        <x:f>ABS(D155-'Source_Data'!F96)</x:f>
        <x:v>0</x:v>
      </x:c>
      <x:c r="G155" s="2"/>
      <x:c r="H155" s="2"/>
    </x:row>
    <x:row r="156" ht="23" customHeight="1">
      <x:c r="A156" s="2" t="str">
        <x:f>'Source_Data'!A97</x:f>
        <x:v>H1 2026|Cambodia|61103099</x:v>
      </x:c>
      <x:c r="B156" s="2" t="n">
        <x:f>'Source_Data'!E97</x:f>
        <x:v>20275618</x:v>
      </x:c>
      <x:c r="C156" s="2" t="n">
        <x:f>SUMIFS('Monthly_Data'!$E$6:$E$797,'Monthly_Data'!$B$6:$B$797,"&gt;="&amp;'Source_Data'!J97,'Monthly_Data'!$B$6:$B$797,"&lt;="&amp;'Source_Data'!K97,'Monthly_Data'!$C$6:$C$797,'Source_Data'!D97,'Monthly_Data'!$D$6:$D$797,'Source_Data'!C97)</x:f>
        <x:v>20275618</x:v>
      </x:c>
      <x:c r="D156" s="2" t="n">
        <x:f>SUMIFS('Monthly_Data'!$F$6:$F$797,'Monthly_Data'!$B$6:$B$797,"&gt;="&amp;'Source_Data'!J97,'Monthly_Data'!$B$6:$B$797,"&lt;="&amp;'Source_Data'!K97,'Monthly_Data'!$C$6:$C$797,'Source_Data'!D97,'Monthly_Data'!$D$6:$D$797,'Source_Data'!C97)</x:f>
        <x:v>1804538</x:v>
      </x:c>
      <x:c r="E156" s="2" t="n">
        <x:f>ABS(B156-C156)</x:f>
        <x:v>0</x:v>
      </x:c>
      <x:c r="F156" s="2" t="n">
        <x:f>ABS(D156-'Source_Data'!F97)</x:f>
        <x:v>0</x:v>
      </x:c>
      <x:c r="G156" s="2"/>
      <x:c r="H156" s="2"/>
    </x:row>
    <x:row r="157" ht="23" customHeight="1">
      <x:c r="A157" s="2" t="str">
        <x:f>'Source_Data'!A98</x:f>
        <x:v>H1 2026|China|61103099</x:v>
      </x:c>
      <x:c r="B157" s="2" t="n">
        <x:f>'Source_Data'!E98</x:f>
        <x:v>44515052</x:v>
      </x:c>
      <x:c r="C157" s="2" t="n">
        <x:f>SUMIFS('Monthly_Data'!$E$6:$E$797,'Monthly_Data'!$B$6:$B$797,"&gt;="&amp;'Source_Data'!J98,'Monthly_Data'!$B$6:$B$797,"&lt;="&amp;'Source_Data'!K98,'Monthly_Data'!$C$6:$C$797,'Source_Data'!D98,'Monthly_Data'!$D$6:$D$797,'Source_Data'!C98)</x:f>
        <x:v>44515052</x:v>
      </x:c>
      <x:c r="D157" s="2" t="n">
        <x:f>SUMIFS('Monthly_Data'!$F$6:$F$797,'Monthly_Data'!$B$6:$B$797,"&gt;="&amp;'Source_Data'!J98,'Monthly_Data'!$B$6:$B$797,"&lt;="&amp;'Source_Data'!K98,'Monthly_Data'!$C$6:$C$797,'Source_Data'!D98,'Monthly_Data'!$D$6:$D$797,'Source_Data'!C98)</x:f>
        <x:v>2608798</x:v>
      </x:c>
      <x:c r="E157" s="2" t="n">
        <x:f>ABS(B157-C157)</x:f>
        <x:v>0</x:v>
      </x:c>
      <x:c r="F157" s="2" t="n">
        <x:f>ABS(D157-'Source_Data'!F98)</x:f>
        <x:v>0</x:v>
      </x:c>
      <x:c r="G157" s="2"/>
      <x:c r="H157" s="2"/>
    </x:row>
    <x:row r="158" ht="23" customHeight="1">
      <x:c r="A158" s="2" t="str">
        <x:f>'Source_Data'!A99</x:f>
        <x:v>H1 2026|India|61103099</x:v>
      </x:c>
      <x:c r="B158" s="2" t="n">
        <x:f>'Source_Data'!E99</x:f>
        <x:v>709744</x:v>
      </x:c>
      <x:c r="C158" s="2" t="n">
        <x:f>SUMIFS('Monthly_Data'!$E$6:$E$797,'Monthly_Data'!$B$6:$B$797,"&gt;="&amp;'Source_Data'!J99,'Monthly_Data'!$B$6:$B$797,"&lt;="&amp;'Source_Data'!K99,'Monthly_Data'!$C$6:$C$797,'Source_Data'!D99,'Monthly_Data'!$D$6:$D$797,'Source_Data'!C99)</x:f>
        <x:v>709744</x:v>
      </x:c>
      <x:c r="D158" s="2" t="n">
        <x:f>SUMIFS('Monthly_Data'!$F$6:$F$797,'Monthly_Data'!$B$6:$B$797,"&gt;="&amp;'Source_Data'!J99,'Monthly_Data'!$B$6:$B$797,"&lt;="&amp;'Source_Data'!K99,'Monthly_Data'!$C$6:$C$797,'Source_Data'!D99,'Monthly_Data'!$D$6:$D$797,'Source_Data'!C99)</x:f>
        <x:v>46899</x:v>
      </x:c>
      <x:c r="E158" s="2" t="n">
        <x:f>ABS(B158-C158)</x:f>
        <x:v>0</x:v>
      </x:c>
      <x:c r="F158" s="2" t="n">
        <x:f>ABS(D158-'Source_Data'!F99)</x:f>
        <x:v>0</x:v>
      </x:c>
      <x:c r="G158" s="2"/>
      <x:c r="H158" s="2"/>
    </x:row>
    <x:row r="159" ht="23" customHeight="1">
      <x:c r="A159" s="2" t="str">
        <x:f>'Source_Data'!A100</x:f>
        <x:v>H1 2026|Morocco|61103099</x:v>
      </x:c>
      <x:c r="B159" s="2" t="n">
        <x:f>'Source_Data'!E100</x:f>
        <x:v>94543</x:v>
      </x:c>
      <x:c r="C159" s="2" t="n">
        <x:f>SUMIFS('Monthly_Data'!$E$6:$E$797,'Monthly_Data'!$B$6:$B$797,"&gt;="&amp;'Source_Data'!J100,'Monthly_Data'!$B$6:$B$797,"&lt;="&amp;'Source_Data'!K100,'Monthly_Data'!$C$6:$C$797,'Source_Data'!D100,'Monthly_Data'!$D$6:$D$797,'Source_Data'!C100)</x:f>
        <x:v>94543</x:v>
      </x:c>
      <x:c r="D159" s="2" t="n">
        <x:f>SUMIFS('Monthly_Data'!$F$6:$F$797,'Monthly_Data'!$B$6:$B$797,"&gt;="&amp;'Source_Data'!J100,'Monthly_Data'!$B$6:$B$797,"&lt;="&amp;'Source_Data'!K100,'Monthly_Data'!$C$6:$C$797,'Source_Data'!D100,'Monthly_Data'!$D$6:$D$797,'Source_Data'!C100)</x:f>
        <x:v>3440</x:v>
      </x:c>
      <x:c r="E159" s="2" t="n">
        <x:f>ABS(B159-C159)</x:f>
        <x:v>0</x:v>
      </x:c>
      <x:c r="F159" s="2" t="n">
        <x:f>ABS(D159-'Source_Data'!F100)</x:f>
        <x:v>0</x:v>
      </x:c>
      <x:c r="G159" s="2"/>
      <x:c r="H159" s="2"/>
    </x:row>
    <x:row r="160" ht="23" customHeight="1">
      <x:c r="A160" s="2" t="str">
        <x:f>'Source_Data'!A101</x:f>
        <x:v>H1 2026|Myanmar|61103099</x:v>
      </x:c>
      <x:c r="B160" s="2" t="n">
        <x:f>'Source_Data'!E101</x:f>
        <x:v>1019595</x:v>
      </x:c>
      <x:c r="C160" s="2" t="n">
        <x:f>SUMIFS('Monthly_Data'!$E$6:$E$797,'Monthly_Data'!$B$6:$B$797,"&gt;="&amp;'Source_Data'!J101,'Monthly_Data'!$B$6:$B$797,"&lt;="&amp;'Source_Data'!K101,'Monthly_Data'!$C$6:$C$797,'Source_Data'!D101,'Monthly_Data'!$D$6:$D$797,'Source_Data'!C101)</x:f>
        <x:v>1019595</x:v>
      </x:c>
      <x:c r="D160" s="2" t="n">
        <x:f>SUMIFS('Monthly_Data'!$F$6:$F$797,'Monthly_Data'!$B$6:$B$797,"&gt;="&amp;'Source_Data'!J101,'Monthly_Data'!$B$6:$B$797,"&lt;="&amp;'Source_Data'!K101,'Monthly_Data'!$C$6:$C$797,'Source_Data'!D101,'Monthly_Data'!$D$6:$D$797,'Source_Data'!C101)</x:f>
        <x:v>72000</x:v>
      </x:c>
      <x:c r="E160" s="2" t="n">
        <x:f>ABS(B160-C160)</x:f>
        <x:v>0</x:v>
      </x:c>
      <x:c r="F160" s="2" t="n">
        <x:f>ABS(D160-'Source_Data'!F101)</x:f>
        <x:v>0</x:v>
      </x:c>
      <x:c r="G160" s="2"/>
      <x:c r="H160" s="2"/>
    </x:row>
    <x:row r="161" ht="23" customHeight="1">
      <x:c r="A161" s="2" t="str">
        <x:f>'Source_Data'!A102</x:f>
        <x:v>H1 2026|Pakistan|61103099</x:v>
      </x:c>
      <x:c r="B161" s="2" t="n">
        <x:f>'Source_Data'!E102</x:f>
        <x:v>2797761</x:v>
      </x:c>
      <x:c r="C161" s="2" t="n">
        <x:f>SUMIFS('Monthly_Data'!$E$6:$E$797,'Monthly_Data'!$B$6:$B$797,"&gt;="&amp;'Source_Data'!J102,'Monthly_Data'!$B$6:$B$797,"&lt;="&amp;'Source_Data'!K102,'Monthly_Data'!$C$6:$C$797,'Source_Data'!D102,'Monthly_Data'!$D$6:$D$797,'Source_Data'!C102)</x:f>
        <x:v>2797761</x:v>
      </x:c>
      <x:c r="D161" s="2" t="n">
        <x:f>SUMIFS('Monthly_Data'!$F$6:$F$797,'Monthly_Data'!$B$6:$B$797,"&gt;="&amp;'Source_Data'!J102,'Monthly_Data'!$B$6:$B$797,"&lt;="&amp;'Source_Data'!K102,'Monthly_Data'!$C$6:$C$797,'Source_Data'!D102,'Monthly_Data'!$D$6:$D$797,'Source_Data'!C102)</x:f>
        <x:v>189105</x:v>
      </x:c>
      <x:c r="E161" s="2" t="n">
        <x:f>ABS(B161-C161)</x:f>
        <x:v>0</x:v>
      </x:c>
      <x:c r="F161" s="2" t="n">
        <x:f>ABS(D161-'Source_Data'!F102)</x:f>
        <x:v>0</x:v>
      </x:c>
      <x:c r="G161" s="2"/>
      <x:c r="H161" s="2"/>
    </x:row>
    <x:row r="162" ht="23" customHeight="1">
      <x:c r="A162" s="2" t="str">
        <x:f>'Source_Data'!A103</x:f>
        <x:v>H1 2026|Sri Lanka|61103099</x:v>
      </x:c>
      <x:c r="B162" s="2" t="n">
        <x:f>'Source_Data'!E103</x:f>
        <x:v>732589</x:v>
      </x:c>
      <x:c r="C162" s="2" t="n">
        <x:f>SUMIFS('Monthly_Data'!$E$6:$E$797,'Monthly_Data'!$B$6:$B$797,"&gt;="&amp;'Source_Data'!J103,'Monthly_Data'!$B$6:$B$797,"&lt;="&amp;'Source_Data'!K103,'Monthly_Data'!$C$6:$C$797,'Source_Data'!D103,'Monthly_Data'!$D$6:$D$797,'Source_Data'!C103)</x:f>
        <x:v>732589</x:v>
      </x:c>
      <x:c r="D162" s="2" t="n">
        <x:f>SUMIFS('Monthly_Data'!$F$6:$F$797,'Monthly_Data'!$B$6:$B$797,"&gt;="&amp;'Source_Data'!J103,'Monthly_Data'!$B$6:$B$797,"&lt;="&amp;'Source_Data'!K103,'Monthly_Data'!$C$6:$C$797,'Source_Data'!D103,'Monthly_Data'!$D$6:$D$797,'Source_Data'!C103)</x:f>
        <x:v>34757</x:v>
      </x:c>
      <x:c r="E162" s="2" t="n">
        <x:f>ABS(B162-C162)</x:f>
        <x:v>0</x:v>
      </x:c>
      <x:c r="F162" s="2" t="n">
        <x:f>ABS(D162-'Source_Data'!F103)</x:f>
        <x:v>0</x:v>
      </x:c>
      <x:c r="G162" s="2"/>
      <x:c r="H162" s="2"/>
    </x:row>
    <x:row r="163" ht="23" customHeight="1">
      <x:c r="A163" s="2" t="str">
        <x:f>'Source_Data'!A104</x:f>
        <x:v>H1 2026|Turkey|61103099</x:v>
      </x:c>
      <x:c r="B163" s="2" t="n">
        <x:f>'Source_Data'!E104</x:f>
        <x:v>15949155</x:v>
      </x:c>
      <x:c r="C163" s="2" t="n">
        <x:f>SUMIFS('Monthly_Data'!$E$6:$E$797,'Monthly_Data'!$B$6:$B$797,"&gt;="&amp;'Source_Data'!J104,'Monthly_Data'!$B$6:$B$797,"&lt;="&amp;'Source_Data'!K104,'Monthly_Data'!$C$6:$C$797,'Source_Data'!D104,'Monthly_Data'!$D$6:$D$797,'Source_Data'!C104)</x:f>
        <x:v>15949155</x:v>
      </x:c>
      <x:c r="D163" s="2" t="n">
        <x:f>SUMIFS('Monthly_Data'!$F$6:$F$797,'Monthly_Data'!$B$6:$B$797,"&gt;="&amp;'Source_Data'!J104,'Monthly_Data'!$B$6:$B$797,"&lt;="&amp;'Source_Data'!K104,'Monthly_Data'!$C$6:$C$797,'Source_Data'!D104,'Monthly_Data'!$D$6:$D$797,'Source_Data'!C104)</x:f>
        <x:v>2413703</x:v>
      </x:c>
      <x:c r="E163" s="2" t="n">
        <x:f>ABS(B163-C163)</x:f>
        <x:v>0</x:v>
      </x:c>
      <x:c r="F163" s="2" t="n">
        <x:f>ABS(D163-'Source_Data'!F104)</x:f>
        <x:v>0</x:v>
      </x:c>
      <x:c r="G163" s="2"/>
      <x:c r="H163" s="2"/>
    </x:row>
    <x:row r="164" ht="23" customHeight="1">
      <x:c r="A164" s="2" t="str">
        <x:f>'Source_Data'!A105</x:f>
        <x:v>H1 2026|Vietnam|61103099</x:v>
      </x:c>
      <x:c r="B164" s="2" t="n">
        <x:f>'Source_Data'!E105</x:f>
        <x:v>6261277</x:v>
      </x:c>
      <x:c r="C164" s="2" t="n">
        <x:f>SUMIFS('Monthly_Data'!$E$6:$E$797,'Monthly_Data'!$B$6:$B$797,"&gt;="&amp;'Source_Data'!J105,'Monthly_Data'!$B$6:$B$797,"&lt;="&amp;'Source_Data'!K105,'Monthly_Data'!$C$6:$C$797,'Source_Data'!D105,'Monthly_Data'!$D$6:$D$797,'Source_Data'!C105)</x:f>
        <x:v>6261277</x:v>
      </x:c>
      <x:c r="D164" s="2" t="n">
        <x:f>SUMIFS('Monthly_Data'!$F$6:$F$797,'Monthly_Data'!$B$6:$B$797,"&gt;="&amp;'Source_Data'!J105,'Monthly_Data'!$B$6:$B$797,"&lt;="&amp;'Source_Data'!K105,'Monthly_Data'!$C$6:$C$797,'Source_Data'!D105,'Monthly_Data'!$D$6:$D$797,'Source_Data'!C105)</x:f>
        <x:v>292287</x:v>
      </x:c>
      <x:c r="E164" s="2" t="n">
        <x:f>ABS(B164-C164)</x:f>
        <x:v>0</x:v>
      </x:c>
      <x:c r="F164" s="2" t="n">
        <x:f>ABS(D164-'Source_Data'!F105)</x:f>
        <x:v>0</x:v>
      </x:c>
      <x:c r="G164" s="2"/>
      <x:c r="H164" s="2"/>
    </x:row>
    <x:row r="165" ht="23" customHeight="1">
      <x:c r="A165" s="2" t="str">
        <x:f>'Source_Data'!A106</x:f>
        <x:v>H1 2026|Bangladesh|62044300</x:v>
      </x:c>
      <x:c r="B165" s="2" t="n">
        <x:f>'Source_Data'!E106</x:f>
        <x:v>6924029</x:v>
      </x:c>
      <x:c r="C165" s="2" t="n">
        <x:f>SUMIFS('Monthly_Data'!$E$6:$E$797,'Monthly_Data'!$B$6:$B$797,"&gt;="&amp;'Source_Data'!J106,'Monthly_Data'!$B$6:$B$797,"&lt;="&amp;'Source_Data'!K106,'Monthly_Data'!$C$6:$C$797,'Source_Data'!D106,'Monthly_Data'!$D$6:$D$797,'Source_Data'!C106)</x:f>
        <x:v>6924029</x:v>
      </x:c>
      <x:c r="D165" s="2" t="n">
        <x:f>SUMIFS('Monthly_Data'!$F$6:$F$797,'Monthly_Data'!$B$6:$B$797,"&gt;="&amp;'Source_Data'!J106,'Monthly_Data'!$B$6:$B$797,"&lt;="&amp;'Source_Data'!K106,'Monthly_Data'!$C$6:$C$797,'Source_Data'!D106,'Monthly_Data'!$D$6:$D$797,'Source_Data'!C106)</x:f>
        <x:v>450236</x:v>
      </x:c>
      <x:c r="E165" s="2" t="n">
        <x:f>ABS(B165-C165)</x:f>
        <x:v>0</x:v>
      </x:c>
      <x:c r="F165" s="2" t="n">
        <x:f>ABS(D165-'Source_Data'!F106)</x:f>
        <x:v>0</x:v>
      </x:c>
      <x:c r="G165" s="2"/>
      <x:c r="H165" s="2"/>
    </x:row>
    <x:row r="166" ht="23" customHeight="1">
      <x:c r="A166" s="2" t="str">
        <x:f>'Source_Data'!A107</x:f>
        <x:v>H1 2026|Cambodia|62044300</x:v>
      </x:c>
      <x:c r="B166" s="2" t="n">
        <x:f>'Source_Data'!E107</x:f>
        <x:v>2808404</x:v>
      </x:c>
      <x:c r="C166" s="2" t="n">
        <x:f>SUMIFS('Monthly_Data'!$E$6:$E$797,'Monthly_Data'!$B$6:$B$797,"&gt;="&amp;'Source_Data'!J107,'Monthly_Data'!$B$6:$B$797,"&lt;="&amp;'Source_Data'!K107,'Monthly_Data'!$C$6:$C$797,'Source_Data'!D107,'Monthly_Data'!$D$6:$D$797,'Source_Data'!C107)</x:f>
        <x:v>2808404</x:v>
      </x:c>
      <x:c r="D166" s="2" t="n">
        <x:f>SUMIFS('Monthly_Data'!$F$6:$F$797,'Monthly_Data'!$B$6:$B$797,"&gt;="&amp;'Source_Data'!J107,'Monthly_Data'!$B$6:$B$797,"&lt;="&amp;'Source_Data'!K107,'Monthly_Data'!$C$6:$C$797,'Source_Data'!D107,'Monthly_Data'!$D$6:$D$797,'Source_Data'!C107)</x:f>
        <x:v>150870</x:v>
      </x:c>
      <x:c r="E166" s="2" t="n">
        <x:f>ABS(B166-C166)</x:f>
        <x:v>0</x:v>
      </x:c>
      <x:c r="F166" s="2" t="n">
        <x:f>ABS(D166-'Source_Data'!F107)</x:f>
        <x:v>0</x:v>
      </x:c>
      <x:c r="G166" s="2"/>
      <x:c r="H166" s="2"/>
    </x:row>
    <x:row r="167" ht="23" customHeight="1">
      <x:c r="A167" s="2" t="str">
        <x:f>'Source_Data'!A108</x:f>
        <x:v>H1 2026|China|62044300</x:v>
      </x:c>
      <x:c r="B167" s="2" t="n">
        <x:f>'Source_Data'!E108</x:f>
        <x:v>52333750</x:v>
      </x:c>
      <x:c r="C167" s="2" t="n">
        <x:f>SUMIFS('Monthly_Data'!$E$6:$E$797,'Monthly_Data'!$B$6:$B$797,"&gt;="&amp;'Source_Data'!J108,'Monthly_Data'!$B$6:$B$797,"&lt;="&amp;'Source_Data'!K108,'Monthly_Data'!$C$6:$C$797,'Source_Data'!D108,'Monthly_Data'!$D$6:$D$797,'Source_Data'!C108)</x:f>
        <x:v>52333750</x:v>
      </x:c>
      <x:c r="D167" s="2" t="n">
        <x:f>SUMIFS('Monthly_Data'!$F$6:$F$797,'Monthly_Data'!$B$6:$B$797,"&gt;="&amp;'Source_Data'!J108,'Monthly_Data'!$B$6:$B$797,"&lt;="&amp;'Source_Data'!K108,'Monthly_Data'!$C$6:$C$797,'Source_Data'!D108,'Monthly_Data'!$D$6:$D$797,'Source_Data'!C108)</x:f>
        <x:v>1892903</x:v>
      </x:c>
      <x:c r="E167" s="2" t="n">
        <x:f>ABS(B167-C167)</x:f>
        <x:v>0</x:v>
      </x:c>
      <x:c r="F167" s="2" t="n">
        <x:f>ABS(D167-'Source_Data'!F108)</x:f>
        <x:v>0</x:v>
      </x:c>
      <x:c r="G167" s="2"/>
      <x:c r="H167" s="2"/>
    </x:row>
    <x:row r="168" ht="23" customHeight="1">
      <x:c r="A168" s="2" t="str">
        <x:f>'Source_Data'!A109</x:f>
        <x:v>H1 2026|India|62044300</x:v>
      </x:c>
      <x:c r="B168" s="2" t="n">
        <x:f>'Source_Data'!E109</x:f>
        <x:v>20258876</x:v>
      </x:c>
      <x:c r="C168" s="2" t="n">
        <x:f>SUMIFS('Monthly_Data'!$E$6:$E$797,'Monthly_Data'!$B$6:$B$797,"&gt;="&amp;'Source_Data'!J109,'Monthly_Data'!$B$6:$B$797,"&lt;="&amp;'Source_Data'!K109,'Monthly_Data'!$C$6:$C$797,'Source_Data'!D109,'Monthly_Data'!$D$6:$D$797,'Source_Data'!C109)</x:f>
        <x:v>20258876</x:v>
      </x:c>
      <x:c r="D168" s="2" t="n">
        <x:f>SUMIFS('Monthly_Data'!$F$6:$F$797,'Monthly_Data'!$B$6:$B$797,"&gt;="&amp;'Source_Data'!J109,'Monthly_Data'!$B$6:$B$797,"&lt;="&amp;'Source_Data'!K109,'Monthly_Data'!$C$6:$C$797,'Source_Data'!D109,'Monthly_Data'!$D$6:$D$797,'Source_Data'!C109)</x:f>
        <x:v>721170</x:v>
      </x:c>
      <x:c r="E168" s="2" t="n">
        <x:f>ABS(B168-C168)</x:f>
        <x:v>0</x:v>
      </x:c>
      <x:c r="F168" s="2" t="n">
        <x:f>ABS(D168-'Source_Data'!F109)</x:f>
        <x:v>0</x:v>
      </x:c>
      <x:c r="G168" s="2"/>
      <x:c r="H168" s="2"/>
    </x:row>
    <x:row r="169" ht="23" customHeight="1">
      <x:c r="A169" s="2" t="str">
        <x:f>'Source_Data'!A110</x:f>
        <x:v>H1 2026|Morocco|62044300</x:v>
      </x:c>
      <x:c r="B169" s="2" t="n">
        <x:f>'Source_Data'!E110</x:f>
        <x:v>5511176</x:v>
      </x:c>
      <x:c r="C169" s="2" t="n">
        <x:f>SUMIFS('Monthly_Data'!$E$6:$E$797,'Monthly_Data'!$B$6:$B$797,"&gt;="&amp;'Source_Data'!J110,'Monthly_Data'!$B$6:$B$797,"&lt;="&amp;'Source_Data'!K110,'Monthly_Data'!$C$6:$C$797,'Source_Data'!D110,'Monthly_Data'!$D$6:$D$797,'Source_Data'!C110)</x:f>
        <x:v>5511176</x:v>
      </x:c>
      <x:c r="D169" s="2" t="n">
        <x:f>SUMIFS('Monthly_Data'!$F$6:$F$797,'Monthly_Data'!$B$6:$B$797,"&gt;="&amp;'Source_Data'!J110,'Monthly_Data'!$B$6:$B$797,"&lt;="&amp;'Source_Data'!K110,'Monthly_Data'!$C$6:$C$797,'Source_Data'!D110,'Monthly_Data'!$D$6:$D$797,'Source_Data'!C110)</x:f>
        <x:v>218537</x:v>
      </x:c>
      <x:c r="E169" s="2" t="n">
        <x:f>ABS(B169-C169)</x:f>
        <x:v>0</x:v>
      </x:c>
      <x:c r="F169" s="2" t="n">
        <x:f>ABS(D169-'Source_Data'!F110)</x:f>
        <x:v>0</x:v>
      </x:c>
      <x:c r="G169" s="2"/>
      <x:c r="H169" s="2"/>
    </x:row>
    <x:row r="170" ht="23" customHeight="1">
      <x:c r="A170" s="2" t="str">
        <x:f>'Source_Data'!A111</x:f>
        <x:v>H1 2026|Myanmar|62044300</x:v>
      </x:c>
      <x:c r="B170" s="2" t="n">
        <x:f>'Source_Data'!E111</x:f>
        <x:v>2412796</x:v>
      </x:c>
      <x:c r="C170" s="2" t="n">
        <x:f>SUMIFS('Monthly_Data'!$E$6:$E$797,'Monthly_Data'!$B$6:$B$797,"&gt;="&amp;'Source_Data'!J111,'Monthly_Data'!$B$6:$B$797,"&lt;="&amp;'Source_Data'!K111,'Monthly_Data'!$C$6:$C$797,'Source_Data'!D111,'Monthly_Data'!$D$6:$D$797,'Source_Data'!C111)</x:f>
        <x:v>2412796</x:v>
      </x:c>
      <x:c r="D170" s="2" t="n">
        <x:f>SUMIFS('Monthly_Data'!$F$6:$F$797,'Monthly_Data'!$B$6:$B$797,"&gt;="&amp;'Source_Data'!J111,'Monthly_Data'!$B$6:$B$797,"&lt;="&amp;'Source_Data'!K111,'Monthly_Data'!$C$6:$C$797,'Source_Data'!D111,'Monthly_Data'!$D$6:$D$797,'Source_Data'!C111)</x:f>
        <x:v>37986</x:v>
      </x:c>
      <x:c r="E170" s="2" t="n">
        <x:f>ABS(B170-C170)</x:f>
        <x:v>0</x:v>
      </x:c>
      <x:c r="F170" s="2" t="n">
        <x:f>ABS(D170-'Source_Data'!F111)</x:f>
        <x:v>0</x:v>
      </x:c>
      <x:c r="G170" s="2"/>
      <x:c r="H170" s="2"/>
    </x:row>
    <x:row r="171" ht="23" customHeight="1">
      <x:c r="A171" s="2" t="str">
        <x:f>'Source_Data'!A112</x:f>
        <x:v>H1 2026|Pakistan|62044300</x:v>
      </x:c>
      <x:c r="B171" s="2" t="n">
        <x:f>'Source_Data'!E112</x:f>
        <x:v>496523</x:v>
      </x:c>
      <x:c r="C171" s="2" t="n">
        <x:f>SUMIFS('Monthly_Data'!$E$6:$E$797,'Monthly_Data'!$B$6:$B$797,"&gt;="&amp;'Source_Data'!J112,'Monthly_Data'!$B$6:$B$797,"&lt;="&amp;'Source_Data'!K112,'Monthly_Data'!$C$6:$C$797,'Source_Data'!D112,'Monthly_Data'!$D$6:$D$797,'Source_Data'!C112)</x:f>
        <x:v>496523</x:v>
      </x:c>
      <x:c r="D171" s="2" t="n">
        <x:f>SUMIFS('Monthly_Data'!$F$6:$F$797,'Monthly_Data'!$B$6:$B$797,"&gt;="&amp;'Source_Data'!J112,'Monthly_Data'!$B$6:$B$797,"&lt;="&amp;'Source_Data'!K112,'Monthly_Data'!$C$6:$C$797,'Source_Data'!D112,'Monthly_Data'!$D$6:$D$797,'Source_Data'!C112)</x:f>
        <x:v>26975</x:v>
      </x:c>
      <x:c r="E171" s="2" t="n">
        <x:f>ABS(B171-C171)</x:f>
        <x:v>0</x:v>
      </x:c>
      <x:c r="F171" s="2" t="n">
        <x:f>ABS(D171-'Source_Data'!F112)</x:f>
        <x:v>0</x:v>
      </x:c>
      <x:c r="G171" s="2"/>
      <x:c r="H171" s="2"/>
    </x:row>
    <x:row r="172" ht="23" customHeight="1">
      <x:c r="A172" s="2" t="str">
        <x:f>'Source_Data'!A113</x:f>
        <x:v>H1 2026|Sri Lanka|62044300</x:v>
      </x:c>
      <x:c r="B172" s="2" t="n">
        <x:f>'Source_Data'!E113</x:f>
        <x:v>7697741</x:v>
      </x:c>
      <x:c r="C172" s="2" t="n">
        <x:f>SUMIFS('Monthly_Data'!$E$6:$E$797,'Monthly_Data'!$B$6:$B$797,"&gt;="&amp;'Source_Data'!J113,'Monthly_Data'!$B$6:$B$797,"&lt;="&amp;'Source_Data'!K113,'Monthly_Data'!$C$6:$C$797,'Source_Data'!D113,'Monthly_Data'!$D$6:$D$797,'Source_Data'!C113)</x:f>
        <x:v>7697741</x:v>
      </x:c>
      <x:c r="D172" s="2" t="n">
        <x:f>SUMIFS('Monthly_Data'!$F$6:$F$797,'Monthly_Data'!$B$6:$B$797,"&gt;="&amp;'Source_Data'!J113,'Monthly_Data'!$B$6:$B$797,"&lt;="&amp;'Source_Data'!K113,'Monthly_Data'!$C$6:$C$797,'Source_Data'!D113,'Monthly_Data'!$D$6:$D$797,'Source_Data'!C113)</x:f>
        <x:v>462849</x:v>
      </x:c>
      <x:c r="E172" s="2" t="n">
        <x:f>ABS(B172-C172)</x:f>
        <x:v>0</x:v>
      </x:c>
      <x:c r="F172" s="2" t="n">
        <x:f>ABS(D172-'Source_Data'!F113)</x:f>
        <x:v>0</x:v>
      </x:c>
      <x:c r="G172" s="2"/>
      <x:c r="H172" s="2"/>
    </x:row>
    <x:row r="173" ht="23" customHeight="1">
      <x:c r="A173" s="2" t="str">
        <x:f>'Source_Data'!A114</x:f>
        <x:v>H1 2026|Turkey|62044300</x:v>
      </x:c>
      <x:c r="B173" s="2" t="n">
        <x:f>'Source_Data'!E114</x:f>
        <x:v>2652697</x:v>
      </x:c>
      <x:c r="C173" s="2" t="n">
        <x:f>SUMIFS('Monthly_Data'!$E$6:$E$797,'Monthly_Data'!$B$6:$B$797,"&gt;="&amp;'Source_Data'!J114,'Monthly_Data'!$B$6:$B$797,"&lt;="&amp;'Source_Data'!K114,'Monthly_Data'!$C$6:$C$797,'Source_Data'!D114,'Monthly_Data'!$D$6:$D$797,'Source_Data'!C114)</x:f>
        <x:v>2652697</x:v>
      </x:c>
      <x:c r="D173" s="2" t="n">
        <x:f>SUMIFS('Monthly_Data'!$F$6:$F$797,'Monthly_Data'!$B$6:$B$797,"&gt;="&amp;'Source_Data'!J114,'Monthly_Data'!$B$6:$B$797,"&lt;="&amp;'Source_Data'!K114,'Monthly_Data'!$C$6:$C$797,'Source_Data'!D114,'Monthly_Data'!$D$6:$D$797,'Source_Data'!C114)</x:f>
        <x:v>68957</x:v>
      </x:c>
      <x:c r="E173" s="2" t="n">
        <x:f>ABS(B173-C173)</x:f>
        <x:v>0</x:v>
      </x:c>
      <x:c r="F173" s="2" t="n">
        <x:f>ABS(D173-'Source_Data'!F114)</x:f>
        <x:v>0</x:v>
      </x:c>
      <x:c r="G173" s="2"/>
      <x:c r="H173" s="2"/>
    </x:row>
    <x:row r="174" ht="23" customHeight="1">
      <x:c r="A174" s="2" t="str">
        <x:f>'Source_Data'!A115</x:f>
        <x:v>H1 2026|Vietnam|62044300</x:v>
      </x:c>
      <x:c r="B174" s="2" t="n">
        <x:f>'Source_Data'!E115</x:f>
        <x:v>4252865</x:v>
      </x:c>
      <x:c r="C174" s="2" t="n">
        <x:f>SUMIFS('Monthly_Data'!$E$6:$E$797,'Monthly_Data'!$B$6:$B$797,"&gt;="&amp;'Source_Data'!J115,'Monthly_Data'!$B$6:$B$797,"&lt;="&amp;'Source_Data'!K115,'Monthly_Data'!$C$6:$C$797,'Source_Data'!D115,'Monthly_Data'!$D$6:$D$797,'Source_Data'!C115)</x:f>
        <x:v>4252865</x:v>
      </x:c>
      <x:c r="D174" s="2" t="n">
        <x:f>SUMIFS('Monthly_Data'!$F$6:$F$797,'Monthly_Data'!$B$6:$B$797,"&gt;="&amp;'Source_Data'!J115,'Monthly_Data'!$B$6:$B$797,"&lt;="&amp;'Source_Data'!K115,'Monthly_Data'!$C$6:$C$797,'Source_Data'!D115,'Monthly_Data'!$D$6:$D$797,'Source_Data'!C115)</x:f>
        <x:v>181343</x:v>
      </x:c>
      <x:c r="E174" s="2" t="n">
        <x:f>ABS(B174-C174)</x:f>
        <x:v>0</x:v>
      </x:c>
      <x:c r="F174" s="2" t="n">
        <x:f>ABS(D174-'Source_Data'!F115)</x:f>
        <x:v>0</x:v>
      </x:c>
      <x:c r="G174" s="2"/>
      <x:c r="H174" s="2"/>
    </x:row>
    <x:row r="175" ht="23" customHeight="1">
      <x:c r="A175" s="2" t="str">
        <x:f>'Source_Data'!A116</x:f>
        <x:v>H1 2026|Bangladesh|62052000</x:v>
      </x:c>
      <x:c r="B175" s="2" t="n">
        <x:f>'Source_Data'!E116</x:f>
        <x:v>36256449</x:v>
      </x:c>
      <x:c r="C175" s="2" t="n">
        <x:f>SUMIFS('Monthly_Data'!$E$6:$E$797,'Monthly_Data'!$B$6:$B$797,"&gt;="&amp;'Source_Data'!J116,'Monthly_Data'!$B$6:$B$797,"&lt;="&amp;'Source_Data'!K116,'Monthly_Data'!$C$6:$C$797,'Source_Data'!D116,'Monthly_Data'!$D$6:$D$797,'Source_Data'!C116)</x:f>
        <x:v>36256449</x:v>
      </x:c>
      <x:c r="D175" s="2" t="n">
        <x:f>SUMIFS('Monthly_Data'!$F$6:$F$797,'Monthly_Data'!$B$6:$B$797,"&gt;="&amp;'Source_Data'!J116,'Monthly_Data'!$B$6:$B$797,"&lt;="&amp;'Source_Data'!K116,'Monthly_Data'!$C$6:$C$797,'Source_Data'!D116,'Monthly_Data'!$D$6:$D$797,'Source_Data'!C116)</x:f>
        <x:v>2116872</x:v>
      </x:c>
      <x:c r="E175" s="2" t="n">
        <x:f>ABS(B175-C175)</x:f>
        <x:v>0</x:v>
      </x:c>
      <x:c r="F175" s="2" t="n">
        <x:f>ABS(D175-'Source_Data'!F116)</x:f>
        <x:v>0</x:v>
      </x:c>
      <x:c r="G175" s="2"/>
      <x:c r="H175" s="2"/>
    </x:row>
    <x:row r="176" ht="23" customHeight="1">
      <x:c r="A176" s="2" t="str">
        <x:f>'Source_Data'!A117</x:f>
        <x:v>H1 2026|Cambodia|62052000</x:v>
      </x:c>
      <x:c r="B176" s="2" t="n">
        <x:f>'Source_Data'!E117</x:f>
        <x:v>6216726</x:v>
      </x:c>
      <x:c r="C176" s="2" t="n">
        <x:f>SUMIFS('Monthly_Data'!$E$6:$E$797,'Monthly_Data'!$B$6:$B$797,"&gt;="&amp;'Source_Data'!J117,'Monthly_Data'!$B$6:$B$797,"&lt;="&amp;'Source_Data'!K117,'Monthly_Data'!$C$6:$C$797,'Source_Data'!D117,'Monthly_Data'!$D$6:$D$797,'Source_Data'!C117)</x:f>
        <x:v>6216726</x:v>
      </x:c>
      <x:c r="D176" s="2" t="n">
        <x:f>SUMIFS('Monthly_Data'!$F$6:$F$797,'Monthly_Data'!$B$6:$B$797,"&gt;="&amp;'Source_Data'!J117,'Monthly_Data'!$B$6:$B$797,"&lt;="&amp;'Source_Data'!K117,'Monthly_Data'!$C$6:$C$797,'Source_Data'!D117,'Monthly_Data'!$D$6:$D$797,'Source_Data'!C117)</x:f>
        <x:v>285166</x:v>
      </x:c>
      <x:c r="E176" s="2" t="n">
        <x:f>ABS(B176-C176)</x:f>
        <x:v>0</x:v>
      </x:c>
      <x:c r="F176" s="2" t="n">
        <x:f>ABS(D176-'Source_Data'!F117)</x:f>
        <x:v>0</x:v>
      </x:c>
      <x:c r="G176" s="2"/>
      <x:c r="H176" s="2"/>
    </x:row>
    <x:row r="177" ht="23" customHeight="1">
      <x:c r="A177" s="2" t="str">
        <x:f>'Source_Data'!A118</x:f>
        <x:v>H1 2026|China|62052000</x:v>
      </x:c>
      <x:c r="B177" s="2" t="n">
        <x:f>'Source_Data'!E118</x:f>
        <x:v>5317772</x:v>
      </x:c>
      <x:c r="C177" s="2" t="n">
        <x:f>SUMIFS('Monthly_Data'!$E$6:$E$797,'Monthly_Data'!$B$6:$B$797,"&gt;="&amp;'Source_Data'!J118,'Monthly_Data'!$B$6:$B$797,"&lt;="&amp;'Source_Data'!K118,'Monthly_Data'!$C$6:$C$797,'Source_Data'!D118,'Monthly_Data'!$D$6:$D$797,'Source_Data'!C118)</x:f>
        <x:v>5317772</x:v>
      </x:c>
      <x:c r="D177" s="2" t="n">
        <x:f>SUMIFS('Monthly_Data'!$F$6:$F$797,'Monthly_Data'!$B$6:$B$797,"&gt;="&amp;'Source_Data'!J118,'Monthly_Data'!$B$6:$B$797,"&lt;="&amp;'Source_Data'!K118,'Monthly_Data'!$C$6:$C$797,'Source_Data'!D118,'Monthly_Data'!$D$6:$D$797,'Source_Data'!C118)</x:f>
        <x:v>245226</x:v>
      </x:c>
      <x:c r="E177" s="2" t="n">
        <x:f>ABS(B177-C177)</x:f>
        <x:v>0</x:v>
      </x:c>
      <x:c r="F177" s="2" t="n">
        <x:f>ABS(D177-'Source_Data'!F118)</x:f>
        <x:v>0</x:v>
      </x:c>
      <x:c r="G177" s="2"/>
      <x:c r="H177" s="2"/>
    </x:row>
    <x:row r="178" ht="23" customHeight="1">
      <x:c r="A178" s="2" t="str">
        <x:f>'Source_Data'!A119</x:f>
        <x:v>H1 2026|India|62052000</x:v>
      </x:c>
      <x:c r="B178" s="2" t="n">
        <x:f>'Source_Data'!E119</x:f>
        <x:v>16147727</x:v>
      </x:c>
      <x:c r="C178" s="2" t="n">
        <x:f>SUMIFS('Monthly_Data'!$E$6:$E$797,'Monthly_Data'!$B$6:$B$797,"&gt;="&amp;'Source_Data'!J119,'Monthly_Data'!$B$6:$B$797,"&lt;="&amp;'Source_Data'!K119,'Monthly_Data'!$C$6:$C$797,'Source_Data'!D119,'Monthly_Data'!$D$6:$D$797,'Source_Data'!C119)</x:f>
        <x:v>16147727</x:v>
      </x:c>
      <x:c r="D178" s="2" t="n">
        <x:f>SUMIFS('Monthly_Data'!$F$6:$F$797,'Monthly_Data'!$B$6:$B$797,"&gt;="&amp;'Source_Data'!J119,'Monthly_Data'!$B$6:$B$797,"&lt;="&amp;'Source_Data'!K119,'Monthly_Data'!$C$6:$C$797,'Source_Data'!D119,'Monthly_Data'!$D$6:$D$797,'Source_Data'!C119)</x:f>
        <x:v>737427</x:v>
      </x:c>
      <x:c r="E178" s="2" t="n">
        <x:f>ABS(B178-C178)</x:f>
        <x:v>0</x:v>
      </x:c>
      <x:c r="F178" s="2" t="n">
        <x:f>ABS(D178-'Source_Data'!F119)</x:f>
        <x:v>0</x:v>
      </x:c>
      <x:c r="G178" s="2"/>
      <x:c r="H178" s="2"/>
    </x:row>
    <x:row r="179" ht="23" customHeight="1">
      <x:c r="A179" s="2" t="str">
        <x:f>'Source_Data'!A120</x:f>
        <x:v>H1 2026|Morocco|62052000</x:v>
      </x:c>
      <x:c r="B179" s="2" t="n">
        <x:f>'Source_Data'!E120</x:f>
        <x:v>561115</x:v>
      </x:c>
      <x:c r="C179" s="2" t="n">
        <x:f>SUMIFS('Monthly_Data'!$E$6:$E$797,'Monthly_Data'!$B$6:$B$797,"&gt;="&amp;'Source_Data'!J120,'Monthly_Data'!$B$6:$B$797,"&lt;="&amp;'Source_Data'!K120,'Monthly_Data'!$C$6:$C$797,'Source_Data'!D120,'Monthly_Data'!$D$6:$D$797,'Source_Data'!C120)</x:f>
        <x:v>561115</x:v>
      </x:c>
      <x:c r="D179" s="2" t="n">
        <x:f>SUMIFS('Monthly_Data'!$F$6:$F$797,'Monthly_Data'!$B$6:$B$797,"&gt;="&amp;'Source_Data'!J120,'Monthly_Data'!$B$6:$B$797,"&lt;="&amp;'Source_Data'!K120,'Monthly_Data'!$C$6:$C$797,'Source_Data'!D120,'Monthly_Data'!$D$6:$D$797,'Source_Data'!C120)</x:f>
        <x:v>15750</x:v>
      </x:c>
      <x:c r="E179" s="2" t="n">
        <x:f>ABS(B179-C179)</x:f>
        <x:v>0</x:v>
      </x:c>
      <x:c r="F179" s="2" t="n">
        <x:f>ABS(D179-'Source_Data'!F120)</x:f>
        <x:v>0</x:v>
      </x:c>
      <x:c r="G179" s="2"/>
      <x:c r="H179" s="2"/>
    </x:row>
    <x:row r="180" ht="23" customHeight="1">
      <x:c r="A180" s="2" t="str">
        <x:f>'Source_Data'!A121</x:f>
        <x:v>H1 2026|Myanmar|62052000</x:v>
      </x:c>
      <x:c r="B180" s="2" t="n">
        <x:f>'Source_Data'!E121</x:f>
        <x:v>438060</x:v>
      </x:c>
      <x:c r="C180" s="2" t="n">
        <x:f>SUMIFS('Monthly_Data'!$E$6:$E$797,'Monthly_Data'!$B$6:$B$797,"&gt;="&amp;'Source_Data'!J121,'Monthly_Data'!$B$6:$B$797,"&lt;="&amp;'Source_Data'!K121,'Monthly_Data'!$C$6:$C$797,'Source_Data'!D121,'Monthly_Data'!$D$6:$D$797,'Source_Data'!C121)</x:f>
        <x:v>438060</x:v>
      </x:c>
      <x:c r="D180" s="2" t="n">
        <x:f>SUMIFS('Monthly_Data'!$F$6:$F$797,'Monthly_Data'!$B$6:$B$797,"&gt;="&amp;'Source_Data'!J121,'Monthly_Data'!$B$6:$B$797,"&lt;="&amp;'Source_Data'!K121,'Monthly_Data'!$C$6:$C$797,'Source_Data'!D121,'Monthly_Data'!$D$6:$D$797,'Source_Data'!C121)</x:f>
        <x:v>30188</x:v>
      </x:c>
      <x:c r="E180" s="2" t="n">
        <x:f>ABS(B180-C180)</x:f>
        <x:v>0</x:v>
      </x:c>
      <x:c r="F180" s="2" t="n">
        <x:f>ABS(D180-'Source_Data'!F121)</x:f>
        <x:v>0</x:v>
      </x:c>
      <x:c r="G180" s="2"/>
      <x:c r="H180" s="2"/>
    </x:row>
    <x:row r="181" ht="23" customHeight="1">
      <x:c r="A181" s="2" t="str">
        <x:f>'Source_Data'!A122</x:f>
        <x:v>H1 2026|Pakistan|62052000</x:v>
      </x:c>
      <x:c r="B181" s="2" t="n">
        <x:f>'Source_Data'!E122</x:f>
        <x:v>358538</x:v>
      </x:c>
      <x:c r="C181" s="2" t="n">
        <x:f>SUMIFS('Monthly_Data'!$E$6:$E$797,'Monthly_Data'!$B$6:$B$797,"&gt;="&amp;'Source_Data'!J122,'Monthly_Data'!$B$6:$B$797,"&lt;="&amp;'Source_Data'!K122,'Monthly_Data'!$C$6:$C$797,'Source_Data'!D122,'Monthly_Data'!$D$6:$D$797,'Source_Data'!C122)</x:f>
        <x:v>358538</x:v>
      </x:c>
      <x:c r="D181" s="2" t="n">
        <x:f>SUMIFS('Monthly_Data'!$F$6:$F$797,'Monthly_Data'!$B$6:$B$797,"&gt;="&amp;'Source_Data'!J122,'Monthly_Data'!$B$6:$B$797,"&lt;="&amp;'Source_Data'!K122,'Monthly_Data'!$C$6:$C$797,'Source_Data'!D122,'Monthly_Data'!$D$6:$D$797,'Source_Data'!C122)</x:f>
        <x:v>25923</x:v>
      </x:c>
      <x:c r="E181" s="2" t="n">
        <x:f>ABS(B181-C181)</x:f>
        <x:v>0</x:v>
      </x:c>
      <x:c r="F181" s="2" t="n">
        <x:f>ABS(D181-'Source_Data'!F122)</x:f>
        <x:v>0</x:v>
      </x:c>
      <x:c r="G181" s="2"/>
      <x:c r="H181" s="2"/>
    </x:row>
    <x:row r="182" ht="23" customHeight="1">
      <x:c r="A182" s="2" t="str">
        <x:f>'Source_Data'!A123</x:f>
        <x:v>H1 2026|Sri Lanka|62052000</x:v>
      </x:c>
      <x:c r="B182" s="2" t="n">
        <x:f>'Source_Data'!E123</x:f>
        <x:v>1556820</x:v>
      </x:c>
      <x:c r="C182" s="2" t="n">
        <x:f>SUMIFS('Monthly_Data'!$E$6:$E$797,'Monthly_Data'!$B$6:$B$797,"&gt;="&amp;'Source_Data'!J123,'Monthly_Data'!$B$6:$B$797,"&lt;="&amp;'Source_Data'!K123,'Monthly_Data'!$C$6:$C$797,'Source_Data'!D123,'Monthly_Data'!$D$6:$D$797,'Source_Data'!C123)</x:f>
        <x:v>1556820</x:v>
      </x:c>
      <x:c r="D182" s="2" t="n">
        <x:f>SUMIFS('Monthly_Data'!$F$6:$F$797,'Monthly_Data'!$B$6:$B$797,"&gt;="&amp;'Source_Data'!J123,'Monthly_Data'!$B$6:$B$797,"&lt;="&amp;'Source_Data'!K123,'Monthly_Data'!$C$6:$C$797,'Source_Data'!D123,'Monthly_Data'!$D$6:$D$797,'Source_Data'!C123)</x:f>
        <x:v>79138</x:v>
      </x:c>
      <x:c r="E182" s="2" t="n">
        <x:f>ABS(B182-C182)</x:f>
        <x:v>0</x:v>
      </x:c>
      <x:c r="F182" s="2" t="n">
        <x:f>ABS(D182-'Source_Data'!F123)</x:f>
        <x:v>0</x:v>
      </x:c>
      <x:c r="G182" s="2"/>
      <x:c r="H182" s="2"/>
    </x:row>
    <x:row r="183" ht="23" customHeight="1">
      <x:c r="A183" s="2" t="str">
        <x:f>'Source_Data'!A124</x:f>
        <x:v>H1 2026|Turkey|62052000</x:v>
      </x:c>
      <x:c r="B183" s="2" t="n">
        <x:f>'Source_Data'!E124</x:f>
        <x:v>5825379</x:v>
      </x:c>
      <x:c r="C183" s="2" t="n">
        <x:f>SUMIFS('Monthly_Data'!$E$6:$E$797,'Monthly_Data'!$B$6:$B$797,"&gt;="&amp;'Source_Data'!J124,'Monthly_Data'!$B$6:$B$797,"&lt;="&amp;'Source_Data'!K124,'Monthly_Data'!$C$6:$C$797,'Source_Data'!D124,'Monthly_Data'!$D$6:$D$797,'Source_Data'!C124)</x:f>
        <x:v>5825379</x:v>
      </x:c>
      <x:c r="D183" s="2" t="n">
        <x:f>SUMIFS('Monthly_Data'!$F$6:$F$797,'Monthly_Data'!$B$6:$B$797,"&gt;="&amp;'Source_Data'!J124,'Monthly_Data'!$B$6:$B$797,"&lt;="&amp;'Source_Data'!K124,'Monthly_Data'!$C$6:$C$797,'Source_Data'!D124,'Monthly_Data'!$D$6:$D$797,'Source_Data'!C124)</x:f>
        <x:v>147992</x:v>
      </x:c>
      <x:c r="E183" s="2" t="n">
        <x:f>ABS(B183-C183)</x:f>
        <x:v>0</x:v>
      </x:c>
      <x:c r="F183" s="2" t="n">
        <x:f>ABS(D183-'Source_Data'!F124)</x:f>
        <x:v>0</x:v>
      </x:c>
      <x:c r="G183" s="2"/>
      <x:c r="H183" s="2"/>
    </x:row>
    <x:row r="184" ht="23" customHeight="1">
      <x:c r="A184" s="2" t="str">
        <x:f>'Source_Data'!A125</x:f>
        <x:v>H1 2026|Vietnam|62052000</x:v>
      </x:c>
      <x:c r="B184" s="2" t="n">
        <x:f>'Source_Data'!E125</x:f>
        <x:v>5885338</x:v>
      </x:c>
      <x:c r="C184" s="2" t="n">
        <x:f>SUMIFS('Monthly_Data'!$E$6:$E$797,'Monthly_Data'!$B$6:$B$797,"&gt;="&amp;'Source_Data'!J125,'Monthly_Data'!$B$6:$B$797,"&lt;="&amp;'Source_Data'!K125,'Monthly_Data'!$C$6:$C$797,'Source_Data'!D125,'Monthly_Data'!$D$6:$D$797,'Source_Data'!C125)</x:f>
        <x:v>5885338</x:v>
      </x:c>
      <x:c r="D184" s="2" t="n">
        <x:f>SUMIFS('Monthly_Data'!$F$6:$F$797,'Monthly_Data'!$B$6:$B$797,"&gt;="&amp;'Source_Data'!J125,'Monthly_Data'!$B$6:$B$797,"&lt;="&amp;'Source_Data'!K125,'Monthly_Data'!$C$6:$C$797,'Source_Data'!D125,'Monthly_Data'!$D$6:$D$797,'Source_Data'!C125)</x:f>
        <x:v>196825</x:v>
      </x:c>
      <x:c r="E184" s="2" t="n">
        <x:f>ABS(B184-C184)</x:f>
        <x:v>0</x:v>
      </x:c>
      <x:c r="F184" s="2" t="n">
        <x:f>ABS(D184-'Source_Data'!F125)</x:f>
        <x:v>0</x:v>
      </x:c>
      <x:c r="G184" s="2"/>
      <x:c r="H184" s="2"/>
    </x:row>
    <x:row r="185" ht="23" customHeight="1">
      <x:c r="A185" s="2"/>
      <x:c r="B185" s="2"/>
      <x:c r="C185" s="2"/>
      <x:c r="D185" s="2"/>
      <x:c r="E185" s="2"/>
      <x:c r="F185" s="2"/>
      <x:c r="G185" s="2"/>
      <x:c r="H185" s="2"/>
    </x:row>
    <x:row r="186" ht="23" customHeight="1">
      <x:c r="A186" s="2"/>
      <x:c r="B186" s="2"/>
      <x:c r="C186" s="2"/>
      <x:c r="D186" s="2"/>
      <x:c r="E186" s="2"/>
      <x:c r="F186" s="2"/>
      <x:c r="G186" s="2"/>
      <x:c r="H186" s="2"/>
    </x:row>
    <x:row r="187" ht="42" customHeight="1">
      <x:c r="A187" s="11" t="str">
        <x:v>CN8</x:v>
      </x:c>
      <x:c r="B187" s="11" t="str">
        <x:v>WP008 cost change</x:v>
      </x:c>
      <x:c r="C187" s="11" t="str">
        <x:v>Live default cost change</x:v>
      </x:c>
      <x:c r="D187" s="11" t="str">
        <x:v>WP008 HHI change</x:v>
      </x:c>
      <x:c r="E187" s="11" t="str">
        <x:v>Live default HHI change</x:v>
      </x:c>
      <x:c r="F187" s="11" t="str">
        <x:v>Shift difference</x:v>
      </x:c>
      <x:c r="G187" s="11" t="str">
        <x:v>Combined difference</x:v>
      </x:c>
      <x:c r="H187" s="37" t="str">
        <x:v>WP008 actual shift</x:v>
      </x:c>
    </x:row>
    <x:row r="188" ht="23" customHeight="1">
      <x:c r="A188" s="2" t="str">
        <x:v>61091000</x:v>
      </x:c>
      <x:c r="B188" s="2" t="n">
        <x:v>-0.0008462427496099822</x:v>
      </x:c>
      <x:c r="C188" s="2" t="n">
        <x:f>IF('Assumptions'!$B$5=1,'Model'!K52,"n.a.")</x:f>
        <x:v>-0.0008462427496100933</x:v>
      </x:c>
      <x:c r="D188" s="2" t="n">
        <x:v>39.56747809149397</x:v>
      </x:c>
      <x:c r="E188" s="2" t="n">
        <x:f>IF('Assumptions'!$B$5=1,'Model'!M52,"n.a.")</x:f>
        <x:v>39.567478091494195</x:v>
      </x:c>
      <x:c r="F188" s="2" t="n">
        <x:f>IF('Assumptions'!$B$5=1,'Model'!I52-H188,"n.a.")</x:f>
        <x:v>0</x:v>
      </x:c>
      <x:c r="G188" s="2" t="n">
        <x:f>IF('Assumptions'!$B$5=1,ABS(B188-C188)+ABS(D188-E188)+ABS(F188),"n.a.")</x:f>
        <x:v>2.274846977456946e-13</x:v>
      </x:c>
      <x:c r="H188" s="2" t="n">
        <x:v>0.032221226763006934</x:v>
      </x:c>
    </x:row>
    <x:row r="189" ht="23" customHeight="1">
      <x:c r="A189" s="2" t="str">
        <x:v>61103099</x:v>
      </x:c>
      <x:c r="B189" s="2" t="n">
        <x:v>-0.004627003502947202</x:v>
      </x:c>
      <x:c r="C189" s="2" t="n">
        <x:f>IF('Assumptions'!$B$5=1,'Model'!K53,"n.a.")</x:f>
        <x:v>-0.004627003502947313</x:v>
      </x:c>
      <x:c r="D189" s="2" t="n">
        <x:v>-88.19322957670738</x:v>
      </x:c>
      <x:c r="E189" s="2" t="n">
        <x:f>IF('Assumptions'!$B$5=1,'Model'!M53,"n.a.")</x:f>
        <x:v>-88.19322957670738</x:v>
      </x:c>
      <x:c r="F189" s="2" t="n">
        <x:f>IF('Assumptions'!$B$5=1,'Model'!I53-H189,"n.a.")</x:f>
        <x:v>0</x:v>
      </x:c>
      <x:c r="G189" s="2" t="n">
        <x:f>IF('Assumptions'!$B$5=1,ABS(B189-C189)+ABS(D189-E189)+ABS(F189),"n.a.")</x:f>
        <x:v>1.1102230246251565e-16</x:v>
      </x:c>
      <x:c r="H189" s="2" t="n">
        <x:v>0.014153298257653319</x:v>
      </x:c>
    </x:row>
    <x:row r="190" ht="23" customHeight="1">
      <x:c r="A190" s="2" t="str">
        <x:v>62044300</x:v>
      </x:c>
      <x:c r="B190" s="2" t="n">
        <x:v>-0.004908756055984509</x:v>
      </x:c>
      <x:c r="C190" s="2" t="n">
        <x:f>IF('Assumptions'!$B$5=1,'Model'!K54,"n.a.")</x:f>
        <x:v>-0.004908756055984731</x:v>
      </x:c>
      <x:c r="D190" s="2" t="n">
        <x:v>-635.8016513289597</x:v>
      </x:c>
      <x:c r="E190" s="2" t="n">
        <x:f>IF('Assumptions'!$B$5=1,'Model'!M54,"n.a.")</x:f>
        <x:v>-635.801651328959</x:v>
      </x:c>
      <x:c r="F190" s="2" t="n">
        <x:f>IF('Assumptions'!$B$5=1,'Model'!I54-H190,"n.a.")</x:f>
        <x:v>0</x:v>
      </x:c>
      <x:c r="G190" s="2" t="n">
        <x:f>IF('Assumptions'!$B$5=1,ABS(B190-C190)+ABS(D190-E190)+ABS(F190),"n.a.")</x:f>
        <x:v>6.823430709346212e-13</x:v>
      </x:c>
      <x:c r="H190" s="2" t="n">
        <x:v>0.1</x:v>
      </x:c>
    </x:row>
    <x:row r="191" ht="23" customHeight="1">
      <x:c r="A191" s="2" t="str">
        <x:v>62052000</x:v>
      </x:c>
      <x:c r="B191" s="2" t="n">
        <x:v>0.01344890350534289</x:v>
      </x:c>
      <x:c r="C191" s="2" t="n">
        <x:f>IF('Assumptions'!$B$5=1,'Model'!K55,"n.a.")</x:f>
        <x:v>0.01344890350534289</x:v>
      </x:c>
      <x:c r="D191" s="2" t="n">
        <x:v>117.77113668368922</x:v>
      </x:c>
      <x:c r="E191" s="2" t="n">
        <x:f>IF('Assumptions'!$B$5=1,'Model'!M55,"n.a.")</x:f>
        <x:v>117.77113668368929</x:v>
      </x:c>
      <x:c r="F191" s="2" t="n">
        <x:f>IF('Assumptions'!$B$5=1,'Model'!I55-H191,"n.a.")</x:f>
        <x:v>0</x:v>
      </x:c>
      <x:c r="G191" s="2" t="n">
        <x:f>IF('Assumptions'!$B$5=1,ABS(B191-C191)+ABS(D191-E191)+ABS(F191),"n.a.")</x:f>
        <x:v>7.105427357601002e-14</x:v>
      </x:c>
      <x:c r="H191" s="2" t="n">
        <x:v>0.06915990057015509</x:v>
      </x:c>
    </x:row>
    <x:row r="192" ht="23" customHeight="1">
      <x:c r="A192" s="2"/>
      <x:c r="B192" s="2"/>
      <x:c r="C192" s="2"/>
      <x:c r="D192" s="2"/>
      <x:c r="E192" s="2"/>
      <x:c r="F192" s="2"/>
      <x:c r="G192" s="2"/>
      <x:c r="H192" s="2"/>
    </x:row>
    <x:row r="193" ht="23" customHeight="1">
      <x:c r="A193" s="2"/>
      <x:c r="B193" s="2"/>
      <x:c r="C193" s="2"/>
      <x:c r="D193" s="2"/>
      <x:c r="E193" s="2"/>
      <x:c r="F193" s="2"/>
      <x:c r="G193" s="2"/>
      <x:c r="H193" s="2"/>
    </x:row>
    <x:row r="194" ht="23" customHeight="1">
      <x:c r="A194" s="2"/>
      <x:c r="B194" s="2"/>
      <x:c r="C194" s="2"/>
      <x:c r="D194" s="2"/>
      <x:c r="E194" s="2"/>
      <x:c r="F194" s="2"/>
      <x:c r="G194" s="2"/>
      <x:c r="H194" s="2"/>
    </x:row>
    <x:row r="195" ht="43" customHeight="1">
      <x:c r="A195" s="34" t="str">
        <x:v>CN8</x:v>
      </x:c>
      <x:c r="B195" s="34" t="str">
        <x:v>Live cost change</x:v>
      </x:c>
      <x:c r="C195" s="34" t="str">
        <x:v>Saved cost change</x:v>
      </x:c>
      <x:c r="D195" s="34" t="str">
        <x:v>Cost difference</x:v>
      </x:c>
      <x:c r="E195" s="34" t="str">
        <x:v>Live HHI change</x:v>
      </x:c>
      <x:c r="F195" s="34" t="str">
        <x:v>Saved HHI change</x:v>
      </x:c>
      <x:c r="G195" s="34" t="str">
        <x:v>HHI difference</x:v>
      </x:c>
      <x:c r="H195" s="34" t="str">
        <x:v>Shift difference</x:v>
      </x:c>
      <x:c r="I195" s="34" t="str">
        <x:v>Multiple difference</x:v>
      </x:c>
    </x:row>
    <x:row r="196" ht="28" customHeight="1">
      <x:c r="A196" s="1" t="str">
        <x:f>'Model'!A52</x:f>
        <x:v>61091000</x:v>
      </x:c>
      <x:c r="B196" s="1" t="n">
        <x:f>'Model'!K52</x:f>
        <x:v>-0.0008462427496100933</x:v>
      </x:c>
      <x:c r="C196" s="1" t="n">
        <x:f>SUMIFS('Sensitivity'!$D$58:$D$161,'Sensitivity'!$A$58:$A$161,'Assumptions'!$B$5,'Sensitivity'!$B$58:$B$161,A196)</x:f>
        <x:v>-0.0008462427496100933</x:v>
      </x:c>
      <x:c r="D196" s="1" t="n">
        <x:f>ABS(B196-C196)</x:f>
        <x:v>0</x:v>
      </x:c>
      <x:c r="E196" s="1" t="n">
        <x:f>'Model'!M52</x:f>
        <x:v>39.567478091494195</x:v>
      </x:c>
      <x:c r="F196" s="1" t="n">
        <x:f>SUMIFS('Sensitivity'!$E$58:$E$161,'Sensitivity'!$A$58:$A$161,'Assumptions'!$B$5,'Sensitivity'!$B$58:$B$161,A196)</x:f>
        <x:v>39.567478091494195</x:v>
      </x:c>
      <x:c r="G196" s="1" t="n">
        <x:f>ABS(E196-F196)</x:f>
        <x:v>0</x:v>
      </x:c>
      <x:c r="H196" s="1" t="n">
        <x:f>ABS('Model'!I52-SUMIFS('Sensitivity'!$C$58:$C$161,'Sensitivity'!$A$58:$A$161,'Assumptions'!$B$5,'Sensitivity'!$B$58:$B$161,A196))</x:f>
        <x:v>0</x:v>
      </x:c>
      <x:c r="I196" s="1" t="n">
        <x:f>ABS('Model'!N52-SUMIFS('Sensitivity'!$F$58:$F$161,'Sensitivity'!$A$58:$A$161,'Assumptions'!$B$5,'Sensitivity'!$B$58:$B$161,A196))</x:f>
        <x:v>0</x:v>
      </x:c>
    </x:row>
    <x:row r="197" ht="28" customHeight="1">
      <x:c r="A197" s="1" t="str">
        <x:f>'Model'!A53</x:f>
        <x:v>61103099</x:v>
      </x:c>
      <x:c r="B197" s="1" t="n">
        <x:f>'Model'!K53</x:f>
        <x:v>-0.004627003502947313</x:v>
      </x:c>
      <x:c r="C197" s="1" t="n">
        <x:f>SUMIFS('Sensitivity'!$D$58:$D$161,'Sensitivity'!$A$58:$A$161,'Assumptions'!$B$5,'Sensitivity'!$B$58:$B$161,A197)</x:f>
        <x:v>-0.004627003502947313</x:v>
      </x:c>
      <x:c r="D197" s="1" t="n">
        <x:f>ABS(B197-C197)</x:f>
        <x:v>0</x:v>
      </x:c>
      <x:c r="E197" s="1" t="n">
        <x:f>'Model'!M53</x:f>
        <x:v>-88.19322957670738</x:v>
      </x:c>
      <x:c r="F197" s="1" t="n">
        <x:f>SUMIFS('Sensitivity'!$E$58:$E$161,'Sensitivity'!$A$58:$A$161,'Assumptions'!$B$5,'Sensitivity'!$B$58:$B$161,A197)</x:f>
        <x:v>-88.19322957670738</x:v>
      </x:c>
      <x:c r="G197" s="1" t="n">
        <x:f>ABS(E197-F197)</x:f>
        <x:v>0</x:v>
      </x:c>
      <x:c r="H197" s="1" t="n">
        <x:f>ABS('Model'!I53-SUMIFS('Sensitivity'!$C$58:$C$161,'Sensitivity'!$A$58:$A$161,'Assumptions'!$B$5,'Sensitivity'!$B$58:$B$161,A197))</x:f>
        <x:v>0</x:v>
      </x:c>
      <x:c r="I197" s="1" t="n">
        <x:f>ABS('Model'!N53-SUMIFS('Sensitivity'!$F$58:$F$161,'Sensitivity'!$A$58:$A$161,'Assumptions'!$B$5,'Sensitivity'!$B$58:$B$161,A197))</x:f>
        <x:v>0</x:v>
      </x:c>
    </x:row>
    <x:row r="198" ht="28" customHeight="1">
      <x:c r="A198" s="1" t="str">
        <x:f>'Model'!A54</x:f>
        <x:v>62044300</x:v>
      </x:c>
      <x:c r="B198" s="1" t="n">
        <x:f>'Model'!K54</x:f>
        <x:v>-0.004908756055984731</x:v>
      </x:c>
      <x:c r="C198" s="1" t="n">
        <x:f>SUMIFS('Sensitivity'!$D$58:$D$161,'Sensitivity'!$A$58:$A$161,'Assumptions'!$B$5,'Sensitivity'!$B$58:$B$161,A198)</x:f>
        <x:v>-0.004908756055984731</x:v>
      </x:c>
      <x:c r="D198" s="1" t="n">
        <x:f>ABS(B198-C198)</x:f>
        <x:v>0</x:v>
      </x:c>
      <x:c r="E198" s="1" t="n">
        <x:f>'Model'!M54</x:f>
        <x:v>-635.801651328959</x:v>
      </x:c>
      <x:c r="F198" s="1" t="n">
        <x:f>SUMIFS('Sensitivity'!$E$58:$E$161,'Sensitivity'!$A$58:$A$161,'Assumptions'!$B$5,'Sensitivity'!$B$58:$B$161,A198)</x:f>
        <x:v>-635.801651328959</x:v>
      </x:c>
      <x:c r="G198" s="1" t="n">
        <x:f>ABS(E198-F198)</x:f>
        <x:v>0</x:v>
      </x:c>
      <x:c r="H198" s="1" t="n">
        <x:f>ABS('Model'!I54-SUMIFS('Sensitivity'!$C$58:$C$161,'Sensitivity'!$A$58:$A$161,'Assumptions'!$B$5,'Sensitivity'!$B$58:$B$161,A198))</x:f>
        <x:v>0</x:v>
      </x:c>
      <x:c r="I198" s="1" t="n">
        <x:f>ABS('Model'!N54-SUMIFS('Sensitivity'!$F$58:$F$161,'Sensitivity'!$A$58:$A$161,'Assumptions'!$B$5,'Sensitivity'!$B$58:$B$161,A198))</x:f>
        <x:v>0</x:v>
      </x:c>
    </x:row>
    <x:row r="199" ht="28" customHeight="1">
      <x:c r="A199" s="1" t="str">
        <x:f>'Model'!A55</x:f>
        <x:v>62052000</x:v>
      </x:c>
      <x:c r="B199" s="1" t="n">
        <x:f>'Model'!K55</x:f>
        <x:v>0.01344890350534289</x:v>
      </x:c>
      <x:c r="C199" s="1" t="n">
        <x:f>SUMIFS('Sensitivity'!$D$58:$D$161,'Sensitivity'!$A$58:$A$161,'Assumptions'!$B$5,'Sensitivity'!$B$58:$B$161,A199)</x:f>
        <x:v>0.01344890350534289</x:v>
      </x:c>
      <x:c r="D199" s="1" t="n">
        <x:f>ABS(B199-C199)</x:f>
        <x:v>0</x:v>
      </x:c>
      <x:c r="E199" s="1" t="n">
        <x:f>'Model'!M55</x:f>
        <x:v>117.77113668368929</x:v>
      </x:c>
      <x:c r="F199" s="1" t="n">
        <x:f>SUMIFS('Sensitivity'!$E$58:$E$161,'Sensitivity'!$A$58:$A$161,'Assumptions'!$B$5,'Sensitivity'!$B$58:$B$161,A199)</x:f>
        <x:v>117.77113668368929</x:v>
      </x:c>
      <x:c r="G199" s="1" t="n">
        <x:f>ABS(E199-F199)</x:f>
        <x:v>0</x:v>
      </x:c>
      <x:c r="H199" s="1" t="n">
        <x:f>ABS('Model'!I55-SUMIFS('Sensitivity'!$C$58:$C$161,'Sensitivity'!$A$58:$A$161,'Assumptions'!$B$5,'Sensitivity'!$B$58:$B$161,A199))</x:f>
        <x:v>0</x:v>
      </x:c>
      <x:c r="I199" s="1" t="n">
        <x:f>ABS('Model'!N55-SUMIFS('Sensitivity'!$F$58:$F$161,'Sensitivity'!$A$58:$A$161,'Assumptions'!$B$5,'Sensitivity'!$B$58:$B$161,A199))</x:f>
        <x:v>0</x:v>
      </x:c>
    </x:row>
  </x:sheetData>
  <x:mergeCells>
    <x:mergeCell ref="B4:D4"/>
  </x:mergeCells>
  <x:conditionalFormatting sqref="D7:D40">
    <x:cfRule type="containsText" dxfId="0" priority="1" operator="containsText" text="FAIL"/>
  </x:conditionalFormatting>
  <x:conditionalFormatting sqref="D41:D43">
    <x:cfRule type="containsText" dxfId="4" priority="2" operator="containsText" text="FAIL"/>
  </x:conditionalFormatting>
  <x:pageMargins left="0.7" right="0.7" top="0.75" bottom="0.75" header="0.3" footer="0.3"/>
</x:worksheet>
</file>

<file path=xl/worksheets/sheet9.xml><?xml version="1.0" encoding="utf-8"?>
<x:worksheet xmlns:x="http://schemas.openxmlformats.org/spreadsheetml/2006/main">
  <x:sheetPr>
    <x:tabColor rgb="FF84928F"/>
  </x:sheetPr>
  <x:sheetViews>
    <x:sheetView showGridLines="0" workbookViewId="0"/>
  </x:sheetViews>
  <x:sheetFormatPr defaultRowHeight="15"/>
  <x:cols>
    <x:col min="1" max="1" width="27" hidden="0" customWidth="1"/>
    <x:col min="2" max="2" width="110" hidden="0" customWidth="1"/>
  </x:cols>
  <x:sheetData>
    <x:row r="1" ht="23" customHeight="1">
      <x:c r="A1" s="2"/>
      <x:c r="B1" s="2"/>
    </x:row>
    <x:row r="2" ht="29" customHeight="1">
      <x:c r="A2" s="3" t="str">
        <x:v>WP009 method and handover</x:v>
      </x:c>
      <x:c r="B2" s="2"/>
    </x:row>
    <x:row r="3" ht="23" customHeight="1">
      <x:c r="A3" s="2"/>
      <x:c r="B3" s="2"/>
    </x:row>
    <x:row r="4" ht="23" customHeight="1">
      <x:c r="A4" s="2"/>
      <x:c r="B4" s="2"/>
    </x:row>
    <x:row r="5" ht="42" customHeight="1">
      <x:c r="A5" s="11" t="str">
        <x:v>Topic</x:v>
      </x:c>
      <x:c r="B5" s="11" t="str">
        <x:v>Method / scope</x:v>
      </x:c>
    </x:row>
    <x:row r="6" ht="57" customHeight="1">
      <x:c r="A6" s="12" t="str">
        <x:v>Version</x:v>
      </x:c>
      <x:c r="B6" s="12" t="str">
        <x:v>1.1. Revised 18 September 2026. Adds ensemble findings, a live WP008 regression, selected-case reconciliation and captured-input staleness detection.</x:v>
      </x:c>
    </x:row>
    <x:row r="7" ht="57" customHeight="1">
      <x:c r="A7" s="12" t="str">
        <x:v>Decision scope</x:v>
      </x:c>
      <x:c r="B7" s="12" t="str">
        <x:v>WP009 implements Issue Tree 2.6 and 5.4. It tests WP008 assumptions and computes operating break-even limits. It does not estimate actual NEXT procurement costs or approve suppliers.</x:v>
      </x:c>
    </x:row>
    <x:row r="8" ht="57" customHeight="1">
      <x:c r="A8" s="12" t="str">
        <x:v>Baseline</x:v>
      </x:c>
      <x:c r="B8" s="12" t="str">
        <x:v>FY2025 ten-country import-mass shares within each code. Fixed across tests. World is a price-quality screening reference and value-weight source, not an eleventh allocation destination.</x:v>
      </x:c>
    </x:row>
    <x:row r="9" ht="57" customHeight="1">
      <x:c r="A9" s="12" t="str">
        <x:v>Source workbook</x:v>
      </x:c>
      <x:c r="B9" s="12" t="str">
        <x:v>NEXT_WP008_Cost_and_Sourcing_Scenarios_v1.1.xlsx; SHA-256 016f8e28355a37d75a1646c284bcf982cdfa9af0786f6391e491c63d6fe49708</x:v>
      </x:c>
    </x:row>
    <x:row r="10" ht="57" customHeight="1">
      <x:c r="A10" s="12" t="str">
        <x:v>Underlying sources</x:v>
      </x:c>
      <x:c r="B10" s="12" t="inlineStr">
        <x:is>
          <x:t>WP006 partner_trade_period_reported; WP005 monthly partner/World observations; WP004 Tariff_Matrix and Commodity_Shortlist; WP007 gates. Decisions D008/D010/D020/D021: docs/Research_Question_and_Scope.md. Source_Data retains model inputs and evidence locators.</x:t>
        </x:is>
      </x:c>
    </x:row>
    <x:row r="11" ht="57" customHeight="1">
      <x:c r="A11" s="12" t="str">
        <x:v>Tariff convention</x:v>
      </x:c>
      <x:c r="B11" s="12" t="str">
        <x:v>Use the WP004 from-15-July-2026 eligible snapshot or 12% MFN fallback. MFN all reprices baseline and scenario; MFN increment keeps the eligible baseline and charges fallback only on transferred receiver volume. These are governed policy scenarios, not a fresh legal-rate verification.</x:v>
      </x:c>
    </x:row>
    <x:row r="12" ht="57" customHeight="1">
      <x:c r="A12" s="12" t="str">
        <x:v>Feasible allocation</x:v>
      </x:c>
      <x:c r="B12" s="12" t="str">
        <x:v>Minimum of requested shift, China baseline and every receiver headroom divided by its weight. Headroom = max(0, min(share ceiling minus baseline, addition cap, enabled growth-cap headroom)). No increment to Myanmar.</x:v>
      </x:c>
    </x:row>
    <x:row r="13" ht="57" customHeight="1">
      <x:c r="A13" s="12" t="str">
        <x:v>Benchmark cost</x:v>
      </x:c>
      <x:c r="B13" s="12" t="str">
        <x:v>Border unit value = period value / period mass. Duty-paid unit value = border UV x (1 + duty). Premium, inland/handling, transition and incremental working capital apply to transferred volume only. International freight is already included.</x:v>
      </x:c>
    </x:row>
    <x:row r="14" ht="57" customHeight="1">
      <x:c r="A14" s="12" t="str">
        <x:v>Operating thresholds</x:v>
      </x:c>
      <x:c r="B14" s="12" t="str">
        <x:v>Working capital = receiver duty-paid cost x (1 + premium) x annual carry rate x extra days / 365. These are incremental cash-cycle assumptions. Full operating point estimates are not available; the Q2.6 threshold pivot is used.</x:v>
      </x:c>
    </x:row>
    <x:row r="15" ht="57" customHeight="1">
      <x:c r="A15" s="12" t="str">
        <x:v>Break-even budgets</x:v>
      </x:c>
      <x:c r="B15" s="12" t="str">
        <x:v>Cost headroom, premium, additional duty, days and transition budgets solve the same receiver-versus-China equality. Thresholds hold other assumptions constant and cannot be added together. Negative thresholds indicate that a discount or cost reduction is needed.</x:v>
      </x:c>
    </x:row>
    <x:row r="16" ht="57" customHeight="1">
      <x:c r="A16" s="12" t="str">
        <x:v>Basket weights</x:v>
      </x:c>
      <x:c r="B16" s="12" t="str">
        <x:v>Equal 25% weights and FY2025 UK World import-value weights are both shown. Neither is a NEXT spend estimate. The basket averages category cost indices, not GBP/kg across unlike products.</x:v>
      </x:c>
    </x:row>
    <x:row r="17" ht="57" customHeight="1">
      <x:c r="A17" s="12" t="str">
        <x:v>Common-month sensitivity</x:v>
      </x:c>
      <x:c r="B17" s="12" t="str">
        <x:v>A retained code-month requires all ten partners plus World, positive mass, API presence and no REVIEW flag. This removes the same months for every partner within a code. Reported data stay intact. Screening can remove valid observations and change seasonality.</x:v>
      </x:c>
    </x:row>
    <x:row r="18" ht="57" customHeight="1">
      <x:c r="A18" s="12" t="str">
        <x:v>Across-year comparisons</x:v>
      </x:c>
      <x:c r="B18" s="12" t="str">
        <x:v>FY2025, H1 2025 and H1 2026 are alternative price levels, not growth estimates. No year-on-year growth claim is made from unpaired screened months. The FY2025 allocation baseline remains fixed.</x:v>
      </x:c>
    </x:row>
    <x:row r="19" ht="72" customHeight="1">
      <x:c r="A19" s="12" t="str">
        <x:v>Saved comparisons</x:v>
      </x:c>
      <x:c r="B19" s="12" t="str">
        <x:v>Sensitivity preserves 26 model executions. Rows 171:196 record case definitions; rows 58:161 record category outputs. Rows 220:1251 capture shared inputs. Any shared-input change flags every saved case for refresh; a case-definition change flags that case. QC reconciles the selected live case and checks case 1 against WP008.</x:v>
      </x:c>
    </x:row>
    <x:row r="20" ht="72" customHeight="1">
      <x:c r="A20" s="12" t="str">
        <x:v>Refresh comparisons</x:v>
      </x:c>
      <x:c r="B20" s="12" t="str">
        <x:v>After changing inputs or model logic: run all 26 cases and refresh the saved basket/category outputs and case definitions. Then replace captured input values in Sensitivity from the ranges labelled above each block, preserving comparison formulas in column L. Re-run QC and refresh dates and study commentary. Matching inputs alone does not prove model logic is unchanged.</x:v>
      </x:c>
    </x:row>
    <x:row r="21" ht="57" customHeight="1">
      <x:c r="A21" s="12" t="str">
        <x:v>Publication</x:v>
      </x:c>
      <x:c r="B21" s="12" t="inlineStr">
        <x:is>
          <x:t>Sources, scenario assumptions, screening caveats and pending candidate evidence are retained.</x:t>
        </x:is>
      </x:c>
    </x:row>
    <x:row r="22" ht="57" customHeight="1">
      <x:c r="A22" s="12" t="str">
        <x:v>Gate status</x:v>
      </x:c>
      <x:c r="B22" s="12" t="str">
        <x:v>All candidate evidence remains Pending. WP007 RS01-RS08, manufacturing origin, tariff eligibility, category capability, capacity and service evidence must be established at the proposed supplier/site/product level. SC remains unconfirmed; the historical annotations are review inputs.</x:v>
      </x:c>
    </x:row>
    <x:row r="23" ht="57" customHeight="1">
      <x:c r="A23" s="12" t="str">
        <x:v>WP010 handover</x:v>
      </x:c>
      <x:c r="B23" s="12" t="str">
        <x:v>Develop category-specific options and evidence triggers. Avoid a blanket China-reduction target or an executable allocation claim. H5 is partially tested; sourcing and operating evidence remain open despite analytical completion of WP009.</x:v>
      </x:c>
    </x:row>
    <x:row r="24" ht="23" customHeight="1">
      <x:c r="A24" s="2"/>
      <x:c r="B24" s="2"/>
    </x:row>
    <x:row r="25" ht="23" customHeight="1">
      <x:c r="A25" s="2"/>
      <x:c r="B25" s="2"/>
    </x:row>
    <x:row r="26" ht="23" customHeight="1">
      <x:c r="A26" s="2"/>
      <x:c r="B26" s="2"/>
    </x:row>
    <x:row r="27" ht="23" customHeight="1">
      <x:c r="A27" s="2"/>
      <x:c r="B27" s="2"/>
    </x:row>
    <x:row r="28" ht="23" customHeight="1">
      <x:c r="A28" s="2"/>
      <x:c r="B28" s="2"/>
    </x:row>
    <x:row r="29" ht="23" customHeight="1">
      <x:c r="A29" s="2"/>
      <x:c r="B29" s="2"/>
    </x:row>
    <x:row r="30" ht="23" customHeight="1">
      <x:c r="A30" s="2"/>
      <x:c r="B30" s="2"/>
    </x:row>
    <x:row r="31" ht="23" customHeight="1">
      <x:c r="A31" s="2"/>
      <x:c r="B31" s="2"/>
    </x:row>
    <x:row r="32" ht="23" customHeight="1">
      <x:c r="A32" s="2"/>
      <x:c r="B32" s="2"/>
    </x:row>
  </x:sheetData>
  <x:pageMargins left="0.7" right="0.7" top="0.75" bottom="0.75" header="0.3" footer="0.3"/>
</x:worksheet>
</file>