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337436BF85F57C5/Documents/"/>
    </mc:Choice>
  </mc:AlternateContent>
  <xr:revisionPtr revIDLastSave="8" documentId="8_{101E5C36-121A-4922-9EFE-BC9C5BFA98B9}" xr6:coauthVersionLast="47" xr6:coauthVersionMax="47" xr10:uidLastSave="{0B5A2D4D-5BA6-42A8-AF97-FF65475C38A3}"/>
  <bookViews>
    <workbookView xWindow="10128" yWindow="24" windowWidth="12912" windowHeight="12312" firstSheet="1" activeTab="2" xr2:uid="{00000000-000D-0000-FFFF-FFFF00000000}"/>
  </bookViews>
  <sheets>
    <sheet name="Gate_Matrix" sheetId="1" r:id="rId1"/>
    <sheet name="Site_Review" sheetId="2" r:id="rId2"/>
    <sheet name="Evidence" sheetId="3" r:id="rId3"/>
    <sheet name="QC_Checks" sheetId="5" r:id="rId5"/>
    <sheet name="WP003_Referen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5" l="1"/>
  <c r="R59" i="5" s="1"/>
  <c r="I59" i="5"/>
  <c r="Q59" i="5" s="1"/>
  <c r="F59" i="5"/>
  <c r="N59" i="5" s="1"/>
  <c r="E59" i="5"/>
  <c r="M59" i="5" s="1"/>
  <c r="C59" i="5"/>
  <c r="L59" i="5" s="1"/>
  <c r="T59" i="5" s="1"/>
  <c r="H58" i="5"/>
  <c r="P58" i="5" s="1"/>
  <c r="C58" i="5"/>
  <c r="J57" i="5"/>
  <c r="R57" i="5" s="1"/>
  <c r="E57" i="5"/>
  <c r="M57" i="5" s="1"/>
  <c r="C57" i="5"/>
  <c r="Q56" i="5"/>
  <c r="L56" i="5"/>
  <c r="T56" i="5" s="1"/>
  <c r="K56" i="5"/>
  <c r="S56" i="5" s="1"/>
  <c r="I56" i="5"/>
  <c r="G56" i="5"/>
  <c r="O56" i="5" s="1"/>
  <c r="E56" i="5"/>
  <c r="M56" i="5" s="1"/>
  <c r="C56" i="5"/>
  <c r="C55" i="5"/>
  <c r="K54" i="5"/>
  <c r="S54" i="5" s="1"/>
  <c r="I54" i="5"/>
  <c r="Q54" i="5" s="1"/>
  <c r="E54" i="5"/>
  <c r="M54" i="5" s="1"/>
  <c r="C54" i="5"/>
  <c r="L54" i="5" s="1"/>
  <c r="T54" i="5" s="1"/>
  <c r="R53" i="5"/>
  <c r="M53" i="5"/>
  <c r="K53" i="5"/>
  <c r="S53" i="5" s="1"/>
  <c r="J53" i="5"/>
  <c r="G53" i="5"/>
  <c r="O53" i="5" s="1"/>
  <c r="F53" i="5"/>
  <c r="N53" i="5" s="1"/>
  <c r="E53" i="5"/>
  <c r="C53" i="5"/>
  <c r="I52" i="5"/>
  <c r="Q52" i="5" s="1"/>
  <c r="H52" i="5"/>
  <c r="P52" i="5" s="1"/>
  <c r="C52" i="5"/>
  <c r="K51" i="5"/>
  <c r="S51" i="5" s="1"/>
  <c r="J51" i="5"/>
  <c r="R51" i="5" s="1"/>
  <c r="F51" i="5"/>
  <c r="N51" i="5" s="1"/>
  <c r="E51" i="5"/>
  <c r="M51" i="5" s="1"/>
  <c r="C51" i="5"/>
  <c r="G51" i="5" s="1"/>
  <c r="O51" i="5" s="1"/>
  <c r="L50" i="5"/>
  <c r="T50" i="5" s="1"/>
  <c r="C50" i="5"/>
  <c r="I49" i="5"/>
  <c r="Q49" i="5" s="1"/>
  <c r="C49" i="5"/>
  <c r="J49" i="5" s="1"/>
  <c r="R49" i="5" s="1"/>
  <c r="Q48" i="5"/>
  <c r="L48" i="5"/>
  <c r="T48" i="5" s="1"/>
  <c r="K48" i="5"/>
  <c r="S48" i="5" s="1"/>
  <c r="I48" i="5"/>
  <c r="G48" i="5"/>
  <c r="O48" i="5" s="1"/>
  <c r="E48" i="5"/>
  <c r="M48" i="5" s="1"/>
  <c r="C48" i="5"/>
  <c r="C47" i="5"/>
  <c r="I47" i="5" s="1"/>
  <c r="Q47" i="5" s="1"/>
  <c r="K46" i="5"/>
  <c r="S46" i="5" s="1"/>
  <c r="I46" i="5"/>
  <c r="Q46" i="5" s="1"/>
  <c r="E46" i="5"/>
  <c r="M46" i="5" s="1"/>
  <c r="C46" i="5"/>
  <c r="L46" i="5" s="1"/>
  <c r="T46" i="5" s="1"/>
  <c r="R45" i="5"/>
  <c r="M45" i="5"/>
  <c r="K45" i="5"/>
  <c r="S45" i="5" s="1"/>
  <c r="J45" i="5"/>
  <c r="G45" i="5"/>
  <c r="O45" i="5" s="1"/>
  <c r="F45" i="5"/>
  <c r="N45" i="5" s="1"/>
  <c r="E45" i="5"/>
  <c r="C45" i="5"/>
  <c r="I44" i="5"/>
  <c r="Q44" i="5" s="1"/>
  <c r="H44" i="5"/>
  <c r="P44" i="5" s="1"/>
  <c r="C44" i="5"/>
  <c r="K43" i="5"/>
  <c r="S43" i="5" s="1"/>
  <c r="J43" i="5"/>
  <c r="R43" i="5" s="1"/>
  <c r="F43" i="5"/>
  <c r="N43" i="5" s="1"/>
  <c r="E43" i="5"/>
  <c r="M43" i="5" s="1"/>
  <c r="C43" i="5"/>
  <c r="G43" i="5" s="1"/>
  <c r="O43" i="5" s="1"/>
  <c r="L42" i="5"/>
  <c r="T42" i="5" s="1"/>
  <c r="C42" i="5"/>
  <c r="S41" i="5"/>
  <c r="J41" i="5"/>
  <c r="R41" i="5" s="1"/>
  <c r="I41" i="5"/>
  <c r="Q41" i="5" s="1"/>
  <c r="E41" i="5"/>
  <c r="M41" i="5" s="1"/>
  <c r="C41" i="5"/>
  <c r="K41" i="5" s="1"/>
  <c r="C40" i="5"/>
  <c r="J40" i="5" s="1"/>
  <c r="R40" i="5" s="1"/>
  <c r="L39" i="5"/>
  <c r="T39" i="5" s="1"/>
  <c r="I39" i="5"/>
  <c r="Q39" i="5" s="1"/>
  <c r="H39" i="5"/>
  <c r="P39" i="5" s="1"/>
  <c r="E39" i="5"/>
  <c r="M39" i="5" s="1"/>
  <c r="C39" i="5"/>
  <c r="K39" i="5" s="1"/>
  <c r="S39" i="5" s="1"/>
  <c r="J38" i="5"/>
  <c r="R38" i="5" s="1"/>
  <c r="C38" i="5"/>
  <c r="L37" i="5"/>
  <c r="T37" i="5" s="1"/>
  <c r="I37" i="5"/>
  <c r="Q37" i="5" s="1"/>
  <c r="H37" i="5"/>
  <c r="P37" i="5" s="1"/>
  <c r="E37" i="5"/>
  <c r="M37" i="5" s="1"/>
  <c r="C37" i="5"/>
  <c r="K37" i="5" s="1"/>
  <c r="S37" i="5" s="1"/>
  <c r="J36" i="5"/>
  <c r="R36" i="5" s="1"/>
  <c r="G36" i="5"/>
  <c r="O36" i="5" s="1"/>
  <c r="F36" i="5"/>
  <c r="N36" i="5" s="1"/>
  <c r="C36" i="5"/>
  <c r="F31" i="5"/>
  <c r="A31" i="5"/>
  <c r="F30" i="5"/>
  <c r="A30" i="5"/>
  <c r="E30" i="5" s="1"/>
  <c r="F29" i="5"/>
  <c r="E29" i="5"/>
  <c r="D29" i="5"/>
  <c r="H29" i="5" s="1"/>
  <c r="A29" i="5"/>
  <c r="F28" i="5"/>
  <c r="E28" i="5"/>
  <c r="A28" i="5"/>
  <c r="F27" i="5"/>
  <c r="D27" i="5"/>
  <c r="B27" i="5"/>
  <c r="A27" i="5"/>
  <c r="E27" i="5" s="1"/>
  <c r="F26" i="5"/>
  <c r="E26" i="5"/>
  <c r="A26" i="5"/>
  <c r="F25" i="5"/>
  <c r="D25" i="5"/>
  <c r="B25" i="5"/>
  <c r="A25" i="5"/>
  <c r="E25" i="5" s="1"/>
  <c r="H25" i="5" s="1"/>
  <c r="F24" i="5"/>
  <c r="E24" i="5"/>
  <c r="A24" i="5"/>
  <c r="F23" i="5"/>
  <c r="D23" i="5"/>
  <c r="B23" i="5"/>
  <c r="A23" i="5"/>
  <c r="E23" i="5" s="1"/>
  <c r="H23" i="5" s="1"/>
  <c r="F22" i="5"/>
  <c r="E22" i="5"/>
  <c r="A22" i="5"/>
  <c r="B22" i="5" s="1"/>
  <c r="F21" i="5"/>
  <c r="D21" i="5"/>
  <c r="B21" i="5"/>
  <c r="A21" i="5"/>
  <c r="E21" i="5" s="1"/>
  <c r="H21" i="5" s="1"/>
  <c r="F20" i="5"/>
  <c r="E20" i="5"/>
  <c r="A20" i="5"/>
  <c r="F19" i="5"/>
  <c r="D19" i="5"/>
  <c r="B19" i="5"/>
  <c r="A19" i="5"/>
  <c r="E19" i="5" s="1"/>
  <c r="H19" i="5" s="1"/>
  <c r="F18" i="5"/>
  <c r="E18" i="5"/>
  <c r="A18" i="5"/>
  <c r="B18" i="5" s="1"/>
  <c r="F17" i="5"/>
  <c r="D17" i="5"/>
  <c r="B17" i="5"/>
  <c r="A17" i="5"/>
  <c r="E17" i="5" s="1"/>
  <c r="H17" i="5" s="1"/>
  <c r="F16" i="5"/>
  <c r="D11" i="5" s="1"/>
  <c r="E16" i="5"/>
  <c r="A16" i="5"/>
  <c r="C11" i="5"/>
  <c r="E11" i="5" s="1"/>
  <c r="F11" i="5" s="1"/>
  <c r="C10" i="5"/>
  <c r="C9" i="5"/>
  <c r="C8" i="5"/>
  <c r="H6" i="2"/>
  <c r="F6" i="2"/>
  <c r="D6" i="2"/>
  <c r="B6" i="2"/>
  <c r="D62" i="1"/>
  <c r="F62" i="1" s="1"/>
  <c r="C62" i="1"/>
  <c r="B62" i="1"/>
  <c r="C61" i="1"/>
  <c r="D61" i="1" s="1"/>
  <c r="B61" i="1"/>
  <c r="C60" i="1"/>
  <c r="D60" i="1" s="1"/>
  <c r="B60" i="1"/>
  <c r="C59" i="1"/>
  <c r="D59" i="1" s="1"/>
  <c r="B59" i="1"/>
  <c r="H27" i="5" l="1"/>
  <c r="F59" i="1"/>
  <c r="E59" i="1"/>
  <c r="F61" i="1"/>
  <c r="E61" i="1"/>
  <c r="E60" i="1"/>
  <c r="F60" i="1"/>
  <c r="E62" i="1"/>
  <c r="C16" i="5"/>
  <c r="C20" i="5"/>
  <c r="C24" i="5"/>
  <c r="C26" i="5"/>
  <c r="D30" i="5"/>
  <c r="H30" i="5" s="1"/>
  <c r="F40" i="5"/>
  <c r="N40" i="5" s="1"/>
  <c r="J42" i="5"/>
  <c r="R42" i="5" s="1"/>
  <c r="F42" i="5"/>
  <c r="N42" i="5" s="1"/>
  <c r="D42" i="5" s="1"/>
  <c r="K42" i="5"/>
  <c r="S42" i="5" s="1"/>
  <c r="E42" i="5"/>
  <c r="M42" i="5" s="1"/>
  <c r="I42" i="5"/>
  <c r="Q42" i="5" s="1"/>
  <c r="G47" i="5"/>
  <c r="O47" i="5" s="1"/>
  <c r="L55" i="5"/>
  <c r="T55" i="5" s="1"/>
  <c r="H55" i="5"/>
  <c r="P55" i="5" s="1"/>
  <c r="K55" i="5"/>
  <c r="S55" i="5" s="1"/>
  <c r="F55" i="5"/>
  <c r="N55" i="5" s="1"/>
  <c r="J55" i="5"/>
  <c r="R55" i="5" s="1"/>
  <c r="E55" i="5"/>
  <c r="M55" i="5" s="1"/>
  <c r="D55" i="5" s="1"/>
  <c r="G55" i="5"/>
  <c r="O55" i="5" s="1"/>
  <c r="C28" i="5"/>
  <c r="C31" i="5"/>
  <c r="B31" i="5"/>
  <c r="G31" i="5" s="1"/>
  <c r="I38" i="5"/>
  <c r="Q38" i="5" s="1"/>
  <c r="E38" i="5"/>
  <c r="M38" i="5" s="1"/>
  <c r="L38" i="5"/>
  <c r="T38" i="5" s="1"/>
  <c r="H38" i="5"/>
  <c r="P38" i="5" s="1"/>
  <c r="K38" i="5"/>
  <c r="S38" i="5" s="1"/>
  <c r="B16" i="5"/>
  <c r="G16" i="5" s="1"/>
  <c r="B20" i="5"/>
  <c r="G20" i="5" s="1"/>
  <c r="B24" i="5"/>
  <c r="G24" i="5" s="1"/>
  <c r="B26" i="5"/>
  <c r="G26" i="5" s="1"/>
  <c r="B28" i="5"/>
  <c r="G28" i="5" s="1"/>
  <c r="D31" i="5"/>
  <c r="I36" i="5"/>
  <c r="Q36" i="5" s="1"/>
  <c r="E36" i="5"/>
  <c r="M36" i="5" s="1"/>
  <c r="L36" i="5"/>
  <c r="T36" i="5" s="1"/>
  <c r="H36" i="5"/>
  <c r="P36" i="5" s="1"/>
  <c r="D36" i="5"/>
  <c r="K36" i="5"/>
  <c r="S36" i="5" s="1"/>
  <c r="F38" i="5"/>
  <c r="N38" i="5" s="1"/>
  <c r="G40" i="5"/>
  <c r="O40" i="5" s="1"/>
  <c r="G42" i="5"/>
  <c r="O42" i="5" s="1"/>
  <c r="J50" i="5"/>
  <c r="R50" i="5" s="1"/>
  <c r="F50" i="5"/>
  <c r="N50" i="5" s="1"/>
  <c r="K50" i="5"/>
  <c r="S50" i="5" s="1"/>
  <c r="E50" i="5"/>
  <c r="M50" i="5" s="1"/>
  <c r="D50" i="5" s="1"/>
  <c r="I50" i="5"/>
  <c r="Q50" i="5" s="1"/>
  <c r="I55" i="5"/>
  <c r="Q55" i="5" s="1"/>
  <c r="G18" i="5"/>
  <c r="C18" i="5"/>
  <c r="G22" i="5"/>
  <c r="C22" i="5"/>
  <c r="D16" i="5"/>
  <c r="H16" i="5" s="1"/>
  <c r="G17" i="5"/>
  <c r="C17" i="5"/>
  <c r="D18" i="5"/>
  <c r="H18" i="5" s="1"/>
  <c r="G19" i="5"/>
  <c r="C19" i="5"/>
  <c r="D20" i="5"/>
  <c r="H20" i="5" s="1"/>
  <c r="G21" i="5"/>
  <c r="C21" i="5"/>
  <c r="D22" i="5"/>
  <c r="H22" i="5" s="1"/>
  <c r="G23" i="5"/>
  <c r="C23" i="5"/>
  <c r="D24" i="5"/>
  <c r="H24" i="5" s="1"/>
  <c r="G25" i="5"/>
  <c r="C25" i="5"/>
  <c r="D26" i="5"/>
  <c r="H26" i="5" s="1"/>
  <c r="G27" i="5"/>
  <c r="C27" i="5"/>
  <c r="D28" i="5"/>
  <c r="H28" i="5" s="1"/>
  <c r="G29" i="5"/>
  <c r="C29" i="5"/>
  <c r="B29" i="5"/>
  <c r="E31" i="5"/>
  <c r="G38" i="5"/>
  <c r="O38" i="5" s="1"/>
  <c r="D38" i="5" s="1"/>
  <c r="H42" i="5"/>
  <c r="P42" i="5" s="1"/>
  <c r="J44" i="5"/>
  <c r="R44" i="5" s="1"/>
  <c r="F44" i="5"/>
  <c r="N44" i="5" s="1"/>
  <c r="L44" i="5"/>
  <c r="T44" i="5" s="1"/>
  <c r="G44" i="5"/>
  <c r="O44" i="5" s="1"/>
  <c r="K44" i="5"/>
  <c r="S44" i="5" s="1"/>
  <c r="E44" i="5"/>
  <c r="M44" i="5" s="1"/>
  <c r="L49" i="5"/>
  <c r="T49" i="5" s="1"/>
  <c r="H49" i="5"/>
  <c r="P49" i="5" s="1"/>
  <c r="G49" i="5"/>
  <c r="O49" i="5" s="1"/>
  <c r="K49" i="5"/>
  <c r="S49" i="5" s="1"/>
  <c r="F49" i="5"/>
  <c r="N49" i="5" s="1"/>
  <c r="G50" i="5"/>
  <c r="O50" i="5" s="1"/>
  <c r="G30" i="5"/>
  <c r="C30" i="5"/>
  <c r="B30" i="5"/>
  <c r="I40" i="5"/>
  <c r="Q40" i="5" s="1"/>
  <c r="E40" i="5"/>
  <c r="M40" i="5" s="1"/>
  <c r="D40" i="5" s="1"/>
  <c r="L40" i="5"/>
  <c r="T40" i="5" s="1"/>
  <c r="H40" i="5"/>
  <c r="P40" i="5" s="1"/>
  <c r="K40" i="5"/>
  <c r="S40" i="5" s="1"/>
  <c r="L47" i="5"/>
  <c r="T47" i="5" s="1"/>
  <c r="H47" i="5"/>
  <c r="P47" i="5" s="1"/>
  <c r="K47" i="5"/>
  <c r="S47" i="5" s="1"/>
  <c r="F47" i="5"/>
  <c r="N47" i="5" s="1"/>
  <c r="J47" i="5"/>
  <c r="R47" i="5" s="1"/>
  <c r="E47" i="5"/>
  <c r="M47" i="5" s="1"/>
  <c r="D47" i="5" s="1"/>
  <c r="E49" i="5"/>
  <c r="M49" i="5" s="1"/>
  <c r="D49" i="5" s="1"/>
  <c r="H50" i="5"/>
  <c r="P50" i="5" s="1"/>
  <c r="J52" i="5"/>
  <c r="R52" i="5" s="1"/>
  <c r="F52" i="5"/>
  <c r="N52" i="5" s="1"/>
  <c r="L52" i="5"/>
  <c r="T52" i="5" s="1"/>
  <c r="G52" i="5"/>
  <c r="O52" i="5" s="1"/>
  <c r="K52" i="5"/>
  <c r="S52" i="5" s="1"/>
  <c r="E52" i="5"/>
  <c r="M52" i="5" s="1"/>
  <c r="J58" i="5"/>
  <c r="R58" i="5" s="1"/>
  <c r="F58" i="5"/>
  <c r="N58" i="5" s="1"/>
  <c r="K58" i="5"/>
  <c r="S58" i="5" s="1"/>
  <c r="E58" i="5"/>
  <c r="M58" i="5" s="1"/>
  <c r="D58" i="5" s="1"/>
  <c r="I58" i="5"/>
  <c r="Q58" i="5" s="1"/>
  <c r="L58" i="5"/>
  <c r="T58" i="5" s="1"/>
  <c r="G58" i="5"/>
  <c r="O58" i="5" s="1"/>
  <c r="L57" i="5"/>
  <c r="T57" i="5" s="1"/>
  <c r="H57" i="5"/>
  <c r="P57" i="5" s="1"/>
  <c r="I57" i="5"/>
  <c r="Q57" i="5" s="1"/>
  <c r="F37" i="5"/>
  <c r="N37" i="5" s="1"/>
  <c r="D37" i="5" s="1"/>
  <c r="J37" i="5"/>
  <c r="R37" i="5" s="1"/>
  <c r="F39" i="5"/>
  <c r="N39" i="5" s="1"/>
  <c r="D39" i="5" s="1"/>
  <c r="J39" i="5"/>
  <c r="R39" i="5" s="1"/>
  <c r="F41" i="5"/>
  <c r="N41" i="5" s="1"/>
  <c r="D41" i="5" s="1"/>
  <c r="L45" i="5"/>
  <c r="T45" i="5" s="1"/>
  <c r="H45" i="5"/>
  <c r="P45" i="5" s="1"/>
  <c r="I45" i="5"/>
  <c r="Q45" i="5" s="1"/>
  <c r="D45" i="5" s="1"/>
  <c r="G46" i="5"/>
  <c r="O46" i="5" s="1"/>
  <c r="J48" i="5"/>
  <c r="R48" i="5" s="1"/>
  <c r="F48" i="5"/>
  <c r="N48" i="5" s="1"/>
  <c r="D48" i="5" s="1"/>
  <c r="H48" i="5"/>
  <c r="P48" i="5" s="1"/>
  <c r="L53" i="5"/>
  <c r="T53" i="5" s="1"/>
  <c r="H53" i="5"/>
  <c r="P53" i="5" s="1"/>
  <c r="I53" i="5"/>
  <c r="Q53" i="5" s="1"/>
  <c r="D53" i="5" s="1"/>
  <c r="G54" i="5"/>
  <c r="O54" i="5" s="1"/>
  <c r="J56" i="5"/>
  <c r="R56" i="5" s="1"/>
  <c r="F56" i="5"/>
  <c r="N56" i="5" s="1"/>
  <c r="H56" i="5"/>
  <c r="P56" i="5" s="1"/>
  <c r="D56" i="5" s="1"/>
  <c r="F57" i="5"/>
  <c r="N57" i="5" s="1"/>
  <c r="D57" i="5" s="1"/>
  <c r="K57" i="5"/>
  <c r="S57" i="5" s="1"/>
  <c r="G37" i="5"/>
  <c r="O37" i="5" s="1"/>
  <c r="G39" i="5"/>
  <c r="O39" i="5" s="1"/>
  <c r="L41" i="5"/>
  <c r="T41" i="5" s="1"/>
  <c r="H41" i="5"/>
  <c r="P41" i="5" s="1"/>
  <c r="G41" i="5"/>
  <c r="O41" i="5" s="1"/>
  <c r="L43" i="5"/>
  <c r="T43" i="5" s="1"/>
  <c r="H43" i="5"/>
  <c r="P43" i="5" s="1"/>
  <c r="I43" i="5"/>
  <c r="Q43" i="5" s="1"/>
  <c r="D43" i="5" s="1"/>
  <c r="J46" i="5"/>
  <c r="R46" i="5" s="1"/>
  <c r="F46" i="5"/>
  <c r="N46" i="5" s="1"/>
  <c r="H46" i="5"/>
  <c r="P46" i="5" s="1"/>
  <c r="L51" i="5"/>
  <c r="T51" i="5" s="1"/>
  <c r="H51" i="5"/>
  <c r="P51" i="5" s="1"/>
  <c r="D51" i="5" s="1"/>
  <c r="I51" i="5"/>
  <c r="Q51" i="5" s="1"/>
  <c r="J54" i="5"/>
  <c r="R54" i="5" s="1"/>
  <c r="F54" i="5"/>
  <c r="N54" i="5" s="1"/>
  <c r="D54" i="5" s="1"/>
  <c r="H54" i="5"/>
  <c r="P54" i="5" s="1"/>
  <c r="G57" i="5"/>
  <c r="O57" i="5" s="1"/>
  <c r="G59" i="5"/>
  <c r="O59" i="5" s="1"/>
  <c r="D59" i="5" s="1"/>
  <c r="K59" i="5"/>
  <c r="S59" i="5" s="1"/>
  <c r="H59" i="5"/>
  <c r="P59" i="5" s="1"/>
  <c r="D9" i="5" l="1"/>
  <c r="E9" i="5" s="1"/>
  <c r="F9" i="5" s="1"/>
  <c r="D52" i="5"/>
  <c r="D44" i="5"/>
  <c r="D12" i="5" s="1"/>
  <c r="E12" i="5" s="1"/>
  <c r="F12" i="5" s="1"/>
  <c r="H31" i="5"/>
  <c r="D8" i="5"/>
  <c r="E8" i="5" s="1"/>
  <c r="F8" i="5" s="1"/>
  <c r="D46" i="5"/>
  <c r="D10" i="5"/>
  <c r="E10" i="5" s="1"/>
  <c r="F10" i="5" s="1"/>
</calcChain>
</file>

<file path=xl/sharedStrings.xml><?xml version="1.0" encoding="utf-8"?>
<sst xmlns="http://schemas.openxmlformats.org/spreadsheetml/2006/main" count="8269" uniqueCount="3492">
  <si>
    <t>NEXT | WP007 responsible-sourcing gates</t>
  </si>
  <si>
    <t/>
  </si>
  <si>
    <t>Pass / Conditional / Fail are project rules for additional sourcing. They are not NEXT audit ratings or a decision to terminate existing relationships.</t>
  </si>
  <si>
    <t>Pending means evidence is insufficient. It is not a compliance failure or approval. All applicable gates require evidence before a site can be cleared.</t>
  </si>
  <si>
    <t>Apply gates to the proposed supplier, site and product chain. Country context triggers due diligence; it does not establish country-wide compliance.</t>
  </si>
  <si>
    <t>Evidence, annotation base rates and QC are included. Myanmar remains excluded from actionable alternatives pending D008 clearance.</t>
  </si>
  <si>
    <t>Gate_ID</t>
  </si>
  <si>
    <t>Gate</t>
  </si>
  <si>
    <t>NEXT requirement / stated practice</t>
  </si>
  <si>
    <t>Evidence required for a candidate</t>
  </si>
  <si>
    <t>Project Pass rule</t>
  </si>
  <si>
    <t>Project Conditional rule</t>
  </si>
  <si>
    <t>Project Fail rule</t>
  </si>
  <si>
    <t>Application</t>
  </si>
  <si>
    <t>Evidence_ID</t>
  </si>
  <si>
    <t>RS01</t>
  </si>
  <si>
    <t>Declared and approved production</t>
  </si>
  <si>
    <t>Suppliers provide due diligence before proposing sites. Production locations and subcontracting must be transparent and authorised.</t>
  </si>
  <si>
    <t>Official Site ID and location match; supplier/site relationship; proposed process; production and subcontractor approval records.</t>
  </si>
  <si>
    <t>Identity and proposed production chain are verified, with the required authorisations evidenced.</t>
  </si>
  <si>
    <t>An identified, remediable approval issue has an agreed action and decision owner. No additional production before closure.</t>
  </si>
  <si>
    <t>Confirmed unauthorised production remains unresolved, or the supplier refuses to disclose or regularise the production chain.</t>
  </si>
  <si>
    <t>All proposed sites and subcontracted processes.</t>
  </si>
  <si>
    <t>E01; E03</t>
  </si>
  <si>
    <t>RS02</t>
  </si>
  <si>
    <t>Audit evidence and production clearance</t>
  </si>
  <si>
    <t>NEXT audits Tier 1 factories before production and uses category ratings and follow-up reviews to support improvement.</t>
  </si>
  <si>
    <t>Latest applicable audit, date, findings, follow-up due date, corrective-action status and current production clearance.</t>
  </si>
  <si>
    <t>Audit and clearance are evidenced for this site and proposed activity; no unresolved finding prevents additional sourcing.</t>
  </si>
  <si>
    <t>Audit identifies remediable issues with an agreed plan, owner and deadline. Expansion waits for the required closure and clearance.</t>
  </si>
  <si>
    <t>Verified failure of the required audit/clearance condition remains unresolved at the decision date. A historical annotation alone cannot establish this.</t>
  </si>
  <si>
    <t>All proposed Tier 1 sites.</t>
  </si>
  <si>
    <t>E01; E02; E07; E08; E09</t>
  </si>
  <si>
    <t>RS03</t>
  </si>
  <si>
    <t>Forced labour, child labour and recruitment</t>
  </si>
  <si>
    <t>Prevent forced and child labour. Address wage retention, movement restrictions and exploitative recruitment, including migrant-worker fees.</t>
  </si>
  <si>
    <t>Worker interviews, age checks, recruitment/agency terms, fee and repayment evidence, wage records, document access and freedom of movement.</t>
  </si>
  <si>
    <t>Relevant risks have been investigated; no unresolved critical abuse is identified in adequate evidence, and any past remedy is verified.</t>
  </si>
  <si>
    <t>An evidenced issue has a credible, worker-centred remediation plan. Hold new allocation until the required remedy is verified.</t>
  </si>
  <si>
    <t>Confirmed ongoing critical abuse without credible remedy, refusal to remediate, or failed remediation by the agreed deadline.</t>
  </si>
  <si>
    <t>All sites; extend checks to agents and worker accommodation where relevant.</t>
  </si>
  <si>
    <t>E04; E05; E11</t>
  </si>
  <si>
    <t>RS04</t>
  </si>
  <si>
    <t>Safe and fair working conditions</t>
  </si>
  <si>
    <t>Meet applicable COP requirements on safety, wages, hours, discrimination, employment security, respectful treatment and management controls.</t>
  </si>
  <si>
    <t>Audit findings and records for safety, pay, hours, contracts and treatment; verification of corrective actions.</t>
  </si>
  <si>
    <t>Evidence meets the applicable requirements and supports the proposed additional sourcing.</t>
  </si>
  <si>
    <t>Specific deficiencies have an agreed action plan; any expansion preconditions remain binding.</t>
  </si>
  <si>
    <t>Confirmed critical unsafe or abusive conditions remain unresolved, or required corrective actions are rejected or fail.</t>
  </si>
  <si>
    <t>All proposed sites; applicable local requirements must also be checked.</t>
  </si>
  <si>
    <t>E01; E10; E11</t>
  </si>
  <si>
    <t>RS05</t>
  </si>
  <si>
    <t>Worker voice and remedy</t>
  </si>
  <si>
    <t>Respect freedom of association and collective bargaining. Provide accessible grievance channels and address concerns.</t>
  </si>
  <si>
    <t>Worker consultation; representation and grievance arrangements; complaint handling and remediation records.</t>
  </si>
  <si>
    <t>Evidence supports effective rights and access to remedy, including lawful alternative arrangements where relevant.</t>
  </si>
  <si>
    <t>A specific weakness is under a credible corrective plan; additional sourcing remains subject to resolving required safeguards.</t>
  </si>
  <si>
    <t>Confirmed serious suppression or retaliation remains unresolved, or the supplier refuses required corrective action.</t>
  </si>
  <si>
    <t>All proposed sites. A blank/No union field alone is not a failure.</t>
  </si>
  <si>
    <t>E01; E06; E10; E11</t>
  </si>
  <si>
    <t>RS06</t>
  </si>
  <si>
    <t>Materials and forced-labour traceability</t>
  </si>
  <si>
    <t>NEXT bans XUAR cotton and describes no direct sourcing from XUAR at Tiers 1-3. Raw-material traceability is a stated focus.</t>
  </si>
  <si>
    <t>Product-specific material and processing chain; cotton-origin evidence where applicable; investigation of forced-labour exposure.</t>
  </si>
  <si>
    <t>The relevant material chain is evidenced and meets applicable sourcing restrictions and forced-labour requirements.</t>
  </si>
  <si>
    <t>A specific traceability deficiency has an agreed evidence/verification action; no clearance before the required evidence is obtained.</t>
  </si>
  <si>
    <t>Confirmed prohibited cotton/source use or forced-labour exposure remains unresolved for the proposed product chain.</t>
  </si>
  <si>
    <t>Check all products for forced-labour exposure. Cotton-origin checks particularly affect 61091000 and 62052000.</t>
  </si>
  <si>
    <t>E03; E04</t>
  </si>
  <si>
    <t>RS07</t>
  </si>
  <si>
    <t>Remediation and evidence integrity</t>
  </si>
  <si>
    <t>NEXT agrees CAPs and monitors progress. It disengages where remediation is unsuccessful or willingness to improve is absent.</t>
  </si>
  <si>
    <t>Finding and CAP, accountable owner, agreed deadline, worker remedy, follow-up verification and reliable supporting records.</t>
  </si>
  <si>
    <t>Required corrective actions and remedy are verified, with any continuing monitoring in place.</t>
  </si>
  <si>
    <t>A credible agreed plan remains in progress and the site engages. Required closure precedes additional sourcing.</t>
  </si>
  <si>
    <t>Remediation fails or is refused, evidence is deliberately falsified, or current disengagement/no-production status is confirmed.</t>
  </si>
  <si>
    <t>Any candidate with findings or disputed records. Category 6 alone does not prove disengagement.</t>
  </si>
  <si>
    <t>E01; E02; E04; E05; E11</t>
  </si>
  <si>
    <t>RS08</t>
  </si>
  <si>
    <t>Risk-specific due diligence</t>
  </si>
  <si>
    <t>Apply additional checks where country, process or labour risks warrant them. NEXT describes enhanced measures in Myanmar and India.</t>
  </si>
  <si>
    <t>Relevant country/process risk review and evidence of required extra checks; named approval of safeguards for the proposed chain.</t>
  </si>
  <si>
    <t>Specific risks are assessed and the applicable safeguards are evidenced.</t>
  </si>
  <si>
    <t>An identified safeguard gap has an agreed action plan. Expansion awaits completion of required safeguards.</t>
  </si>
  <si>
    <t>Confirmed material risk cannot be controlled, or the candidate refuses or fails required enhanced measures.</t>
  </si>
  <si>
    <t>Myanmar: excluded from actionable alternatives pending D008 clearance. RS08 enhanced measures apply. Other country-specific safeguards remain applicable.</t>
  </si>
  <si>
    <t>E02; E03; E04; E05; E06; E12; E13</t>
  </si>
  <si>
    <t>Decision rules and WP008 handover</t>
  </si>
  <si>
    <t>Rule</t>
  </si>
  <si>
    <t>Pending</t>
  </si>
  <si>
    <t>Evidence absent, unclear or not matched to the site/product. Keep the outcome Pending; do not silently convert it to Conditional or Pass.</t>
  </si>
  <si>
    <t>Conditional</t>
  </si>
  <si>
    <t>An evidence-backed, remediable issue has an agreed action, owner and deadline. This is not permission for new production.</t>
  </si>
  <si>
    <t>Overall outcome</t>
  </si>
  <si>
    <t>Any confirmed mandatory Fail excludes the candidate from new allocation. Otherwise any Pending prevents clearance; then any Conditional remains conditional. Pass requires all applicable gates to pass.</t>
  </si>
  <si>
    <t>Historical annotations</t>
  </si>
  <si>
    <t>The February 2026 annotations are review leads. They do not establish current audit status, unauthorised production or confirmed non-compliance.</t>
  </si>
  <si>
    <t>Unannotated sites</t>
  </si>
  <si>
    <t>The remaining 1,462 Site IDs have no published exception annotation. They are not deemed audited, approved or compliant.</t>
  </si>
  <si>
    <t>Country scenarios</t>
  </si>
  <si>
    <t>WP008 may compare illustrative country/product economics subject to due diligence. Myanmar is excluded from actionable reallocation pending D008 clearance; benchmark comparison is not allocation eligibility.</t>
  </si>
  <si>
    <t>Site allocation</t>
  </si>
  <si>
    <t>No site in this public-evidence review is certified for allocation. Do not derive available capacity or allocation percentages from the 16 flags or site counts.</t>
  </si>
  <si>
    <t>Separate origin gate</t>
  </si>
  <si>
    <t>Responsible-sourcing traceability is distinct from customs origin and tariff eligibility. WP008 retains WP004 origin-evidence and preference/fallback scenarios.</t>
  </si>
  <si>
    <t>Scope</t>
  </si>
  <si>
    <t>Retain all 16 exceptions. Ten are APPAREL-labelled sites in selected countries, but the label does not establish capability in any locked CN8 code.</t>
  </si>
  <si>
    <t>SC treatment</t>
  </si>
  <si>
    <t>SafetyCulture is a plausible expansion because CRR p.12 names the platform. No reviewed source explicitly maps SC in the supplier list to it. Keep all five outcomes Pending.</t>
  </si>
  <si>
    <t>Published audit follow-up intervals | Context only; no automatic mapping to a project outcome</t>
  </si>
  <si>
    <t>NEXT category</t>
  </si>
  <si>
    <t>Description</t>
  </si>
  <si>
    <t>Follow-up interval</t>
  </si>
  <si>
    <t>1</t>
  </si>
  <si>
    <t>Excellent</t>
  </si>
  <si>
    <t>18-24 months</t>
  </si>
  <si>
    <t>2</t>
  </si>
  <si>
    <t>Good</t>
  </si>
  <si>
    <t>12 months</t>
  </si>
  <si>
    <t>3</t>
  </si>
  <si>
    <t>Fair</t>
  </si>
  <si>
    <t>9 months</t>
  </si>
  <si>
    <t>4</t>
  </si>
  <si>
    <t>Needs improvement</t>
  </si>
  <si>
    <t>6 months</t>
  </si>
  <si>
    <t>5</t>
  </si>
  <si>
    <t>Unacceptable</t>
  </si>
  <si>
    <t>6</t>
  </si>
  <si>
    <t>Absolutely unacceptable</t>
  </si>
  <si>
    <t>Case by case; immediate action</t>
  </si>
  <si>
    <t>Source: E02. Follow-up intervals are NEXT-reported practice, not invented expiry dates. Check the actual site-specific audit and decision.</t>
  </si>
  <si>
    <t>D008 implementation and gate coverage</t>
  </si>
  <si>
    <t/>
  </si>
  <si>
    <t>WP008: Myanmar receives zero new/reallocated share while excluded. This is a project eligibility restriction, not proof that every Myanmar site fails or that existing NEXT sourcing is zero.</t>
  </si>
  <si>
    <t>RS03-RS08 were considered but are not assessable from published annotations; they apply at candidate evaluation in WP008. RS08 also informs the Myanmar country decision above.</t>
  </si>
  <si>
    <t>Reconsider only on dated, site/product-specific evidence satisfying the applicable D008 gates and a recorded project decision. Thirteen sites and zero annotations do not establish clearance.</t>
  </si>
  <si>
    <t>Annotation base rates | Entire February 2026 Tier 1 site list, including APPAREL and HOME</t>
  </si>
  <si>
    <t>Country</t>
  </si>
  <si>
    <t>Listed Site IDs</t>
  </si>
  <si>
    <t>Annotated Site IDs</t>
  </si>
  <si>
    <t>Annotation rate</t>
  </si>
  <si>
    <t>Rate / India</t>
  </si>
  <si>
    <t>Rate / network</t>
  </si>
  <si>
    <t>China</t>
  </si>
  <si>
    <t>India</t>
  </si>
  <si>
    <t>Myanmar</t>
  </si>
  <si>
    <t>All</t>
  </si>
  <si>
    <t>Source: WP003 site_master snapshot reproduced in WP003_Reference (E09). Rates describe published annotations, not audit-failure or non-compliance rates.</t>
  </si>
  <si>
    <t>Small counts and a non-random disclosure process limit inference. No significance test was performed; these rates do not establish different underlying compliance risks.</t>
  </si>
  <si>
    <t>China has 44.4% of listed Site IDs. Its annotation rate is about 3.9x India and 1.6x the network rate; the network denominator includes China.</t>
  </si>
  <si>
    <t>All 16 exceptions are retained. These whole-network denominators must not be presented as garment-only or locked-CN8 compliance measures.</t>
  </si>
  <si>
    <t>WP003 annotation review</t>
  </si>
  <si>
    <t>Snapshot: February 2026 | Review: 16 September 2026 | One row per official Site ID. Outcomes concern evidence sufficiency, not a compliance verdict.</t>
  </si>
  <si>
    <t>Annotated sites</t>
  </si>
  <si>
    <t>Site not audited</t>
  </si>
  <si>
    <t>Cannot find on SC</t>
  </si>
  <si>
    <t>Pending reviews</t>
  </si>
  <si>
    <t>RS01-RS02 review annotation evidence only. RS03-RS08 were considered but cannot be assessed from annotations; apply them at WP008 candidate evaluation.</t>
  </si>
  <si>
    <t>Site_ID</t>
  </si>
  <si>
    <t>Published product label</t>
  </si>
  <si>
    <t>Site name</t>
  </si>
  <si>
    <t>Raw annotation</t>
  </si>
  <si>
    <t>Review outcome</t>
  </si>
  <si>
    <t>Evidence gap</t>
  </si>
  <si>
    <t>Required next evidence</t>
  </si>
  <si>
    <t>Basket relevance</t>
  </si>
  <si>
    <t>Source_record_ID</t>
  </si>
  <si>
    <t>PDF page</t>
  </si>
  <si>
    <t>Supplier label</t>
  </si>
  <si>
    <t>Gate / Evidence_ID</t>
  </si>
  <si>
    <t>16360</t>
  </si>
  <si>
    <t>Portugal</t>
  </si>
  <si>
    <t>APPAREL</t>
  </si>
  <si>
    <t>Felpos S Paio Unipessoal Lda</t>
  </si>
  <si>
    <t>site not audited</t>
  </si>
  <si>
    <t>Published unaudited annotation; timing, reason and any subsequent audit or approval are unverified.</t>
  </si>
  <si>
    <t>Obtain audit history, reason for annotation, current audit/follow-up evidence and production clearance.</t>
  </si>
  <si>
    <t>Country outside selected ten; APPAREL label only</t>
  </si>
  <si>
    <t>T1_2026_P08_R224</t>
  </si>
  <si>
    <t>Felpinter Industrias Texteis</t>
  </si>
  <si>
    <t>RS01; RS02; E08; E09</t>
  </si>
  <si>
    <t>16580</t>
  </si>
  <si>
    <t>HOME</t>
  </si>
  <si>
    <t>Heng Fa Hardware</t>
  </si>
  <si>
    <t>HOME; outside garment scope</t>
  </si>
  <si>
    <t>T1_2026_P06_R005</t>
  </si>
  <si>
    <t>Rj Binnie Ltd</t>
  </si>
  <si>
    <t>21361</t>
  </si>
  <si>
    <t>Taiwan</t>
  </si>
  <si>
    <t>Gain How Printing Co Ltd</t>
  </si>
  <si>
    <t>T1_2026_P09_R103</t>
  </si>
  <si>
    <t>Royce Enterprise Co Ltd</t>
  </si>
  <si>
    <t>25555</t>
  </si>
  <si>
    <t>Zhongshan Ronghua Leather Co Ltd</t>
  </si>
  <si>
    <t>Selected country; APPAREL label only</t>
  </si>
  <si>
    <t>T1_2026_P06_R028</t>
  </si>
  <si>
    <t>Shang Hai Newkeep Ltd Jl</t>
  </si>
  <si>
    <t>26061</t>
  </si>
  <si>
    <t>Lucpack Limited</t>
  </si>
  <si>
    <t>T1_2026_P04_R195</t>
  </si>
  <si>
    <t>Monro Ltd</t>
  </si>
  <si>
    <t>26527</t>
  </si>
  <si>
    <t>Huizhou Gao De Shoes Co Ltd</t>
  </si>
  <si>
    <t>T1_2026_P04_R010</t>
  </si>
  <si>
    <t>Grand Step (Hk) Ltd</t>
  </si>
  <si>
    <t>28834</t>
  </si>
  <si>
    <t>Haining Aolundannu Garments Co Ltd</t>
  </si>
  <si>
    <t>can't find on SC</t>
  </si>
  <si>
    <t>SC is undefined in the published list; audit-system absence and compliance status are unverified.</t>
  </si>
  <si>
    <t>Obtain authoritative SC definition and Site ID/system match, then current audit, findings and production clearance.</t>
  </si>
  <si>
    <t>T1_2026_P06_R059</t>
  </si>
  <si>
    <t>Sinoproud Import Export Corp</t>
  </si>
  <si>
    <t>RS01; RS02; E07; E08; E09</t>
  </si>
  <si>
    <t>28898</t>
  </si>
  <si>
    <t>Suzhou Eslite Textiles Corporation Ltd</t>
  </si>
  <si>
    <t>T1_2026_P06_R087</t>
  </si>
  <si>
    <t>Teng Jin Limited Wsl</t>
  </si>
  <si>
    <t>29016</t>
  </si>
  <si>
    <t>Chartered Company Limited</t>
  </si>
  <si>
    <t>T1_2026_P04_R082</t>
  </si>
  <si>
    <t>Inter-City Watch Company Ltd</t>
  </si>
  <si>
    <t>29073</t>
  </si>
  <si>
    <t>Dongguan Zhongxin Knitting Fashion Co Ltd</t>
  </si>
  <si>
    <t>T1_2026_P05_R037</t>
  </si>
  <si>
    <t>Nsl (Shanghai)</t>
  </si>
  <si>
    <t>29322</t>
  </si>
  <si>
    <t>Great Britain</t>
  </si>
  <si>
    <t>The Downland Bedding Company Ltd</t>
  </si>
  <si>
    <t>T1_2026_P06_R238</t>
  </si>
  <si>
    <t>29910</t>
  </si>
  <si>
    <t>Egypt</t>
  </si>
  <si>
    <t>Sahinler Egypt 2</t>
  </si>
  <si>
    <t>T1_2026_P06_R206</t>
  </si>
  <si>
    <t>Nsl (Turkey)</t>
  </si>
  <si>
    <t>30128</t>
  </si>
  <si>
    <t>Jiangyin Lidengya Garments Co Ltd</t>
  </si>
  <si>
    <t>T1_2026_P04_R165</t>
  </si>
  <si>
    <t>Market Fit Holding Ltd</t>
  </si>
  <si>
    <t>30202</t>
  </si>
  <si>
    <t>Guizhou Hongcheng Shoes Co Ltd</t>
  </si>
  <si>
    <t>T1_2026_P04_R086</t>
  </si>
  <si>
    <t>Jetshoes Co Ltd</t>
  </si>
  <si>
    <t>30360</t>
  </si>
  <si>
    <t>Haining Xinshixin Textile Co Ltd</t>
  </si>
  <si>
    <t>T1_2026_P04_R198</t>
  </si>
  <si>
    <t>Muvantex Nv Eur</t>
  </si>
  <si>
    <t>30751</t>
  </si>
  <si>
    <t>Kut &amp; Kraft</t>
  </si>
  <si>
    <t>T1_2026_P07_R120</t>
  </si>
  <si>
    <t>Source: E08-E09. A later disposition needs dated evidence and a recorded rationale; resolving an annotation alone does not clear all responsible-sourcing gates.</t>
  </si>
  <si>
    <t>Evidence register</t>
  </si>
  <si>
    <t/>
  </si>
  <si>
    <t>MS page numbers are printed page + 1 in the PDF viewer. CRR printed pages match PDF pages for the cited sections.</t>
  </si>
  <si>
    <t>Source_ID</t>
  </si>
  <si>
    <t>Document / filename</t>
  </si>
  <si>
    <t>Page or section</t>
  </si>
  <si>
    <t>Finding</t>
  </si>
  <si>
    <t>Evidence basis</t>
  </si>
  <si>
    <t>Limits / treatment</t>
  </si>
  <si>
    <t>Official URL / source</t>
  </si>
  <si>
    <t>E01</t>
  </si>
  <si>
    <t>NXT_CRR_2026</t>
  </si>
  <si>
    <t>NEXT_CRR_2026.pdf</t>
  </si>
  <si>
    <t>Printed/PDF pp.10-11</t>
  </si>
  <si>
    <t>COP compliance is a contractual condition. Suppliers provide due diligence before proposing sites; Tier 1 audits precede production. CAPs and continuous improvement govern issues.</t>
  </si>
  <si>
    <t>NEXT disclosure</t>
  </si>
  <si>
    <t>Group reporting scope differs from WP003 NEXT-brand snapshot. It provides policy context, not clearance of any named site.</t>
  </si>
  <si>
    <t>https://www.nextplc.co.uk/~/media/Files/N/next-plc-v4/documents/corporate-responsibility/corporate-responsibility-report-2026.pdf</t>
  </si>
  <si>
    <t>E02</t>
  </si>
  <si>
    <t>Printed/PDF pp.11-12</t>
  </si>
  <si>
    <t>SafetyCulture was introduced in 2025. Audit categories run from 1 to 6; category 6 requires immediate action and case-specific follow-up. Myanmar factories receive enhanced monitoring.</t>
  </si>
  <si>
    <t>2,708 audits are audit events, not unique WP003 sites. The 48 category-6 disengagements cannot be matched to the 16 annotations.</t>
  </si>
  <si>
    <t>E03</t>
  </si>
  <si>
    <t>NXT_MS_2026</t>
  </si>
  <si>
    <t>NEXT_Modern_Slavery_Statement_2026.pdf</t>
  </si>
  <si>
    <t>Printed p.7 / PDF p.8</t>
  </si>
  <si>
    <t>Unauthorised subcontracting requires investigation and remediation. NEXT bans XUAR cotton and reports no direct Tier 1-3 sourcing from XUAR. Country/process risks guide due diligence.</t>
  </si>
  <si>
    <t>32 subcontracting cases are reported without Site IDs. Do not attribute them to named sites or infer cotton origin from manufacturing country.</t>
  </si>
  <si>
    <t>https://www.nextplc.co.uk/corporate-responsibility/modern-slavery-transparency-statement</t>
  </si>
  <si>
    <t>E04</t>
  </si>
  <si>
    <t>Printed p.8 / PDF p.9</t>
  </si>
  <si>
    <t>42 modern-slavery-risk cases: 9 remediated, 12 under agreed remediation and 21 disengaged. Myanmar measures include unannounced audits every eight weeks.</t>
  </si>
  <si>
    <t>These are reported cases, not a failure rate for WP003. The statement does not identify the relevant Site IDs.</t>
  </si>
  <si>
    <t>E05</t>
  </si>
  <si>
    <t>Printed pp.9-10 / PDF pp.10-11</t>
  </si>
  <si>
    <t>Examples cover child labour, movement restrictions in India and migrant recruitment fees in Turkey. Outcomes include disengagement, verified remedy and ongoing corrective plans.</t>
  </si>
  <si>
    <t>No match to the 16 annotated Site IDs is evidenced. Country examples trigger investigation, not country-wide failure.</t>
  </si>
  <si>
    <t>E06</t>
  </si>
  <si>
    <t>Printed/PDF p.13</t>
  </si>
  <si>
    <t>Worker voice includes grievance access and remedy. Freedom-of-association issues in Turkey require engagement. Different countries use different grievance arrangements.</t>
  </si>
  <si>
    <t>A No/blank trade-union or committee field does not establish suppression of rights or absence of every grievance route.</t>
  </si>
  <si>
    <t>E07</t>
  </si>
  <si>
    <t>NXT_CRR_2026; NXT_SUP_T1_2026</t>
  </si>
  <si>
    <t>CRR and February 2026 Tier 1 list</t>
  </si>
  <si>
    <t>CRR p.12; supplier PDF pp.4-6</t>
  </si>
  <si>
    <t>CRR names SafetyCulture as the audit platform. The supplier list uses SC without defining it.</t>
  </si>
  <si>
    <t>Inference: plausible, unconfirmed</t>
  </si>
  <si>
    <t>No explicit acronym-to-platform mapping found in reviewed sources. Preserve SC verbatim; all five outcomes remain Pending.</t>
  </si>
  <si>
    <t>E08</t>
  </si>
  <si>
    <t>NXT_SUP_T1_2026</t>
  </si>
  <si>
    <t>NEXT_Tier1_Supplier_List_2026(1).pdf</t>
  </si>
  <si>
    <t>PDF pp.4-9; row-specific pages in Site_Review</t>
  </si>
  <si>
    <t>Verified all 16 raw annotations against source rows: 11 site not audited and 5 cannot-find-on-SC annotations, each on a distinct official Site ID.</t>
  </si>
  <si>
    <t>Direct published annotations</t>
  </si>
  <si>
    <t>Historical snapshot. An annotation does not show when production occurred, why an audit was absent or what happened later.</t>
  </si>
  <si>
    <t>https://www.nextplc.co.uk/~/media/Files/N/next-plc-v4/Tier%201%20-2%20-%203%20lists/PLC%20LIST%20FEB%202026%20-%20TIER1.pdf</t>
  </si>
  <si>
    <t>E09</t>
  </si>
  <si>
    <t>Derived: NXT_SUP_T1_2026</t>
  </si>
  <si>
    <t>NEXT_WP003_Tier1_Supplier_Footprint_2026(2).xlsx</t>
  </si>
  <si>
    <t>raw_tier1_relationships; site_master</t>
  </si>
  <si>
    <t>1,478 Site IDs; 16 flags; 12 APPAREL and 4 HOME. Ten APPAREL-labelled exceptions fall in selected countries: 9 China, 1 India.</t>
  </si>
  <si>
    <t>Reconciled WP003 extraction</t>
  </si>
  <si>
    <t>APPAREL is a coarse label and can include non-garment products. Flags are not available capacity, procurement value or confirmed audit failures.</t>
  </si>
  <si>
    <t/>
  </si>
  <si>
    <t>E10</t>
  </si>
  <si>
    <t>NXT_COP_PRINCIPLES_2024</t>
  </si>
  <si>
    <t>Code_of_Practice_Principle_Standards_August_2024.pdf</t>
  </si>
  <si>
    <t>Cover; PDF pp.2-4</t>
  </si>
  <si>
    <t>August 2024 issue lists ten standards, including Management Systems. Compliance and corrective action are conditions of the supplier relationship.</t>
  </si>
  <si>
    <t>Official linked policy</t>
  </si>
  <si>
    <t>Use the dated PDF: the web summary and MS statement list nine headings. Detailed supplier-portal policies were not accessible in this review.</t>
  </si>
  <si>
    <t>https://www.nextplc.co.uk/~/media/Files/N/Next-PLC-V2/documents/corporate-responsibility/Code_of_Practice_Principle_Standards_August_2024.pdf</t>
  </si>
  <si>
    <t>E11</t>
  </si>
  <si>
    <t>NXT_COP_AUDIT_2025</t>
  </si>
  <si>
    <t>_SUPPLIER Auditing Standards JUNE 2025.pdf</t>
  </si>
  <si>
    <t>Cover; sections 1, 2, 9 and 10 (PDF pp.2-3, 26-27)</t>
  </si>
  <si>
    <t>June 2025 cover governs version identification. Requirements include recruitment-fee controls, freedom of association, credible grievance channels and reliable records.</t>
  </si>
  <si>
    <t>Document search title says June 2024 but cover says June 2025. Finding severity is not automatic project clearance or disengagement.</t>
  </si>
  <si>
    <t>https://www.nextplc.co.uk/~/media/Files/N/next-plc-v4/corporate-responsibility/_SUPPLIER%20Auditing%20Standards%20JUNE%202025.pdf</t>
  </si>
  <si>
    <t>E12</t>
  </si>
  <si>
    <t/>
  </si>
  <si>
    <t/>
  </si>
  <si>
    <t/>
  </si>
  <si>
    <t>Mandatory responsible-sourcing requirements are minimum gates; cost advantages cannot offset failure. WP007 implements this decision.</t>
  </si>
  <si>
    <t>Governed project decision</t>
  </si>
  <si>
    <t>E13</t>
  </si>
  <si>
    <t/>
  </si>
  <si>
    <t/>
  </si>
  <si>
    <t/>
  </si>
  <si>
    <t>Sheet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</si>
  <si>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</si>
  <si>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</si>
  <si>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</si>
  <si>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</si>
  <si>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</si>
  <si>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</si>
  <si>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</si>
  <si>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</si>
  <si>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</si>
  <si>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</si>
  <si>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</si>
  <si>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</si>
  <si>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</si>
  <si>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</si>
  <si>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</si>
  <si>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</si>
  <si>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</si>
  <si>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</si>
  <si>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</si>
  <si>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</si>
  <si>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</si>
  <si>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</si>
  <si>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</si>
  <si>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</si>
  <si>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</si>
  <si>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</si>
  <si>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</si>
  <si>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</si>
  <si>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</si>
  <si>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</si>
  <si>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</si>
  <si>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</si>
  <si>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</si>
  <si>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</si>
  <si>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</si>
  <si>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</si>
  <si>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</si>
  <si>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</si>
  <si>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</si>
  <si>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</si>
  <si>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</si>
  <si>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</si>
  <si>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</si>
  <si>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</si>
  <si>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</si>
  <si>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</si>
  <si>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</si>
  <si>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</si>
  <si>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</si>
  <si>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</si>
  <si>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</si>
  <si>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</si>
  <si>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</si>
  <si>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</si>
  <si>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</si>
  <si>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</si>
  <si>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</si>
  <si>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</si>
  <si>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</si>
  <si>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</si>
  <si>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</si>
  <si>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</si>
  <si>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</si>
  <si>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</si>
  <si>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</si>
  <si>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</si>
  <si>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</si>
  <si>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</si>
  <si>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</si>
  <si>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</si>
  <si>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</si>
  <si>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</si>
  <si>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</si>
  <si>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</si>
  <si>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</si>
  <si>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</si>
  <si>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</si>
  <si>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</si>
  <si>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</si>
  <si>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</si>
  <si>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</si>
  <si>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</si>
  <si>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</si>
  <si>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</si>
  <si>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</si>
  <si>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</si>
  <si>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</si>
  <si>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</si>
  <si>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</si>
  <si>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</si>
  <si>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</si>
  <si>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</si>
  <si>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</si>
  <si>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</si>
  <si>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</si>
  <si>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</si>
  <si>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</si>
  <si>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</si>
  <si>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</si>
  <si>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</si>
  <si>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</si>
  <si>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</si>
  <si>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</si>
  <si>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</si>
  <si>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</si>
  <si>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</si>
  <si>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</si>
  <si>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</si>
  <si>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</si>
  <si>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WP007 quality checks</t>
  </si>
  <si>
    <t>Checks recalculate against the included WP003 reference and current workbook rows. Counts cover the fixed 16-record review and eight-gate framework.</t>
  </si>
  <si>
    <t>QC is a terminal check: no decision, annotation rate or outcome is calculated from these results.</t>
  </si>
  <si>
    <t>Check_ID</t>
  </si>
  <si>
    <t>Check</t>
  </si>
  <si>
    <t>Expected</t>
  </si>
  <si>
    <t>Actual</t>
  </si>
  <si>
    <t>Exceptions</t>
  </si>
  <si>
    <t>Result</t>
  </si>
  <si>
    <t>Allowed outcomes</t>
  </si>
  <si>
    <t>QC001</t>
  </si>
  <si>
    <t>Annotations reconcile to WP003</t>
  </si>
  <si>
    <t>QC002</t>
  </si>
  <si>
    <t>Site IDs distinct and source-matched</t>
  </si>
  <si>
    <t>Pass</t>
  </si>
  <si>
    <t>QC003</t>
  </si>
  <si>
    <t>Country and product match WP003</t>
  </si>
  <si>
    <t>QC004</t>
  </si>
  <si>
    <t>Outcomes within allowed domain</t>
  </si>
  <si>
    <t>Fail</t>
  </si>
  <si>
    <t>QC005</t>
  </si>
  <si>
    <t>Evidence and gate references resolve</t>
  </si>
  <si>
    <t>Source_ID matches</t>
  </si>
  <si>
    <t>Annotation matches</t>
  </si>
  <si>
    <t>Country matches</t>
  </si>
  <si>
    <t>Product matches</t>
  </si>
  <si>
    <t>Valid outcome</t>
  </si>
  <si>
    <t>Distinct ID</t>
  </si>
  <si>
    <t>Country + product</t>
  </si>
  <si>
    <t>Reference cell</t>
  </si>
  <si>
    <t>Current references</t>
  </si>
  <si>
    <t>Unresolved / invalid</t>
  </si>
  <si>
    <t>Token 1</t>
  </si>
  <si>
    <t>Token 2</t>
  </si>
  <si>
    <t>Token 3</t>
  </si>
  <si>
    <t>Token 4</t>
  </si>
  <si>
    <t>Token 5</t>
  </si>
  <si>
    <t>Token 6</t>
  </si>
  <si>
    <t>Token 7</t>
  </si>
  <si>
    <t>Token 8</t>
  </si>
  <si>
    <t>Token 1 issues</t>
  </si>
  <si>
    <t>Token 2 issues</t>
  </si>
  <si>
    <t>Token 3 issues</t>
  </si>
  <si>
    <t>Token 4 issues</t>
  </si>
  <si>
    <t>Token 5 issues</t>
  </si>
  <si>
    <t>Token 6 issues</t>
  </si>
  <si>
    <t>Token 7 issues</t>
  </si>
  <si>
    <t>Token 8 issues</t>
  </si>
  <si>
    <t>Gate_Matrix</t>
  </si>
  <si>
    <t>I11</t>
  </si>
  <si>
    <t>I12</t>
  </si>
  <si>
    <t>I13</t>
  </si>
  <si>
    <t>I14</t>
  </si>
  <si>
    <t>I15</t>
  </si>
  <si>
    <t>I16</t>
  </si>
  <si>
    <t>I17</t>
  </si>
  <si>
    <t>I18</t>
  </si>
  <si>
    <t>Site_Review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</si>
  <si>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</si>
  <si>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</si>
  <si>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</si>
  <si>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</si>
  <si>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</si>
  <si>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</si>
  <si>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</si>
  <si>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</si>
  <si>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</si>
  <si>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</si>
  <si>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</si>
  <si>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</si>
  <si>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</si>
  <si>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</si>
  <si>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</si>
  <si>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</si>
  <si>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WP003 reference snapshot</t>
  </si>
  <si>
    <t>Source: NEXT_WP003_Tier1_Supplier_Footprint_2026(2).xlsx / site_master. Relevant fields copied unchanged; February 2026 snapshot.</t>
  </si>
  <si>
    <t>One row per official Site ID. These source inputs support annotation rates and QC; the original WP003 workbook remains the governed source.</t>
  </si>
  <si>
    <t>Product_label</t>
  </si>
  <si>
    <t>Audit_annotation_raw</t>
  </si>
  <si>
    <t>Review_flag</t>
  </si>
  <si>
    <t>Source_record_IDs</t>
  </si>
  <si>
    <t>80</t>
  </si>
  <si>
    <t>Lithuania</t>
  </si>
  <si>
    <t>T1_2026_P08_R112</t>
  </si>
  <si>
    <t>102</t>
  </si>
  <si>
    <t>Italy</t>
  </si>
  <si>
    <t>T1_2026_P08_R104</t>
  </si>
  <si>
    <t>196</t>
  </si>
  <si>
    <t>T1_2026_P06_R123</t>
  </si>
  <si>
    <t>208</t>
  </si>
  <si>
    <t>Turkey</t>
  </si>
  <si>
    <t>T1_2026_P09_R179</t>
  </si>
  <si>
    <t>212</t>
  </si>
  <si>
    <t>T1_2026_P07_R010</t>
  </si>
  <si>
    <t>288</t>
  </si>
  <si>
    <t>Vietnam</t>
  </si>
  <si>
    <t>T1_2026_P10_R011</t>
  </si>
  <si>
    <t>355</t>
  </si>
  <si>
    <t>United Arab Emirates</t>
  </si>
  <si>
    <t>T1_2026_P09_R239</t>
  </si>
  <si>
    <t>377</t>
  </si>
  <si>
    <t>T1_2026_P07_R136</t>
  </si>
  <si>
    <t>527</t>
  </si>
  <si>
    <t>Mauritius</t>
  </si>
  <si>
    <t>T1_2026_P08_R114</t>
  </si>
  <si>
    <t>537</t>
  </si>
  <si>
    <t>Thailand</t>
  </si>
  <si>
    <t>T1_2026_P09_R106</t>
  </si>
  <si>
    <t>641</t>
  </si>
  <si>
    <t>Morocco</t>
  </si>
  <si>
    <t>T1_2026_P08_R122 | T1_2026_P08_R140 | T1_2026_P08_R144</t>
  </si>
  <si>
    <t>665</t>
  </si>
  <si>
    <t>T1_2026_P04_R133</t>
  </si>
  <si>
    <t>694</t>
  </si>
  <si>
    <t>T1_2026_P05_R079</t>
  </si>
  <si>
    <t>827</t>
  </si>
  <si>
    <t>T1_2026_P09_R132 | T1_2026_P09_R138 | T1_2026_P09_R186 | T1_2026_P09_R202 | T1_2026_P09_R209</t>
  </si>
  <si>
    <t>873</t>
  </si>
  <si>
    <t>T1_2026_P08_R221</t>
  </si>
  <si>
    <t>903</t>
  </si>
  <si>
    <t>Pakistan</t>
  </si>
  <si>
    <t>T1_2026_P08_R210</t>
  </si>
  <si>
    <t>909</t>
  </si>
  <si>
    <t>Bangladesh</t>
  </si>
  <si>
    <t>T1_2026_P01_R137</t>
  </si>
  <si>
    <t>956</t>
  </si>
  <si>
    <t>T1_2026_P01_R195 | T1_2026_P02_R007</t>
  </si>
  <si>
    <t>972</t>
  </si>
  <si>
    <t>T1_2026_P08_R160</t>
  </si>
  <si>
    <t>1017</t>
  </si>
  <si>
    <t>T1_2026_P06_R074</t>
  </si>
  <si>
    <t>1027</t>
  </si>
  <si>
    <t>Sri Lanka</t>
  </si>
  <si>
    <t>T1_2026_P09_R035</t>
  </si>
  <si>
    <t>1069</t>
  </si>
  <si>
    <t>T1_2026_P09_R001 | T1_2026_P09_R032 | T1_2026_P09_R068</t>
  </si>
  <si>
    <t>1070</t>
  </si>
  <si>
    <t>T1_2026_P08_R161 | T1_2026_P08_R162 | T1_2026_P08_R174 | T1_2026_P08_R175 | T1_2026_P08_R205</t>
  </si>
  <si>
    <t>1083</t>
  </si>
  <si>
    <t>T1_2026_P06_R210</t>
  </si>
  <si>
    <t>1172</t>
  </si>
  <si>
    <t>T1_2026_P09_R069</t>
  </si>
  <si>
    <t>1209</t>
  </si>
  <si>
    <t>T1_2026_P09_R025</t>
  </si>
  <si>
    <t>1257</t>
  </si>
  <si>
    <t>T1_2026_P08_R107</t>
  </si>
  <si>
    <t>1266</t>
  </si>
  <si>
    <t>T1_2026_P01_R052 | T1_2026_P01_R074 | T1_2026_P01_R103 | T1_2026_P01_R140 | T1_2026_P01_R161 | T1_2026_P02_R079 | T1_2026_P02_R130</t>
  </si>
  <si>
    <t>1273</t>
  </si>
  <si>
    <t>T1_2026_P09_R130 | T1_2026_P09_R142 | T1_2026_P09_R172</t>
  </si>
  <si>
    <t>1376</t>
  </si>
  <si>
    <t>T1_2026_P01_R058 | T1_2026_P01_R119 | T1_2026_P01_R149 | T1_2026_P02_R136</t>
  </si>
  <si>
    <t>1377</t>
  </si>
  <si>
    <t>T1_2026_P01_R090 | T1_2026_P01_R130</t>
  </si>
  <si>
    <t>1393</t>
  </si>
  <si>
    <t>T1_2026_P03_R138 | T1_2026_P05_R063</t>
  </si>
  <si>
    <t>1398</t>
  </si>
  <si>
    <t>T1_2026_P07_R011 | T1_2026_P07_R145</t>
  </si>
  <si>
    <t>1415</t>
  </si>
  <si>
    <t>T1_2026_P03_R122 | T1_2026_P04_R108</t>
  </si>
  <si>
    <t>1417</t>
  </si>
  <si>
    <t>T1_2026_P03_R132 | T1_2026_P03_R187 | T1_2026_P04_R176 | T1_2026_P04_R201</t>
  </si>
  <si>
    <t>1605</t>
  </si>
  <si>
    <t>T1_2026_P07_R112</t>
  </si>
  <si>
    <t>1609</t>
  </si>
  <si>
    <t>T1_2026_P07_R055 | T1_2026_P08_R039 | T1_2026_P08_R040</t>
  </si>
  <si>
    <t>1685</t>
  </si>
  <si>
    <t>T1_2026_P06_R040</t>
  </si>
  <si>
    <t>1696</t>
  </si>
  <si>
    <t>T1_2026_P04_R071</t>
  </si>
  <si>
    <t>1734</t>
  </si>
  <si>
    <t>T1_2026_P07_R075</t>
  </si>
  <si>
    <t>1755</t>
  </si>
  <si>
    <t>T1_2026_P08_R098</t>
  </si>
  <si>
    <t>1801</t>
  </si>
  <si>
    <t>T1_2026_P04_R174</t>
  </si>
  <si>
    <t>1815</t>
  </si>
  <si>
    <t>T1_2026_P04_R061</t>
  </si>
  <si>
    <t>1830</t>
  </si>
  <si>
    <t>T1_2026_P03_R118 | T1_2026_P04_R148 | T1_2026_P06_R108</t>
  </si>
  <si>
    <t>1986</t>
  </si>
  <si>
    <t>T1_2026_P06_R039</t>
  </si>
  <si>
    <t>2063</t>
  </si>
  <si>
    <t>T1_2026_P04_R057</t>
  </si>
  <si>
    <t>2116</t>
  </si>
  <si>
    <t>Estonia</t>
  </si>
  <si>
    <t>T1_2026_P06_R209</t>
  </si>
  <si>
    <t>2127</t>
  </si>
  <si>
    <t>T1_2026_P06_R176 | T1_2026_P06_R177</t>
  </si>
  <si>
    <t>2129</t>
  </si>
  <si>
    <t>T1_2026_P08_R226</t>
  </si>
  <si>
    <t>2145</t>
  </si>
  <si>
    <t>T1_2026_P06_R096 | T1_2026_P06_R097</t>
  </si>
  <si>
    <t>2203</t>
  </si>
  <si>
    <t>T1_2026_P09_R135 | T1_2026_P09_R144 | T1_2026_P09_R160</t>
  </si>
  <si>
    <t>2204</t>
  </si>
  <si>
    <t>T1_2026_P03_R163</t>
  </si>
  <si>
    <t>2213</t>
  </si>
  <si>
    <t>T1_2026_P07_R175</t>
  </si>
  <si>
    <t>2282</t>
  </si>
  <si>
    <t>T1_2026_P07_R151 | T1_2026_P07_R191</t>
  </si>
  <si>
    <t>2429</t>
  </si>
  <si>
    <t>T1_2026_P07_R081</t>
  </si>
  <si>
    <t>2435</t>
  </si>
  <si>
    <t>T1_2026_P07_R126 | T1_2026_P07_R148</t>
  </si>
  <si>
    <t>2436</t>
  </si>
  <si>
    <t>T1_2026_P07_R142 | T1_2026_P07_R209</t>
  </si>
  <si>
    <t>2439</t>
  </si>
  <si>
    <t>T1_2026_P07_R048 | T1_2026_P07_R114</t>
  </si>
  <si>
    <t>2444</t>
  </si>
  <si>
    <t>T1_2026_P07_R231</t>
  </si>
  <si>
    <t>2531</t>
  </si>
  <si>
    <t>T1_2026_P08_R235 | T1_2026_P08_R237 | T1_2026_P08_R239 | T1_2026_P09_R004 | T1_2026_P09_R018 | T1_2026_P09_R024 | T1_2026_P09_R030 | T1_2026_P09_R059 | T1_2026_P09_R084 | T1_2026_P09_R100</t>
  </si>
  <si>
    <t>2539</t>
  </si>
  <si>
    <t>T1_2026_P07_R087 | T1_2026_P07_R215</t>
  </si>
  <si>
    <t>2548</t>
  </si>
  <si>
    <t>T1_2026_P09_R012 | T1_2026_P09_R080</t>
  </si>
  <si>
    <t>2807</t>
  </si>
  <si>
    <t>T1_2026_P10_R019</t>
  </si>
  <si>
    <t>2853</t>
  </si>
  <si>
    <t>T1_2026_P09_R064 | T1_2026_P09_R089</t>
  </si>
  <si>
    <t>2864</t>
  </si>
  <si>
    <t>T1_2026_P08_R158</t>
  </si>
  <si>
    <t>2894</t>
  </si>
  <si>
    <t>T1_2026_P07_R015 | T1_2026_P07_R047</t>
  </si>
  <si>
    <t>2980</t>
  </si>
  <si>
    <t>T1_2026_P08_R102</t>
  </si>
  <si>
    <t>3173</t>
  </si>
  <si>
    <t>T1_2026_P08_R185</t>
  </si>
  <si>
    <t>3174</t>
  </si>
  <si>
    <t>T1_2026_P08_R194</t>
  </si>
  <si>
    <t>3313</t>
  </si>
  <si>
    <t>T1_2026_P03_R165</t>
  </si>
  <si>
    <t>3336</t>
  </si>
  <si>
    <t>T1_2026_P08_R181</t>
  </si>
  <si>
    <t>3338</t>
  </si>
  <si>
    <t>T1_2026_P03_R218</t>
  </si>
  <si>
    <t>3349</t>
  </si>
  <si>
    <t>T1_2026_P04_R031</t>
  </si>
  <si>
    <t>3438</t>
  </si>
  <si>
    <t>T1_2026_P08_R214</t>
  </si>
  <si>
    <t>3450</t>
  </si>
  <si>
    <t>T1_2026_P01_R037 | T1_2026_P01_R056 | T1_2026_P01_R077 | T1_2026_P01_R148 | T1_2026_P02_R074 | T1_2026_P02_R132</t>
  </si>
  <si>
    <t>3469</t>
  </si>
  <si>
    <t>T1_2026_P01_R178 | T1_2026_P02_R064 | T1_2026_P02_R135</t>
  </si>
  <si>
    <t>3539</t>
  </si>
  <si>
    <t>T1_2026_P04_R032 | T1_2026_P05_R049</t>
  </si>
  <si>
    <t>3552</t>
  </si>
  <si>
    <t>T1_2026_P04_R120 | T1_2026_P05_R071</t>
  </si>
  <si>
    <t>3573</t>
  </si>
  <si>
    <t>T1_2026_P04_R015</t>
  </si>
  <si>
    <t>3587</t>
  </si>
  <si>
    <t>T1_2026_P01_R151</t>
  </si>
  <si>
    <t>3589</t>
  </si>
  <si>
    <t>T1_2026_P02_R096 | T1_2026_P02_R146</t>
  </si>
  <si>
    <t>3609</t>
  </si>
  <si>
    <t>T1_2026_P04_R129</t>
  </si>
  <si>
    <t>3612</t>
  </si>
  <si>
    <t>T1_2026_P03_R171</t>
  </si>
  <si>
    <t>3615</t>
  </si>
  <si>
    <t>T1_2026_P09_R120</t>
  </si>
  <si>
    <t>3644</t>
  </si>
  <si>
    <t>T1_2026_P01_R174</t>
  </si>
  <si>
    <t>3662</t>
  </si>
  <si>
    <t>T1_2026_P03_R233</t>
  </si>
  <si>
    <t>3675</t>
  </si>
  <si>
    <t>T1_2026_P03_R057 | T1_2026_P03_R078 | T1_2026_P03_R111 | T1_2026_P03_R130 | T1_2026_P03_R137 | T1_2026_P04_R035 | T1_2026_P05_R191</t>
  </si>
  <si>
    <t>3694</t>
  </si>
  <si>
    <t>T1_2026_P04_R069</t>
  </si>
  <si>
    <t>3700</t>
  </si>
  <si>
    <t>T1_2026_P10_R022</t>
  </si>
  <si>
    <t>3703</t>
  </si>
  <si>
    <t>T1_2026_P03_R172</t>
  </si>
  <si>
    <t>3716</t>
  </si>
  <si>
    <t>T1_2026_P05_R098 | T1_2026_P05_R172</t>
  </si>
  <si>
    <t>3825</t>
  </si>
  <si>
    <t>T1_2026_P05_R100 | T1_2026_P05_R101</t>
  </si>
  <si>
    <t>3850</t>
  </si>
  <si>
    <t>T1_2026_P03_R149 | T1_2026_P04_R199</t>
  </si>
  <si>
    <t>3868</t>
  </si>
  <si>
    <t>T1_2026_P05_R092 | T1_2026_P05_R166</t>
  </si>
  <si>
    <t>3947</t>
  </si>
  <si>
    <t>T1_2026_P10_R002</t>
  </si>
  <si>
    <t>3953</t>
  </si>
  <si>
    <t>T1_2026_P04_R067 | T1_2026_P05_R059 | T1_2026_P05_R142</t>
  </si>
  <si>
    <t>4005</t>
  </si>
  <si>
    <t>T1_2026_P04_R119 | T1_2026_P04_R126</t>
  </si>
  <si>
    <t>4009</t>
  </si>
  <si>
    <t>T1_2026_P05_R021</t>
  </si>
  <si>
    <t>4075</t>
  </si>
  <si>
    <t>T1_2026_P06_R230</t>
  </si>
  <si>
    <t>4090</t>
  </si>
  <si>
    <t>T1_2026_P09_R153</t>
  </si>
  <si>
    <t>4101</t>
  </si>
  <si>
    <t>T1_2026_P05_R234</t>
  </si>
  <si>
    <t>4240</t>
  </si>
  <si>
    <t>T1_2026_P03_R152</t>
  </si>
  <si>
    <t>4251</t>
  </si>
  <si>
    <t>T1_2026_P05_R185</t>
  </si>
  <si>
    <t>4395</t>
  </si>
  <si>
    <t>T1_2026_P01_R212</t>
  </si>
  <si>
    <t>4402</t>
  </si>
  <si>
    <t>Romania</t>
  </si>
  <si>
    <t>T1_2026_P08_R230</t>
  </si>
  <si>
    <t>4433</t>
  </si>
  <si>
    <t>T1_2026_P06_R007</t>
  </si>
  <si>
    <t>4436</t>
  </si>
  <si>
    <t>T1_2026_P09_R175</t>
  </si>
  <si>
    <t>4454</t>
  </si>
  <si>
    <t>T1_2026_P05_R110</t>
  </si>
  <si>
    <t>4567</t>
  </si>
  <si>
    <t>T1_2026_P04_R064</t>
  </si>
  <si>
    <t>4574</t>
  </si>
  <si>
    <t>T1_2026_P07_R135</t>
  </si>
  <si>
    <t>4929</t>
  </si>
  <si>
    <t>T1_2026_P09_R176</t>
  </si>
  <si>
    <t>4930</t>
  </si>
  <si>
    <t>T1_2026_P04_R049</t>
  </si>
  <si>
    <t>4979</t>
  </si>
  <si>
    <t>T1_2026_P06_R231</t>
  </si>
  <si>
    <t>5043</t>
  </si>
  <si>
    <t>T1_2026_P07_R149 | T1_2026_P07_R189</t>
  </si>
  <si>
    <t>5165</t>
  </si>
  <si>
    <t>T1_2026_P10_R003 | T1_2026_P10_R030 | T1_2026_P10_R032 | T1_2026_P10_R045</t>
  </si>
  <si>
    <t>5179</t>
  </si>
  <si>
    <t>T1_2026_P04_R188</t>
  </si>
  <si>
    <t>5235</t>
  </si>
  <si>
    <t>T1_2026_P01_R003 | T1_2026_P01_R199</t>
  </si>
  <si>
    <t>5262</t>
  </si>
  <si>
    <t>T1_2026_P05_R104</t>
  </si>
  <si>
    <t>5421</t>
  </si>
  <si>
    <t>Czech Republic</t>
  </si>
  <si>
    <t>T1_2026_P06_R198</t>
  </si>
  <si>
    <t>5475</t>
  </si>
  <si>
    <t>T1_2026_P02_R077</t>
  </si>
  <si>
    <t>5514</t>
  </si>
  <si>
    <t>T1_2026_P09_R105</t>
  </si>
  <si>
    <t>5548</t>
  </si>
  <si>
    <t>T1_2026_P01_R006 | T1_2026_P01_R022 | T1_2026_P01_R030 | T1_2026_P01_R038 | T1_2026_P01_R057 | T1_2026_P01_R087 | T1_2026_P01_R153</t>
  </si>
  <si>
    <t>5655</t>
  </si>
  <si>
    <t>T1_2026_P04_R203</t>
  </si>
  <si>
    <t>5754</t>
  </si>
  <si>
    <t>T1_2026_P01_R152 | T1_2026_P01_R208</t>
  </si>
  <si>
    <t>5785</t>
  </si>
  <si>
    <t>T1_2026_P08_R183 | T1_2026_P08_R190 | T1_2026_P08_R201</t>
  </si>
  <si>
    <t>5792</t>
  </si>
  <si>
    <t>T1_2026_P06_R106</t>
  </si>
  <si>
    <t>5872</t>
  </si>
  <si>
    <t>T1_2026_P05_R096 | T1_2026_P05_R169</t>
  </si>
  <si>
    <t>5892</t>
  </si>
  <si>
    <t>T1_2026_P05_R200</t>
  </si>
  <si>
    <t>5963</t>
  </si>
  <si>
    <t>T1_2026_P02_R031</t>
  </si>
  <si>
    <t>5987</t>
  </si>
  <si>
    <t>T1_2026_P01_R082 | T1_2026_P01_R167 | T1_2026_P02_R067 | T1_2026_P02_R148</t>
  </si>
  <si>
    <t>6026</t>
  </si>
  <si>
    <t>T1_2026_P03_R169</t>
  </si>
  <si>
    <t>6097</t>
  </si>
  <si>
    <t>T1_2026_P04_R059</t>
  </si>
  <si>
    <t>6107</t>
  </si>
  <si>
    <t>T1_2026_P09_R154 | T1_2026_P09_R177</t>
  </si>
  <si>
    <t>6174</t>
  </si>
  <si>
    <t>T1_2026_P06_R204</t>
  </si>
  <si>
    <t>6220</t>
  </si>
  <si>
    <t>T1_2026_P03_R115 | T1_2026_P04_R127</t>
  </si>
  <si>
    <t>6233</t>
  </si>
  <si>
    <t>T1_2026_P03_R139 | T1_2026_P04_R132</t>
  </si>
  <si>
    <t>6320</t>
  </si>
  <si>
    <t>T1_2026_P02_R134</t>
  </si>
  <si>
    <t>6642</t>
  </si>
  <si>
    <t>T1_2026_P09_R028</t>
  </si>
  <si>
    <t>6646</t>
  </si>
  <si>
    <t>T1_2026_P08_R199</t>
  </si>
  <si>
    <t>6680</t>
  </si>
  <si>
    <t>T1_2026_P08_R108</t>
  </si>
  <si>
    <t>6694</t>
  </si>
  <si>
    <t>T1_2026_P08_R191</t>
  </si>
  <si>
    <t>6784</t>
  </si>
  <si>
    <t>T1_2026_P09_R066 | T1_2026_P09_R091</t>
  </si>
  <si>
    <t>6875</t>
  </si>
  <si>
    <t>T1_2026_P01_R175</t>
  </si>
  <si>
    <t>6892</t>
  </si>
  <si>
    <t>T1_2026_P03_R074 | T1_2026_P03_R107 | T1_2026_P03_R126 | T1_2026_P03_R240 | T1_2026_P04_R217 | T1_2026_P05_R045 | T1_2026_P05_R133 | T1_2026_P06_R161</t>
  </si>
  <si>
    <t>6921</t>
  </si>
  <si>
    <t>T1_2026_P01_R045 | T1_2026_P01_R065 | T1_2026_P01_R233</t>
  </si>
  <si>
    <t>6933</t>
  </si>
  <si>
    <t>T1_2026_P04_R115</t>
  </si>
  <si>
    <t>6965</t>
  </si>
  <si>
    <t>T1_2026_P04_R105 | T1_2026_P05_R230 | T1_2026_P05_R232</t>
  </si>
  <si>
    <t>6993</t>
  </si>
  <si>
    <t>T1_2026_P04_R185</t>
  </si>
  <si>
    <t>7028</t>
  </si>
  <si>
    <t>T1_2026_P07_R093 | T1_2026_P08_R043</t>
  </si>
  <si>
    <t>7048</t>
  </si>
  <si>
    <t>T1_2026_P08_R127</t>
  </si>
  <si>
    <t>7079</t>
  </si>
  <si>
    <t>T1_2026_P09_R102</t>
  </si>
  <si>
    <t>7084</t>
  </si>
  <si>
    <t>T1_2026_P09_R118</t>
  </si>
  <si>
    <t>7095</t>
  </si>
  <si>
    <t>T1_2026_P04_R007</t>
  </si>
  <si>
    <t>7109</t>
  </si>
  <si>
    <t>T1_2026_P07_R012 | T1_2026_P08_R036</t>
  </si>
  <si>
    <t>7125</t>
  </si>
  <si>
    <t>T1_2026_P03_R219</t>
  </si>
  <si>
    <t>7175</t>
  </si>
  <si>
    <t>T1_2026_P08_R111</t>
  </si>
  <si>
    <t>7190</t>
  </si>
  <si>
    <t>T1_2026_P04_R237 | T1_2026_P06_R144</t>
  </si>
  <si>
    <t>7193</t>
  </si>
  <si>
    <t>T1_2026_P02_R073 | T1_2026_P02_R083</t>
  </si>
  <si>
    <t>7216</t>
  </si>
  <si>
    <t>T1_2026_P03_R064 | T1_2026_P03_R067 | T1_2026_P03_R119 | T1_2026_P03_R237 | T1_2026_P06_R052</t>
  </si>
  <si>
    <t>7311</t>
  </si>
  <si>
    <t>T1_2026_P09_R178</t>
  </si>
  <si>
    <t>7317</t>
  </si>
  <si>
    <t>T1_2026_P01_R181</t>
  </si>
  <si>
    <t>7342</t>
  </si>
  <si>
    <t>T1_2026_P06_R208</t>
  </si>
  <si>
    <t>7343</t>
  </si>
  <si>
    <t>T1_2026_P09_R238</t>
  </si>
  <si>
    <t>7399</t>
  </si>
  <si>
    <t>T1_2026_P02_R094 | T1_2026_P02_R108</t>
  </si>
  <si>
    <t>7401</t>
  </si>
  <si>
    <t>T1_2026_P08_R182</t>
  </si>
  <si>
    <t>7410</t>
  </si>
  <si>
    <t>T1_2026_P07_R129</t>
  </si>
  <si>
    <t>7412</t>
  </si>
  <si>
    <t>T1_2026_P03_R178</t>
  </si>
  <si>
    <t>7462</t>
  </si>
  <si>
    <t>T1_2026_P07_R130 | T1_2026_P07_R156 | T1_2026_P07_R196</t>
  </si>
  <si>
    <t>7485</t>
  </si>
  <si>
    <t>T1_2026_P04_R128</t>
  </si>
  <si>
    <t>7529</t>
  </si>
  <si>
    <t>T1_2026_P01_R138 | T1_2026_P01_R187</t>
  </si>
  <si>
    <t>7557</t>
  </si>
  <si>
    <t>T1_2026_P02_R131</t>
  </si>
  <si>
    <t>7572</t>
  </si>
  <si>
    <t>T1_2026_P05_R080</t>
  </si>
  <si>
    <t>7589</t>
  </si>
  <si>
    <t>T1_2026_P06_R229</t>
  </si>
  <si>
    <t>7601</t>
  </si>
  <si>
    <t>T1_2026_P06_R046</t>
  </si>
  <si>
    <t>7628</t>
  </si>
  <si>
    <t>T1_2026_P03_R028 | T1_2026_P03_R059 | T1_2026_P03_R065 | T1_2026_P03_R085 | T1_2026_P03_R113 | T1_2026_P03_R157 | T1_2026_P03_R235 | T1_2026_P04_R043</t>
  </si>
  <si>
    <t>7634</t>
  </si>
  <si>
    <t>T1_2026_P06_R079</t>
  </si>
  <si>
    <t>7662</t>
  </si>
  <si>
    <t>T1_2026_P04_R134</t>
  </si>
  <si>
    <t>7685</t>
  </si>
  <si>
    <t>T1_2026_P03_R236 | T1_2026_P05_R084 | T1_2026_P05_R122</t>
  </si>
  <si>
    <t>7723</t>
  </si>
  <si>
    <t>T1_2026_P05_R214</t>
  </si>
  <si>
    <t>7729</t>
  </si>
  <si>
    <t>T1_2026_P04_R005</t>
  </si>
  <si>
    <t>7735</t>
  </si>
  <si>
    <t>T1_2026_P05_R225</t>
  </si>
  <si>
    <t>7773</t>
  </si>
  <si>
    <t>T1_2026_P03_R092</t>
  </si>
  <si>
    <t>7781</t>
  </si>
  <si>
    <t>T1_2026_P06_R237</t>
  </si>
  <si>
    <t>7839</t>
  </si>
  <si>
    <t>T1_2026_P04_R175 | T1_2026_P04_R214 | T1_2026_P04_R240</t>
  </si>
  <si>
    <t>7903</t>
  </si>
  <si>
    <t>T1_2026_P08_R163</t>
  </si>
  <si>
    <t>7908</t>
  </si>
  <si>
    <t>T1_2026_P04_R034 | T1_2026_P05_R052 | T1_2026_P05_R138</t>
  </si>
  <si>
    <t>7938</t>
  </si>
  <si>
    <t>T1_2026_P01_R094</t>
  </si>
  <si>
    <t>8014</t>
  </si>
  <si>
    <t>T1_2026_P07_R095</t>
  </si>
  <si>
    <t>8027</t>
  </si>
  <si>
    <t>T1_2026_P04_R103</t>
  </si>
  <si>
    <t>8060</t>
  </si>
  <si>
    <t>T1_2026_P06_R071</t>
  </si>
  <si>
    <t>8075</t>
  </si>
  <si>
    <t>T1_2026_P07_R037</t>
  </si>
  <si>
    <t>8076</t>
  </si>
  <si>
    <t>T1_2026_P02_R051</t>
  </si>
  <si>
    <t>8112</t>
  </si>
  <si>
    <t>T1_2026_P02_R034</t>
  </si>
  <si>
    <t>8203</t>
  </si>
  <si>
    <t>T1_2026_P06_R227</t>
  </si>
  <si>
    <t>8262</t>
  </si>
  <si>
    <t>T1_2026_P10_R005</t>
  </si>
  <si>
    <t>8332</t>
  </si>
  <si>
    <t>T1_2026_P01_R050 | T1_2026_P01_R068 | T1_2026_P01_R076 | T1_2026_P02_R008 | T1_2026_P02_R050 | T1_2026_P02_R061</t>
  </si>
  <si>
    <t>8343</t>
  </si>
  <si>
    <t>T1_2026_P08_R017</t>
  </si>
  <si>
    <t>8352</t>
  </si>
  <si>
    <t>T1_2026_P02_R014</t>
  </si>
  <si>
    <t>8454</t>
  </si>
  <si>
    <t>T1_2026_P01_R032 | T1_2026_P01_R040 | T1_2026_P01_R192 | T1_2026_P01_R214 | T1_2026_P02_R036</t>
  </si>
  <si>
    <t>8486</t>
  </si>
  <si>
    <t>T1_2026_P05_R209</t>
  </si>
  <si>
    <t>8526</t>
  </si>
  <si>
    <t>T1_2026_P01_R205</t>
  </si>
  <si>
    <t>8532</t>
  </si>
  <si>
    <t>T1_2026_P04_R204</t>
  </si>
  <si>
    <t>8533</t>
  </si>
  <si>
    <t>T1_2026_P07_R077</t>
  </si>
  <si>
    <t>8608</t>
  </si>
  <si>
    <t>T1_2026_P08_R132</t>
  </si>
  <si>
    <t>8615</t>
  </si>
  <si>
    <t>T1_2026_P07_R180 | T1_2026_P07_R221</t>
  </si>
  <si>
    <t>8636</t>
  </si>
  <si>
    <t>Tunisia</t>
  </si>
  <si>
    <t>T1_2026_P09_R107</t>
  </si>
  <si>
    <t>8679</t>
  </si>
  <si>
    <t>T1_2026_P10_R025</t>
  </si>
  <si>
    <t>8724</t>
  </si>
  <si>
    <t>T1_2026_P04_R122</t>
  </si>
  <si>
    <t>8738</t>
  </si>
  <si>
    <t>T1_2026_P06_R212</t>
  </si>
  <si>
    <t>8740</t>
  </si>
  <si>
    <t>Poland</t>
  </si>
  <si>
    <t>T1_2026_P08_R219</t>
  </si>
  <si>
    <t>8797</t>
  </si>
  <si>
    <t>T1_2026_P04_R194</t>
  </si>
  <si>
    <t>8808</t>
  </si>
  <si>
    <t>T1_2026_P06_R205</t>
  </si>
  <si>
    <t>8820</t>
  </si>
  <si>
    <t>T1_2026_P07_R166</t>
  </si>
  <si>
    <t>8867</t>
  </si>
  <si>
    <t>T1_2026_P07_R104 | T1_2026_P08_R046</t>
  </si>
  <si>
    <t>8884</t>
  </si>
  <si>
    <t>T1_2026_P01_R184</t>
  </si>
  <si>
    <t>8887</t>
  </si>
  <si>
    <t>T1_2026_P05_R056 | T1_2026_P05_R140</t>
  </si>
  <si>
    <t>8891</t>
  </si>
  <si>
    <t>T1_2026_P03_R020</t>
  </si>
  <si>
    <t>8950</t>
  </si>
  <si>
    <t>T1_2026_P01_R198 | T1_2026_P02_R016 | T1_2026_P02_R054 | T1_2026_P02_R078</t>
  </si>
  <si>
    <t>8964</t>
  </si>
  <si>
    <t>T1_2026_P01_R118</t>
  </si>
  <si>
    <t>9005</t>
  </si>
  <si>
    <t>T1_2026_P09_R007 | T1_2026_P09_R015</t>
  </si>
  <si>
    <t>9009</t>
  </si>
  <si>
    <t>T1_2026_P07_R150 | T1_2026_P07_R190</t>
  </si>
  <si>
    <t>9016</t>
  </si>
  <si>
    <t>T1_2026_P08_R058</t>
  </si>
  <si>
    <t>9023</t>
  </si>
  <si>
    <t>T1_2026_P07_R020</t>
  </si>
  <si>
    <t>9063</t>
  </si>
  <si>
    <t>T1_2026_P09_R220</t>
  </si>
  <si>
    <t>9072</t>
  </si>
  <si>
    <t>T1_2026_P01_R064 | T1_2026_P01_R227 | T1_2026_P02_R118 | T1_2026_P02_R142</t>
  </si>
  <si>
    <t>9078</t>
  </si>
  <si>
    <t>T1_2026_P03_R094</t>
  </si>
  <si>
    <t>9081</t>
  </si>
  <si>
    <t>T1_2026_P06_R235</t>
  </si>
  <si>
    <t>9113</t>
  </si>
  <si>
    <t>T1_2026_P01_R007 | T1_2026_P02_R127</t>
  </si>
  <si>
    <t>9121</t>
  </si>
  <si>
    <t>T1_2026_P09_R113</t>
  </si>
  <si>
    <t>9134</t>
  </si>
  <si>
    <t>T1_2026_P01_R229 | T1_2026_P02_R043</t>
  </si>
  <si>
    <t>9191</t>
  </si>
  <si>
    <t>T1_2026_P06_R213 | T1_2026_P06_R214 | T1_2026_P06_R216 | T1_2026_P06_R217 | T1_2026_P06_R219 | T1_2026_P06_R225 | T1_2026_P06_R232 | T1_2026_P06_R233 | T1_2026_P06_R234</t>
  </si>
  <si>
    <t>9220</t>
  </si>
  <si>
    <t>T1_2026_P02_R030</t>
  </si>
  <si>
    <t>9265</t>
  </si>
  <si>
    <t>T1_2026_P06_R060</t>
  </si>
  <si>
    <t>9309</t>
  </si>
  <si>
    <t>T1_2026_P05_R180</t>
  </si>
  <si>
    <t>9318</t>
  </si>
  <si>
    <t>T1_2026_P09_R048</t>
  </si>
  <si>
    <t>9323</t>
  </si>
  <si>
    <t>T1_2026_P09_R065 | T1_2026_P09_R090</t>
  </si>
  <si>
    <t>9343</t>
  </si>
  <si>
    <t>T1_2026_P06_R043</t>
  </si>
  <si>
    <t>9352</t>
  </si>
  <si>
    <t>T1_2026_P03_R190 | T1_2026_P04_R011</t>
  </si>
  <si>
    <t>9390</t>
  </si>
  <si>
    <t>T1_2026_P08_R128</t>
  </si>
  <si>
    <t>9426</t>
  </si>
  <si>
    <t>T1_2026_P04_R183 | T1_2026_P04_R186 | T1_2026_P06_R136</t>
  </si>
  <si>
    <t>9460</t>
  </si>
  <si>
    <t>T1_2026_P04_R131</t>
  </si>
  <si>
    <t>9461</t>
  </si>
  <si>
    <t>T1_2026_P04_R089</t>
  </si>
  <si>
    <t>9463</t>
  </si>
  <si>
    <t>T1_2026_P02_R092 | T1_2026_P02_R124</t>
  </si>
  <si>
    <t>9464</t>
  </si>
  <si>
    <t>T1_2026_P02_R156</t>
  </si>
  <si>
    <t>9474</t>
  </si>
  <si>
    <t>T1_2026_P03_R096</t>
  </si>
  <si>
    <t>9526</t>
  </si>
  <si>
    <t>T1_2026_P04_R163</t>
  </si>
  <si>
    <t>9579</t>
  </si>
  <si>
    <t>T1_2026_P03_R151</t>
  </si>
  <si>
    <t>9618</t>
  </si>
  <si>
    <t>T1_2026_P09_R225</t>
  </si>
  <si>
    <t>9683</t>
  </si>
  <si>
    <t>T1_2026_P04_R164</t>
  </si>
  <si>
    <t>9691</t>
  </si>
  <si>
    <t>T1_2026_P04_R024</t>
  </si>
  <si>
    <t>9705</t>
  </si>
  <si>
    <t>T1_2026_P03_R102</t>
  </si>
  <si>
    <t>9726</t>
  </si>
  <si>
    <t>T1_2026_P08_R033</t>
  </si>
  <si>
    <t>9755</t>
  </si>
  <si>
    <t>T1_2026_P07_R069 | T1_2026_P07_R235 | T1_2026_P08_R063</t>
  </si>
  <si>
    <t>9770</t>
  </si>
  <si>
    <t>T1_2026_P09_R040 | T1_2026_P09_R076</t>
  </si>
  <si>
    <t>9777</t>
  </si>
  <si>
    <t>T1_2026_P07_R091</t>
  </si>
  <si>
    <t>9834</t>
  </si>
  <si>
    <t>T1_2026_P06_R002</t>
  </si>
  <si>
    <t>9866</t>
  </si>
  <si>
    <t>T1_2026_P03_R148</t>
  </si>
  <si>
    <t>9890</t>
  </si>
  <si>
    <t>T1_2026_P03_R079 | T1_2026_P03_R131 | T1_2026_P04_R026 | T1_2026_P05_R051 | T1_2026_P05_R137 | T1_2026_P06_R165</t>
  </si>
  <si>
    <t>9948</t>
  </si>
  <si>
    <t>T1_2026_P05_R077 | T1_2026_P06_R169</t>
  </si>
  <si>
    <t>9957</t>
  </si>
  <si>
    <t>T1_2026_P09_R011</t>
  </si>
  <si>
    <t>10060</t>
  </si>
  <si>
    <t>T1_2026_P09_R180</t>
  </si>
  <si>
    <t>10092</t>
  </si>
  <si>
    <t>T1_2026_P07_R021</t>
  </si>
  <si>
    <t>10097</t>
  </si>
  <si>
    <t>T1_2026_P07_R238</t>
  </si>
  <si>
    <t>10101</t>
  </si>
  <si>
    <t>T1_2026_P09_R013 | T1_2026_P09_R081</t>
  </si>
  <si>
    <t>10110</t>
  </si>
  <si>
    <t>T1_2026_P05_R184</t>
  </si>
  <si>
    <t>10111</t>
  </si>
  <si>
    <t>T1_2026_P05_R223 | T1_2026_P06_R154</t>
  </si>
  <si>
    <t>10144</t>
  </si>
  <si>
    <t>T1_2026_P07_R179</t>
  </si>
  <si>
    <t>10170</t>
  </si>
  <si>
    <t>T1_2026_P05_R009 | T1_2026_P05_R120</t>
  </si>
  <si>
    <t>10196</t>
  </si>
  <si>
    <t>T1_2026_P01_R194 | T1_2026_P01_R228 | T1_2026_P02_R042</t>
  </si>
  <si>
    <t>10212</t>
  </si>
  <si>
    <t>T1_2026_P08_R223</t>
  </si>
  <si>
    <t>10227</t>
  </si>
  <si>
    <t>T1_2026_P09_R031 | T1_2026_P09_R062 | T1_2026_P09_R086</t>
  </si>
  <si>
    <t>10281</t>
  </si>
  <si>
    <t>T1_2026_P04_R113 | T1_2026_P06_R151</t>
  </si>
  <si>
    <t>10307</t>
  </si>
  <si>
    <t>T1_2026_P08_R008 | T1_2026_P08_R012 | T1_2026_P08_R056</t>
  </si>
  <si>
    <t>10314</t>
  </si>
  <si>
    <t>T1_2026_P04_R004</t>
  </si>
  <si>
    <t>10324</t>
  </si>
  <si>
    <t>T1_2026_P09_R010</t>
  </si>
  <si>
    <t>10326</t>
  </si>
  <si>
    <t>T1_2026_P06_R094</t>
  </si>
  <si>
    <t>10330</t>
  </si>
  <si>
    <t>Cambodia</t>
  </si>
  <si>
    <t>T1_2026_P02_R212 | T1_2026_P03_R001</t>
  </si>
  <si>
    <t>10385</t>
  </si>
  <si>
    <t>T1_2026_P09_R002 | T1_2026_P09_R046 | T1_2026_P09_R096 | T1_2026_P09_R098</t>
  </si>
  <si>
    <t>10436</t>
  </si>
  <si>
    <t>T1_2026_P01_R182 | T1_2026_P02_R123</t>
  </si>
  <si>
    <t>10468</t>
  </si>
  <si>
    <t>T1_2026_P02_R029</t>
  </si>
  <si>
    <t>10474</t>
  </si>
  <si>
    <t>T1_2026_P04_R051</t>
  </si>
  <si>
    <t>10482</t>
  </si>
  <si>
    <t>T1_2026_P07_R160</t>
  </si>
  <si>
    <t>10509</t>
  </si>
  <si>
    <t>T1_2026_P09_R056</t>
  </si>
  <si>
    <t>10635</t>
  </si>
  <si>
    <t>T1_2026_P02_R167 | T1_2026_P02_R173 | T1_2026_P02_R175 | T1_2026_P02_R176</t>
  </si>
  <si>
    <t>10637</t>
  </si>
  <si>
    <t>T1_2026_P01_R133 | T1_2026_P02_R143</t>
  </si>
  <si>
    <t>10651</t>
  </si>
  <si>
    <t>T1_2026_P04_R218</t>
  </si>
  <si>
    <t>10657</t>
  </si>
  <si>
    <t>T1_2026_P09_R240 | T1_2026_P10_R004 | T1_2026_P10_R031 | T1_2026_P10_R034 | T1_2026_P10_R046</t>
  </si>
  <si>
    <t>10672</t>
  </si>
  <si>
    <t>T1_2026_P09_R088</t>
  </si>
  <si>
    <t>10723</t>
  </si>
  <si>
    <t>T1_2026_P04_R207</t>
  </si>
  <si>
    <t>10728</t>
  </si>
  <si>
    <t>T1_2026_P07_R168 | T1_2026_P08_R024</t>
  </si>
  <si>
    <t>10733</t>
  </si>
  <si>
    <t>T1_2026_P09_R067 | T1_2026_P09_R092</t>
  </si>
  <si>
    <t>10752</t>
  </si>
  <si>
    <t>T1_2026_P03_R145 | T1_2026_P04_R179</t>
  </si>
  <si>
    <t>10762</t>
  </si>
  <si>
    <t>T1_2026_P09_R166 | T1_2026_P09_R181 | T1_2026_P09_R190 | T1_2026_P09_R203</t>
  </si>
  <si>
    <t>10807</t>
  </si>
  <si>
    <t>T1_2026_P04_R045 | T1_2026_P04_R058 | T1_2026_P06_R054 | T1_2026_P06_R145</t>
  </si>
  <si>
    <t>10812</t>
  </si>
  <si>
    <t>T1_2026_P04_R060</t>
  </si>
  <si>
    <t>10821</t>
  </si>
  <si>
    <t>T1_2026_P07_R240 | T1_2026_P08_R001</t>
  </si>
  <si>
    <t>10827</t>
  </si>
  <si>
    <t>T1_2026_P07_R228</t>
  </si>
  <si>
    <t>10829</t>
  </si>
  <si>
    <t>T1_2026_P06_R191</t>
  </si>
  <si>
    <t>10901</t>
  </si>
  <si>
    <t>T1_2026_P04_R079</t>
  </si>
  <si>
    <t>10930</t>
  </si>
  <si>
    <t>T1_2026_P06_R008</t>
  </si>
  <si>
    <t>10941</t>
  </si>
  <si>
    <t>T1_2026_P03_R192 | T1_2026_P04_R153</t>
  </si>
  <si>
    <t>11024</t>
  </si>
  <si>
    <t>T1_2026_P01_R166</t>
  </si>
  <si>
    <t>11044</t>
  </si>
  <si>
    <t>T1_2026_P07_R064 | T1_2026_P07_R147 | T1_2026_P07_R188</t>
  </si>
  <si>
    <t>11069</t>
  </si>
  <si>
    <t>T1_2026_P01_R145</t>
  </si>
  <si>
    <t>11083</t>
  </si>
  <si>
    <t>T1_2026_P06_R222</t>
  </si>
  <si>
    <t>11201</t>
  </si>
  <si>
    <t>T1_2026_P03_R087 | T1_2026_P06_R044</t>
  </si>
  <si>
    <t>11206</t>
  </si>
  <si>
    <t>T1_2026_P01_R172</t>
  </si>
  <si>
    <t>11229</t>
  </si>
  <si>
    <t>T1_2026_P08_R168 | T1_2026_P08_R193 | T1_2026_P08_R202 | T1_2026_P08_R204</t>
  </si>
  <si>
    <t>11283</t>
  </si>
  <si>
    <t>T1_2026_P05_R094</t>
  </si>
  <si>
    <t>11285</t>
  </si>
  <si>
    <t>T1_2026_P08_R178</t>
  </si>
  <si>
    <t>11299</t>
  </si>
  <si>
    <t>T1_2026_P04_R102 | T1_2026_P05_R228 | T1_2026_P05_R231</t>
  </si>
  <si>
    <t>11321</t>
  </si>
  <si>
    <t>T1_2026_P07_R102 | T1_2026_P08_R032 | T1_2026_P08_R055</t>
  </si>
  <si>
    <t>11344</t>
  </si>
  <si>
    <t>T1_2026_P01_R211</t>
  </si>
  <si>
    <t>11403</t>
  </si>
  <si>
    <t>T1_2026_P04_R040</t>
  </si>
  <si>
    <t>11433</t>
  </si>
  <si>
    <t>T1_2026_P06_R150</t>
  </si>
  <si>
    <t>11439</t>
  </si>
  <si>
    <t>T1_2026_P02_R141</t>
  </si>
  <si>
    <t>11471</t>
  </si>
  <si>
    <t>T1_2026_P04_R074 | T1_2026_P05_R233</t>
  </si>
  <si>
    <t>11496</t>
  </si>
  <si>
    <t>T1_2026_P04_R187</t>
  </si>
  <si>
    <t>11518</t>
  </si>
  <si>
    <t>T1_2026_P09_R108 | T1_2026_P09_R112</t>
  </si>
  <si>
    <t>11530</t>
  </si>
  <si>
    <t>T1_2026_P10_R036</t>
  </si>
  <si>
    <t>11537</t>
  </si>
  <si>
    <t>T1_2026_P01_R176</t>
  </si>
  <si>
    <t>11540</t>
  </si>
  <si>
    <t>T1_2026_P07_R152 | T1_2026_P07_R192</t>
  </si>
  <si>
    <t>11544</t>
  </si>
  <si>
    <t>T1_2026_P07_R131</t>
  </si>
  <si>
    <t>11550</t>
  </si>
  <si>
    <t>T1_2026_P02_R009 | T1_2026_P02_R052</t>
  </si>
  <si>
    <t>11570</t>
  </si>
  <si>
    <t>T1_2026_P03_R012</t>
  </si>
  <si>
    <t>11571</t>
  </si>
  <si>
    <t>T1_2026_P04_R023</t>
  </si>
  <si>
    <t>11572</t>
  </si>
  <si>
    <t>T1_2026_P01_R169</t>
  </si>
  <si>
    <t>11577</t>
  </si>
  <si>
    <t>T1_2026_P04_R063</t>
  </si>
  <si>
    <t>11602</t>
  </si>
  <si>
    <t>T1_2026_P04_R017</t>
  </si>
  <si>
    <t>11606</t>
  </si>
  <si>
    <t>T1_2026_P03_R144</t>
  </si>
  <si>
    <t>11610</t>
  </si>
  <si>
    <t>T1_2026_P01_R017 | T1_2026_P01_R029 | T1_2026_P01_R035 | T1_2026_P01_R054 | T1_2026_P01_R081 | T1_2026_P01_R104 | T1_2026_P01_R115 | T1_2026_P01_R127 | T1_2026_P01_R163 | T1_2026_P02_R062</t>
  </si>
  <si>
    <t>11636</t>
  </si>
  <si>
    <t>T1_2026_P08_R180 | T1_2026_P08_R213</t>
  </si>
  <si>
    <t>11789</t>
  </si>
  <si>
    <t>T1_2026_P10_R006</t>
  </si>
  <si>
    <t>11817</t>
  </si>
  <si>
    <t>T1_2026_P04_R081</t>
  </si>
  <si>
    <t>11846</t>
  </si>
  <si>
    <t>T1_2026_P09_R041</t>
  </si>
  <si>
    <t>11850</t>
  </si>
  <si>
    <t>T1_2026_P09_R155</t>
  </si>
  <si>
    <t>11855</t>
  </si>
  <si>
    <t>T1_2026_P07_R153 | T1_2026_P07_R193</t>
  </si>
  <si>
    <t>11860</t>
  </si>
  <si>
    <t>T1_2026_P05_R088 | T1_2026_P06_R077</t>
  </si>
  <si>
    <t>11873</t>
  </si>
  <si>
    <t>T1_2026_P01_R234 | T1_2026_P02_R046</t>
  </si>
  <si>
    <t>11883</t>
  </si>
  <si>
    <t>T1_2026_P06_R055</t>
  </si>
  <si>
    <t>11896</t>
  </si>
  <si>
    <t>T1_2026_P06_R228</t>
  </si>
  <si>
    <t>11927</t>
  </si>
  <si>
    <t>T1_2026_P08_R051</t>
  </si>
  <si>
    <t>11928</t>
  </si>
  <si>
    <t>T1_2026_P01_R186 | T1_2026_P02_R063</t>
  </si>
  <si>
    <t>11938</t>
  </si>
  <si>
    <t>T1_2026_P07_R164 | T1_2026_P07_R202</t>
  </si>
  <si>
    <t>11943</t>
  </si>
  <si>
    <t>Slovenia</t>
  </si>
  <si>
    <t>T1_2026_P08_R231</t>
  </si>
  <si>
    <t>11971</t>
  </si>
  <si>
    <t>T1_2026_P04_R118</t>
  </si>
  <si>
    <t>11991</t>
  </si>
  <si>
    <t>T1_2026_P10_R033</t>
  </si>
  <si>
    <t>12021</t>
  </si>
  <si>
    <t>T1_2026_P09_R009</t>
  </si>
  <si>
    <t>12051</t>
  </si>
  <si>
    <t>T1_2026_P10_R020</t>
  </si>
  <si>
    <t>12063</t>
  </si>
  <si>
    <t>T1_2026_P09_R063 | T1_2026_P09_R087</t>
  </si>
  <si>
    <t>12109</t>
  </si>
  <si>
    <t>T1_2026_P08_R131</t>
  </si>
  <si>
    <t>12129</t>
  </si>
  <si>
    <t>T1_2026_P08_R187</t>
  </si>
  <si>
    <t>12131</t>
  </si>
  <si>
    <t>T1_2026_P08_R186</t>
  </si>
  <si>
    <t>12134</t>
  </si>
  <si>
    <t>T1_2026_P01_R134</t>
  </si>
  <si>
    <t>12139</t>
  </si>
  <si>
    <t>T1_2026_P01_R235 | T1_2026_P02_R144</t>
  </si>
  <si>
    <t>12166</t>
  </si>
  <si>
    <t>T1_2026_P01_R188 | T1_2026_P02_R104</t>
  </si>
  <si>
    <t>12192</t>
  </si>
  <si>
    <t>T1_2026_P08_R119 | T1_2026_P08_R121</t>
  </si>
  <si>
    <t>12220</t>
  </si>
  <si>
    <t>T1_2026_P09_R045</t>
  </si>
  <si>
    <t>12221</t>
  </si>
  <si>
    <t>T1_2026_P01_R204 | T1_2026_P02_R020</t>
  </si>
  <si>
    <t>12223</t>
  </si>
  <si>
    <t>T1_2026_P01_R219 | T1_2026_P02_R038</t>
  </si>
  <si>
    <t>12241</t>
  </si>
  <si>
    <t>T1_2026_P07_R154 | T1_2026_P07_R194</t>
  </si>
  <si>
    <t>12252</t>
  </si>
  <si>
    <t>T1_2026_P06_R221</t>
  </si>
  <si>
    <t>12360</t>
  </si>
  <si>
    <t>T1_2026_P01_R008 | T1_2026_P01_R023 | T1_2026_P01_R031 | T1_2026_P01_R039 | T1_2026_P01_R059 | T1_2026_P01_R078 | T1_2026_P01_R112 | T1_2026_P01_R147 | T1_2026_P01_R150 | T1_2026_P01_R154 | T1_2026_P01_R180 | T1_2026_P02_R070 | T1_2026_P02_R075</t>
  </si>
  <si>
    <t>12362</t>
  </si>
  <si>
    <t>T1_2026_P07_R181 | T1_2026_P07_R222 | T1_2026_P08_R073 | T1_2026_P08_R077</t>
  </si>
  <si>
    <t>12408</t>
  </si>
  <si>
    <t>T1_2026_P08_R010</t>
  </si>
  <si>
    <t>12410</t>
  </si>
  <si>
    <t>T1_2026_P07_R132</t>
  </si>
  <si>
    <t>12412</t>
  </si>
  <si>
    <t>T1_2026_P03_R024 | T1_2026_P03_R070 | T1_2026_P03_R156 | T1_2026_P04_R066</t>
  </si>
  <si>
    <t>12485</t>
  </si>
  <si>
    <t>T1_2026_P01_R201 | T1_2026_P02_R152</t>
  </si>
  <si>
    <t>12515</t>
  </si>
  <si>
    <t>T1_2026_P02_R088 | T1_2026_P02_R160</t>
  </si>
  <si>
    <t>12580</t>
  </si>
  <si>
    <t>Spain</t>
  </si>
  <si>
    <t>T1_2026_P08_R232</t>
  </si>
  <si>
    <t>12600</t>
  </si>
  <si>
    <t>T1_2026_P06_R003</t>
  </si>
  <si>
    <t>12668</t>
  </si>
  <si>
    <t>T1_2026_P01_R230 | T1_2026_P02_R044</t>
  </si>
  <si>
    <t>12677</t>
  </si>
  <si>
    <t>T1_2026_P06_R024</t>
  </si>
  <si>
    <t>12769</t>
  </si>
  <si>
    <t>T1_2026_P04_R095 | T1_2026_P05_R109 | T1_2026_P05_R175</t>
  </si>
  <si>
    <t>12782</t>
  </si>
  <si>
    <t>T1_2026_P01_R231</t>
  </si>
  <si>
    <t>12797</t>
  </si>
  <si>
    <t>T1_2026_P03_R039</t>
  </si>
  <si>
    <t>12871</t>
  </si>
  <si>
    <t>T1_2026_P04_R070 | T1_2026_P05_R205</t>
  </si>
  <si>
    <t>12971</t>
  </si>
  <si>
    <t>T1_2026_P04_R107</t>
  </si>
  <si>
    <t>13002</t>
  </si>
  <si>
    <t>T1_2026_P01_R084</t>
  </si>
  <si>
    <t>13003</t>
  </si>
  <si>
    <t>T1_2026_P07_R066</t>
  </si>
  <si>
    <t>13046</t>
  </si>
  <si>
    <t>T1_2026_P08_R002</t>
  </si>
  <si>
    <t>13093</t>
  </si>
  <si>
    <t>T1_2026_P02_R158</t>
  </si>
  <si>
    <t>13134</t>
  </si>
  <si>
    <t>T1_2026_P09_R194</t>
  </si>
  <si>
    <t>13182</t>
  </si>
  <si>
    <t>T1_2026_P07_R044 | T1_2026_P07_R213</t>
  </si>
  <si>
    <t>13195</t>
  </si>
  <si>
    <t>T1_2026_P09_R050</t>
  </si>
  <si>
    <t>13215</t>
  </si>
  <si>
    <t>T1_2026_P09_R137 | T1_2026_P09_R185</t>
  </si>
  <si>
    <t>13256</t>
  </si>
  <si>
    <t>T1_2026_P08_R103</t>
  </si>
  <si>
    <t>13342</t>
  </si>
  <si>
    <t>T1_2026_P05_R015 | T1_2026_P05_R124</t>
  </si>
  <si>
    <t>13350</t>
  </si>
  <si>
    <t>T1_2026_P09_R042</t>
  </si>
  <si>
    <t>13378</t>
  </si>
  <si>
    <t>T1_2026_P04_R169 | T1_2026_P04_R170 | T1_2026_P06_R173</t>
  </si>
  <si>
    <t>13418</t>
  </si>
  <si>
    <t>T1_2026_P03_R066</t>
  </si>
  <si>
    <t>13420</t>
  </si>
  <si>
    <t>T1_2026_P07_R016</t>
  </si>
  <si>
    <t>13478</t>
  </si>
  <si>
    <t>T1_2026_P03_R061 | T1_2026_P03_R090 | T1_2026_P03_R117 | T1_2026_P05_R093 | T1_2026_P05_R167 | T1_2026_P06_R172</t>
  </si>
  <si>
    <t>13490</t>
  </si>
  <si>
    <t>T1_2026_P10_R037</t>
  </si>
  <si>
    <t>13495</t>
  </si>
  <si>
    <t>T1_2026_P05_R229</t>
  </si>
  <si>
    <t>13507</t>
  </si>
  <si>
    <t>T1_2026_P06_R023</t>
  </si>
  <si>
    <t>13544</t>
  </si>
  <si>
    <t>T1_2026_P03_R223</t>
  </si>
  <si>
    <t>13562</t>
  </si>
  <si>
    <t>T1_2026_P03_R025</t>
  </si>
  <si>
    <t>13574</t>
  </si>
  <si>
    <t>T1_2026_P10_R016</t>
  </si>
  <si>
    <t>13580</t>
  </si>
  <si>
    <t>T1_2026_P01_R222</t>
  </si>
  <si>
    <t>13588</t>
  </si>
  <si>
    <t>T1_2026_P06_R020</t>
  </si>
  <si>
    <t>13597</t>
  </si>
  <si>
    <t>T1_2026_P01_R083 | T1_2026_P01_R189 | T1_2026_P01_R197 | T1_2026_P02_R015 | T1_2026_P02_R053</t>
  </si>
  <si>
    <t>13604</t>
  </si>
  <si>
    <t>T1_2026_P09_R006</t>
  </si>
  <si>
    <t>13608</t>
  </si>
  <si>
    <t>T1_2026_P04_R213 | T1_2026_P05_R195 | T1_2026_P06_R137</t>
  </si>
  <si>
    <t>13612</t>
  </si>
  <si>
    <t>T1_2026_P08_R172 | T1_2026_P08_R173 | T1_2026_P08_R176</t>
  </si>
  <si>
    <t>13649</t>
  </si>
  <si>
    <t>T1_2026_P07_R121 | T1_2026_P08_R060</t>
  </si>
  <si>
    <t>13758</t>
  </si>
  <si>
    <t>T1_2026_P03_R168</t>
  </si>
  <si>
    <t>13794</t>
  </si>
  <si>
    <t>T1_2026_P09_R051</t>
  </si>
  <si>
    <t>13797</t>
  </si>
  <si>
    <t>T1_2026_P05_R202</t>
  </si>
  <si>
    <t>13844</t>
  </si>
  <si>
    <t>T1_2026_P05_R097 | T1_2026_P05_R171</t>
  </si>
  <si>
    <t>13860</t>
  </si>
  <si>
    <t>T1_2026_P02_R023</t>
  </si>
  <si>
    <t>13898</t>
  </si>
  <si>
    <t>T1_2026_P06_R080</t>
  </si>
  <si>
    <t>13921</t>
  </si>
  <si>
    <t>T1_2026_P01_R207</t>
  </si>
  <si>
    <t>13930</t>
  </si>
  <si>
    <t>T1_2026_P10_R035</t>
  </si>
  <si>
    <t>13937</t>
  </si>
  <si>
    <t>T1_2026_P07_R140</t>
  </si>
  <si>
    <t>13949</t>
  </si>
  <si>
    <t>T1_2026_P06_R148</t>
  </si>
  <si>
    <t>13977</t>
  </si>
  <si>
    <t>T1_2026_P07_R138</t>
  </si>
  <si>
    <t>13994</t>
  </si>
  <si>
    <t>T1_2026_P03_R146</t>
  </si>
  <si>
    <t>14020</t>
  </si>
  <si>
    <t>T1_2026_P05_R031 | T1_2026_P06_R156</t>
  </si>
  <si>
    <t>14024</t>
  </si>
  <si>
    <t>T1_2026_P09_R039</t>
  </si>
  <si>
    <t>14047</t>
  </si>
  <si>
    <t>T1_2026_P04_R110</t>
  </si>
  <si>
    <t>14081</t>
  </si>
  <si>
    <t>T1_2026_P01_R108 | T1_2026_P02_R109</t>
  </si>
  <si>
    <t>14085</t>
  </si>
  <si>
    <t>T1_2026_P10_R042</t>
  </si>
  <si>
    <t>14095</t>
  </si>
  <si>
    <t>Indonesia</t>
  </si>
  <si>
    <t>T1_2026_P08_R100</t>
  </si>
  <si>
    <t>14130</t>
  </si>
  <si>
    <t>T1_2026_P07_R094 | T1_2026_P08_R044</t>
  </si>
  <si>
    <t>14155</t>
  </si>
  <si>
    <t>T1_2026_P08_R025 | T1_2026_P08_R029</t>
  </si>
  <si>
    <t>14224</t>
  </si>
  <si>
    <t>T1_2026_P01_R021 | T1_2026_P01_R041 | T1_2026_P01_R060 | T1_2026_P01_R215</t>
  </si>
  <si>
    <t>14225</t>
  </si>
  <si>
    <t>T1_2026_P02_R184</t>
  </si>
  <si>
    <t>14235</t>
  </si>
  <si>
    <t>T1_2026_P08_R117 | T1_2026_P08_R118 | T1_2026_P08_R126 | T1_2026_P08_R136 | T1_2026_P08_R141</t>
  </si>
  <si>
    <t>14282</t>
  </si>
  <si>
    <t>T1_2026_P06_R128</t>
  </si>
  <si>
    <t>14292</t>
  </si>
  <si>
    <t>T1_2026_P01_R004</t>
  </si>
  <si>
    <t>14321</t>
  </si>
  <si>
    <t>T1_2026_P09_R038</t>
  </si>
  <si>
    <t>14358</t>
  </si>
  <si>
    <t>T1_2026_P06_R057</t>
  </si>
  <si>
    <t>14398</t>
  </si>
  <si>
    <t>T1_2026_P08_R149</t>
  </si>
  <si>
    <t>14401</t>
  </si>
  <si>
    <t>T1_2026_P07_R038 | T1_2026_P07_R041 | T1_2026_P07_R203</t>
  </si>
  <si>
    <t>14407</t>
  </si>
  <si>
    <t>T1_2026_P07_R098</t>
  </si>
  <si>
    <t>14429</t>
  </si>
  <si>
    <t>T1_2026_P08_R154</t>
  </si>
  <si>
    <t>14435</t>
  </si>
  <si>
    <t>T1_2026_P01_R168 | T1_2026_P02_R089 | T1_2026_P02_R093 | T1_2026_P02_R105 | T1_2026_P02_R150</t>
  </si>
  <si>
    <t>14445</t>
  </si>
  <si>
    <t>T1_2026_P04_R076</t>
  </si>
  <si>
    <t>14462</t>
  </si>
  <si>
    <t>T1_2026_P08_R090</t>
  </si>
  <si>
    <t>14497</t>
  </si>
  <si>
    <t>T1_2026_P06_R113</t>
  </si>
  <si>
    <t>14508</t>
  </si>
  <si>
    <t>T1_2026_P05_R016 | T1_2026_P05_R095 | T1_2026_P05_R168</t>
  </si>
  <si>
    <t>14533</t>
  </si>
  <si>
    <t>T1_2026_P01_R010 | T1_2026_P01_R025 | T1_2026_P01_R043 | T1_2026_P01_R156 | T1_2026_P01_R193 | T1_2026_P01_R218 | T1_2026_P02_R037</t>
  </si>
  <si>
    <t>14559</t>
  </si>
  <si>
    <t>T1_2026_P02_R234</t>
  </si>
  <si>
    <t>14600</t>
  </si>
  <si>
    <t>T1_2026_P04_R172</t>
  </si>
  <si>
    <t>14602</t>
  </si>
  <si>
    <t>T1_2026_P04_R222</t>
  </si>
  <si>
    <t>14607</t>
  </si>
  <si>
    <t>T1_2026_P07_R143 | T1_2026_P07_R216</t>
  </si>
  <si>
    <t>14616</t>
  </si>
  <si>
    <t>Brazil</t>
  </si>
  <si>
    <t>T1_2026_P02_R163</t>
  </si>
  <si>
    <t>14624</t>
  </si>
  <si>
    <t>T1_2026_P08_R151</t>
  </si>
  <si>
    <t>14639</t>
  </si>
  <si>
    <t>T1_2026_P10_R014</t>
  </si>
  <si>
    <t>14647</t>
  </si>
  <si>
    <t>T1_2026_P09_R121 | T1_2026_P09_R129 | T1_2026_P09_R133 | T1_2026_P09_R148 | T1_2026_P09_R150 | T1_2026_P09_R152 | T1_2026_P09_R170 | T1_2026_P09_R206 | T1_2026_P09_R219</t>
  </si>
  <si>
    <t>14660</t>
  </si>
  <si>
    <t>T1_2026_P04_R039 | T1_2026_P05_R188</t>
  </si>
  <si>
    <t>14715</t>
  </si>
  <si>
    <t>T1_2026_P03_R018</t>
  </si>
  <si>
    <t>14749</t>
  </si>
  <si>
    <t>T1_2026_P09_R196 | T1_2026_P09_R201 | T1_2026_P09_R205</t>
  </si>
  <si>
    <t>14776</t>
  </si>
  <si>
    <t>T1_2026_P04_R197 | T1_2026_P06_R100</t>
  </si>
  <si>
    <t>14787</t>
  </si>
  <si>
    <t>T1_2026_P09_R145 | T1_2026_P09_R157 | T1_2026_P09_R211</t>
  </si>
  <si>
    <t>14812</t>
  </si>
  <si>
    <t>T1_2026_P03_R176 | T1_2026_P03_R177</t>
  </si>
  <si>
    <t>14820</t>
  </si>
  <si>
    <t>T1_2026_P02_R010</t>
  </si>
  <si>
    <t>14834</t>
  </si>
  <si>
    <t>T1_2026_P02_R227</t>
  </si>
  <si>
    <t>14844</t>
  </si>
  <si>
    <t>T1_2026_P08_R106</t>
  </si>
  <si>
    <t>14876</t>
  </si>
  <si>
    <t>T1_2026_P02_R139</t>
  </si>
  <si>
    <t>14889</t>
  </si>
  <si>
    <t>Madagascar</t>
  </si>
  <si>
    <t>T1_2026_P08_R113</t>
  </si>
  <si>
    <t>14892</t>
  </si>
  <si>
    <t>T1_2026_P02_R219</t>
  </si>
  <si>
    <t>14924</t>
  </si>
  <si>
    <t>T1_2026_P05_R187</t>
  </si>
  <si>
    <t>14948</t>
  </si>
  <si>
    <t>T1_2026_P05_R219</t>
  </si>
  <si>
    <t>14970</t>
  </si>
  <si>
    <t>T1_2026_P05_R201</t>
  </si>
  <si>
    <t>14972</t>
  </si>
  <si>
    <t>T1_2026_P03_R175</t>
  </si>
  <si>
    <t>14996</t>
  </si>
  <si>
    <t>T1_2026_P01_R011 | T1_2026_P01_R033 | T1_2026_P01_R044 | T1_2026_P01_R061 | T1_2026_P01_R113 | T1_2026_P01_R125 | T1_2026_P01_R157 | T1_2026_P01_R183 | T1_2026_P02_R110</t>
  </si>
  <si>
    <t>15002</t>
  </si>
  <si>
    <t>T1_2026_P07_R045 | T1_2026_P07_R062 | T1_2026_P07_R088 | T1_2026_P07_R144 | T1_2026_P07_R186 | T1_2026_P07_R219 | T1_2026_P07_R227</t>
  </si>
  <si>
    <t>15023</t>
  </si>
  <si>
    <t>T1_2026_P04_R041</t>
  </si>
  <si>
    <t>15044</t>
  </si>
  <si>
    <t>T1_2026_P01_R139</t>
  </si>
  <si>
    <t>15053</t>
  </si>
  <si>
    <t>T1_2026_P07_R027</t>
  </si>
  <si>
    <t>15054</t>
  </si>
  <si>
    <t>T1_2026_P03_R108 | T1_2026_P04_R018 | T1_2026_P04_R139</t>
  </si>
  <si>
    <t>15064</t>
  </si>
  <si>
    <t>T1_2026_P10_R041</t>
  </si>
  <si>
    <t>15068</t>
  </si>
  <si>
    <t>T1_2026_P09_R104</t>
  </si>
  <si>
    <t>15069</t>
  </si>
  <si>
    <t>Albania</t>
  </si>
  <si>
    <t>T1_2026_P01_R001</t>
  </si>
  <si>
    <t>15089</t>
  </si>
  <si>
    <t>T1_2026_P09_R054</t>
  </si>
  <si>
    <t>15101</t>
  </si>
  <si>
    <t>T1_2026_P09_R008 | T1_2026_P09_R058 | T1_2026_P09_R083</t>
  </si>
  <si>
    <t>15135</t>
  </si>
  <si>
    <t>T1_2026_P09_R016</t>
  </si>
  <si>
    <t>15177</t>
  </si>
  <si>
    <t>T1_2026_P01_R209</t>
  </si>
  <si>
    <t>15195</t>
  </si>
  <si>
    <t>T1_2026_P04_R048</t>
  </si>
  <si>
    <t>15208</t>
  </si>
  <si>
    <t>T1_2026_P04_R044</t>
  </si>
  <si>
    <t>15257</t>
  </si>
  <si>
    <t>T1_2026_P08_R150</t>
  </si>
  <si>
    <t>15273</t>
  </si>
  <si>
    <t>T1_2026_P04_R084</t>
  </si>
  <si>
    <t>15275</t>
  </si>
  <si>
    <t>T1_2026_P01_R066 | T1_2026_P02_R107 | T1_2026_P02_R114</t>
  </si>
  <si>
    <t>15278</t>
  </si>
  <si>
    <t>T1_2026_P02_R169 | T1_2026_P02_R178</t>
  </si>
  <si>
    <t>15285</t>
  </si>
  <si>
    <t>T1_2026_P07_R090</t>
  </si>
  <si>
    <t>15290</t>
  </si>
  <si>
    <t>T1_2026_P07_R031</t>
  </si>
  <si>
    <t>15311</t>
  </si>
  <si>
    <t>T1_2026_P01_R093</t>
  </si>
  <si>
    <t>15313</t>
  </si>
  <si>
    <t>T1_2026_P06_R192</t>
  </si>
  <si>
    <t>15317</t>
  </si>
  <si>
    <t>T1_2026_P06_R133</t>
  </si>
  <si>
    <t>15381</t>
  </si>
  <si>
    <t>T1_2026_P05_R069 | T1_2026_P05_R148 | T1_2026_P06_R155</t>
  </si>
  <si>
    <t>15422</t>
  </si>
  <si>
    <t>T1_2026_P07_R040 | T1_2026_P07_R046 | T1_2026_P07_R089 | T1_2026_P07_R220</t>
  </si>
  <si>
    <t>15426</t>
  </si>
  <si>
    <t>T1_2026_P07_R230</t>
  </si>
  <si>
    <t>15446</t>
  </si>
  <si>
    <t>T1_2026_P04_R192</t>
  </si>
  <si>
    <t>15448</t>
  </si>
  <si>
    <t>T1_2026_P09_R235</t>
  </si>
  <si>
    <t>15478</t>
  </si>
  <si>
    <t>T1_2026_P07_R163 | T1_2026_P07_R200 | T1_2026_P07_R201 | T1_2026_P07_R234</t>
  </si>
  <si>
    <t>15523</t>
  </si>
  <si>
    <t>T1_2026_P03_R071 | T1_2026_P03_R123 | T1_2026_P05_R038 | T1_2026_P06_R157</t>
  </si>
  <si>
    <t>15544</t>
  </si>
  <si>
    <t>T1_2026_P06_R062</t>
  </si>
  <si>
    <t>15557</t>
  </si>
  <si>
    <t>T1_2026_P04_R014</t>
  </si>
  <si>
    <t>15649</t>
  </si>
  <si>
    <t>T1_2026_P07_R097</t>
  </si>
  <si>
    <t>15656</t>
  </si>
  <si>
    <t>T1_2026_P07_R207</t>
  </si>
  <si>
    <t>15659</t>
  </si>
  <si>
    <t>T1_2026_P02_R082</t>
  </si>
  <si>
    <t>15697</t>
  </si>
  <si>
    <t>T1_2026_P04_R008</t>
  </si>
  <si>
    <t>15730</t>
  </si>
  <si>
    <t>T1_2026_P09_R077 | T1_2026_P09_R094</t>
  </si>
  <si>
    <t>15757</t>
  </si>
  <si>
    <t>T1_2026_P09_R122 | T1_2026_P09_R127 | T1_2026_P09_R131 | T1_2026_P09_R134 | T1_2026_P09_R140 | T1_2026_P09_R162 | T1_2026_P09_R228 | T1_2026_P09_R233</t>
  </si>
  <si>
    <t>15759</t>
  </si>
  <si>
    <t>T1_2026_P03_R080 | T1_2026_P05_R053 | T1_2026_P05_R139 | T1_2026_P06_R166</t>
  </si>
  <si>
    <t>15761</t>
  </si>
  <si>
    <t>T1_2026_P05_R013 | T1_2026_P06_R146</t>
  </si>
  <si>
    <t>15788</t>
  </si>
  <si>
    <t>T1_2026_P07_R072</t>
  </si>
  <si>
    <t>15813</t>
  </si>
  <si>
    <t>T1_2026_P04_R042 | T1_2026_P04_R227 | T1_2026_P05_R111 | T1_2026_P06_R142</t>
  </si>
  <si>
    <t>15824</t>
  </si>
  <si>
    <t>T1_2026_P07_R099 | T1_2026_P08_R045</t>
  </si>
  <si>
    <t>15832</t>
  </si>
  <si>
    <t>T1_2026_P07_R022</t>
  </si>
  <si>
    <t>15865</t>
  </si>
  <si>
    <t>T1_2026_P04_R062</t>
  </si>
  <si>
    <t>15894</t>
  </si>
  <si>
    <t>T1_2026_P03_R217</t>
  </si>
  <si>
    <t>15903</t>
  </si>
  <si>
    <t>T1_2026_P08_R207</t>
  </si>
  <si>
    <t>15921</t>
  </si>
  <si>
    <t>T1_2026_P06_R107</t>
  </si>
  <si>
    <t>15924</t>
  </si>
  <si>
    <t>T1_2026_P07_R006 | T1_2026_P07_R008</t>
  </si>
  <si>
    <t>15938</t>
  </si>
  <si>
    <t>T1_2026_P09_R036</t>
  </si>
  <si>
    <t>15960</t>
  </si>
  <si>
    <t>T1_2026_P08_R236 | T1_2026_P08_R238 | T1_2026_P08_R240 | T1_2026_P09_R005 | T1_2026_P09_R026 | T1_2026_P09_R061 | T1_2026_P09_R085 | T1_2026_P09_R101</t>
  </si>
  <si>
    <t>15988</t>
  </si>
  <si>
    <t>T1_2026_P06_R182</t>
  </si>
  <si>
    <t>15993</t>
  </si>
  <si>
    <t>T1_2026_P01_R200 | T1_2026_P02_R095</t>
  </si>
  <si>
    <t>15997</t>
  </si>
  <si>
    <t>T1_2026_P08_R070</t>
  </si>
  <si>
    <t>16009</t>
  </si>
  <si>
    <t>T1_2026_P02_R006 | T1_2026_P02_R049</t>
  </si>
  <si>
    <t>16012</t>
  </si>
  <si>
    <t>T1_2026_P04_R221</t>
  </si>
  <si>
    <t>16032</t>
  </si>
  <si>
    <t>T1_2026_P01_R014 | T1_2026_P01_R026 | T1_2026_P01_R049 | T1_2026_P02_R001</t>
  </si>
  <si>
    <t>16082</t>
  </si>
  <si>
    <t>T1_2026_P02_R125</t>
  </si>
  <si>
    <t>16123</t>
  </si>
  <si>
    <t>T1_2026_P04_R111</t>
  </si>
  <si>
    <t>16142</t>
  </si>
  <si>
    <t>T1_2026_P06_R236</t>
  </si>
  <si>
    <t>16174</t>
  </si>
  <si>
    <t>T1_2026_P09_R173</t>
  </si>
  <si>
    <t>16197</t>
  </si>
  <si>
    <t>T1_2026_P08_R147</t>
  </si>
  <si>
    <t>16218</t>
  </si>
  <si>
    <t>T1_2026_P01_R069 | T1_2026_P02_R084</t>
  </si>
  <si>
    <t>16226</t>
  </si>
  <si>
    <t>T1_2026_P01_R091 | T1_2026_P01_R131 | T1_2026_P02_R076 | T1_2026_P02_R081</t>
  </si>
  <si>
    <t>16235</t>
  </si>
  <si>
    <t>T1_2026_P07_R005 | T1_2026_P07_R007</t>
  </si>
  <si>
    <t>16267</t>
  </si>
  <si>
    <t>T1_2026_P08_R216</t>
  </si>
  <si>
    <t>16276</t>
  </si>
  <si>
    <t>T1_2026_P05_R179</t>
  </si>
  <si>
    <t>16289</t>
  </si>
  <si>
    <t>T1_2026_P05_R239</t>
  </si>
  <si>
    <t>16290</t>
  </si>
  <si>
    <t>T1_2026_P01_R105</t>
  </si>
  <si>
    <t>16298</t>
  </si>
  <si>
    <t>T1_2026_P02_R100</t>
  </si>
  <si>
    <t>16313</t>
  </si>
  <si>
    <t>T1_2026_P01_R088 | T1_2026_P01_R109 | T1_2026_P01_R123</t>
  </si>
  <si>
    <t>16353</t>
  </si>
  <si>
    <t>T1_2026_P04_R142</t>
  </si>
  <si>
    <t>16363</t>
  </si>
  <si>
    <t>T1_2026_P02_R170 | T1_2026_P02_R233</t>
  </si>
  <si>
    <t>16429</t>
  </si>
  <si>
    <t>T1_2026_P08_R165</t>
  </si>
  <si>
    <t>16432</t>
  </si>
  <si>
    <t>T1_2026_P09_R027 | T1_2026_P09_R060</t>
  </si>
  <si>
    <t>16447</t>
  </si>
  <si>
    <t>T1_2026_P06_R175</t>
  </si>
  <si>
    <t>16449</t>
  </si>
  <si>
    <t>T1_2026_P01_R020</t>
  </si>
  <si>
    <t>16451</t>
  </si>
  <si>
    <t>T1_2026_P09_R021</t>
  </si>
  <si>
    <t>16461</t>
  </si>
  <si>
    <t>T1_2026_P01_R086</t>
  </si>
  <si>
    <t>16474</t>
  </si>
  <si>
    <t>T1_2026_P04_R167</t>
  </si>
  <si>
    <t>16485</t>
  </si>
  <si>
    <t>T1_2026_P04_R193</t>
  </si>
  <si>
    <t>16488</t>
  </si>
  <si>
    <t>T1_2026_P04_R025</t>
  </si>
  <si>
    <t>16509</t>
  </si>
  <si>
    <t>T1_2026_P05_R029</t>
  </si>
  <si>
    <t>16563</t>
  </si>
  <si>
    <t>T1_2026_P02_R196</t>
  </si>
  <si>
    <t>16576</t>
  </si>
  <si>
    <t>T1_2026_P05_R194</t>
  </si>
  <si>
    <t>16581</t>
  </si>
  <si>
    <t>T1_2026_P06_R029</t>
  </si>
  <si>
    <t>16586</t>
  </si>
  <si>
    <t>T1_2026_P10_R008</t>
  </si>
  <si>
    <t>16601</t>
  </si>
  <si>
    <t>T1_2026_P06_R035</t>
  </si>
  <si>
    <t>16609</t>
  </si>
  <si>
    <t>T1_2026_P10_R024</t>
  </si>
  <si>
    <t>16617</t>
  </si>
  <si>
    <t>T1_2026_P03_R100</t>
  </si>
  <si>
    <t>16636</t>
  </si>
  <si>
    <t>T1_2026_P08_R018</t>
  </si>
  <si>
    <t>16638</t>
  </si>
  <si>
    <t>T1_2026_P08_R145</t>
  </si>
  <si>
    <t>16639</t>
  </si>
  <si>
    <t>T1_2026_P07_R134 | T1_2026_P07_R137</t>
  </si>
  <si>
    <t>16640</t>
  </si>
  <si>
    <t>T1_2026_P01_R099</t>
  </si>
  <si>
    <t>16641</t>
  </si>
  <si>
    <t>T1_2026_P01_R013 | T1_2026_P01_R034 | T1_2026_P01_R048 | T1_2026_P01_R098 | T1_2026_P01_R126 | T1_2026_P01_R159 | T1_2026_P02_R113</t>
  </si>
  <si>
    <t>16653</t>
  </si>
  <si>
    <t>T1_2026_P06_R226</t>
  </si>
  <si>
    <t>16655</t>
  </si>
  <si>
    <t>T1_2026_P08_R083</t>
  </si>
  <si>
    <t>16674</t>
  </si>
  <si>
    <t>T1_2026_P07_R162</t>
  </si>
  <si>
    <t>16698</t>
  </si>
  <si>
    <t>T1_2026_P03_R098</t>
  </si>
  <si>
    <t>16700</t>
  </si>
  <si>
    <t>T1_2026_P07_R049 | T1_2026_P07_R119</t>
  </si>
  <si>
    <t>16709</t>
  </si>
  <si>
    <t>T1_2026_P09_R115</t>
  </si>
  <si>
    <t>16719</t>
  </si>
  <si>
    <t>T1_2026_P08_R156</t>
  </si>
  <si>
    <t>16723</t>
  </si>
  <si>
    <t>T1_2026_P07_R076</t>
  </si>
  <si>
    <t>16724</t>
  </si>
  <si>
    <t>T1_2026_P05_R238</t>
  </si>
  <si>
    <t>16737</t>
  </si>
  <si>
    <t>T1_2026_P07_R176</t>
  </si>
  <si>
    <t>16746</t>
  </si>
  <si>
    <t>T1_2026_P07_R052</t>
  </si>
  <si>
    <t>16752</t>
  </si>
  <si>
    <t>T1_2026_P01_R185 | T1_2026_P02_R111</t>
  </si>
  <si>
    <t>16775</t>
  </si>
  <si>
    <t>T1_2026_P07_R125 | T1_2026_P08_R009</t>
  </si>
  <si>
    <t>16784</t>
  </si>
  <si>
    <t>T1_2026_P01_R224</t>
  </si>
  <si>
    <t>16807</t>
  </si>
  <si>
    <t>T1_2026_P06_R187</t>
  </si>
  <si>
    <t>16836</t>
  </si>
  <si>
    <t>T1_2026_P01_R015 | T1_2026_P02_R002</t>
  </si>
  <si>
    <t>16879</t>
  </si>
  <si>
    <t>T1_2026_P02_R068</t>
  </si>
  <si>
    <t>16895</t>
  </si>
  <si>
    <t>T1_2026_P01_R018 | T1_2026_P01_R027 | T1_2026_P01_R036 | T1_2026_P01_R055 | T1_2026_P01_R106 | T1_2026_P01_R164 | T1_2026_P02_R080</t>
  </si>
  <si>
    <t>16912</t>
  </si>
  <si>
    <t>T1_2026_P02_R026 | T1_2026_P02_R058</t>
  </si>
  <si>
    <t>16921</t>
  </si>
  <si>
    <t>T1_2026_P08_R028</t>
  </si>
  <si>
    <t>16954</t>
  </si>
  <si>
    <t>T1_2026_P06_R085</t>
  </si>
  <si>
    <t>16959</t>
  </si>
  <si>
    <t>T1_2026_P07_R019 | T1_2026_P07_R050 | T1_2026_P08_R081 | T1_2026_P08_R082</t>
  </si>
  <si>
    <t>16960</t>
  </si>
  <si>
    <t>T1_2026_P06_R061</t>
  </si>
  <si>
    <t>16971</t>
  </si>
  <si>
    <t>T1_2026_P06_R119</t>
  </si>
  <si>
    <t>16983</t>
  </si>
  <si>
    <t>T1_2026_P05_R027</t>
  </si>
  <si>
    <t>16988</t>
  </si>
  <si>
    <t>T1_2026_P04_R220</t>
  </si>
  <si>
    <t>17007</t>
  </si>
  <si>
    <t>T1_2026_P05_R203</t>
  </si>
  <si>
    <t>17055</t>
  </si>
  <si>
    <t>T1_2026_P05_R011</t>
  </si>
  <si>
    <t>17078</t>
  </si>
  <si>
    <t>T1_2026_P08_R011</t>
  </si>
  <si>
    <t>17081</t>
  </si>
  <si>
    <t>T1_2026_P02_R069</t>
  </si>
  <si>
    <t>17087</t>
  </si>
  <si>
    <t>T1_2026_P03_R068</t>
  </si>
  <si>
    <t>17106</t>
  </si>
  <si>
    <t>T1_2026_P04_R093</t>
  </si>
  <si>
    <t>17108</t>
  </si>
  <si>
    <t>T1_2026_P07_R078</t>
  </si>
  <si>
    <t>17130</t>
  </si>
  <si>
    <t>T1_2026_P05_R010</t>
  </si>
  <si>
    <t>17134</t>
  </si>
  <si>
    <t>T1_2026_P01_R002 | T1_2026_P01_R005</t>
  </si>
  <si>
    <t>17168</t>
  </si>
  <si>
    <t>T1_2026_P07_R141 | T1_2026_P07_R206</t>
  </si>
  <si>
    <t>17169</t>
  </si>
  <si>
    <t>T1_2026_P07_R032 | T1_2026_P07_R039 | T1_2026_P07_R043 | T1_2026_P07_R086 | T1_2026_P07_R101 | T1_2026_P07_R211</t>
  </si>
  <si>
    <t>17171</t>
  </si>
  <si>
    <t>T1_2026_P06_R067</t>
  </si>
  <si>
    <t>17172</t>
  </si>
  <si>
    <t>T1_2026_P04_R072</t>
  </si>
  <si>
    <t>17178</t>
  </si>
  <si>
    <t>T1_2026_P10_R028</t>
  </si>
  <si>
    <t>17182</t>
  </si>
  <si>
    <t>T1_2026_P08_R109</t>
  </si>
  <si>
    <t>17184</t>
  </si>
  <si>
    <t>T1_2026_P05_R218</t>
  </si>
  <si>
    <t>17194</t>
  </si>
  <si>
    <t>T1_2026_P07_R018 | T1_2026_P07_R025</t>
  </si>
  <si>
    <t>17249</t>
  </si>
  <si>
    <t>T1_2026_P04_R092</t>
  </si>
  <si>
    <t>17282</t>
  </si>
  <si>
    <t>T1_2026_P05_R025 | T1_2026_P05_R103</t>
  </si>
  <si>
    <t>17300</t>
  </si>
  <si>
    <t>T1_2026_P07_R073 | T1_2026_P08_R080</t>
  </si>
  <si>
    <t>17309</t>
  </si>
  <si>
    <t>T1_2026_P07_R051</t>
  </si>
  <si>
    <t>17312</t>
  </si>
  <si>
    <t>T1_2026_P07_R208</t>
  </si>
  <si>
    <t>17326</t>
  </si>
  <si>
    <t>T1_2026_P04_R171</t>
  </si>
  <si>
    <t>17351</t>
  </si>
  <si>
    <t>T1_2026_P03_R162</t>
  </si>
  <si>
    <t>17405</t>
  </si>
  <si>
    <t>T1_2026_P08_R220</t>
  </si>
  <si>
    <t>17425</t>
  </si>
  <si>
    <t>T1_2026_P03_R041 | T1_2026_P03_R045</t>
  </si>
  <si>
    <t>17452</t>
  </si>
  <si>
    <t>T1_2026_P02_R098</t>
  </si>
  <si>
    <t>17468</t>
  </si>
  <si>
    <t>T1_2026_P04_R065</t>
  </si>
  <si>
    <t>17488</t>
  </si>
  <si>
    <t>T1_2026_P07_R229</t>
  </si>
  <si>
    <t>17516</t>
  </si>
  <si>
    <t>T1_2026_P04_R228</t>
  </si>
  <si>
    <t>17532</t>
  </si>
  <si>
    <t>T1_2026_P07_R009</t>
  </si>
  <si>
    <t>17549</t>
  </si>
  <si>
    <t>T1_2026_P05_R086</t>
  </si>
  <si>
    <t>17587</t>
  </si>
  <si>
    <t>T1_2026_P09_R071</t>
  </si>
  <si>
    <t>17623</t>
  </si>
  <si>
    <t>T1_2026_P04_R075</t>
  </si>
  <si>
    <t>17629</t>
  </si>
  <si>
    <t>T1_2026_P05_R030</t>
  </si>
  <si>
    <t>17702</t>
  </si>
  <si>
    <t>T1_2026_P04_R149</t>
  </si>
  <si>
    <t>17842</t>
  </si>
  <si>
    <t>T1_2026_P01_R067 | T1_2026_P01_R100 | T1_2026_P01_R160 | T1_2026_P02_R005 | T1_2026_P02_R128</t>
  </si>
  <si>
    <t>17852</t>
  </si>
  <si>
    <t>T1_2026_P04_R046</t>
  </si>
  <si>
    <t>17880</t>
  </si>
  <si>
    <t>T1_2026_P01_R047 | T1_2026_P01_R097 | T1_2026_P01_R158</t>
  </si>
  <si>
    <t>17905</t>
  </si>
  <si>
    <t>T1_2026_P02_R101</t>
  </si>
  <si>
    <t>17932</t>
  </si>
  <si>
    <t>T1_2026_P03_R076 | T1_2026_P03_R128 | T1_2026_P04_R232 | T1_2026_P05_R115</t>
  </si>
  <si>
    <t>17966</t>
  </si>
  <si>
    <t>T1_2026_P03_R031</t>
  </si>
  <si>
    <t>17967</t>
  </si>
  <si>
    <t>T1_2026_P07_R108</t>
  </si>
  <si>
    <t>17974</t>
  </si>
  <si>
    <t>T1_2026_P09_R187</t>
  </si>
  <si>
    <t>18018</t>
  </si>
  <si>
    <t>T1_2026_P08_R157</t>
  </si>
  <si>
    <t>18028</t>
  </si>
  <si>
    <t>T1_2026_P08_R020</t>
  </si>
  <si>
    <t>18050</t>
  </si>
  <si>
    <t>T1_2026_P05_R020</t>
  </si>
  <si>
    <t>18094</t>
  </si>
  <si>
    <t>T1_2026_P06_R056</t>
  </si>
  <si>
    <t>18095</t>
  </si>
  <si>
    <t>T1_2026_P05_R044 | T1_2026_P06_R160</t>
  </si>
  <si>
    <t>18154</t>
  </si>
  <si>
    <t>T1_2026_P04_R189</t>
  </si>
  <si>
    <t>18209</t>
  </si>
  <si>
    <t>T1_2026_P02_R122 | T1_2026_P02_R133</t>
  </si>
  <si>
    <t>18247</t>
  </si>
  <si>
    <t>T1_2026_P03_R038</t>
  </si>
  <si>
    <t>18250</t>
  </si>
  <si>
    <t>T1_2026_P07_R236</t>
  </si>
  <si>
    <t>18264</t>
  </si>
  <si>
    <t>T1_2026_P07_R060 | T1_2026_P07_R083</t>
  </si>
  <si>
    <t>18277</t>
  </si>
  <si>
    <t>T1_2026_P08_R030</t>
  </si>
  <si>
    <t>18285</t>
  </si>
  <si>
    <t>T1_2026_P04_R211 | T1_2026_P04_R212</t>
  </si>
  <si>
    <t>18364</t>
  </si>
  <si>
    <t>T1_2026_P05_R017</t>
  </si>
  <si>
    <t>18431</t>
  </si>
  <si>
    <t>T1_2026_P09_R139 | T1_2026_P09_R189 | T1_2026_P09_R198</t>
  </si>
  <si>
    <t>18445</t>
  </si>
  <si>
    <t>T1_2026_P07_R118</t>
  </si>
  <si>
    <t>18448</t>
  </si>
  <si>
    <t>T1_2026_P02_R027</t>
  </si>
  <si>
    <t>18455</t>
  </si>
  <si>
    <t>T1_2026_P09_R023 | T1_2026_P09_R043</t>
  </si>
  <si>
    <t>18456</t>
  </si>
  <si>
    <t>T1_2026_P03_R089 | T1_2026_P03_R134 | T1_2026_P03_R161 | T1_2026_P03_R204 | T1_2026_P06_R171</t>
  </si>
  <si>
    <t>18529</t>
  </si>
  <si>
    <t>T1_2026_P09_R193</t>
  </si>
  <si>
    <t>18542</t>
  </si>
  <si>
    <t>T1_2026_P02_R177 | T1_2026_P02_R188</t>
  </si>
  <si>
    <t>18549</t>
  </si>
  <si>
    <t>T1_2026_P03_R034</t>
  </si>
  <si>
    <t>18575</t>
  </si>
  <si>
    <t>T1_2026_P08_R152</t>
  </si>
  <si>
    <t>18594</t>
  </si>
  <si>
    <t>T1_2026_P03_R055 | T1_2026_P03_R106 | T1_2026_P04_R216 | T1_2026_P05_R190</t>
  </si>
  <si>
    <t>18621</t>
  </si>
  <si>
    <t>T1_2026_P05_R220</t>
  </si>
  <si>
    <t>18635</t>
  </si>
  <si>
    <t>T1_2026_P02_R086</t>
  </si>
  <si>
    <t>18662</t>
  </si>
  <si>
    <t>T1_2026_P08_R071</t>
  </si>
  <si>
    <t>18690</t>
  </si>
  <si>
    <t>T1_2026_P09_R159</t>
  </si>
  <si>
    <t>18705</t>
  </si>
  <si>
    <t>T1_2026_P10_R029</t>
  </si>
  <si>
    <t>18717</t>
  </si>
  <si>
    <t>T1_2026_P01_R142</t>
  </si>
  <si>
    <t>18790</t>
  </si>
  <si>
    <t>T1_2026_P05_R060 | T1_2026_P05_R143</t>
  </si>
  <si>
    <t>18791</t>
  </si>
  <si>
    <t>T1_2026_P02_R004</t>
  </si>
  <si>
    <t>18828</t>
  </si>
  <si>
    <t>T1_2026_P10_R027</t>
  </si>
  <si>
    <t>18830</t>
  </si>
  <si>
    <t>T1_2026_P09_R019</t>
  </si>
  <si>
    <t>18851</t>
  </si>
  <si>
    <t>Laos</t>
  </si>
  <si>
    <t>T1_2026_P08_R110</t>
  </si>
  <si>
    <t>18905</t>
  </si>
  <si>
    <t>T1_2026_P02_R102</t>
  </si>
  <si>
    <t>18958</t>
  </si>
  <si>
    <t>T1_2026_P07_R111</t>
  </si>
  <si>
    <t>18991</t>
  </si>
  <si>
    <t>T1_2026_P03_R095</t>
  </si>
  <si>
    <t>19020</t>
  </si>
  <si>
    <t>T1_2026_P08_R022</t>
  </si>
  <si>
    <t>19030</t>
  </si>
  <si>
    <t>T1_2026_P08_R049</t>
  </si>
  <si>
    <t>19033</t>
  </si>
  <si>
    <t>T1_2026_P07_R183 | T1_2026_P07_R224 | T1_2026_P08_R075 | T1_2026_P08_R079</t>
  </si>
  <si>
    <t>19040</t>
  </si>
  <si>
    <t>T1_2026_P09_R213</t>
  </si>
  <si>
    <t>19047</t>
  </si>
  <si>
    <t>T1_2026_P07_R239</t>
  </si>
  <si>
    <t>19048</t>
  </si>
  <si>
    <t>T1_2026_P03_R201</t>
  </si>
  <si>
    <t>19052</t>
  </si>
  <si>
    <t>T1_2026_P06_R012</t>
  </si>
  <si>
    <t>19053</t>
  </si>
  <si>
    <t>T1_2026_P05_R164</t>
  </si>
  <si>
    <t>19066</t>
  </si>
  <si>
    <t>T1_2026_P05_R065 | T1_2026_P06_R167</t>
  </si>
  <si>
    <t>19094</t>
  </si>
  <si>
    <t>T1_2026_P05_R068</t>
  </si>
  <si>
    <t>19122</t>
  </si>
  <si>
    <t>T1_2026_P10_R040</t>
  </si>
  <si>
    <t>19144</t>
  </si>
  <si>
    <t>T1_2026_P02_R215</t>
  </si>
  <si>
    <t>19171</t>
  </si>
  <si>
    <t>T1_2026_P09_R119</t>
  </si>
  <si>
    <t>19173</t>
  </si>
  <si>
    <t>T1_2026_P03_R093 | T1_2026_P05_R019</t>
  </si>
  <si>
    <t>19174</t>
  </si>
  <si>
    <t>T1_2026_P06_R017</t>
  </si>
  <si>
    <t>19215</t>
  </si>
  <si>
    <t>T1_2026_P05_R105</t>
  </si>
  <si>
    <t>19309</t>
  </si>
  <si>
    <t>T1_2026_P07_R079</t>
  </si>
  <si>
    <t>19314</t>
  </si>
  <si>
    <t>T1_2026_P06_R218 | T1_2026_P06_R239</t>
  </si>
  <si>
    <t>19320</t>
  </si>
  <si>
    <t>T1_2026_P08_R095</t>
  </si>
  <si>
    <t>19367</t>
  </si>
  <si>
    <t>T1_2026_P07_R165</t>
  </si>
  <si>
    <t>19388</t>
  </si>
  <si>
    <t>T1_2026_P10_R018</t>
  </si>
  <si>
    <t>19398</t>
  </si>
  <si>
    <t>T1_2026_P02_R103 | T1_2026_P02_R138</t>
  </si>
  <si>
    <t>19407</t>
  </si>
  <si>
    <t>T1_2026_P09_R052 | T1_2026_P09_R082</t>
  </si>
  <si>
    <t>19411</t>
  </si>
  <si>
    <t>T1_2026_P06_R224</t>
  </si>
  <si>
    <t>19414</t>
  </si>
  <si>
    <t>T1_2026_P06_R076</t>
  </si>
  <si>
    <t>19423</t>
  </si>
  <si>
    <t>T1_2026_P02_R085 | T1_2026_P02_R116</t>
  </si>
  <si>
    <t>19428</t>
  </si>
  <si>
    <t>T1_2026_P03_R104</t>
  </si>
  <si>
    <t>19443</t>
  </si>
  <si>
    <t>T1_2026_P09_R125 | T1_2026_P09_R182 | T1_2026_P09_R226</t>
  </si>
  <si>
    <t>19455</t>
  </si>
  <si>
    <t>T1_2026_P08_R021</t>
  </si>
  <si>
    <t>19461</t>
  </si>
  <si>
    <t>T1_2026_P02_R185 | T1_2026_P03_R002</t>
  </si>
  <si>
    <t>19462</t>
  </si>
  <si>
    <t>T1_2026_P06_R078</t>
  </si>
  <si>
    <t>19476</t>
  </si>
  <si>
    <t>T1_2026_P06_R211</t>
  </si>
  <si>
    <t>19491</t>
  </si>
  <si>
    <t>T1_2026_P06_R194</t>
  </si>
  <si>
    <t>19548</t>
  </si>
  <si>
    <t>T1_2026_P07_R169</t>
  </si>
  <si>
    <t>19554</t>
  </si>
  <si>
    <t>T1_2026_P02_R120 | T1_2026_P02_R154</t>
  </si>
  <si>
    <t>19570</t>
  </si>
  <si>
    <t>T1_2026_P01_R009 | T1_2026_P01_R024 | T1_2026_P01_R042 | T1_2026_P01_R079 | T1_2026_P01_R155 | T1_2026_P01_R216</t>
  </si>
  <si>
    <t>19612</t>
  </si>
  <si>
    <t>T1_2026_P05_R002 | T1_2026_P05_R075 | T1_2026_P05_R118 | T1_2026_P05_R153</t>
  </si>
  <si>
    <t>19615</t>
  </si>
  <si>
    <t>T1_2026_P03_R027 | T1_2026_P03_R084 | T1_2026_P03_R112 | T1_2026_P03_R234 | T1_2026_P05_R073 | T1_2026_P05_R150</t>
  </si>
  <si>
    <t>19628</t>
  </si>
  <si>
    <t>T1_2026_P05_R112</t>
  </si>
  <si>
    <t>19667</t>
  </si>
  <si>
    <t>T1_2026_P04_R054</t>
  </si>
  <si>
    <t>19697</t>
  </si>
  <si>
    <t>T1_2026_P01_R062 | T1_2026_P02_R140</t>
  </si>
  <si>
    <t>19706</t>
  </si>
  <si>
    <t>T1_2026_P07_R092</t>
  </si>
  <si>
    <t>19713</t>
  </si>
  <si>
    <t>T1_2026_P01_R162 | T1_2026_P02_R024 | T1_2026_P02_R056</t>
  </si>
  <si>
    <t>19716</t>
  </si>
  <si>
    <t>T1_2026_P01_R016 | T1_2026_P01_R051 | T1_2026_P01_R072 | T1_2026_P01_R114 | T1_2026_P02_R012</t>
  </si>
  <si>
    <t>19719</t>
  </si>
  <si>
    <t>T1_2026_P07_R004 | T1_2026_P08_R035</t>
  </si>
  <si>
    <t>19723</t>
  </si>
  <si>
    <t>T1_2026_P07_R061</t>
  </si>
  <si>
    <t>19778</t>
  </si>
  <si>
    <t>T1_2026_P06_R033 | T1_2026_P06_R038</t>
  </si>
  <si>
    <t>19802</t>
  </si>
  <si>
    <t>T1_2026_P04_R173</t>
  </si>
  <si>
    <t>19828</t>
  </si>
  <si>
    <t>T1_2026_P02_R190</t>
  </si>
  <si>
    <t>19896</t>
  </si>
  <si>
    <t>T1_2026_P01_R206 | T1_2026_P02_R032</t>
  </si>
  <si>
    <t>19957</t>
  </si>
  <si>
    <t>T1_2026_P01_R141</t>
  </si>
  <si>
    <t>19963</t>
  </si>
  <si>
    <t>T1_2026_P02_R097</t>
  </si>
  <si>
    <t>19968</t>
  </si>
  <si>
    <t>T1_2026_P06_R015</t>
  </si>
  <si>
    <t>19971</t>
  </si>
  <si>
    <t>T1_2026_P03_R179</t>
  </si>
  <si>
    <t>19975</t>
  </si>
  <si>
    <t>T1_2026_P03_R183</t>
  </si>
  <si>
    <t>19976</t>
  </si>
  <si>
    <t>T1_2026_P03_R185</t>
  </si>
  <si>
    <t>20097</t>
  </si>
  <si>
    <t>T1_2026_P05_R005</t>
  </si>
  <si>
    <t>20136</t>
  </si>
  <si>
    <t>T1_2026_P05_R003</t>
  </si>
  <si>
    <t>20158</t>
  </si>
  <si>
    <t>T1_2026_P08_R146</t>
  </si>
  <si>
    <t>20176</t>
  </si>
  <si>
    <t>T1_2026_P07_R028</t>
  </si>
  <si>
    <t>20179</t>
  </si>
  <si>
    <t>T1_2026_P03_R054 | T1_2026_P03_R069 | T1_2026_P03_R105 | T1_2026_P04_R124 | T1_2026_P04_R125</t>
  </si>
  <si>
    <t>20180</t>
  </si>
  <si>
    <t>T1_2026_P06_R118</t>
  </si>
  <si>
    <t>20183</t>
  </si>
  <si>
    <t>T1_2026_P06_R070</t>
  </si>
  <si>
    <t>20214</t>
  </si>
  <si>
    <t>T1_2026_P01_R012 | T1_2026_P01_R046 | T1_2026_P01_R095 | T1_2026_P01_R177 | T1_2026_P02_R112</t>
  </si>
  <si>
    <t>20221</t>
  </si>
  <si>
    <t>T1_2026_P07_R157</t>
  </si>
  <si>
    <t>20231</t>
  </si>
  <si>
    <t>T1_2026_P05_R106</t>
  </si>
  <si>
    <t>20253</t>
  </si>
  <si>
    <t>T1_2026_P09_R079 | T1_2026_P09_R095</t>
  </si>
  <si>
    <t>20275</t>
  </si>
  <si>
    <t>T1_2026_P05_R022</t>
  </si>
  <si>
    <t>20288</t>
  </si>
  <si>
    <t>T1_2026_P02_R164</t>
  </si>
  <si>
    <t>20312</t>
  </si>
  <si>
    <t>T1_2026_P03_R058 | T1_2026_P04_R094 | T1_2026_P05_R192</t>
  </si>
  <si>
    <t>20322</t>
  </si>
  <si>
    <t>T1_2026_P01_R071 | T1_2026_P02_R151</t>
  </si>
  <si>
    <t>20328</t>
  </si>
  <si>
    <t>T1_2026_P08_R203</t>
  </si>
  <si>
    <t>20343</t>
  </si>
  <si>
    <t>T1_2026_P07_R036</t>
  </si>
  <si>
    <t>20374</t>
  </si>
  <si>
    <t>T1_2026_P03_R040 | T1_2026_P03_R044</t>
  </si>
  <si>
    <t>20395</t>
  </si>
  <si>
    <t>T1_2026_P03_R032</t>
  </si>
  <si>
    <t>20426</t>
  </si>
  <si>
    <t>T1_2026_P06_R018 | T1_2026_P06_R042</t>
  </si>
  <si>
    <t>20455</t>
  </si>
  <si>
    <t>T1_2026_P04_R209</t>
  </si>
  <si>
    <t>20491</t>
  </si>
  <si>
    <t>T1_2026_P06_R027</t>
  </si>
  <si>
    <t>20519</t>
  </si>
  <si>
    <t>T1_2026_P05_R157</t>
  </si>
  <si>
    <t>20520</t>
  </si>
  <si>
    <t>T1_2026_P03_R216</t>
  </si>
  <si>
    <t>20555</t>
  </si>
  <si>
    <t>T1_2026_P05_R090 | T1_2026_P05_R165</t>
  </si>
  <si>
    <t>20561</t>
  </si>
  <si>
    <t>T1_2026_P06_R140</t>
  </si>
  <si>
    <t>20692</t>
  </si>
  <si>
    <t>T1_2026_P02_R155</t>
  </si>
  <si>
    <t>20695</t>
  </si>
  <si>
    <t>T1_2026_P04_R117</t>
  </si>
  <si>
    <t>20760</t>
  </si>
  <si>
    <t>T1_2026_P06_R170</t>
  </si>
  <si>
    <t>20801</t>
  </si>
  <si>
    <t>T1_2026_P04_R083</t>
  </si>
  <si>
    <t>20806</t>
  </si>
  <si>
    <t>T1_2026_P07_R029</t>
  </si>
  <si>
    <t>20855</t>
  </si>
  <si>
    <t>T1_2026_P09_R214</t>
  </si>
  <si>
    <t>20861</t>
  </si>
  <si>
    <t>T1_2026_P01_R101 | T1_2026_P01_R190 | T1_2026_P02_R060</t>
  </si>
  <si>
    <t>20862</t>
  </si>
  <si>
    <t>T1_2026_P05_R004 | T1_2026_P05_R119</t>
  </si>
  <si>
    <t>20896</t>
  </si>
  <si>
    <t>T1_2026_P06_R114</t>
  </si>
  <si>
    <t>20902</t>
  </si>
  <si>
    <t>T1_2026_P02_R115</t>
  </si>
  <si>
    <t>20921</t>
  </si>
  <si>
    <t>T1_2026_P05_R210</t>
  </si>
  <si>
    <t>20932</t>
  </si>
  <si>
    <t>T1_2026_P03_R206 | T1_2026_P03_R228</t>
  </si>
  <si>
    <t>21026</t>
  </si>
  <si>
    <t>T1_2026_P09_R073 | T1_2026_P09_R093</t>
  </si>
  <si>
    <t>21031</t>
  </si>
  <si>
    <t>T1_2026_P06_R120</t>
  </si>
  <si>
    <t>21038</t>
  </si>
  <si>
    <t>T1_2026_P01_R220</t>
  </si>
  <si>
    <t>21044</t>
  </si>
  <si>
    <t>T1_2026_P09_R136 | T1_2026_P09_R158 | T1_2026_P09_R229</t>
  </si>
  <si>
    <t>21049</t>
  </si>
  <si>
    <t>T1_2026_P05_R217</t>
  </si>
  <si>
    <t>21104</t>
  </si>
  <si>
    <t>T1_2026_P09_R192</t>
  </si>
  <si>
    <t>21110</t>
  </si>
  <si>
    <t>T1_2026_P04_R233</t>
  </si>
  <si>
    <t>21116</t>
  </si>
  <si>
    <t>T1_2026_P01_R196 | T1_2026_P02_R011</t>
  </si>
  <si>
    <t>21191</t>
  </si>
  <si>
    <t>T1_2026_P01_R225 | T1_2026_P02_R040</t>
  </si>
  <si>
    <t>21266</t>
  </si>
  <si>
    <t>T1_2026_P08_R094</t>
  </si>
  <si>
    <t>21275</t>
  </si>
  <si>
    <t>T1_2026_P01_R075 | T1_2026_P02_R028</t>
  </si>
  <si>
    <t>21280</t>
  </si>
  <si>
    <t>T1_2026_P09_R230</t>
  </si>
  <si>
    <t>21356</t>
  </si>
  <si>
    <t>T1_2026_P02_R199 | T1_2026_P02_R225</t>
  </si>
  <si>
    <t>21364</t>
  </si>
  <si>
    <t>T1_2026_P05_R081</t>
  </si>
  <si>
    <t>21366</t>
  </si>
  <si>
    <t>T1_2026_P08_R034</t>
  </si>
  <si>
    <t>21387</t>
  </si>
  <si>
    <t>T1_2026_P09_R164</t>
  </si>
  <si>
    <t>21395</t>
  </si>
  <si>
    <t>T1_2026_P06_R063</t>
  </si>
  <si>
    <t>21402</t>
  </si>
  <si>
    <t>T1_2026_P02_R065</t>
  </si>
  <si>
    <t>21432</t>
  </si>
  <si>
    <t>T1_2026_P05_R085 | T1_2026_P05_R161</t>
  </si>
  <si>
    <t>21435</t>
  </si>
  <si>
    <t>T1_2026_P01_R191 | T1_2026_P02_R153</t>
  </si>
  <si>
    <t>21513</t>
  </si>
  <si>
    <t>T1_2026_P04_R050</t>
  </si>
  <si>
    <t>21515</t>
  </si>
  <si>
    <t>T1_2026_P08_R155</t>
  </si>
  <si>
    <t>21524</t>
  </si>
  <si>
    <t>T1_2026_P07_R184 | T1_2026_P07_R225 | T1_2026_P08_R076</t>
  </si>
  <si>
    <t>21526</t>
  </si>
  <si>
    <t>T1_2026_P03_R215</t>
  </si>
  <si>
    <t>21527</t>
  </si>
  <si>
    <t>T1_2026_P02_R017</t>
  </si>
  <si>
    <t>21530</t>
  </si>
  <si>
    <t>T1_2026_P04_R047</t>
  </si>
  <si>
    <t>21553</t>
  </si>
  <si>
    <t>T1_2026_P10_R026</t>
  </si>
  <si>
    <t>21563</t>
  </si>
  <si>
    <t>T1_2026_P03_R143</t>
  </si>
  <si>
    <t>21572</t>
  </si>
  <si>
    <t>T1_2026_P06_R152</t>
  </si>
  <si>
    <t>21600</t>
  </si>
  <si>
    <t>T1_2026_P02_R168 | T1_2026_P02_R182</t>
  </si>
  <si>
    <t>21613</t>
  </si>
  <si>
    <t>T1_2026_P03_R043</t>
  </si>
  <si>
    <t>21639</t>
  </si>
  <si>
    <t>T1_2026_P06_R102</t>
  </si>
  <si>
    <t>21642</t>
  </si>
  <si>
    <t>T1_2026_P05_R226</t>
  </si>
  <si>
    <t>21647</t>
  </si>
  <si>
    <t>T1_2026_P01_R203</t>
  </si>
  <si>
    <t>21676</t>
  </si>
  <si>
    <t>T1_2026_P09_R149</t>
  </si>
  <si>
    <t>21683</t>
  </si>
  <si>
    <t>T1_2026_P02_R191 | T1_2026_P02_R205 | T1_2026_P02_R218 | T1_2026_P02_R224</t>
  </si>
  <si>
    <t>21687</t>
  </si>
  <si>
    <t>T1_2026_P06_R064</t>
  </si>
  <si>
    <t>21708</t>
  </si>
  <si>
    <t>T1_2026_P04_R099</t>
  </si>
  <si>
    <t>21725</t>
  </si>
  <si>
    <t>T1_2026_P02_R147</t>
  </si>
  <si>
    <t>21744</t>
  </si>
  <si>
    <t>T1_2026_P06_R090</t>
  </si>
  <si>
    <t>21751</t>
  </si>
  <si>
    <t>T1_2026_P02_R204 | T1_2026_P02_R217</t>
  </si>
  <si>
    <t>21768</t>
  </si>
  <si>
    <t>T1_2026_P04_R003</t>
  </si>
  <si>
    <t>21774</t>
  </si>
  <si>
    <t>T1_2026_P02_R066</t>
  </si>
  <si>
    <t>21827</t>
  </si>
  <si>
    <t>T1_2026_P03_R238</t>
  </si>
  <si>
    <t>21829</t>
  </si>
  <si>
    <t>T1_2026_P05_R222</t>
  </si>
  <si>
    <t>21849</t>
  </si>
  <si>
    <t>T1_2026_P01_R135</t>
  </si>
  <si>
    <t>21855</t>
  </si>
  <si>
    <t>T1_2026_P01_R096 | T1_2026_P02_R119</t>
  </si>
  <si>
    <t>21860</t>
  </si>
  <si>
    <t>T1_2026_P05_R018</t>
  </si>
  <si>
    <t>21878</t>
  </si>
  <si>
    <t>T1_2026_P03_R227</t>
  </si>
  <si>
    <t>21879</t>
  </si>
  <si>
    <t>T1_2026_P01_R236 | T1_2026_P02_R047</t>
  </si>
  <si>
    <t>21913</t>
  </si>
  <si>
    <t>T1_2026_P09_R161 | T1_2026_P09_R167</t>
  </si>
  <si>
    <t>21946</t>
  </si>
  <si>
    <t>T1_2026_P03_R081 | T1_2026_P05_R067 | T1_2026_P05_R147</t>
  </si>
  <si>
    <t>21948</t>
  </si>
  <si>
    <t>T1_2026_P04_R190</t>
  </si>
  <si>
    <t>22025</t>
  </si>
  <si>
    <t>T1_2026_P02_R149</t>
  </si>
  <si>
    <t>22028</t>
  </si>
  <si>
    <t>T1_2026_P07_R014</t>
  </si>
  <si>
    <t>22057</t>
  </si>
  <si>
    <t>T1_2026_P09_R236</t>
  </si>
  <si>
    <t>22089</t>
  </si>
  <si>
    <t>T1_2026_P01_R085 | T1_2026_P01_R128 | T1_2026_P01_R170</t>
  </si>
  <si>
    <t>22092</t>
  </si>
  <si>
    <t>T1_2026_P03_R210</t>
  </si>
  <si>
    <t>22095</t>
  </si>
  <si>
    <t>T1_2026_P04_R230 | T1_2026_P05_R113</t>
  </si>
  <si>
    <t>22098</t>
  </si>
  <si>
    <t>T1_2026_P02_R161</t>
  </si>
  <si>
    <t>22104</t>
  </si>
  <si>
    <t>T1_2026_P04_R038 | T1_2026_P04_R055</t>
  </si>
  <si>
    <t>22111</t>
  </si>
  <si>
    <t>T1_2026_P07_R167</t>
  </si>
  <si>
    <t>22118</t>
  </si>
  <si>
    <t>T1_2026_P03_R088 | T1_2026_P03_R133 | T1_2026_P03_R189 | T1_2026_P05_R224</t>
  </si>
  <si>
    <t>22133</t>
  </si>
  <si>
    <t>T1_2026_P03_R186</t>
  </si>
  <si>
    <t>22135</t>
  </si>
  <si>
    <t>T1_2026_P01_R116 | T1_2026_P01_R124</t>
  </si>
  <si>
    <t>22139</t>
  </si>
  <si>
    <t>T1_2026_P02_R159</t>
  </si>
  <si>
    <t>22155</t>
  </si>
  <si>
    <t>T1_2026_P07_R063</t>
  </si>
  <si>
    <t>22162</t>
  </si>
  <si>
    <t>T1_2026_P01_R089 | T1_2026_P02_R137</t>
  </si>
  <si>
    <t>22163</t>
  </si>
  <si>
    <t>T1_2026_P04_R147 | T1_2026_P05_R014 | T1_2026_P05_R123 | T1_2026_P06_R098</t>
  </si>
  <si>
    <t>22172</t>
  </si>
  <si>
    <t>T1_2026_P04_R104</t>
  </si>
  <si>
    <t>22195</t>
  </si>
  <si>
    <t>T1_2026_P04_R096</t>
  </si>
  <si>
    <t>22201</t>
  </si>
  <si>
    <t>T1_2026_P08_R153</t>
  </si>
  <si>
    <t>22209</t>
  </si>
  <si>
    <t>T1_2026_P06_R143</t>
  </si>
  <si>
    <t>22214</t>
  </si>
  <si>
    <t>T1_2026_P09_R223</t>
  </si>
  <si>
    <t>22215</t>
  </si>
  <si>
    <t>T1_2026_P04_R155</t>
  </si>
  <si>
    <t>22219</t>
  </si>
  <si>
    <t>T1_2026_P05_R102 | T1_2026_P05_R173</t>
  </si>
  <si>
    <t>22225</t>
  </si>
  <si>
    <t>T1_2026_P05_R204</t>
  </si>
  <si>
    <t>22226</t>
  </si>
  <si>
    <t>T1_2026_P06_R021</t>
  </si>
  <si>
    <t>22231</t>
  </si>
  <si>
    <t>T1_2026_P07_R182 | T1_2026_P07_R223 | T1_2026_P08_R074 | T1_2026_P08_R078</t>
  </si>
  <si>
    <t>22248</t>
  </si>
  <si>
    <t>T1_2026_P08_R208</t>
  </si>
  <si>
    <t>22257</t>
  </si>
  <si>
    <t>T1_2026_P06_R115</t>
  </si>
  <si>
    <t>22259</t>
  </si>
  <si>
    <t>T1_2026_P01_R232 | T1_2026_P02_R045</t>
  </si>
  <si>
    <t>22262</t>
  </si>
  <si>
    <t>T1_2026_P09_R124</t>
  </si>
  <si>
    <t>22290</t>
  </si>
  <si>
    <t>T1_2026_P04_R191</t>
  </si>
  <si>
    <t>22320</t>
  </si>
  <si>
    <t>T1_2026_P04_R030 | T1_2026_P04_R033 | T1_2026_P06_R068</t>
  </si>
  <si>
    <t>22343</t>
  </si>
  <si>
    <t>T1_2026_P06_R220</t>
  </si>
  <si>
    <t>22350</t>
  </si>
  <si>
    <t>T1_2026_P05_R099</t>
  </si>
  <si>
    <t>22353</t>
  </si>
  <si>
    <t>T1_2026_P05_R237</t>
  </si>
  <si>
    <t>22354</t>
  </si>
  <si>
    <t>T1_2026_P05_R215</t>
  </si>
  <si>
    <t>22394</t>
  </si>
  <si>
    <t>T1_2026_P04_R052</t>
  </si>
  <si>
    <t>22397</t>
  </si>
  <si>
    <t>T1_2026_P03_R154</t>
  </si>
  <si>
    <t>22423</t>
  </si>
  <si>
    <t>T1_2026_P07_R174</t>
  </si>
  <si>
    <t>22428</t>
  </si>
  <si>
    <t>T1_2026_P04_R180</t>
  </si>
  <si>
    <t>22516</t>
  </si>
  <si>
    <t>T1_2026_P01_R107</t>
  </si>
  <si>
    <t>22556</t>
  </si>
  <si>
    <t>T1_2026_P08_R233</t>
  </si>
  <si>
    <t>22602</t>
  </si>
  <si>
    <t>T1_2026_P01_R221</t>
  </si>
  <si>
    <t>22608</t>
  </si>
  <si>
    <t>T1_2026_P09_R222 | T1_2026_P09_R232</t>
  </si>
  <si>
    <t>22636</t>
  </si>
  <si>
    <t>T1_2026_P06_R006</t>
  </si>
  <si>
    <t>22645</t>
  </si>
  <si>
    <t>T1_2026_P04_R121</t>
  </si>
  <si>
    <t>22657</t>
  </si>
  <si>
    <t>T1_2026_P08_R027</t>
  </si>
  <si>
    <t>22663</t>
  </si>
  <si>
    <t>T1_2026_P02_R165</t>
  </si>
  <si>
    <t>22667</t>
  </si>
  <si>
    <t>T1_2026_P08_R215</t>
  </si>
  <si>
    <t>22672</t>
  </si>
  <si>
    <t>T1_2026_P02_R189</t>
  </si>
  <si>
    <t>22703</t>
  </si>
  <si>
    <t>T1_2026_P08_R179</t>
  </si>
  <si>
    <t>22717</t>
  </si>
  <si>
    <t>T1_2026_P08_R007</t>
  </si>
  <si>
    <t>22772</t>
  </si>
  <si>
    <t>T1_2026_P06_R240</t>
  </si>
  <si>
    <t>22773</t>
  </si>
  <si>
    <t>T1_2026_P10_R017</t>
  </si>
  <si>
    <t>22788</t>
  </si>
  <si>
    <t>T1_2026_P09_R237</t>
  </si>
  <si>
    <t>22796</t>
  </si>
  <si>
    <t>T1_2026_P04_R234 | T1_2026_P05_R116</t>
  </si>
  <si>
    <t>22804</t>
  </si>
  <si>
    <t>T1_2026_P03_R037</t>
  </si>
  <si>
    <t>22828</t>
  </si>
  <si>
    <t>T1_2026_P01_R053 | T1_2026_P01_R080 | T1_2026_P02_R019 | T1_2026_P02_R099</t>
  </si>
  <si>
    <t>22829</t>
  </si>
  <si>
    <t>T1_2026_P03_R124 | T1_2026_P05_R039 | T1_2026_P05_R130 | T1_2026_P06_R158</t>
  </si>
  <si>
    <t>22835</t>
  </si>
  <si>
    <t>T1_2026_P07_R237</t>
  </si>
  <si>
    <t>22859</t>
  </si>
  <si>
    <t>T1_2026_P08_R048</t>
  </si>
  <si>
    <t>22872</t>
  </si>
  <si>
    <t>T1_2026_P07_R084 | T1_2026_P08_R031</t>
  </si>
  <si>
    <t>22874</t>
  </si>
  <si>
    <t>T1_2026_P06_R019</t>
  </si>
  <si>
    <t>22936</t>
  </si>
  <si>
    <t>T1_2026_P05_R066 | T1_2026_P05_R146</t>
  </si>
  <si>
    <t>22939</t>
  </si>
  <si>
    <t>T1_2026_P02_R013</t>
  </si>
  <si>
    <t>22946</t>
  </si>
  <si>
    <t>T1_2026_P06_R082</t>
  </si>
  <si>
    <t>22947</t>
  </si>
  <si>
    <t>T1_2026_P01_R237</t>
  </si>
  <si>
    <t>22957</t>
  </si>
  <si>
    <t>T1_2026_P09_R143</t>
  </si>
  <si>
    <t>22980</t>
  </si>
  <si>
    <t>T1_2026_P09_R099</t>
  </si>
  <si>
    <t>22982</t>
  </si>
  <si>
    <t>T1_2026_P03_R181 | T1_2026_P04_R215</t>
  </si>
  <si>
    <t>22995</t>
  </si>
  <si>
    <t>T1_2026_P08_R093</t>
  </si>
  <si>
    <t>22999</t>
  </si>
  <si>
    <t>T1_2026_P03_R202</t>
  </si>
  <si>
    <t>23004</t>
  </si>
  <si>
    <t>T1_2026_P03_R049 | T1_2026_P05_R078 | T1_2026_P05_R155</t>
  </si>
  <si>
    <t>23008</t>
  </si>
  <si>
    <t>T1_2026_P03_R211</t>
  </si>
  <si>
    <t>23019</t>
  </si>
  <si>
    <t>T1_2026_P07_R178</t>
  </si>
  <si>
    <t>23020</t>
  </si>
  <si>
    <t>T1_2026_P07_R133 | T1_2026_P07_R177</t>
  </si>
  <si>
    <t>23025</t>
  </si>
  <si>
    <t>T1_2026_P04_R100</t>
  </si>
  <si>
    <t>23027</t>
  </si>
  <si>
    <t>T1_2026_P03_R009</t>
  </si>
  <si>
    <t>23040</t>
  </si>
  <si>
    <t>T1_2026_P03_R182</t>
  </si>
  <si>
    <t>23060</t>
  </si>
  <si>
    <t>T1_2026_P03_R030</t>
  </si>
  <si>
    <t>23072</t>
  </si>
  <si>
    <t>T1_2026_P06_R105</t>
  </si>
  <si>
    <t>23095</t>
  </si>
  <si>
    <t>T1_2026_P06_R103</t>
  </si>
  <si>
    <t>23102</t>
  </si>
  <si>
    <t>T1_2026_P07_R074</t>
  </si>
  <si>
    <t>23133</t>
  </si>
  <si>
    <t>T1_2026_P07_R026</t>
  </si>
  <si>
    <t>23147</t>
  </si>
  <si>
    <t>T1_2026_P05_R235</t>
  </si>
  <si>
    <t>23164</t>
  </si>
  <si>
    <t>T1_2026_P05_R221</t>
  </si>
  <si>
    <t>23185</t>
  </si>
  <si>
    <t>T1_2026_P02_R157</t>
  </si>
  <si>
    <t>23190</t>
  </si>
  <si>
    <t>T1_2026_P07_R155 | T1_2026_P07_R195</t>
  </si>
  <si>
    <t>23202</t>
  </si>
  <si>
    <t>T1_2026_P08_R138 | T1_2026_P08_R143</t>
  </si>
  <si>
    <t>23222</t>
  </si>
  <si>
    <t>T1_2026_P03_R136 | T1_2026_P04_R116</t>
  </si>
  <si>
    <t>23238</t>
  </si>
  <si>
    <t>T1_2026_P08_R196</t>
  </si>
  <si>
    <t>23252</t>
  </si>
  <si>
    <t>T1_2026_P02_R003 | T1_2026_P02_R048</t>
  </si>
  <si>
    <t>23265</t>
  </si>
  <si>
    <t>T1_2026_P05_R211</t>
  </si>
  <si>
    <t>23352</t>
  </si>
  <si>
    <t>T1_2026_P03_R097</t>
  </si>
  <si>
    <t>23353</t>
  </si>
  <si>
    <t>T1_2026_P03_R099</t>
  </si>
  <si>
    <t>23369</t>
  </si>
  <si>
    <t>T1_2026_P03_R101</t>
  </si>
  <si>
    <t>23395</t>
  </si>
  <si>
    <t>T1_2026_P10_R023</t>
  </si>
  <si>
    <t>23404</t>
  </si>
  <si>
    <t>T1_2026_P10_R015</t>
  </si>
  <si>
    <t>23406</t>
  </si>
  <si>
    <t>T1_2026_P06_R126</t>
  </si>
  <si>
    <t>23413</t>
  </si>
  <si>
    <t>T1_2026_P01_R122</t>
  </si>
  <si>
    <t>23426</t>
  </si>
  <si>
    <t>T1_2026_P05_R196 | T1_2026_P06_R168</t>
  </si>
  <si>
    <t>23443</t>
  </si>
  <si>
    <t>T1_2026_P02_R059</t>
  </si>
  <si>
    <t>23444</t>
  </si>
  <si>
    <t>T1_2026_P04_R020 | T1_2026_P06_R050</t>
  </si>
  <si>
    <t>23466</t>
  </si>
  <si>
    <t>T1_2026_P04_R013</t>
  </si>
  <si>
    <t>23467</t>
  </si>
  <si>
    <t>T1_2026_P08_R105</t>
  </si>
  <si>
    <t>23469</t>
  </si>
  <si>
    <t>T1_2026_P03_R167</t>
  </si>
  <si>
    <t>23512</t>
  </si>
  <si>
    <t>T1_2026_P06_R069</t>
  </si>
  <si>
    <t>23521</t>
  </si>
  <si>
    <t>T1_2026_P08_R169 | T1_2026_P08_R170</t>
  </si>
  <si>
    <t>23523</t>
  </si>
  <si>
    <t>T1_2026_P03_R109 | T1_2026_P04_R016</t>
  </si>
  <si>
    <t>23529</t>
  </si>
  <si>
    <t>T1_2026_P07_R054</t>
  </si>
  <si>
    <t>23530</t>
  </si>
  <si>
    <t>T1_2026_P07_R053</t>
  </si>
  <si>
    <t>23537</t>
  </si>
  <si>
    <t>T1_2026_P03_R077 | T1_2026_P05_R048 | T1_2026_P05_R135 | T1_2026_P06_R164</t>
  </si>
  <si>
    <t>23570</t>
  </si>
  <si>
    <t>T1_2026_P09_R163</t>
  </si>
  <si>
    <t>23571</t>
  </si>
  <si>
    <t>T1_2026_P04_R021</t>
  </si>
  <si>
    <t>23603</t>
  </si>
  <si>
    <t>T1_2026_P08_R069</t>
  </si>
  <si>
    <t>23604</t>
  </si>
  <si>
    <t>T1_2026_P03_R036</t>
  </si>
  <si>
    <t>23611</t>
  </si>
  <si>
    <t>T1_2026_P01_R092 | T1_2026_P02_R072</t>
  </si>
  <si>
    <t>23618</t>
  </si>
  <si>
    <t>T1_2026_P06_R053</t>
  </si>
  <si>
    <t>23622</t>
  </si>
  <si>
    <t>T1_2026_P08_R167</t>
  </si>
  <si>
    <t>23633</t>
  </si>
  <si>
    <t>T1_2026_P01_R202</t>
  </si>
  <si>
    <t>23657</t>
  </si>
  <si>
    <t>T1_2026_P04_R080</t>
  </si>
  <si>
    <t>23696</t>
  </si>
  <si>
    <t>T1_2026_P05_R055</t>
  </si>
  <si>
    <t>23699</t>
  </si>
  <si>
    <t>T1_2026_P06_R147</t>
  </si>
  <si>
    <t>23700</t>
  </si>
  <si>
    <t>T1_2026_P10_R001 | T1_2026_P10_R012</t>
  </si>
  <si>
    <t>23707</t>
  </si>
  <si>
    <t>T1_2026_P04_R239</t>
  </si>
  <si>
    <t>23716</t>
  </si>
  <si>
    <t>T1_2026_P08_R159</t>
  </si>
  <si>
    <t>23731</t>
  </si>
  <si>
    <t>T1_2026_P05_R177</t>
  </si>
  <si>
    <t>23734</t>
  </si>
  <si>
    <t>T1_2026_P05_R216</t>
  </si>
  <si>
    <t>23736</t>
  </si>
  <si>
    <t>T1_2026_P03_R103</t>
  </si>
  <si>
    <t>23751</t>
  </si>
  <si>
    <t>T1_2026_P05_R040 | T1_2026_P05_R131</t>
  </si>
  <si>
    <t>23764</t>
  </si>
  <si>
    <t>T1_2026_P08_R124 | T1_2026_P08_R133</t>
  </si>
  <si>
    <t>23770</t>
  </si>
  <si>
    <t>T1_2026_P04_R236</t>
  </si>
  <si>
    <t>23786</t>
  </si>
  <si>
    <t>T1_2026_P07_R023</t>
  </si>
  <si>
    <t>23788</t>
  </si>
  <si>
    <t>T1_2026_P03_R220</t>
  </si>
  <si>
    <t>23888</t>
  </si>
  <si>
    <t>T1_2026_P06_R190</t>
  </si>
  <si>
    <t>23911</t>
  </si>
  <si>
    <t>T1_2026_P04_R091</t>
  </si>
  <si>
    <t>23940</t>
  </si>
  <si>
    <t>T1_2026_P05_R050 | T1_2026_P05_R136</t>
  </si>
  <si>
    <t>23942</t>
  </si>
  <si>
    <t>T1_2026_P02_R186 | T1_2026_P02_R193</t>
  </si>
  <si>
    <t>23956</t>
  </si>
  <si>
    <t>T1_2026_P10_R044</t>
  </si>
  <si>
    <t>23962</t>
  </si>
  <si>
    <t>T1_2026_P06_R011</t>
  </si>
  <si>
    <t>23974</t>
  </si>
  <si>
    <t>T1_2026_P04_R196 | T1_2026_P05_R208</t>
  </si>
  <si>
    <t>23980</t>
  </si>
  <si>
    <t>T1_2026_P03_R150</t>
  </si>
  <si>
    <t>23994</t>
  </si>
  <si>
    <t>T1_2026_P01_R111</t>
  </si>
  <si>
    <t>23998</t>
  </si>
  <si>
    <t>T1_2026_P07_R033 | T1_2026_P07_R212</t>
  </si>
  <si>
    <t>24006</t>
  </si>
  <si>
    <t>T1_2026_P07_R105</t>
  </si>
  <si>
    <t>24031</t>
  </si>
  <si>
    <t>T1_2026_P03_R072 | T1_2026_P03_R125 | T1_2026_P03_R160 | T1_2026_P04_R109</t>
  </si>
  <si>
    <t>24033</t>
  </si>
  <si>
    <t>T1_2026_P08_R123 | T1_2026_P08_R134</t>
  </si>
  <si>
    <t>24035</t>
  </si>
  <si>
    <t>T1_2026_P03_R184</t>
  </si>
  <si>
    <t>24049</t>
  </si>
  <si>
    <t>T1_2026_P03_R174</t>
  </si>
  <si>
    <t>24061</t>
  </si>
  <si>
    <t>T1_2026_P07_R172</t>
  </si>
  <si>
    <t>24111</t>
  </si>
  <si>
    <t>T1_2026_P07_R122</t>
  </si>
  <si>
    <t>24134</t>
  </si>
  <si>
    <t>T1_2026_P05_R186</t>
  </si>
  <si>
    <t>24143</t>
  </si>
  <si>
    <t>T1_2026_P09_R022 | T1_2026_P09_R053</t>
  </si>
  <si>
    <t>24176</t>
  </si>
  <si>
    <t>T1_2026_P03_R194</t>
  </si>
  <si>
    <t>24181</t>
  </si>
  <si>
    <t>T1_2026_P09_R146</t>
  </si>
  <si>
    <t>24213</t>
  </si>
  <si>
    <t>T1_2026_P06_R047</t>
  </si>
  <si>
    <t>24222</t>
  </si>
  <si>
    <t>T1_2026_P08_R019</t>
  </si>
  <si>
    <t>24265</t>
  </si>
  <si>
    <t>T1_2026_P05_R181</t>
  </si>
  <si>
    <t>24268</t>
  </si>
  <si>
    <t>T1_2026_P06_R048</t>
  </si>
  <si>
    <t>24281</t>
  </si>
  <si>
    <t>T1_2026_P07_R058</t>
  </si>
  <si>
    <t>24282</t>
  </si>
  <si>
    <t>T1_2026_P03_R015</t>
  </si>
  <si>
    <t>24283</t>
  </si>
  <si>
    <t>T1_2026_P03_R052 | T1_2026_P03_R053 | T1_2026_P04_R073</t>
  </si>
  <si>
    <t>24287</t>
  </si>
  <si>
    <t>T1_2026_P05_R178</t>
  </si>
  <si>
    <t>24295</t>
  </si>
  <si>
    <t>T1_2026_P06_R104</t>
  </si>
  <si>
    <t>24320</t>
  </si>
  <si>
    <t>T1_2026_P08_R129 | T1_2026_P08_R130</t>
  </si>
  <si>
    <t>24336</t>
  </si>
  <si>
    <t>T1_2026_P09_R231</t>
  </si>
  <si>
    <t>24341</t>
  </si>
  <si>
    <t>T1_2026_P08_R085</t>
  </si>
  <si>
    <t>24360</t>
  </si>
  <si>
    <t>T1_2026_P02_R239</t>
  </si>
  <si>
    <t>24367</t>
  </si>
  <si>
    <t>T1_2026_P08_R084</t>
  </si>
  <si>
    <t>24372</t>
  </si>
  <si>
    <t>T1_2026_P03_R073 | T1_2026_P05_R042 | T1_2026_P05_R132 | T1_2026_P06_R159</t>
  </si>
  <si>
    <t>24381</t>
  </si>
  <si>
    <t>T1_2026_P06_R051</t>
  </si>
  <si>
    <t>24397</t>
  </si>
  <si>
    <t>T1_2026_P08_R087</t>
  </si>
  <si>
    <t>24450</t>
  </si>
  <si>
    <t>T1_2026_P10_R038</t>
  </si>
  <si>
    <t>24463</t>
  </si>
  <si>
    <t>T1_2026_P04_R178</t>
  </si>
  <si>
    <t>24485</t>
  </si>
  <si>
    <t>T1_2026_P09_R017 | T1_2026_P09_R049</t>
  </si>
  <si>
    <t>24511</t>
  </si>
  <si>
    <t>T1_2026_P09_R174</t>
  </si>
  <si>
    <t>24550</t>
  </si>
  <si>
    <t>T1_2026_P02_R210</t>
  </si>
  <si>
    <t>24559</t>
  </si>
  <si>
    <t>T1_2026_P09_R123</t>
  </si>
  <si>
    <t>24563</t>
  </si>
  <si>
    <t>T1_2026_P09_R141 | T1_2026_P09_R165 | T1_2026_P09_R171 | T1_2026_P09_R207 | T1_2026_P09_R210</t>
  </si>
  <si>
    <t>24573</t>
  </si>
  <si>
    <t>T1_2026_P05_R054</t>
  </si>
  <si>
    <t>24585</t>
  </si>
  <si>
    <t>T1_2026_P03_R226</t>
  </si>
  <si>
    <t>24592</t>
  </si>
  <si>
    <t>T1_2026_P09_R114</t>
  </si>
  <si>
    <t>24599</t>
  </si>
  <si>
    <t>T1_2026_P03_R207</t>
  </si>
  <si>
    <t>24603</t>
  </si>
  <si>
    <t>T1_2026_P06_R001</t>
  </si>
  <si>
    <t>24616</t>
  </si>
  <si>
    <t>T1_2026_P03_R166</t>
  </si>
  <si>
    <t>24658</t>
  </si>
  <si>
    <t>T1_2026_P09_R075</t>
  </si>
  <si>
    <t>24667</t>
  </si>
  <si>
    <t>T1_2026_P04_R036</t>
  </si>
  <si>
    <t>24668</t>
  </si>
  <si>
    <t>T1_2026_P04_R037</t>
  </si>
  <si>
    <t>24675</t>
  </si>
  <si>
    <t>T1_2026_P01_R146</t>
  </si>
  <si>
    <t>24682</t>
  </si>
  <si>
    <t>T1_2026_P02_R174</t>
  </si>
  <si>
    <t>24737</t>
  </si>
  <si>
    <t>T1_2026_P09_R020</t>
  </si>
  <si>
    <t>24765</t>
  </si>
  <si>
    <t>T1_2026_P03_R026 | T1_2026_P03_R083 | T1_2026_P05_R001 | T1_2026_P06_R086</t>
  </si>
  <si>
    <t>24782</t>
  </si>
  <si>
    <t>T1_2026_P03_R229</t>
  </si>
  <si>
    <t>24785</t>
  </si>
  <si>
    <t>T1_2026_P01_R120</t>
  </si>
  <si>
    <t>24786</t>
  </si>
  <si>
    <t>T1_2026_P04_R157 | T1_2026_P05_R089</t>
  </si>
  <si>
    <t>24789</t>
  </si>
  <si>
    <t>T1_2026_P04_R202</t>
  </si>
  <si>
    <t>24793</t>
  </si>
  <si>
    <t>T1_2026_P08_R053</t>
  </si>
  <si>
    <t>24794</t>
  </si>
  <si>
    <t>T1_2026_P06_R149</t>
  </si>
  <si>
    <t>24798</t>
  </si>
  <si>
    <t>T1_2026_P06_R184</t>
  </si>
  <si>
    <t>24816</t>
  </si>
  <si>
    <t>T1_2026_P07_R161 | T1_2026_P07_R198 | T1_2026_P07_R199</t>
  </si>
  <si>
    <t>24853</t>
  </si>
  <si>
    <t>T1_2026_P02_R235</t>
  </si>
  <si>
    <t>24864</t>
  </si>
  <si>
    <t>T1_2026_P06_R207</t>
  </si>
  <si>
    <t>24870</t>
  </si>
  <si>
    <t>T1_2026_P04_R181</t>
  </si>
  <si>
    <t>24881</t>
  </si>
  <si>
    <t>T1_2026_P06_R139</t>
  </si>
  <si>
    <t>24884</t>
  </si>
  <si>
    <t>T1_2026_P03_R086 | T1_2026_P03_R116 | T1_2026_P06_R134</t>
  </si>
  <si>
    <t>24888</t>
  </si>
  <si>
    <t>T1_2026_P02_R025 | T1_2026_P02_R057</t>
  </si>
  <si>
    <t>24892</t>
  </si>
  <si>
    <t>T1_2026_P04_R205</t>
  </si>
  <si>
    <t>24895</t>
  </si>
  <si>
    <t>T1_2026_P06_R004</t>
  </si>
  <si>
    <t>24935</t>
  </si>
  <si>
    <t>T1_2026_P10_R021</t>
  </si>
  <si>
    <t>24936</t>
  </si>
  <si>
    <t>T1_2026_P02_R209</t>
  </si>
  <si>
    <t>24941</t>
  </si>
  <si>
    <t>T1_2026_P05_R227</t>
  </si>
  <si>
    <t>24950</t>
  </si>
  <si>
    <t>T1_2026_P04_R097</t>
  </si>
  <si>
    <t>24952</t>
  </si>
  <si>
    <t>T1_2026_P01_R028 | T1_2026_P01_R143 | T1_2026_P01_R165</t>
  </si>
  <si>
    <t>24954</t>
  </si>
  <si>
    <t>T1_2026_P04_R161 | T1_2026_P04_R162</t>
  </si>
  <si>
    <t>24957</t>
  </si>
  <si>
    <t>T1_2026_P08_R137 | T1_2026_P08_R142</t>
  </si>
  <si>
    <t>24962</t>
  </si>
  <si>
    <t>T1_2026_P03_R120 | T1_2026_P06_R138</t>
  </si>
  <si>
    <t>24967</t>
  </si>
  <si>
    <t>T1_2026_P04_R019</t>
  </si>
  <si>
    <t>25017</t>
  </si>
  <si>
    <t>T1_2026_P07_R070 | T1_2026_P08_R064</t>
  </si>
  <si>
    <t>25024</t>
  </si>
  <si>
    <t>T1_2026_P06_R195</t>
  </si>
  <si>
    <t>25027</t>
  </si>
  <si>
    <t>T1_2026_P02_R214</t>
  </si>
  <si>
    <t>25053</t>
  </si>
  <si>
    <t>T1_2026_P06_R030 | T1_2026_P06_R178</t>
  </si>
  <si>
    <t>25065</t>
  </si>
  <si>
    <t>T1_2026_P04_R231 | T1_2026_P05_R114</t>
  </si>
  <si>
    <t>25069</t>
  </si>
  <si>
    <t>T1_2026_P01_R063 | T1_2026_P01_R226 | T1_2026_P02_R041</t>
  </si>
  <si>
    <t>25074</t>
  </si>
  <si>
    <t>T1_2026_P03_R019</t>
  </si>
  <si>
    <t>25100</t>
  </si>
  <si>
    <t>T1_2026_P03_R200 | T1_2026_P06_R037 | T1_2026_P06_R197</t>
  </si>
  <si>
    <t>25110</t>
  </si>
  <si>
    <t>T1_2026_P02_R090</t>
  </si>
  <si>
    <t>25114</t>
  </si>
  <si>
    <t>T1_2026_P06_R065</t>
  </si>
  <si>
    <t>25120</t>
  </si>
  <si>
    <t>T1_2026_P06_R058</t>
  </si>
  <si>
    <t>25121</t>
  </si>
  <si>
    <t>T1_2026_P08_R097</t>
  </si>
  <si>
    <t>25123</t>
  </si>
  <si>
    <t>T1_2026_P08_R222</t>
  </si>
  <si>
    <t>25130</t>
  </si>
  <si>
    <t>T1_2026_P04_R238</t>
  </si>
  <si>
    <t>25147</t>
  </si>
  <si>
    <t>T1_2026_P09_R218</t>
  </si>
  <si>
    <t>25152</t>
  </si>
  <si>
    <t>T1_2026_P03_R042 | T1_2026_P03_R046</t>
  </si>
  <si>
    <t>25155</t>
  </si>
  <si>
    <t>T1_2026_P10_R010</t>
  </si>
  <si>
    <t>25165</t>
  </si>
  <si>
    <t>T1_2026_P04_R177</t>
  </si>
  <si>
    <t>25203</t>
  </si>
  <si>
    <t>T1_2026_P03_R214</t>
  </si>
  <si>
    <t>25268</t>
  </si>
  <si>
    <t>T1_2026_P02_R187 | T1_2026_P02_R194</t>
  </si>
  <si>
    <t>25284</t>
  </si>
  <si>
    <t>T1_2026_P05_R046 | T1_2026_P05_R134 | T1_2026_P06_R163</t>
  </si>
  <si>
    <t>25286</t>
  </si>
  <si>
    <t>T1_2026_P01_R213 | T1_2026_P02_R035</t>
  </si>
  <si>
    <t>25293</t>
  </si>
  <si>
    <t>T1_2026_P08_R054</t>
  </si>
  <si>
    <t>25329</t>
  </si>
  <si>
    <t>T1_2026_P03_R114 | T1_2026_P05_R176</t>
  </si>
  <si>
    <t>25331</t>
  </si>
  <si>
    <t>T1_2026_P03_R021</t>
  </si>
  <si>
    <t>25332</t>
  </si>
  <si>
    <t>T1_2026_P08_R038</t>
  </si>
  <si>
    <t>25353</t>
  </si>
  <si>
    <t>T1_2026_P06_R111</t>
  </si>
  <si>
    <t>25367</t>
  </si>
  <si>
    <t>T1_2026_P07_R017</t>
  </si>
  <si>
    <t>25370</t>
  </si>
  <si>
    <t>T1_2026_P03_R022 | T1_2026_P03_R110</t>
  </si>
  <si>
    <t>25372</t>
  </si>
  <si>
    <t>T1_2026_P07_R057 | T1_2026_P08_R041</t>
  </si>
  <si>
    <t>25374</t>
  </si>
  <si>
    <t>T1_2026_P03_R155</t>
  </si>
  <si>
    <t>25378</t>
  </si>
  <si>
    <t>T1_2026_P09_R110</t>
  </si>
  <si>
    <t>25379</t>
  </si>
  <si>
    <t>T1_2026_P09_R109</t>
  </si>
  <si>
    <t>25393</t>
  </si>
  <si>
    <t>T1_2026_P10_R013</t>
  </si>
  <si>
    <t>25394</t>
  </si>
  <si>
    <t>T1_2026_P04_R002</t>
  </si>
  <si>
    <t>25395</t>
  </si>
  <si>
    <t>T1_2026_P04_R001</t>
  </si>
  <si>
    <t>25399</t>
  </si>
  <si>
    <t>T1_2026_P07_R110</t>
  </si>
  <si>
    <t>25401</t>
  </si>
  <si>
    <t>T1_2026_P07_R113</t>
  </si>
  <si>
    <t>25403</t>
  </si>
  <si>
    <t>T1_2026_P07_R117</t>
  </si>
  <si>
    <t>25405</t>
  </si>
  <si>
    <t>T1_2026_P07_R123</t>
  </si>
  <si>
    <t>25411</t>
  </si>
  <si>
    <t>T1_2026_P03_R050</t>
  </si>
  <si>
    <t>25412</t>
  </si>
  <si>
    <t>T1_2026_P04_R141</t>
  </si>
  <si>
    <t>25415</t>
  </si>
  <si>
    <t>T1_2026_P04_R151</t>
  </si>
  <si>
    <t>25420</t>
  </si>
  <si>
    <t>T1_2026_P04_R138</t>
  </si>
  <si>
    <t>25421</t>
  </si>
  <si>
    <t>T1_2026_P04_R143</t>
  </si>
  <si>
    <t>25425</t>
  </si>
  <si>
    <t>T1_2026_P04_R136</t>
  </si>
  <si>
    <t>25427</t>
  </si>
  <si>
    <t>T1_2026_P04_R144</t>
  </si>
  <si>
    <t>25428</t>
  </si>
  <si>
    <t>T1_2026_P04_R150</t>
  </si>
  <si>
    <t>25435</t>
  </si>
  <si>
    <t>T1_2026_P04_R135</t>
  </si>
  <si>
    <t>25436</t>
  </si>
  <si>
    <t>T1_2026_P04_R137</t>
  </si>
  <si>
    <t>25439</t>
  </si>
  <si>
    <t>T1_2026_P04_R158</t>
  </si>
  <si>
    <t>25440</t>
  </si>
  <si>
    <t>T1_2026_P04_R159</t>
  </si>
  <si>
    <t>25444</t>
  </si>
  <si>
    <t>T1_2026_P07_R139</t>
  </si>
  <si>
    <t>25445</t>
  </si>
  <si>
    <t>T1_2026_P04_R206</t>
  </si>
  <si>
    <t>25448</t>
  </si>
  <si>
    <t>T1_2026_P09_R097</t>
  </si>
  <si>
    <t>25451</t>
  </si>
  <si>
    <t>T1_2026_P05_R212</t>
  </si>
  <si>
    <t>25466</t>
  </si>
  <si>
    <t>T1_2026_P05_R149</t>
  </si>
  <si>
    <t>25524</t>
  </si>
  <si>
    <t>T1_2026_P06_R093</t>
  </si>
  <si>
    <t>25543</t>
  </si>
  <si>
    <t>T1_2026_P05_R199</t>
  </si>
  <si>
    <t>25545</t>
  </si>
  <si>
    <t>T1_2026_P04_R028</t>
  </si>
  <si>
    <t>25552</t>
  </si>
  <si>
    <t>T1_2026_P09_R169</t>
  </si>
  <si>
    <t>25581</t>
  </si>
  <si>
    <t>T1_2026_P02_R221 | T1_2026_P02_R229</t>
  </si>
  <si>
    <t>25589</t>
  </si>
  <si>
    <t>T1_2026_P05_R026</t>
  </si>
  <si>
    <t>25659</t>
  </si>
  <si>
    <t>T1_2026_P06_R196</t>
  </si>
  <si>
    <t>25661</t>
  </si>
  <si>
    <t>T1_2026_P08_R016</t>
  </si>
  <si>
    <t>25665</t>
  </si>
  <si>
    <t>T1_2026_P05_R007</t>
  </si>
  <si>
    <t>25667</t>
  </si>
  <si>
    <t>T1_2026_P03_R232</t>
  </si>
  <si>
    <t>25701</t>
  </si>
  <si>
    <t>T1_2026_P02_R091</t>
  </si>
  <si>
    <t>25710</t>
  </si>
  <si>
    <t>T1_2026_P09_R234</t>
  </si>
  <si>
    <t>25731</t>
  </si>
  <si>
    <t>T1_2026_P04_R200 | T1_2026_P06_R129</t>
  </si>
  <si>
    <t>25799</t>
  </si>
  <si>
    <t>T1_2026_P07_R173</t>
  </si>
  <si>
    <t>25806</t>
  </si>
  <si>
    <t>T1_2026_P06_R081</t>
  </si>
  <si>
    <t>25813</t>
  </si>
  <si>
    <t>T1_2026_P07_R106</t>
  </si>
  <si>
    <t>25820</t>
  </si>
  <si>
    <t>T1_2026_P06_R124</t>
  </si>
  <si>
    <t>25821</t>
  </si>
  <si>
    <t>T1_2026_P06_R132</t>
  </si>
  <si>
    <t>25824</t>
  </si>
  <si>
    <t>T1_2026_P07_R085</t>
  </si>
  <si>
    <t>25867</t>
  </si>
  <si>
    <t>T1_2026_P08_R206</t>
  </si>
  <si>
    <t>25889</t>
  </si>
  <si>
    <t>T1_2026_P04_R219</t>
  </si>
  <si>
    <t>25922</t>
  </si>
  <si>
    <t>T1_2026_P07_R171</t>
  </si>
  <si>
    <t>25951</t>
  </si>
  <si>
    <t>T1_2026_P06_R109</t>
  </si>
  <si>
    <t>25952</t>
  </si>
  <si>
    <t>T1_2026_P06_R188</t>
  </si>
  <si>
    <t>25957</t>
  </si>
  <si>
    <t>T1_2026_P09_R111</t>
  </si>
  <si>
    <t>25973</t>
  </si>
  <si>
    <t>T1_2026_P08_R116 | T1_2026_P08_R120</t>
  </si>
  <si>
    <t>25986</t>
  </si>
  <si>
    <t>T1_2026_P08_R229</t>
  </si>
  <si>
    <t>25989</t>
  </si>
  <si>
    <t>T1_2026_P06_R199 | T1_2026_P06_R200 | T1_2026_P06_R202</t>
  </si>
  <si>
    <t>25990</t>
  </si>
  <si>
    <t>T1_2026_P06_R122</t>
  </si>
  <si>
    <t>25997</t>
  </si>
  <si>
    <t>T1_2026_P08_R166</t>
  </si>
  <si>
    <t>26002</t>
  </si>
  <si>
    <t>T1_2026_P03_R180</t>
  </si>
  <si>
    <t>26012</t>
  </si>
  <si>
    <t>T1_2026_P03_R225</t>
  </si>
  <si>
    <t>26013</t>
  </si>
  <si>
    <t>T1_2026_P02_R236</t>
  </si>
  <si>
    <t>26016</t>
  </si>
  <si>
    <t>T1_2026_P04_R210</t>
  </si>
  <si>
    <t>26019</t>
  </si>
  <si>
    <t>T1_2026_P06_R174</t>
  </si>
  <si>
    <t>26038</t>
  </si>
  <si>
    <t>T1_2026_P01_R070 | T1_2026_P01_R102 | T1_2026_P01_R136</t>
  </si>
  <si>
    <t>26048</t>
  </si>
  <si>
    <t>T1_2026_P02_R171</t>
  </si>
  <si>
    <t>26051</t>
  </si>
  <si>
    <t>T1_2026_P07_R001 | T1_2026_P07_R002 | T1_2026_P07_R003</t>
  </si>
  <si>
    <t>26099</t>
  </si>
  <si>
    <t>T1_2026_P07_R034 | T1_2026_P07_R185 | T1_2026_P07_R218 | T1_2026_P07_R226</t>
  </si>
  <si>
    <t>26124</t>
  </si>
  <si>
    <t>T1_2026_P08_R023</t>
  </si>
  <si>
    <t>26128</t>
  </si>
  <si>
    <t>T1_2026_P04_R106</t>
  </si>
  <si>
    <t>26139</t>
  </si>
  <si>
    <t>T1_2026_P03_R008</t>
  </si>
  <si>
    <t>26165</t>
  </si>
  <si>
    <t>T1_2026_P03_R016</t>
  </si>
  <si>
    <t>26167</t>
  </si>
  <si>
    <t>T1_2026_P09_R126</t>
  </si>
  <si>
    <t>26169</t>
  </si>
  <si>
    <t>T1_2026_P08_R197</t>
  </si>
  <si>
    <t>26209</t>
  </si>
  <si>
    <t>T1_2026_P05_R236</t>
  </si>
  <si>
    <t>26214</t>
  </si>
  <si>
    <t>T1_2026_P08_R225</t>
  </si>
  <si>
    <t>26233</t>
  </si>
  <si>
    <t>T1_2026_P09_R044</t>
  </si>
  <si>
    <t>26235</t>
  </si>
  <si>
    <t>T1_2026_P03_R147</t>
  </si>
  <si>
    <t>26269</t>
  </si>
  <si>
    <t>T1_2026_P06_R022</t>
  </si>
  <si>
    <t>26325</t>
  </si>
  <si>
    <t>T1_2026_P09_R217</t>
  </si>
  <si>
    <t>26329</t>
  </si>
  <si>
    <t>T1_2026_P10_R009</t>
  </si>
  <si>
    <t>26400</t>
  </si>
  <si>
    <t>T1_2026_P06_R131</t>
  </si>
  <si>
    <t>26460</t>
  </si>
  <si>
    <t>T1_2026_P03_R221</t>
  </si>
  <si>
    <t>26474</t>
  </si>
  <si>
    <t>T1_2026_P04_R098 | T1_2026_P05_R058 | T1_2026_P05_R141</t>
  </si>
  <si>
    <t>26480</t>
  </si>
  <si>
    <t>T1_2026_P02_R192</t>
  </si>
  <si>
    <t>26488</t>
  </si>
  <si>
    <t>T1_2026_P04_R088</t>
  </si>
  <si>
    <t>26494</t>
  </si>
  <si>
    <t>T1_2026_P08_R068</t>
  </si>
  <si>
    <t>26504</t>
  </si>
  <si>
    <t>T1_2026_P08_R091 | T1_2026_P08_R092</t>
  </si>
  <si>
    <t>26505</t>
  </si>
  <si>
    <t>T1_2026_P08_R086</t>
  </si>
  <si>
    <t>26523</t>
  </si>
  <si>
    <t>T1_2026_P02_R237</t>
  </si>
  <si>
    <t>26535</t>
  </si>
  <si>
    <t>T1_2026_P08_R088</t>
  </si>
  <si>
    <t>26536</t>
  </si>
  <si>
    <t>T1_2026_P07_R030 | T1_2026_P08_R065</t>
  </si>
  <si>
    <t>26548</t>
  </si>
  <si>
    <t>T1_2026_P07_R059</t>
  </si>
  <si>
    <t>26569</t>
  </si>
  <si>
    <t>T1_2026_P05_R043</t>
  </si>
  <si>
    <t>26581</t>
  </si>
  <si>
    <t>T1_2026_P02_R166</t>
  </si>
  <si>
    <t>26598</t>
  </si>
  <si>
    <t>T1_2026_P05_R082 | T1_2026_P05_R158</t>
  </si>
  <si>
    <t>26600</t>
  </si>
  <si>
    <t>T1_2026_P01_R217</t>
  </si>
  <si>
    <t>26606</t>
  </si>
  <si>
    <t>T1_2026_P01_R073 | T1_2026_P02_R129</t>
  </si>
  <si>
    <t>26638</t>
  </si>
  <si>
    <t>T1_2026_P03_R003</t>
  </si>
  <si>
    <t>26643</t>
  </si>
  <si>
    <t>T1_2026_P09_R029</t>
  </si>
  <si>
    <t>26701</t>
  </si>
  <si>
    <t>T1_2026_P02_R238</t>
  </si>
  <si>
    <t>26710</t>
  </si>
  <si>
    <t>T1_2026_P04_R012</t>
  </si>
  <si>
    <t>26712</t>
  </si>
  <si>
    <t>T1_2026_P09_R183 | T1_2026_P09_R197</t>
  </si>
  <si>
    <t>26713</t>
  </si>
  <si>
    <t>T1_2026_P09_R184</t>
  </si>
  <si>
    <t>26719</t>
  </si>
  <si>
    <t>T1_2026_P04_R077</t>
  </si>
  <si>
    <t>26734</t>
  </si>
  <si>
    <t>T1_2026_P05_R032 | T1_2026_P05_R128</t>
  </si>
  <si>
    <t>26737</t>
  </si>
  <si>
    <t>T1_2026_P05_R170</t>
  </si>
  <si>
    <t>26762</t>
  </si>
  <si>
    <t>T1_2026_P06_R088 | T1_2026_P06_R091</t>
  </si>
  <si>
    <t>26798</t>
  </si>
  <si>
    <t>T1_2026_P03_R141</t>
  </si>
  <si>
    <t>26831</t>
  </si>
  <si>
    <t>T1_2026_P03_R239</t>
  </si>
  <si>
    <t>26834</t>
  </si>
  <si>
    <t>T1_2026_P06_R101</t>
  </si>
  <si>
    <t>26847</t>
  </si>
  <si>
    <t>T1_2026_P02_R200</t>
  </si>
  <si>
    <t>26850</t>
  </si>
  <si>
    <t>T1_2026_P04_R090</t>
  </si>
  <si>
    <t>26851</t>
  </si>
  <si>
    <t>T1_2026_P07_R158 | T1_2026_P07_R197</t>
  </si>
  <si>
    <t>26854</t>
  </si>
  <si>
    <t>T1_2026_P05_R174</t>
  </si>
  <si>
    <t>26861</t>
  </si>
  <si>
    <t>T1_2026_P07_R013 | T1_2026_P08_R037</t>
  </si>
  <si>
    <t>26867</t>
  </si>
  <si>
    <t>T1_2026_P08_R125</t>
  </si>
  <si>
    <t>26886</t>
  </si>
  <si>
    <t>T1_2026_P03_R213</t>
  </si>
  <si>
    <t>26888</t>
  </si>
  <si>
    <t>T1_2026_P08_R042</t>
  </si>
  <si>
    <t>26889</t>
  </si>
  <si>
    <t>T1_2026_P01_R223 | T1_2026_P02_R039</t>
  </si>
  <si>
    <t>26893</t>
  </si>
  <si>
    <t>T1_2026_P07_R109 | T1_2026_P08_R047</t>
  </si>
  <si>
    <t>26903</t>
  </si>
  <si>
    <t>T1_2026_P07_R082</t>
  </si>
  <si>
    <t>26947</t>
  </si>
  <si>
    <t>T1_2026_P04_R145</t>
  </si>
  <si>
    <t>26949</t>
  </si>
  <si>
    <t>T1_2026_P01_R171</t>
  </si>
  <si>
    <t>26957</t>
  </si>
  <si>
    <t>T1_2026_P07_R204</t>
  </si>
  <si>
    <t>26984</t>
  </si>
  <si>
    <t>T1_2026_P03_R230</t>
  </si>
  <si>
    <t>27006</t>
  </si>
  <si>
    <t>T1_2026_P05_R087 | T1_2026_P05_R162</t>
  </si>
  <si>
    <t>27008</t>
  </si>
  <si>
    <t>T1_2026_P09_R156</t>
  </si>
  <si>
    <t>27014</t>
  </si>
  <si>
    <t>T1_2026_P03_R129 | T1_2026_P04_R235</t>
  </si>
  <si>
    <t>27026</t>
  </si>
  <si>
    <t>T1_2026_P08_R052</t>
  </si>
  <si>
    <t>27060</t>
  </si>
  <si>
    <t>T1_2026_P07_R128</t>
  </si>
  <si>
    <t>27061</t>
  </si>
  <si>
    <t>T1_2026_P09_R224</t>
  </si>
  <si>
    <t>27071</t>
  </si>
  <si>
    <t>T1_2026_P03_R082 | T1_2026_P04_R112</t>
  </si>
  <si>
    <t>27073</t>
  </si>
  <si>
    <t>T1_2026_P07_R232 | T1_2026_P08_R050</t>
  </si>
  <si>
    <t>27084</t>
  </si>
  <si>
    <t>T1_2026_P03_R142</t>
  </si>
  <si>
    <t>27092</t>
  </si>
  <si>
    <t>T1_2026_P03_R014</t>
  </si>
  <si>
    <t>27120</t>
  </si>
  <si>
    <t>T1_2026_P07_R035</t>
  </si>
  <si>
    <t>27124</t>
  </si>
  <si>
    <t>T1_2026_P08_R004</t>
  </si>
  <si>
    <t>27126</t>
  </si>
  <si>
    <t>T1_2026_P03_R017</t>
  </si>
  <si>
    <t>27158</t>
  </si>
  <si>
    <t>T1_2026_P08_R061</t>
  </si>
  <si>
    <t>27175</t>
  </si>
  <si>
    <t>T1_2026_P03_R170</t>
  </si>
  <si>
    <t>27216</t>
  </si>
  <si>
    <t>T1_2026_P07_R159 | T1_2026_P08_R005</t>
  </si>
  <si>
    <t>27225</t>
  </si>
  <si>
    <t>T1_2026_P03_R060 | T1_2026_P03_R188 | T1_2026_P05_R012</t>
  </si>
  <si>
    <t>27227</t>
  </si>
  <si>
    <t>T1_2026_P09_R191 | T1_2026_P09_R199</t>
  </si>
  <si>
    <t>27240</t>
  </si>
  <si>
    <t>T1_2026_P02_R198 | T1_2026_P02_R208</t>
  </si>
  <si>
    <t>27242</t>
  </si>
  <si>
    <t>T1_2026_P04_R140</t>
  </si>
  <si>
    <t>27267</t>
  </si>
  <si>
    <t>T1_2026_P06_R089</t>
  </si>
  <si>
    <t>27274</t>
  </si>
  <si>
    <t>T1_2026_P02_R022 | T1_2026_P02_R055 | T1_2026_P02_R106 | T1_2026_P02_R121</t>
  </si>
  <si>
    <t>27291</t>
  </si>
  <si>
    <t>T1_2026_P09_R078</t>
  </si>
  <si>
    <t>27303</t>
  </si>
  <si>
    <t>T1_2026_P04_R087</t>
  </si>
  <si>
    <t>27319</t>
  </si>
  <si>
    <t>T1_2026_P06_R186</t>
  </si>
  <si>
    <t>27345</t>
  </si>
  <si>
    <t>T1_2026_P01_R173</t>
  </si>
  <si>
    <t>27396</t>
  </si>
  <si>
    <t>T1_2026_P04_R006</t>
  </si>
  <si>
    <t>27398</t>
  </si>
  <si>
    <t>T1_2026_P07_R233</t>
  </si>
  <si>
    <t>27401</t>
  </si>
  <si>
    <t>T1_2026_P04_R146 | T1_2026_P05_R091</t>
  </si>
  <si>
    <t>27426</t>
  </si>
  <si>
    <t>T1_2026_P05_R008 | T1_2026_P05_R206</t>
  </si>
  <si>
    <t>27440</t>
  </si>
  <si>
    <t>T1_2026_P05_R035</t>
  </si>
  <si>
    <t>27459</t>
  </si>
  <si>
    <t>T1_2026_P04_R130</t>
  </si>
  <si>
    <t>27471</t>
  </si>
  <si>
    <t>T1_2026_P03_R047</t>
  </si>
  <si>
    <t>27472</t>
  </si>
  <si>
    <t>T1_2026_P06_R032</t>
  </si>
  <si>
    <t>27481</t>
  </si>
  <si>
    <t>T1_2026_P05_R198</t>
  </si>
  <si>
    <t>27496</t>
  </si>
  <si>
    <t>T1_2026_P03_R007</t>
  </si>
  <si>
    <t>27497</t>
  </si>
  <si>
    <t>T1_2026_P03_R004</t>
  </si>
  <si>
    <t>27517</t>
  </si>
  <si>
    <t>T1_2026_P04_R123</t>
  </si>
  <si>
    <t>27521</t>
  </si>
  <si>
    <t>T1_2026_P06_R135</t>
  </si>
  <si>
    <t>27537</t>
  </si>
  <si>
    <t>T1_2026_P09_R033</t>
  </si>
  <si>
    <t>27538</t>
  </si>
  <si>
    <t>T1_2026_P09_R037</t>
  </si>
  <si>
    <t>27575</t>
  </si>
  <si>
    <t>T1_2026_P05_R028</t>
  </si>
  <si>
    <t>27586</t>
  </si>
  <si>
    <t>T1_2026_P09_R208</t>
  </si>
  <si>
    <t>27587</t>
  </si>
  <si>
    <t>T1_2026_P08_R099</t>
  </si>
  <si>
    <t>27596</t>
  </si>
  <si>
    <t>T1_2026_P06_R153</t>
  </si>
  <si>
    <t>27622</t>
  </si>
  <si>
    <t>T1_2026_P06_R010</t>
  </si>
  <si>
    <t>27648</t>
  </si>
  <si>
    <t>T1_2026_P03_R195</t>
  </si>
  <si>
    <t>27658</t>
  </si>
  <si>
    <t>T1_2026_P03_R224</t>
  </si>
  <si>
    <t>27699</t>
  </si>
  <si>
    <t>T1_2026_P02_R232</t>
  </si>
  <si>
    <t>27757</t>
  </si>
  <si>
    <t>T1_2026_P03_R056 | T1_2026_P03_R075 | T1_2026_P03_R127 | T1_2026_P03_R231 | T1_2026_P06_R162</t>
  </si>
  <si>
    <t>27785</t>
  </si>
  <si>
    <t>T1_2026_P02_R207 | T1_2026_P02_R220 | T1_2026_P02_R226</t>
  </si>
  <si>
    <t>27787</t>
  </si>
  <si>
    <t>T1_2026_P04_R156</t>
  </si>
  <si>
    <t>27794</t>
  </si>
  <si>
    <t>T1_2026_P07_R127</t>
  </si>
  <si>
    <t>27795</t>
  </si>
  <si>
    <t>T1_2026_P03_R153</t>
  </si>
  <si>
    <t>27810</t>
  </si>
  <si>
    <t>T1_2026_P06_R049</t>
  </si>
  <si>
    <t>27816</t>
  </si>
  <si>
    <t>T1_2026_P05_R117</t>
  </si>
  <si>
    <t>27836</t>
  </si>
  <si>
    <t>T1_2026_P04_R226</t>
  </si>
  <si>
    <t>27837</t>
  </si>
  <si>
    <t>T1_2026_P09_R074</t>
  </si>
  <si>
    <t>27841</t>
  </si>
  <si>
    <t>T1_2026_P07_R170</t>
  </si>
  <si>
    <t>27847</t>
  </si>
  <si>
    <t>T1_2026_P03_R062</t>
  </si>
  <si>
    <t>27858</t>
  </si>
  <si>
    <t>T1_2026_P08_R184</t>
  </si>
  <si>
    <t>27884</t>
  </si>
  <si>
    <t>T1_2026_P05_R023 | T1_2026_P05_R125</t>
  </si>
  <si>
    <t>27890</t>
  </si>
  <si>
    <t>T1_2026_P08_R003</t>
  </si>
  <si>
    <t>27894</t>
  </si>
  <si>
    <t>T1_2026_P03_R048</t>
  </si>
  <si>
    <t>27916</t>
  </si>
  <si>
    <t>T1_2026_P08_R139</t>
  </si>
  <si>
    <t>27987</t>
  </si>
  <si>
    <t>T1_2026_P03_R029 | T1_2026_P03_R173</t>
  </si>
  <si>
    <t>27988</t>
  </si>
  <si>
    <t>T1_2026_P01_R179</t>
  </si>
  <si>
    <t>28000</t>
  </si>
  <si>
    <t>T1_2026_P02_R213</t>
  </si>
  <si>
    <t>28020</t>
  </si>
  <si>
    <t>T1_2026_P06_R099</t>
  </si>
  <si>
    <t>28029</t>
  </si>
  <si>
    <t>T1_2026_P09_R215</t>
  </si>
  <si>
    <t>28034</t>
  </si>
  <si>
    <t>T1_2026_P05_R108</t>
  </si>
  <si>
    <t>28040</t>
  </si>
  <si>
    <t>T1_2026_P02_R201</t>
  </si>
  <si>
    <t>28046</t>
  </si>
  <si>
    <t>T1_2026_P06_R031</t>
  </si>
  <si>
    <t>28067</t>
  </si>
  <si>
    <t>T1_2026_P03_R158 | T1_2026_P05_R193 | T1_2026_P06_R189</t>
  </si>
  <si>
    <t>28073</t>
  </si>
  <si>
    <t>T1_2026_P06_R083</t>
  </si>
  <si>
    <t>28074</t>
  </si>
  <si>
    <t>T1_2026_P06_R084</t>
  </si>
  <si>
    <t>28077</t>
  </si>
  <si>
    <t>T1_2026_P02_R126</t>
  </si>
  <si>
    <t>28103</t>
  </si>
  <si>
    <t>T1_2026_P06_R014</t>
  </si>
  <si>
    <t>28121</t>
  </si>
  <si>
    <t>T1_2026_P08_R234</t>
  </si>
  <si>
    <t>28171</t>
  </si>
  <si>
    <t>T1_2026_P06_R045</t>
  </si>
  <si>
    <t>28183</t>
  </si>
  <si>
    <t>T1_2026_P06_R121</t>
  </si>
  <si>
    <t>28185</t>
  </si>
  <si>
    <t>T1_2026_P05_R107</t>
  </si>
  <si>
    <t>28192</t>
  </si>
  <si>
    <t>T1_2026_P02_R021</t>
  </si>
  <si>
    <t>28193</t>
  </si>
  <si>
    <t>T1_2026_P01_R210 | T1_2026_P02_R033</t>
  </si>
  <si>
    <t>28204</t>
  </si>
  <si>
    <t>T1_2026_P09_R216</t>
  </si>
  <si>
    <t>28264</t>
  </si>
  <si>
    <t>T1_2026_P06_R072</t>
  </si>
  <si>
    <t>28315</t>
  </si>
  <si>
    <t>T1_2026_P03_R212</t>
  </si>
  <si>
    <t>28329</t>
  </si>
  <si>
    <t>T1_2026_P04_R009 | T1_2026_P04_R223</t>
  </si>
  <si>
    <t>28336</t>
  </si>
  <si>
    <t>T1_2026_P02_R172 | T1_2026_P02_R206 | T1_2026_P02_R230</t>
  </si>
  <si>
    <t>28337</t>
  </si>
  <si>
    <t>T1_2026_P08_R212</t>
  </si>
  <si>
    <t>28343</t>
  </si>
  <si>
    <t>T1_2026_P10_R007</t>
  </si>
  <si>
    <t>28359</t>
  </si>
  <si>
    <t>T1_2026_P06_R041</t>
  </si>
  <si>
    <t>28375</t>
  </si>
  <si>
    <t>T1_2026_P07_R096</t>
  </si>
  <si>
    <t>28385</t>
  </si>
  <si>
    <t>T1_2026_P08_R211</t>
  </si>
  <si>
    <t>28410</t>
  </si>
  <si>
    <t>T1_2026_P07_R024</t>
  </si>
  <si>
    <t>28436</t>
  </si>
  <si>
    <t>T1_2026_P09_R116</t>
  </si>
  <si>
    <t>28439</t>
  </si>
  <si>
    <t>T1_2026_P05_R163</t>
  </si>
  <si>
    <t>28449</t>
  </si>
  <si>
    <t>T1_2026_P04_R154</t>
  </si>
  <si>
    <t>28476</t>
  </si>
  <si>
    <t>T1_2026_P05_R160</t>
  </si>
  <si>
    <t>28497</t>
  </si>
  <si>
    <t>T1_2026_P10_R039</t>
  </si>
  <si>
    <t>28501</t>
  </si>
  <si>
    <t>T1_2026_P02_R179 | T1_2026_P02_R203 | T1_2026_P02_R216</t>
  </si>
  <si>
    <t>28551</t>
  </si>
  <si>
    <t>T1_2026_P06_R036</t>
  </si>
  <si>
    <t>28555</t>
  </si>
  <si>
    <t>T1_2026_P03_R013</t>
  </si>
  <si>
    <t>28577</t>
  </si>
  <si>
    <t>T1_2026_P06_R201</t>
  </si>
  <si>
    <t>28586</t>
  </si>
  <si>
    <t>T1_2026_P03_R198</t>
  </si>
  <si>
    <t>28587</t>
  </si>
  <si>
    <t>T1_2026_P07_R042 | T1_2026_P07_R210</t>
  </si>
  <si>
    <t>28596</t>
  </si>
  <si>
    <t>T1_2026_P09_R034</t>
  </si>
  <si>
    <t>28684</t>
  </si>
  <si>
    <t>T1_2026_P08_R227</t>
  </si>
  <si>
    <t>28702</t>
  </si>
  <si>
    <t>T1_2026_P01_R019</t>
  </si>
  <si>
    <t>28704</t>
  </si>
  <si>
    <t>T1_2026_P01_R129</t>
  </si>
  <si>
    <t>28723</t>
  </si>
  <si>
    <t>T1_2026_P03_R222 | T1_2026_P05_R127</t>
  </si>
  <si>
    <t>28746</t>
  </si>
  <si>
    <t>T1_2026_P06_R112</t>
  </si>
  <si>
    <t>28755</t>
  </si>
  <si>
    <t>T1_2026_P06_R117</t>
  </si>
  <si>
    <t>28764</t>
  </si>
  <si>
    <t>T1_2026_P08_R171</t>
  </si>
  <si>
    <t>28775</t>
  </si>
  <si>
    <t>T1_2026_P06_R127</t>
  </si>
  <si>
    <t>28782</t>
  </si>
  <si>
    <t>T1_2026_P02_R117</t>
  </si>
  <si>
    <t>28787</t>
  </si>
  <si>
    <t>T1_2026_P06_R183</t>
  </si>
  <si>
    <t>28788</t>
  </si>
  <si>
    <t>T1_2026_P03_R196</t>
  </si>
  <si>
    <t>28802</t>
  </si>
  <si>
    <t>T1_2026_P06_R016</t>
  </si>
  <si>
    <t>28805</t>
  </si>
  <si>
    <t>T1_2026_P03_R010</t>
  </si>
  <si>
    <t>28806</t>
  </si>
  <si>
    <t>T1_2026_P06_R092</t>
  </si>
  <si>
    <t>28839</t>
  </si>
  <si>
    <t>T1_2026_P04_R027</t>
  </si>
  <si>
    <t>28845</t>
  </si>
  <si>
    <t>T1_2026_P04_R085</t>
  </si>
  <si>
    <t>28858</t>
  </si>
  <si>
    <t>T1_2026_P04_R029</t>
  </si>
  <si>
    <t>28902</t>
  </si>
  <si>
    <t>T1_2026_P06_R116</t>
  </si>
  <si>
    <t>28906</t>
  </si>
  <si>
    <t>T1_2026_P03_R035</t>
  </si>
  <si>
    <t>28908</t>
  </si>
  <si>
    <t>T1_2026_P06_R034</t>
  </si>
  <si>
    <t>28911</t>
  </si>
  <si>
    <t>T1_2026_P03_R140</t>
  </si>
  <si>
    <t>28922</t>
  </si>
  <si>
    <t>T1_2026_P06_R095</t>
  </si>
  <si>
    <t>28923</t>
  </si>
  <si>
    <t>T1_2026_P07_R067 | T1_2026_P08_R006</t>
  </si>
  <si>
    <t>28929</t>
  </si>
  <si>
    <t>T1_2026_P09_R072</t>
  </si>
  <si>
    <t>28932</t>
  </si>
  <si>
    <t>T1_2026_P03_R121 | T1_2026_P04_R152</t>
  </si>
  <si>
    <t>28945</t>
  </si>
  <si>
    <t>T1_2026_P06_R025</t>
  </si>
  <si>
    <t>28953</t>
  </si>
  <si>
    <t>T1_2026_P09_R195 | T1_2026_P09_R200 | T1_2026_P09_R204</t>
  </si>
  <si>
    <t>28969</t>
  </si>
  <si>
    <t>T1_2026_P08_R217</t>
  </si>
  <si>
    <t>28979</t>
  </si>
  <si>
    <t>T1_2026_P04_R053</t>
  </si>
  <si>
    <t>28983</t>
  </si>
  <si>
    <t>T1_2026_P06_R223</t>
  </si>
  <si>
    <t>28989</t>
  </si>
  <si>
    <t>T1_2026_P02_R162</t>
  </si>
  <si>
    <t>28990</t>
  </si>
  <si>
    <t>T1_2026_P04_R022</t>
  </si>
  <si>
    <t>28991</t>
  </si>
  <si>
    <t>T1_2026_P07_R056</t>
  </si>
  <si>
    <t>29004</t>
  </si>
  <si>
    <t>T1_2026_P08_R066</t>
  </si>
  <si>
    <t>29005</t>
  </si>
  <si>
    <t>T1_2026_P03_R164 | T1_2026_P06_R130</t>
  </si>
  <si>
    <t>29011</t>
  </si>
  <si>
    <t>T1_2026_P07_R080</t>
  </si>
  <si>
    <t>29024</t>
  </si>
  <si>
    <t>T1_2026_P05_R213</t>
  </si>
  <si>
    <t>29025</t>
  </si>
  <si>
    <t>T1_2026_P08_R164 | T1_2026_P08_R177 | T1_2026_P08_R218</t>
  </si>
  <si>
    <t>29031</t>
  </si>
  <si>
    <t>T1_2026_P07_R187</t>
  </si>
  <si>
    <t>29032</t>
  </si>
  <si>
    <t>T1_2026_P03_R063 | T1_2026_P03_R091 | T1_2026_P03_R135 | T1_2026_P03_R159 | T1_2026_P03_R191 | T1_2026_P05_R024 | T1_2026_P05_R126 | T1_2026_P06_R073</t>
  </si>
  <si>
    <t>29035</t>
  </si>
  <si>
    <t>T1_2026_P06_R215</t>
  </si>
  <si>
    <t>29040</t>
  </si>
  <si>
    <t>T1_2026_P03_R033</t>
  </si>
  <si>
    <t>29050</t>
  </si>
  <si>
    <t>T1_2026_P04_R068</t>
  </si>
  <si>
    <t>29071</t>
  </si>
  <si>
    <t>T1_2026_P05_R061 | T1_2026_P05_R144</t>
  </si>
  <si>
    <t>29072</t>
  </si>
  <si>
    <t>T1_2026_P05_R156</t>
  </si>
  <si>
    <t>29075</t>
  </si>
  <si>
    <t>T1_2026_P01_R117</t>
  </si>
  <si>
    <t>29081</t>
  </si>
  <si>
    <t>T1_2026_P02_R180</t>
  </si>
  <si>
    <t>29116</t>
  </si>
  <si>
    <t>T1_2026_P02_R197</t>
  </si>
  <si>
    <t>29119</t>
  </si>
  <si>
    <t>T1_2026_P03_R203</t>
  </si>
  <si>
    <t>29120</t>
  </si>
  <si>
    <t>T1_2026_P01_R144</t>
  </si>
  <si>
    <t>29138</t>
  </si>
  <si>
    <t>T1_2026_P05_R062 | T1_2026_P05_R145</t>
  </si>
  <si>
    <t>29143</t>
  </si>
  <si>
    <t>T1_2026_P07_R214</t>
  </si>
  <si>
    <t>29171</t>
  </si>
  <si>
    <t>T1_2026_P09_R070</t>
  </si>
  <si>
    <t>29185</t>
  </si>
  <si>
    <t>T1_2026_P08_R013</t>
  </si>
  <si>
    <t>29208</t>
  </si>
  <si>
    <t>T1_2026_P03_R197</t>
  </si>
  <si>
    <t>29219</t>
  </si>
  <si>
    <t>T1_2026_P02_R231</t>
  </si>
  <si>
    <t>29254</t>
  </si>
  <si>
    <t>T1_2026_P07_R115</t>
  </si>
  <si>
    <t>29273</t>
  </si>
  <si>
    <t>T1_2026_P05_R036</t>
  </si>
  <si>
    <t>29277</t>
  </si>
  <si>
    <t>T1_2026_P09_R212</t>
  </si>
  <si>
    <t>29279</t>
  </si>
  <si>
    <t>T1_2026_P04_R114</t>
  </si>
  <si>
    <t>29288</t>
  </si>
  <si>
    <t>T1_2026_P04_R208</t>
  </si>
  <si>
    <t>29295</t>
  </si>
  <si>
    <t>T1_2026_P08_R062</t>
  </si>
  <si>
    <t>29300</t>
  </si>
  <si>
    <t>T1_2026_P05_R034 | T1_2026_P05_R129</t>
  </si>
  <si>
    <t>29307</t>
  </si>
  <si>
    <t>T1_2026_P05_R189</t>
  </si>
  <si>
    <t>29308</t>
  </si>
  <si>
    <t>T1_2026_P04_R182 | T1_2026_P04_R184</t>
  </si>
  <si>
    <t>29318</t>
  </si>
  <si>
    <t>T1_2026_P05_R041</t>
  </si>
  <si>
    <t>29320</t>
  </si>
  <si>
    <t>T1_2026_P05_R006</t>
  </si>
  <si>
    <t>29324</t>
  </si>
  <si>
    <t>T1_2026_P07_R107</t>
  </si>
  <si>
    <t>29357</t>
  </si>
  <si>
    <t>T1_2026_P03_R199</t>
  </si>
  <si>
    <t>29358</t>
  </si>
  <si>
    <t>T1_2026_P08_R115</t>
  </si>
  <si>
    <t>29363</t>
  </si>
  <si>
    <t>T1_2026_P06_R066</t>
  </si>
  <si>
    <t>29369</t>
  </si>
  <si>
    <t>T1_2026_P04_R078</t>
  </si>
  <si>
    <t>29373</t>
  </si>
  <si>
    <t>T1_2026_P06_R013</t>
  </si>
  <si>
    <t>29377</t>
  </si>
  <si>
    <t>T1_2026_P06_R110</t>
  </si>
  <si>
    <t>29389</t>
  </si>
  <si>
    <t>T1_2026_P09_R047</t>
  </si>
  <si>
    <t>29430</t>
  </si>
  <si>
    <t>T1_2026_P03_R011</t>
  </si>
  <si>
    <t>29458</t>
  </si>
  <si>
    <t>T1_2026_P05_R076 | T1_2026_P05_R154</t>
  </si>
  <si>
    <t>29473</t>
  </si>
  <si>
    <t>T1_2026_P03_R006</t>
  </si>
  <si>
    <t>29474</t>
  </si>
  <si>
    <t>T1_2026_P08_R188</t>
  </si>
  <si>
    <t>29500</t>
  </si>
  <si>
    <t>T1_2026_P05_R207</t>
  </si>
  <si>
    <t>29505</t>
  </si>
  <si>
    <t>T1_2026_P06_R193</t>
  </si>
  <si>
    <t>29523</t>
  </si>
  <si>
    <t>T1_2026_P08_R014 | T1_2026_P08_R015</t>
  </si>
  <si>
    <t>29525</t>
  </si>
  <si>
    <t>T1_2026_P07_R068 | T1_2026_P08_R057</t>
  </si>
  <si>
    <t>29528</t>
  </si>
  <si>
    <t>T1_2026_P09_R128 | T1_2026_P09_R147</t>
  </si>
  <si>
    <t>29532</t>
  </si>
  <si>
    <t>T1_2026_P01_R121</t>
  </si>
  <si>
    <t>29536</t>
  </si>
  <si>
    <t>T1_2026_P04_R224</t>
  </si>
  <si>
    <t>29546</t>
  </si>
  <si>
    <t>T1_2026_P06_R125</t>
  </si>
  <si>
    <t>29556</t>
  </si>
  <si>
    <t>T1_2026_P08_R192</t>
  </si>
  <si>
    <t>29565</t>
  </si>
  <si>
    <t>T1_2026_P04_R056</t>
  </si>
  <si>
    <t>29572</t>
  </si>
  <si>
    <t>T1_2026_P02_R222</t>
  </si>
  <si>
    <t>29575</t>
  </si>
  <si>
    <t>T1_2026_P08_R096</t>
  </si>
  <si>
    <t>29601</t>
  </si>
  <si>
    <t>T1_2026_P05_R033</t>
  </si>
  <si>
    <t>29625</t>
  </si>
  <si>
    <t>T1_2026_P03_R205 | T1_2026_P06_R181</t>
  </si>
  <si>
    <t>29632</t>
  </si>
  <si>
    <t>T1_2026_P09_R227</t>
  </si>
  <si>
    <t>29640</t>
  </si>
  <si>
    <t>T1_2026_P07_R146</t>
  </si>
  <si>
    <t>29654</t>
  </si>
  <si>
    <t>T1_2026_P07_R065</t>
  </si>
  <si>
    <t>29676</t>
  </si>
  <si>
    <t>T1_2026_P07_R124</t>
  </si>
  <si>
    <t>29691</t>
  </si>
  <si>
    <t>T1_2026_P02_R145</t>
  </si>
  <si>
    <t>29692</t>
  </si>
  <si>
    <t>T1_2026_P05_R183</t>
  </si>
  <si>
    <t>29705</t>
  </si>
  <si>
    <t>T1_2026_P05_R074 | T1_2026_P05_R151</t>
  </si>
  <si>
    <t>29706</t>
  </si>
  <si>
    <t>T1_2026_P05_R047 | T1_2026_P05_R182</t>
  </si>
  <si>
    <t>29713</t>
  </si>
  <si>
    <t>T1_2026_P02_R195</t>
  </si>
  <si>
    <t>29723</t>
  </si>
  <si>
    <t>T1_2026_P08_R089</t>
  </si>
  <si>
    <t>29724</t>
  </si>
  <si>
    <t>T1_2026_P09_R117</t>
  </si>
  <si>
    <t>29755</t>
  </si>
  <si>
    <t>T1_2026_P03_R208</t>
  </si>
  <si>
    <t>29797</t>
  </si>
  <si>
    <t>T1_2026_P09_R014</t>
  </si>
  <si>
    <t>29805</t>
  </si>
  <si>
    <t>T1_2026_P07_R071 | T1_2026_P08_R067</t>
  </si>
  <si>
    <t>29810</t>
  </si>
  <si>
    <t>T1_2026_P09_R151</t>
  </si>
  <si>
    <t>29834</t>
  </si>
  <si>
    <t>T1_2026_P03_R193</t>
  </si>
  <si>
    <t>29880</t>
  </si>
  <si>
    <t>T1_2026_P09_R188 | T1_2026_P09_R221</t>
  </si>
  <si>
    <t>29886</t>
  </si>
  <si>
    <t>T1_2026_P06_R179</t>
  </si>
  <si>
    <t>29901</t>
  </si>
  <si>
    <t>T1_2026_P06_R203</t>
  </si>
  <si>
    <t>29903</t>
  </si>
  <si>
    <t>T1_2026_P06_R141</t>
  </si>
  <si>
    <t>29963</t>
  </si>
  <si>
    <t>T1_2026_P04_R166</t>
  </si>
  <si>
    <t>29976</t>
  </si>
  <si>
    <t>T1_2026_P06_R026</t>
  </si>
  <si>
    <t>29990</t>
  </si>
  <si>
    <t>T1_2026_P05_R240</t>
  </si>
  <si>
    <t>29991</t>
  </si>
  <si>
    <t>T1_2026_P02_R202</t>
  </si>
  <si>
    <t>30003</t>
  </si>
  <si>
    <t>T1_2026_P10_R043</t>
  </si>
  <si>
    <t>30017</t>
  </si>
  <si>
    <t>T1_2026_P07_R116</t>
  </si>
  <si>
    <t>30053</t>
  </si>
  <si>
    <t>T1_2026_P02_R087</t>
  </si>
  <si>
    <t>30061</t>
  </si>
  <si>
    <t>T1_2026_P06_R180</t>
  </si>
  <si>
    <t>30062</t>
  </si>
  <si>
    <t>T1_2026_P07_R103</t>
  </si>
  <si>
    <t>30083</t>
  </si>
  <si>
    <t>T1_2026_P05_R057</t>
  </si>
  <si>
    <t>30142</t>
  </si>
  <si>
    <t>T1_2026_P08_R135</t>
  </si>
  <si>
    <t>30148</t>
  </si>
  <si>
    <t>T1_2026_P04_R225</t>
  </si>
  <si>
    <t>30151</t>
  </si>
  <si>
    <t>T1_2026_P02_R181</t>
  </si>
  <si>
    <t>30159</t>
  </si>
  <si>
    <t>T1_2026_P02_R071</t>
  </si>
  <si>
    <t>30172</t>
  </si>
  <si>
    <t>T1_2026_P08_R148</t>
  </si>
  <si>
    <t>30175</t>
  </si>
  <si>
    <t>T1_2026_P08_R209</t>
  </si>
  <si>
    <t>30184</t>
  </si>
  <si>
    <t>T1_2026_P02_R228</t>
  </si>
  <si>
    <t>30221</t>
  </si>
  <si>
    <t>T1_2026_P04_R229</t>
  </si>
  <si>
    <t>30252</t>
  </si>
  <si>
    <t>T1_2026_P03_R209</t>
  </si>
  <si>
    <t>30253</t>
  </si>
  <si>
    <t>T1_2026_P08_R228</t>
  </si>
  <si>
    <t>30261</t>
  </si>
  <si>
    <t>T1_2026_P08_R189 | T1_2026_P08_R200</t>
  </si>
  <si>
    <t>30266</t>
  </si>
  <si>
    <t>T1_2026_P08_R198</t>
  </si>
  <si>
    <t>30280</t>
  </si>
  <si>
    <t>T1_2026_P09_R003 | T1_2026_P09_R057</t>
  </si>
  <si>
    <t>30281</t>
  </si>
  <si>
    <t>T1_2026_P08_R059</t>
  </si>
  <si>
    <t>30303</t>
  </si>
  <si>
    <t>T1_2026_P08_R026</t>
  </si>
  <si>
    <t>30315</t>
  </si>
  <si>
    <t>T1_2026_P07_R217</t>
  </si>
  <si>
    <t>30324</t>
  </si>
  <si>
    <t>T1_2026_P03_R051</t>
  </si>
  <si>
    <t>30326</t>
  </si>
  <si>
    <t>T1_2026_P09_R168</t>
  </si>
  <si>
    <t>30332</t>
  </si>
  <si>
    <t>T1_2026_P08_R195</t>
  </si>
  <si>
    <t>30337</t>
  </si>
  <si>
    <t>T1_2026_P01_R110</t>
  </si>
  <si>
    <t>30357</t>
  </si>
  <si>
    <t>T1_2026_P01_R132</t>
  </si>
  <si>
    <t>30361</t>
  </si>
  <si>
    <t>T1_2026_P04_R160</t>
  </si>
  <si>
    <t>30377</t>
  </si>
  <si>
    <t>T1_2026_P06_R009</t>
  </si>
  <si>
    <t>30387</t>
  </si>
  <si>
    <t>T1_2026_P07_R205</t>
  </si>
  <si>
    <t>30477</t>
  </si>
  <si>
    <t>T1_2026_P08_R072</t>
  </si>
  <si>
    <t>30492</t>
  </si>
  <si>
    <t>T1_2026_P05_R197</t>
  </si>
  <si>
    <t>30547</t>
  </si>
  <si>
    <t>T1_2026_P06_R185</t>
  </si>
  <si>
    <t>30570</t>
  </si>
  <si>
    <t>T1_2026_P02_R211</t>
  </si>
  <si>
    <t>30571</t>
  </si>
  <si>
    <t>T1_2026_P02_R223</t>
  </si>
  <si>
    <t>30576</t>
  </si>
  <si>
    <t>T1_2026_P07_R100</t>
  </si>
  <si>
    <t>30581</t>
  </si>
  <si>
    <t>T1_2026_P03_R023</t>
  </si>
  <si>
    <t>30589</t>
  </si>
  <si>
    <t>T1_2026_P05_R083 | T1_2026_P05_R121 | T1_2026_P05_R159</t>
  </si>
  <si>
    <t>30630</t>
  </si>
  <si>
    <t>T1_2026_P02_R018</t>
  </si>
  <si>
    <t>30633</t>
  </si>
  <si>
    <t>T1_2026_P04_R168</t>
  </si>
  <si>
    <t>30641</t>
  </si>
  <si>
    <t>T1_2026_P05_R072</t>
  </si>
  <si>
    <t>30704</t>
  </si>
  <si>
    <t>T1_2026_P05_R070</t>
  </si>
  <si>
    <t>30734</t>
  </si>
  <si>
    <t>T1_2026_P06_R075</t>
  </si>
  <si>
    <t>30747</t>
  </si>
  <si>
    <t>T1_2026_P05_R152</t>
  </si>
  <si>
    <t>30748</t>
  </si>
  <si>
    <t>T1_2026_P08_R101</t>
  </si>
  <si>
    <t>30749</t>
  </si>
  <si>
    <t>T1_2026_P05_R064</t>
  </si>
  <si>
    <t>30761</t>
  </si>
  <si>
    <t>T1_2026_P02_R183</t>
  </si>
  <si>
    <t>30764</t>
  </si>
  <si>
    <t>T1_2026_P09_R055</t>
  </si>
  <si>
    <t>30768</t>
  </si>
  <si>
    <t>T1_2026_P03_R005</t>
  </si>
  <si>
    <t>30788</t>
  </si>
  <si>
    <t>T1_2026_P04_R101</t>
  </si>
  <si>
    <t>WP004 responsible-sourcing prerequisite</t>
  </si>
  <si>
    <t>NEXT_WP004_Category_Tariff_Lock.xlsx</t>
  </si>
  <si>
    <t>Tariff_Matrix!K22:K25; Origin_Rules!F4:I4</t>
  </si>
  <si>
    <t>WP004 requires the separate D008 responsible-sourcing gate before recommending Myanmar and explicitly requires a mandatory responsible-sourcing decision.</t>
  </si>
  <si>
    <t>Direct workbook inspection</t>
  </si>
  <si>
    <t>WP004 establishes the gate requirement. Exclusion from actionable reallocation pending clearance is the WP007 project decision, recorded through D020.</t>
  </si>
  <si>
    <t>WP004 workbook</t>
  </si>
  <si>
    <t/>
  </si>
  <si>
    <t>D008 establishes mandatory gates that cannot be offset by cost advantages. WP004 requires a Myanmar-specific decision (E13); WP007 records exclusion pending clearance through D020.</t>
  </si>
  <si>
    <t>WP007 decision: Myanmar is excluded as an actionable alternative pending clearance. Public evidence cannot clear it; RS08 enhanced measures apply. Basis: D008 and the WP004 gate requirement (E04, E12, E13).</t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</si>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</sst>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x&quot;"/>
  </numFmts>
  <fonts count="8">
    <font>
      <sz val="11"/>
      <name val="Carlito"/>
    </font>
    <font>
      <sz val="10"/>
      <color rgb="FF202D3A"/>
      <name val="Arial"/>
      <family val="2"/>
    </font>
    <font>
      <b/>
      <sz val="15"/>
      <color rgb="FF23364D"/>
      <name val="Arial"/>
      <family val="2"/>
    </font>
    <font>
      <b/>
      <sz val="10"/>
      <color rgb="FFFFFFFF"/>
      <name val="Arial"/>
      <family val="2"/>
    </font>
    <font>
      <b/>
      <sz val="10"/>
      <color rgb="FF202D3A"/>
      <name val="Arial"/>
      <family val="2"/>
    </font>
    <font>
      <u/>
      <sz val="11"/>
      <color theme="10"/>
      <name val="Carlito"/>
    </font>
    <font>
      <sz val="10"/>
      <name val="Arial"/>
      <family val="2"/>
    </font>
    <font>
      <sz val="10"/>
      <color rgb="FF202D3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3364D"/>
      </patternFill>
    </fill>
    <fill>
      <patternFill patternType="solid">
        <fgColor rgb="FFFFFFFF"/>
      </patternFill>
    </fill>
    <fill>
      <patternFill patternType="solid">
        <fgColor rgb="FFEEF2F6"/>
      </patternFill>
    </fill>
    <fill>
      <patternFill patternType="solid">
        <fgColor rgb="FF23364D"/>
      </patternFill>
    </fill>
    <fill>
      <patternFill patternType="solid">
        <fgColor rgb="FFFFFFFF"/>
      </patternFill>
    </fill>
    <fill>
      <patternFill patternType="solid">
        <fgColor rgb="FFEEF2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B7C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4" fillId="0" borderId="0" xfId="0" applyFont="1"/>
    <xf numFmtId="0" fontId="3" fillId="5" borderId="0" xfId="0" applyFont="1" applyFill="1" applyAlignment="1">
      <alignment vertical="center"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3" fontId="1" fillId="6" borderId="0" xfId="0" applyNumberFormat="1" applyFont="1" applyFill="1" applyAlignment="1">
      <alignment wrapText="1"/>
    </xf>
    <xf numFmtId="3" fontId="1" fillId="7" borderId="0" xfId="0" applyNumberFormat="1" applyFont="1" applyFill="1" applyAlignment="1">
      <alignment wrapText="1"/>
    </xf>
    <xf numFmtId="10" fontId="1" fillId="6" borderId="0" xfId="0" applyNumberFormat="1" applyFont="1" applyFill="1" applyAlignment="1">
      <alignment wrapText="1"/>
    </xf>
    <xf numFmtId="10" fontId="1" fillId="7" borderId="0" xfId="0" applyNumberFormat="1" applyFont="1" applyFill="1" applyAlignment="1">
      <alignment wrapText="1"/>
    </xf>
    <xf numFmtId="164" fontId="1" fillId="6" borderId="0" xfId="0" applyNumberFormat="1" applyFont="1" applyFill="1" applyAlignment="1">
      <alignment wrapText="1"/>
    </xf>
    <xf numFmtId="164" fontId="1" fillId="7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top" wrapText="1"/>
    </xf>
    <xf numFmtId="0" fontId="0" fillId="6" borderId="0" xfId="0" applyFill="1" applyAlignment="1">
      <alignment wrapText="1"/>
    </xf>
    <xf numFmtId="0" fontId="1" fillId="7" borderId="0" xfId="0" applyFont="1" applyFill="1" applyAlignment="1">
      <alignment vertical="top" wrapText="1"/>
    </xf>
    <xf numFmtId="0" fontId="0" fillId="7" borderId="0" xfId="0" applyFill="1" applyAlignment="1">
      <alignment wrapText="1"/>
    </xf>
    <xf numFmtId="0" fontId="1" fillId="6" borderId="0" xfId="0" applyFont="1" applyFill="1" applyAlignment="1">
      <alignment vertical="top"/>
    </xf>
    <xf numFmtId="0" fontId="1" fillId="7" borderId="0" xfId="0" applyFont="1" applyFill="1" applyAlignment="1">
      <alignment vertical="top"/>
    </xf>
    <xf numFmtId="0" fontId="5" fillId="6" borderId="0" xfId="1" applyFill="1" applyAlignment="1">
      <alignment vertical="top" wrapText="1"/>
    </xf>
    <xf numFmtId="0" fontId="5" fillId="7" borderId="0" xfId="1" applyFill="1" applyAlignment="1">
      <alignment vertical="top" wrapText="1"/>
    </xf>
    <xf numFmtId="0" fontId="6" fillId="0" borderId="0" xfId="0" applyFont="1"/>
    <xf numFmtId="0" fontId="7" fillId="6" borderId="0" xfId="0" applyFont="1" applyFill="1" applyAlignment="1">
      <alignment vertical="top" wrapText="1"/>
    </xf>
    <xf numFmtId="0" fontId="7" fillId="6" borderId="0" xfId="0" applyFont="1" applyFill="1" applyAlignment="1">
      <alignment wrapText="1"/>
    </xf>
    <xf numFmtId="0" fontId="1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b/>
        <color rgb="FF9C2020"/>
      </font>
      <fill>
        <patternFill patternType="solid">
          <bgColor rgb="FFFCE3E3"/>
        </patternFill>
      </fill>
    </dxf>
    <dxf>
      <font>
        <color rgb="FF9C2020"/>
      </font>
      <fill>
        <patternFill>
          <bgColor rgb="FFFCE3E3"/>
        </patternFill>
      </fill>
    </dxf>
    <dxf>
      <font>
        <color rgb="FF7A58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P007_Gates" displayName="WP007_Gates" ref="A10:I18" totalsRowShown="0">
  <tableColumns count="9">
    <tableColumn id="1" xr3:uid="{00000000-0010-0000-0000-000001000000}" name="Gate_ID"/>
    <tableColumn id="2" xr3:uid="{00000000-0010-0000-0000-000002000000}" name="Gate"/>
    <tableColumn id="3" xr3:uid="{00000000-0010-0000-0000-000003000000}" name="NEXT requirement / stated practice"/>
    <tableColumn id="4" xr3:uid="{00000000-0010-0000-0000-000004000000}" name="Evidence required for a candidate"/>
    <tableColumn id="5" xr3:uid="{00000000-0010-0000-0000-000005000000}" name="Project Pass rule"/>
    <tableColumn id="6" xr3:uid="{00000000-0010-0000-0000-000006000000}" name="Project Conditional rule"/>
    <tableColumn id="7" xr3:uid="{00000000-0010-0000-0000-000007000000}" name="Project Fail rule"/>
    <tableColumn id="8" xr3:uid="{00000000-0010-0000-0000-000008000000}" name="Application"/>
    <tableColumn id="9" xr3:uid="{00000000-0010-0000-0000-000009000000}" name="Evidence_I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P007_Audit_Categories" displayName="WP007_Audit_Categories" ref="A38:C44" totalsRowShown="0">
  <tableColumns count="3">
    <tableColumn id="1" xr3:uid="{00000000-0010-0000-0100-000001000000}" name="NEXT category"/>
    <tableColumn id="2" xr3:uid="{00000000-0010-0000-0100-000002000000}" name="Description"/>
    <tableColumn id="3" xr3:uid="{00000000-0010-0000-0100-000003000000}" name="Follow-up interv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WP007_Annotation_Rates" displayName="WP007_Annotation_Rates" ref="A58:F62" totalsRowShown="0">
  <tableColumns count="6">
    <tableColumn id="1" xr3:uid="{00000000-0010-0000-0200-000001000000}" name="Country"/>
    <tableColumn id="2" xr3:uid="{00000000-0010-0000-0200-000002000000}" name="Listed Site IDs"/>
    <tableColumn id="3" xr3:uid="{00000000-0010-0000-0200-000003000000}" name="Annotated Site IDs"/>
    <tableColumn id="4" xr3:uid="{00000000-0010-0000-0200-000004000000}" name="Annotation rate"/>
    <tableColumn id="5" xr3:uid="{00000000-0010-0000-0200-000005000000}" name="Rate / India"/>
    <tableColumn id="6" xr3:uid="{00000000-0010-0000-0200-000006000000}" name="Rate / network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WP007_Site_Review" displayName="WP007_Site_Review" ref="A9:M25" totalsRowShown="0">
  <tableColumns count="13">
    <tableColumn id="1" xr3:uid="{00000000-0010-0000-0300-000001000000}" name="Site_ID"/>
    <tableColumn id="2" xr3:uid="{00000000-0010-0000-0300-000002000000}" name="Country"/>
    <tableColumn id="3" xr3:uid="{00000000-0010-0000-0300-000003000000}" name="Published product label"/>
    <tableColumn id="4" xr3:uid="{00000000-0010-0000-0300-000004000000}" name="Site name"/>
    <tableColumn id="5" xr3:uid="{00000000-0010-0000-0300-000005000000}" name="Raw annotation"/>
    <tableColumn id="6" xr3:uid="{00000000-0010-0000-0300-000006000000}" name="Review outcome"/>
    <tableColumn id="7" xr3:uid="{00000000-0010-0000-0300-000007000000}" name="Evidence gap"/>
    <tableColumn id="8" xr3:uid="{00000000-0010-0000-0300-000008000000}" name="Required next evidence"/>
    <tableColumn id="9" xr3:uid="{00000000-0010-0000-0300-000009000000}" name="Basket relevance"/>
    <tableColumn id="10" xr3:uid="{00000000-0010-0000-0300-00000A000000}" name="Source_record_ID"/>
    <tableColumn id="11" xr3:uid="{00000000-0010-0000-0300-00000B000000}" name="PDF page"/>
    <tableColumn id="12" xr3:uid="{00000000-0010-0000-0300-00000C000000}" name="Supplier label"/>
    <tableColumn id="13" xr3:uid="{00000000-0010-0000-0300-00000D000000}" name="Gate / Evidence_ID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WP007_Evidence" displayName="WP007_Evidence" ref="A7:H20" totalsRowShown="0">
  <tableColumns count="8">
    <tableColumn id="1" xr3:uid="{00000000-0010-0000-0400-000001000000}" name="Evidence_ID"/>
    <tableColumn id="2" xr3:uid="{00000000-0010-0000-0400-000002000000}" name="Source_ID"/>
    <tableColumn id="3" xr3:uid="{00000000-0010-0000-0400-000003000000}" name="Document / filename"/>
    <tableColumn id="4" xr3:uid="{00000000-0010-0000-0400-000004000000}" name="Page or section"/>
    <tableColumn id="5" xr3:uid="{00000000-0010-0000-0400-000005000000}" name="Finding"/>
    <tableColumn id="6" xr3:uid="{00000000-0010-0000-0400-000006000000}" name="Evidence basis"/>
    <tableColumn id="7" xr3:uid="{00000000-0010-0000-0400-000007000000}" name="Limits / treatment"/>
    <tableColumn id="8" xr3:uid="{00000000-0010-0000-0400-000008000000}" name="Official URL / sourc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WP007_QC_Summary" displayName="WP007_QC_Summary" ref="A7:F12" totalsRowShown="0">
  <tableColumns count="6">
    <tableColumn id="1" xr3:uid="{00000000-0010-0000-0600-000001000000}" name="Check_ID"/>
    <tableColumn id="2" xr3:uid="{00000000-0010-0000-0600-000002000000}" name="Check"/>
    <tableColumn id="3" xr3:uid="{00000000-0010-0000-0600-000003000000}" name="Expected"/>
    <tableColumn id="4" xr3:uid="{00000000-0010-0000-0600-000004000000}" name="Actual"/>
    <tableColumn id="5" xr3:uid="{00000000-0010-0000-0600-000005000000}" name="Exceptions"/>
    <tableColumn id="6" xr3:uid="{00000000-0010-0000-0600-000006000000}" name="Result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WP007_QC_Site_Detail" displayName="WP007_QC_Site_Detail" ref="A15:H31" totalsRowShown="0">
  <tableColumns count="8">
    <tableColumn id="1" xr3:uid="{00000000-0010-0000-0700-000001000000}" name="Site_ID"/>
    <tableColumn id="2" xr3:uid="{00000000-0010-0000-0700-000002000000}" name="Source_ID matches"/>
    <tableColumn id="3" xr3:uid="{00000000-0010-0000-0700-000003000000}" name="Annotation matches"/>
    <tableColumn id="4" xr3:uid="{00000000-0010-0000-0700-000004000000}" name="Country matches"/>
    <tableColumn id="5" xr3:uid="{00000000-0010-0000-0700-000005000000}" name="Product matches"/>
    <tableColumn id="6" xr3:uid="{00000000-0010-0000-0700-000006000000}" name="Valid outcome"/>
    <tableColumn id="7" xr3:uid="{00000000-0010-0000-0700-000007000000}" name="Distinct ID"/>
    <tableColumn id="8" xr3:uid="{00000000-0010-0000-0700-000008000000}" name="Country + product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WP007_QC_References" displayName="WP007_QC_References" ref="A35:T59" totalsRowShown="0">
  <tableColumns count="20">
    <tableColumn id="1" xr3:uid="{00000000-0010-0000-0800-000001000000}" name="Sheet"/>
    <tableColumn id="2" xr3:uid="{00000000-0010-0000-0800-000002000000}" name="Reference cell"/>
    <tableColumn id="3" xr3:uid="{00000000-0010-0000-0800-000003000000}" name="Current references"/>
    <tableColumn id="4" xr3:uid="{00000000-0010-0000-0800-000004000000}" name="Unresolved / invalid"/>
    <tableColumn id="5" xr3:uid="{00000000-0010-0000-0800-000005000000}" name="Token 1"/>
    <tableColumn id="6" xr3:uid="{00000000-0010-0000-0800-000006000000}" name="Token 2"/>
    <tableColumn id="7" xr3:uid="{00000000-0010-0000-0800-000007000000}" name="Token 3"/>
    <tableColumn id="8" xr3:uid="{00000000-0010-0000-0800-000008000000}" name="Token 4"/>
    <tableColumn id="9" xr3:uid="{00000000-0010-0000-0800-000009000000}" name="Token 5"/>
    <tableColumn id="10" xr3:uid="{00000000-0010-0000-0800-00000A000000}" name="Token 6"/>
    <tableColumn id="11" xr3:uid="{00000000-0010-0000-0800-00000B000000}" name="Token 7"/>
    <tableColumn id="12" xr3:uid="{00000000-0010-0000-0800-00000C000000}" name="Token 8"/>
    <tableColumn id="13" xr3:uid="{00000000-0010-0000-0800-00000D000000}" name="Token 1 issues"/>
    <tableColumn id="14" xr3:uid="{00000000-0010-0000-0800-00000E000000}" name="Token 2 issues"/>
    <tableColumn id="15" xr3:uid="{00000000-0010-0000-0800-00000F000000}" name="Token 3 issues"/>
    <tableColumn id="16" xr3:uid="{00000000-0010-0000-0800-000010000000}" name="Token 4 issues"/>
    <tableColumn id="17" xr3:uid="{00000000-0010-0000-0800-000011000000}" name="Token 5 issues"/>
    <tableColumn id="18" xr3:uid="{00000000-0010-0000-0800-000012000000}" name="Token 6 issues"/>
    <tableColumn id="19" xr3:uid="{00000000-0010-0000-0800-000013000000}" name="Token 7 issues"/>
    <tableColumn id="20" xr3:uid="{00000000-0010-0000-0800-000014000000}" name="Token 8 issues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9000000}" name="WP007_WP003_Reference" displayName="WP007_WP003_Reference" ref="A7:G1485" totalsRowShown="0">
  <tableColumns count="7">
    <tableColumn id="1" xr3:uid="{00000000-0010-0000-0900-000001000000}" name="Site_ID"/>
    <tableColumn id="2" xr3:uid="{00000000-0010-0000-0900-000002000000}" name="Country"/>
    <tableColumn id="3" xr3:uid="{00000000-0010-0000-0900-000003000000}" name="Product_label"/>
    <tableColumn id="4" xr3:uid="{00000000-0010-0000-0900-000004000000}" name="Audit_annotation_raw"/>
    <tableColumn id="5" xr3:uid="{00000000-0010-0000-0900-000005000000}" name="Review_flag"/>
    <tableColumn id="6" xr3:uid="{00000000-0010-0000-0900-000006000000}" name="Source_record_IDs"/>
    <tableColumn id="7" xr3:uid="{00000000-0010-0000-0900-000007000000}" name="Source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NEXT Sourcing">
  <a:themeElements>
    <a:clrScheme name="NEXT Sourcin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EXT Sourcing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xtplc.co.uk/~/media/Files/N/next-plc-v4/Tier%201%20-2%20-%203%20lists/PLC%20LIST%20FEB%202026%20-%20TIER1.pdf" TargetMode="External"/><Relationship Id="rId3" Type="http://schemas.openxmlformats.org/officeDocument/2006/relationships/hyperlink" Target="https://www.nextplc.co.uk/corporate-responsibility/modern-slavery-transparency-statement" TargetMode="External"/><Relationship Id="rId7" Type="http://schemas.openxmlformats.org/officeDocument/2006/relationships/hyperlink" Target="https://www.nextplc.co.uk/~/media/Files/N/next-plc-v4/documents/corporate-responsibility/corporate-responsibility-report-2026.pdf" TargetMode="External"/><Relationship Id="rId12" Type="http://schemas.openxmlformats.org/officeDocument/2006/relationships/table" Target="../tables/table5.xml"/><Relationship Id="rId2" Type="http://schemas.openxmlformats.org/officeDocument/2006/relationships/hyperlink" Target="https://www.nextplc.co.uk/~/media/Files/N/next-plc-v4/documents/corporate-responsibility/corporate-responsibility-report-2026.pdf" TargetMode="External"/><Relationship Id="rId1" Type="http://schemas.openxmlformats.org/officeDocument/2006/relationships/hyperlink" Target="https://www.nextplc.co.uk/~/media/Files/N/next-plc-v4/documents/corporate-responsibility/corporate-responsibility-report-2026.pdf" TargetMode="External"/><Relationship Id="rId6" Type="http://schemas.openxmlformats.org/officeDocument/2006/relationships/hyperlink" Target="https://www.nextplc.co.uk/~/media/Files/N/next-plc-v4/documents/corporate-responsibility/corporate-responsibility-report-2026.pdf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nextplc.co.uk/corporate-responsibility/modern-slavery-transparency-statement" TargetMode="External"/><Relationship Id="rId10" Type="http://schemas.openxmlformats.org/officeDocument/2006/relationships/hyperlink" Target="https://www.nextplc.co.uk/~/media/Files/N/next-plc-v4/corporate-responsibility/_SUPPLIER%20Auditing%20Standards%20JUNE%202025.pdf" TargetMode="External"/><Relationship Id="rId4" Type="http://schemas.openxmlformats.org/officeDocument/2006/relationships/hyperlink" Target="https://www.nextplc.co.uk/corporate-responsibility/modern-slavery-transparency-statement" TargetMode="External"/><Relationship Id="rId9" Type="http://schemas.openxmlformats.org/officeDocument/2006/relationships/hyperlink" Target="https://www.nextplc.co.uk/~/media/Files/N/Next-PLC-V2/documents/corporate-responsibility/Code_of_Practice_Principle_Standards_August_2024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64D"/>
  </sheetPr>
  <dimension ref="A1:I70"/>
  <sheetViews>
    <sheetView showGridLines="0" topLeftCell="A46" workbookViewId="0">
      <selection activeCell="A53" sqref="A53"/>
    </sheetView>
  </sheetViews>
  <sheetFormatPr defaultRowHeight="13.8"/>
  <cols>
    <col min="1" max="1" width="12" customWidth="1"/>
    <col min="2" max="2" width="26" customWidth="1"/>
    <col min="3" max="3" width="45" customWidth="1"/>
    <col min="4" max="4" width="46" customWidth="1"/>
    <col min="5" max="7" width="39" customWidth="1"/>
    <col min="8" max="8" width="24" customWidth="1"/>
    <col min="9" max="9" width="25" customWidth="1"/>
  </cols>
  <sheetData>
    <row r="1" spans="1:9" ht="22.05" customHeight="1">
      <c r="A1" s="2"/>
      <c r="B1" s="2"/>
      <c r="C1" s="2"/>
      <c r="D1" s="2"/>
      <c r="E1" s="2"/>
      <c r="F1" s="2"/>
      <c r="G1" s="2"/>
      <c r="H1" s="2"/>
      <c r="I1" s="2"/>
    </row>
    <row r="2" spans="1:9" ht="22.05" customHeight="1">
      <c r="A2" s="3" t="s">
        <v>0</v>
      </c>
      <c r="B2" s="2"/>
      <c r="C2" s="2"/>
      <c r="D2" s="2"/>
      <c r="E2" s="2"/>
      <c r="F2" s="2"/>
      <c r="G2" s="2"/>
      <c r="H2" s="2"/>
      <c r="I2" s="2"/>
    </row>
    <row r="3" spans="1:9" ht="22.05" customHeight="1">
      <c r="A3" s="4"/>
      <c r="B3" s="4"/>
      <c r="C3" s="4"/>
      <c r="D3" s="4"/>
      <c r="E3" s="4"/>
      <c r="F3" s="4"/>
      <c r="G3" s="4"/>
      <c r="H3" s="4"/>
      <c r="I3" s="4"/>
    </row>
    <row r="4" spans="1:9" ht="25.05" customHeight="1">
      <c r="A4" s="35" t="inlineStr">
        <is>
          <t>v1.0 | Final public-evidence framework | Evidence cut: 16 September 2026 | Mandatory sourcing gates; site reviews remain Pending.</t>
        </is>
      </c>
      <c r="B4" s="35"/>
      <c r="C4" s="35"/>
      <c r="D4" s="35"/>
      <c r="E4" s="35"/>
      <c r="F4" s="35"/>
      <c r="G4" s="35"/>
      <c r="H4" s="35"/>
      <c r="I4" s="35"/>
    </row>
    <row r="5" spans="1:9" ht="25.05" customHeight="1">
      <c r="A5" s="35" t="s">
        <v>2</v>
      </c>
      <c r="B5" s="35"/>
      <c r="C5" s="35"/>
      <c r="D5" s="35"/>
      <c r="E5" s="35"/>
      <c r="F5" s="35"/>
      <c r="G5" s="35"/>
      <c r="H5" s="35"/>
      <c r="I5" s="35"/>
    </row>
    <row r="6" spans="1:9" ht="25.05" customHeight="1">
      <c r="A6" s="35" t="s">
        <v>3</v>
      </c>
      <c r="B6" s="35"/>
      <c r="C6" s="35"/>
      <c r="D6" s="35"/>
      <c r="E6" s="35"/>
      <c r="F6" s="35"/>
      <c r="G6" s="35"/>
      <c r="H6" s="35"/>
      <c r="I6" s="35"/>
    </row>
    <row r="7" spans="1:9" ht="25.05" customHeight="1">
      <c r="A7" s="35" t="s">
        <v>4</v>
      </c>
      <c r="B7" s="35"/>
      <c r="C7" s="35"/>
      <c r="D7" s="35"/>
      <c r="E7" s="35"/>
      <c r="F7" s="35"/>
      <c r="G7" s="35"/>
      <c r="H7" s="35"/>
      <c r="I7" s="35"/>
    </row>
    <row r="8" spans="1:9" ht="25.05" customHeight="1">
      <c r="A8" s="35" t="s">
        <v>5</v>
      </c>
      <c r="B8" s="35"/>
      <c r="C8" s="35"/>
      <c r="D8" s="35"/>
      <c r="E8" s="35"/>
      <c r="F8" s="35"/>
      <c r="G8" s="35"/>
      <c r="H8" s="35"/>
      <c r="I8" s="35"/>
    </row>
    <row r="9" spans="1:9" ht="22.05" customHeight="1">
      <c r="A9" s="2"/>
      <c r="B9" s="2"/>
      <c r="C9" s="2"/>
      <c r="D9" s="2"/>
      <c r="E9" s="2"/>
      <c r="F9" s="2"/>
      <c r="G9" s="2"/>
      <c r="H9" s="2"/>
      <c r="I9" s="2"/>
    </row>
    <row r="10" spans="1:9" ht="34.950000000000003" customHeight="1">
      <c r="A10" s="6" t="s">
        <v>6</v>
      </c>
      <c r="B10" s="6" t="s">
        <v>7</v>
      </c>
      <c r="C10" s="6" t="s">
        <v>8</v>
      </c>
      <c r="D10" s="6" t="s">
        <v>9</v>
      </c>
      <c r="E10" s="6" t="s">
        <v>10</v>
      </c>
      <c r="F10" s="6" t="s">
        <v>11</v>
      </c>
      <c r="G10" s="6" t="s">
        <v>12</v>
      </c>
      <c r="H10" s="6" t="s">
        <v>13</v>
      </c>
      <c r="I10" s="6" t="s">
        <v>14</v>
      </c>
    </row>
    <row r="11" spans="1:9" ht="85.05" customHeight="1">
      <c r="A11" s="7" t="s">
        <v>15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21</v>
      </c>
      <c r="H11" s="7" t="s">
        <v>22</v>
      </c>
      <c r="I11" s="7" t="s">
        <v>23</v>
      </c>
    </row>
    <row r="12" spans="1:9" ht="85.05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8" t="s">
        <v>30</v>
      </c>
      <c r="H12" s="8" t="s">
        <v>31</v>
      </c>
      <c r="I12" s="8" t="s">
        <v>32</v>
      </c>
    </row>
    <row r="13" spans="1:9" ht="85.05" customHeight="1">
      <c r="A13" s="7" t="s">
        <v>33</v>
      </c>
      <c r="B13" s="7" t="s">
        <v>34</v>
      </c>
      <c r="C13" s="7" t="s">
        <v>35</v>
      </c>
      <c r="D13" s="7" t="s">
        <v>36</v>
      </c>
      <c r="E13" s="7" t="s">
        <v>37</v>
      </c>
      <c r="F13" s="7" t="s">
        <v>38</v>
      </c>
      <c r="G13" s="7" t="s">
        <v>39</v>
      </c>
      <c r="H13" s="7" t="s">
        <v>40</v>
      </c>
      <c r="I13" s="7" t="s">
        <v>41</v>
      </c>
    </row>
    <row r="14" spans="1:9" ht="85.05" customHeight="1">
      <c r="A14" s="8" t="s">
        <v>42</v>
      </c>
      <c r="B14" s="8" t="s">
        <v>43</v>
      </c>
      <c r="C14" s="8" t="s">
        <v>44</v>
      </c>
      <c r="D14" s="8" t="s">
        <v>45</v>
      </c>
      <c r="E14" s="8" t="s">
        <v>46</v>
      </c>
      <c r="F14" s="8" t="s">
        <v>47</v>
      </c>
      <c r="G14" s="8" t="s">
        <v>48</v>
      </c>
      <c r="H14" s="8" t="s">
        <v>49</v>
      </c>
      <c r="I14" s="8" t="s">
        <v>50</v>
      </c>
    </row>
    <row r="15" spans="1:9" ht="85.05" customHeight="1">
      <c r="A15" s="7" t="s">
        <v>51</v>
      </c>
      <c r="B15" s="7" t="s">
        <v>52</v>
      </c>
      <c r="C15" s="7" t="s">
        <v>53</v>
      </c>
      <c r="D15" s="7" t="s">
        <v>54</v>
      </c>
      <c r="E15" s="7" t="s">
        <v>55</v>
      </c>
      <c r="F15" s="7" t="s">
        <v>56</v>
      </c>
      <c r="G15" s="7" t="s">
        <v>57</v>
      </c>
      <c r="H15" s="7" t="s">
        <v>58</v>
      </c>
      <c r="I15" s="7" t="s">
        <v>59</v>
      </c>
    </row>
    <row r="16" spans="1:9" ht="85.05" customHeight="1">
      <c r="A16" s="8" t="s">
        <v>60</v>
      </c>
      <c r="B16" s="8" t="s">
        <v>61</v>
      </c>
      <c r="C16" s="8" t="s">
        <v>62</v>
      </c>
      <c r="D16" s="8" t="s">
        <v>63</v>
      </c>
      <c r="E16" s="8" t="s">
        <v>64</v>
      </c>
      <c r="F16" s="8" t="s">
        <v>65</v>
      </c>
      <c r="G16" s="8" t="s">
        <v>66</v>
      </c>
      <c r="H16" s="8" t="s">
        <v>67</v>
      </c>
      <c r="I16" s="8" t="s">
        <v>68</v>
      </c>
    </row>
    <row r="17" spans="1:9" ht="85.05" customHeight="1">
      <c r="A17" s="7" t="s">
        <v>69</v>
      </c>
      <c r="B17" s="7" t="s">
        <v>70</v>
      </c>
      <c r="C17" s="7" t="s">
        <v>71</v>
      </c>
      <c r="D17" s="7" t="s">
        <v>72</v>
      </c>
      <c r="E17" s="7" t="s">
        <v>73</v>
      </c>
      <c r="F17" s="7" t="s">
        <v>74</v>
      </c>
      <c r="G17" s="7" t="s">
        <v>75</v>
      </c>
      <c r="H17" s="7" t="s">
        <v>76</v>
      </c>
      <c r="I17" s="7" t="s">
        <v>77</v>
      </c>
    </row>
    <row r="18" spans="1:9" ht="85.05" customHeight="1">
      <c r="A18" s="8" t="s">
        <v>78</v>
      </c>
      <c r="B18" s="8" t="s">
        <v>79</v>
      </c>
      <c r="C18" s="8" t="s">
        <v>80</v>
      </c>
      <c r="D18" s="8" t="s">
        <v>81</v>
      </c>
      <c r="E18" s="8" t="s">
        <v>82</v>
      </c>
      <c r="F18" s="8" t="s">
        <v>83</v>
      </c>
      <c r="G18" s="8" t="s">
        <v>84</v>
      </c>
      <c r="H18" s="8" t="s">
        <v>85</v>
      </c>
      <c r="I18" s="8" t="s">
        <v>86</v>
      </c>
    </row>
    <row r="19" spans="1:9" ht="22.05" customHeight="1">
      <c r="A19" s="2"/>
      <c r="B19" s="2"/>
      <c r="C19" s="2"/>
      <c r="D19" s="2"/>
      <c r="E19" s="2"/>
      <c r="F19" s="2"/>
      <c r="G19" s="2"/>
      <c r="H19" s="2"/>
      <c r="I19" s="2"/>
    </row>
    <row r="20" spans="1:9" ht="22.05" customHeight="1">
      <c r="A20" s="2"/>
      <c r="B20" s="2"/>
      <c r="C20" s="2"/>
      <c r="D20" s="2"/>
      <c r="E20" s="2"/>
      <c r="F20" s="2"/>
      <c r="G20" s="2"/>
      <c r="H20" s="2"/>
      <c r="I20" s="2"/>
    </row>
    <row r="21" spans="1:9" ht="22.05" customHeight="1">
      <c r="A21" s="9" t="s">
        <v>87</v>
      </c>
      <c r="B21" s="2"/>
      <c r="C21" s="2"/>
      <c r="D21" s="2"/>
      <c r="E21" s="2"/>
      <c r="F21" s="2"/>
      <c r="G21" s="2"/>
      <c r="H21" s="2"/>
      <c r="I21" s="2"/>
    </row>
    <row r="22" spans="1:9" ht="22.05" customHeight="1">
      <c r="A22" s="2"/>
      <c r="B22" s="2"/>
      <c r="C22" s="2"/>
      <c r="D22" s="2"/>
      <c r="E22" s="2"/>
      <c r="F22" s="2"/>
      <c r="G22" s="2"/>
      <c r="H22" s="2"/>
      <c r="I22" s="2"/>
    </row>
    <row r="23" spans="1:9" ht="22.05" customHeight="1">
      <c r="A23" s="11" t="s">
        <v>88</v>
      </c>
      <c r="B23" s="11" t="s">
        <v>13</v>
      </c>
      <c r="C23" s="10"/>
      <c r="D23" s="10"/>
      <c r="E23" s="10"/>
      <c r="F23" s="10"/>
      <c r="G23" s="10"/>
      <c r="H23" s="10"/>
      <c r="I23" s="10"/>
    </row>
    <row r="24" spans="1:9" ht="52.05" customHeight="1">
      <c r="A24" s="5" t="s">
        <v>89</v>
      </c>
      <c r="B24" s="2" t="s">
        <v>90</v>
      </c>
      <c r="C24" s="2"/>
      <c r="D24" s="2"/>
      <c r="E24" s="2"/>
      <c r="F24" s="2"/>
      <c r="G24" s="2"/>
      <c r="H24" s="2"/>
      <c r="I24" s="2"/>
    </row>
    <row r="25" spans="1:9" ht="52.05" customHeight="1">
      <c r="A25" s="5" t="s">
        <v>91</v>
      </c>
      <c r="B25" s="2" t="s">
        <v>92</v>
      </c>
      <c r="C25" s="2"/>
      <c r="D25" s="2"/>
      <c r="E25" s="2"/>
      <c r="F25" s="2"/>
      <c r="G25" s="2"/>
      <c r="H25" s="2"/>
      <c r="I25" s="2"/>
    </row>
    <row r="26" spans="1:9" ht="52.05" customHeight="1">
      <c r="A26" s="5" t="s">
        <v>93</v>
      </c>
      <c r="B26" s="2" t="s">
        <v>94</v>
      </c>
      <c r="C26" s="2"/>
      <c r="D26" s="2"/>
      <c r="E26" s="2"/>
      <c r="F26" s="2"/>
      <c r="G26" s="2"/>
      <c r="H26" s="2"/>
      <c r="I26" s="2"/>
    </row>
    <row r="27" spans="1:9" ht="52.05" customHeight="1">
      <c r="A27" s="5" t="s">
        <v>95</v>
      </c>
      <c r="B27" s="2" t="s">
        <v>96</v>
      </c>
      <c r="C27" s="2"/>
      <c r="D27" s="2"/>
      <c r="E27" s="2"/>
      <c r="F27" s="2"/>
      <c r="G27" s="2"/>
      <c r="H27" s="2"/>
      <c r="I27" s="2"/>
    </row>
    <row r="28" spans="1:9" ht="52.05" customHeight="1">
      <c r="A28" s="5" t="s">
        <v>97</v>
      </c>
      <c r="B28" s="2" t="s">
        <v>98</v>
      </c>
      <c r="C28" s="2"/>
      <c r="D28" s="2"/>
      <c r="E28" s="2"/>
      <c r="F28" s="2"/>
      <c r="G28" s="2"/>
      <c r="H28" s="2"/>
      <c r="I28" s="2"/>
    </row>
    <row r="29" spans="1:9" ht="52.05" customHeight="1">
      <c r="A29" s="5" t="s">
        <v>99</v>
      </c>
      <c r="B29" s="2" t="s">
        <v>100</v>
      </c>
      <c r="C29" s="2"/>
      <c r="D29" s="2"/>
      <c r="E29" s="2"/>
      <c r="F29" s="2"/>
      <c r="G29" s="2"/>
      <c r="H29" s="2"/>
      <c r="I29" s="2"/>
    </row>
    <row r="30" spans="1:9" ht="52.05" customHeight="1">
      <c r="A30" s="5" t="s">
        <v>101</v>
      </c>
      <c r="B30" s="2" t="s">
        <v>102</v>
      </c>
      <c r="C30" s="2"/>
      <c r="D30" s="2"/>
      <c r="E30" s="2"/>
      <c r="F30" s="2"/>
      <c r="G30" s="2"/>
      <c r="H30" s="2"/>
      <c r="I30" s="2"/>
    </row>
    <row r="31" spans="1:9" ht="52.05" customHeight="1">
      <c r="A31" s="5" t="s">
        <v>103</v>
      </c>
      <c r="B31" s="2" t="s">
        <v>104</v>
      </c>
      <c r="C31" s="2"/>
      <c r="D31" s="2"/>
      <c r="E31" s="2"/>
      <c r="F31" s="2"/>
      <c r="G31" s="2"/>
      <c r="H31" s="2"/>
      <c r="I31" s="2"/>
    </row>
    <row r="32" spans="1:9" ht="52.05" customHeight="1">
      <c r="A32" s="5" t="s">
        <v>105</v>
      </c>
      <c r="B32" s="2" t="s">
        <v>106</v>
      </c>
      <c r="C32" s="2"/>
      <c r="D32" s="2"/>
      <c r="E32" s="2"/>
      <c r="F32" s="2"/>
      <c r="G32" s="2"/>
      <c r="H32" s="2"/>
      <c r="I32" s="2"/>
    </row>
    <row r="33" spans="1:9" ht="52.05" customHeight="1">
      <c r="A33" s="5" t="s">
        <v>107</v>
      </c>
      <c r="B33" s="2" t="s">
        <v>108</v>
      </c>
      <c r="C33" s="2"/>
      <c r="D33" s="2"/>
      <c r="E33" s="2"/>
      <c r="F33" s="2"/>
      <c r="G33" s="2"/>
      <c r="H33" s="2"/>
      <c r="I33" s="2"/>
    </row>
    <row r="34" spans="1:9" ht="22.05" customHeight="1">
      <c r="A34" s="2"/>
      <c r="B34" s="2"/>
      <c r="C34" s="2"/>
      <c r="D34" s="2"/>
      <c r="E34" s="2"/>
      <c r="F34" s="2"/>
      <c r="G34" s="2"/>
      <c r="H34" s="2"/>
      <c r="I34" s="2"/>
    </row>
    <row r="35" spans="1:9" ht="22.05" customHeight="1">
      <c r="A35" s="2"/>
      <c r="B35" s="2"/>
      <c r="C35" s="2"/>
      <c r="D35" s="2"/>
      <c r="E35" s="2"/>
      <c r="F35" s="2"/>
      <c r="G35" s="2"/>
      <c r="H35" s="2"/>
      <c r="I35" s="2"/>
    </row>
    <row r="36" spans="1:9" ht="22.05" customHeight="1">
      <c r="A36" s="9" t="s">
        <v>109</v>
      </c>
      <c r="B36" s="2"/>
      <c r="C36" s="2"/>
      <c r="D36" s="2"/>
      <c r="E36" s="2"/>
      <c r="F36" s="2"/>
      <c r="G36" s="2"/>
      <c r="H36" s="2"/>
      <c r="I36" s="2"/>
    </row>
    <row r="37" spans="1:9" ht="22.05" customHeight="1">
      <c r="A37" s="2"/>
      <c r="B37" s="2"/>
      <c r="C37" s="2"/>
      <c r="D37" s="2"/>
      <c r="E37" s="2"/>
      <c r="F37" s="2"/>
      <c r="G37" s="2"/>
      <c r="H37" s="2"/>
      <c r="I37" s="2"/>
    </row>
    <row r="38" spans="1:9" ht="34.950000000000003" customHeight="1">
      <c r="A38" s="6" t="s">
        <v>110</v>
      </c>
      <c r="B38" s="6" t="s">
        <v>111</v>
      </c>
      <c r="C38" s="6" t="s">
        <v>112</v>
      </c>
      <c r="D38" s="2"/>
      <c r="E38" s="2"/>
      <c r="F38" s="2"/>
      <c r="G38" s="2"/>
      <c r="H38" s="2"/>
      <c r="I38" s="2"/>
    </row>
    <row r="39" spans="1:9" ht="28.95" customHeight="1">
      <c r="A39" s="7" t="s">
        <v>113</v>
      </c>
      <c r="B39" s="7" t="s">
        <v>114</v>
      </c>
      <c r="C39" s="7" t="s">
        <v>115</v>
      </c>
      <c r="D39" s="2"/>
      <c r="E39" s="2"/>
      <c r="F39" s="2"/>
      <c r="G39" s="2"/>
      <c r="H39" s="2"/>
      <c r="I39" s="2"/>
    </row>
    <row r="40" spans="1:9" ht="28.95" customHeight="1">
      <c r="A40" s="8" t="s">
        <v>116</v>
      </c>
      <c r="B40" s="8" t="s">
        <v>117</v>
      </c>
      <c r="C40" s="8" t="s">
        <v>118</v>
      </c>
      <c r="D40" s="2"/>
      <c r="E40" s="2"/>
      <c r="F40" s="2"/>
      <c r="G40" s="2"/>
      <c r="H40" s="2"/>
      <c r="I40" s="2"/>
    </row>
    <row r="41" spans="1:9" ht="28.95" customHeight="1">
      <c r="A41" s="7" t="s">
        <v>119</v>
      </c>
      <c r="B41" s="7" t="s">
        <v>120</v>
      </c>
      <c r="C41" s="7" t="s">
        <v>121</v>
      </c>
      <c r="D41" s="2"/>
      <c r="E41" s="2"/>
      <c r="F41" s="2"/>
      <c r="G41" s="2"/>
      <c r="H41" s="2"/>
      <c r="I41" s="2"/>
    </row>
    <row r="42" spans="1:9" ht="28.95" customHeight="1">
      <c r="A42" s="8" t="s">
        <v>122</v>
      </c>
      <c r="B42" s="8" t="s">
        <v>123</v>
      </c>
      <c r="C42" s="8" t="s">
        <v>124</v>
      </c>
      <c r="D42" s="2"/>
      <c r="E42" s="2"/>
      <c r="F42" s="2"/>
      <c r="G42" s="2"/>
      <c r="H42" s="2"/>
      <c r="I42" s="2"/>
    </row>
    <row r="43" spans="1:9" ht="28.95" customHeight="1">
      <c r="A43" s="7" t="s">
        <v>125</v>
      </c>
      <c r="B43" s="7" t="s">
        <v>126</v>
      </c>
      <c r="C43" s="7" t="s">
        <v>124</v>
      </c>
      <c r="D43" s="2"/>
      <c r="E43" s="2"/>
      <c r="F43" s="2"/>
      <c r="G43" s="2"/>
      <c r="H43" s="2"/>
      <c r="I43" s="2"/>
    </row>
    <row r="44" spans="1:9" ht="28.95" customHeight="1">
      <c r="A44" s="8" t="s">
        <v>127</v>
      </c>
      <c r="B44" s="8" t="s">
        <v>128</v>
      </c>
      <c r="C44" s="8" t="s">
        <v>129</v>
      </c>
      <c r="D44" s="2"/>
      <c r="E44" s="2"/>
      <c r="F44" s="2"/>
      <c r="G44" s="2"/>
      <c r="H44" s="2"/>
      <c r="I44" s="2"/>
    </row>
    <row r="45" spans="1:9" ht="22.05" customHeight="1">
      <c r="A45" s="2"/>
      <c r="B45" s="2"/>
      <c r="C45" s="2"/>
      <c r="D45" s="2"/>
      <c r="E45" s="2"/>
      <c r="F45" s="2"/>
      <c r="G45" s="2"/>
      <c r="H45" s="2"/>
      <c r="I45" s="2"/>
    </row>
    <row r="46" spans="1:9" ht="22.05" customHeight="1">
      <c r="A46" s="2" t="s">
        <v>130</v>
      </c>
      <c r="B46" s="2"/>
      <c r="C46" s="2"/>
      <c r="D46" s="2"/>
      <c r="E46" s="2"/>
      <c r="F46" s="2"/>
      <c r="G46" s="2"/>
      <c r="H46" s="2"/>
      <c r="I46" s="2"/>
    </row>
    <row r="47" spans="1:9" ht="22.05" customHeight="1">
      <c r="A47" s="2"/>
      <c r="B47" s="2"/>
      <c r="C47" s="2"/>
      <c r="D47" s="2"/>
      <c r="E47" s="2"/>
      <c r="F47" s="2"/>
      <c r="G47" s="2"/>
      <c r="H47" s="2"/>
      <c r="I47" s="2"/>
    </row>
    <row r="48" spans="1:9" ht="22.05" customHeight="1">
      <c r="A48" s="2"/>
      <c r="B48" s="2"/>
      <c r="C48" s="2"/>
      <c r="D48" s="2"/>
      <c r="E48" s="2"/>
      <c r="F48" s="2"/>
      <c r="G48" s="2"/>
      <c r="H48" s="2"/>
      <c r="I48" s="2"/>
    </row>
    <row r="49" spans="1:9" ht="22.05" customHeight="1">
      <c r="A49" s="9" t="s">
        <v>131</v>
      </c>
      <c r="B49" s="2"/>
      <c r="C49" s="2"/>
      <c r="D49" s="2"/>
      <c r="E49" s="2"/>
      <c r="F49" s="2"/>
      <c r="G49" s="2"/>
      <c r="H49" s="2"/>
      <c r="I49" s="2"/>
    </row>
    <row r="50" spans="1:9">
      <c r="A50" s="1" t="inlineStr">
        <is>
          <t>D008: mandatory responsible-sourcing gates cannot be offset by lower costs. See Evidence E12 and docs/Research_Question_and_Scope.md.</t>
        </is>
      </c>
      <c r="B50" s="1"/>
      <c r="C50" s="1"/>
      <c r="D50" s="1"/>
      <c r="E50" s="1"/>
      <c r="F50" s="1"/>
      <c r="G50" s="1"/>
      <c r="H50" s="1"/>
      <c r="I50" s="1"/>
    </row>
    <row r="51" spans="1:9">
      <c r="A51" s="32" t="s">
        <v>3487</v>
      </c>
      <c r="B51" s="1"/>
      <c r="C51" s="1"/>
      <c r="D51" s="1"/>
      <c r="E51" s="1"/>
      <c r="F51" s="1"/>
      <c r="G51" s="1"/>
      <c r="H51" s="1"/>
      <c r="I51" s="1"/>
    </row>
    <row r="52" spans="1:9">
      <c r="A52" s="1" t="s">
        <v>133</v>
      </c>
      <c r="B52" s="1"/>
      <c r="C52" s="1"/>
      <c r="D52" s="1"/>
      <c r="E52" s="1"/>
      <c r="F52" s="1"/>
      <c r="G52" s="1"/>
      <c r="H52" s="1"/>
      <c r="I52" s="1"/>
    </row>
    <row r="53" spans="1:9">
      <c r="A53" s="1" t="s">
        <v>134</v>
      </c>
      <c r="B53" s="1"/>
      <c r="C53" s="1"/>
      <c r="D53" s="1"/>
      <c r="E53" s="1"/>
      <c r="F53" s="1"/>
      <c r="G53" s="1"/>
      <c r="H53" s="1"/>
      <c r="I53" s="1"/>
    </row>
    <row r="54" spans="1:9">
      <c r="A54" s="1" t="s">
        <v>135</v>
      </c>
      <c r="B54" s="1"/>
      <c r="C54" s="1"/>
      <c r="D54" s="1"/>
      <c r="E54" s="1"/>
      <c r="F54" s="1"/>
      <c r="G54" s="1"/>
      <c r="H54" s="1"/>
      <c r="I54" s="1"/>
    </row>
    <row r="55" spans="1:9">
      <c r="A55" s="1"/>
      <c r="B55" s="1"/>
      <c r="C55" s="1"/>
      <c r="D55" s="1"/>
      <c r="E55" s="1"/>
      <c r="F55" s="1"/>
      <c r="G55" s="1"/>
      <c r="H55" s="1"/>
      <c r="I55" s="1"/>
    </row>
    <row r="56" spans="1:9">
      <c r="A56" s="12" t="s">
        <v>136</v>
      </c>
      <c r="B56" s="1"/>
      <c r="C56" s="1"/>
      <c r="D56" s="1"/>
      <c r="E56" s="1"/>
      <c r="F56" s="1"/>
      <c r="G56" s="1"/>
      <c r="H56" s="1"/>
      <c r="I56" s="1"/>
    </row>
    <row r="57" spans="1:9">
      <c r="A57" s="1"/>
      <c r="B57" s="1"/>
      <c r="C57" s="1"/>
      <c r="D57" s="1"/>
      <c r="E57" s="1"/>
      <c r="F57" s="1"/>
      <c r="G57" s="1"/>
      <c r="H57" s="1"/>
      <c r="I57" s="1"/>
    </row>
    <row r="58" spans="1:9" ht="36" customHeight="1">
      <c r="A58" s="13" t="s">
        <v>137</v>
      </c>
      <c r="B58" s="13" t="s">
        <v>138</v>
      </c>
      <c r="C58" s="13" t="s">
        <v>139</v>
      </c>
      <c r="D58" s="13" t="s">
        <v>140</v>
      </c>
      <c r="E58" s="13" t="s">
        <v>141</v>
      </c>
      <c r="F58" s="13" t="s">
        <v>142</v>
      </c>
      <c r="G58" s="1"/>
      <c r="H58" s="1"/>
      <c r="I58" s="1"/>
    </row>
    <row r="59" spans="1:9" ht="30" customHeight="1">
      <c r="A59" s="14" t="s">
        <v>143</v>
      </c>
      <c r="B59" s="16">
        <f>COUNTIF(WP003_Reference!$B$8:$B$1485,A59)</f>
        <v>656</v>
      </c>
      <c r="C59" s="16">
        <f>SUMIF(WP003_Reference!$B$8:$B$1485,A59,WP003_Reference!$E$8:$E$1485)</f>
        <v>11</v>
      </c>
      <c r="D59" s="18">
        <f>C59/B59</f>
        <v>1.676829268292683E-2</v>
      </c>
      <c r="E59" s="20">
        <f>D59/$D$60</f>
        <v>3.9237804878048781</v>
      </c>
      <c r="F59" s="20">
        <f>D59/$D$62</f>
        <v>1.5489710365853657</v>
      </c>
      <c r="G59" s="1"/>
      <c r="H59" s="1"/>
      <c r="I59" s="1"/>
    </row>
    <row r="60" spans="1:9" ht="30" customHeight="1">
      <c r="A60" s="15" t="s">
        <v>144</v>
      </c>
      <c r="B60" s="17">
        <f>COUNTIF(WP003_Reference!$B$8:$B$1485,A60)</f>
        <v>234</v>
      </c>
      <c r="C60" s="17">
        <f>SUMIF(WP003_Reference!$B$8:$B$1485,A60,WP003_Reference!$E$8:$E$1485)</f>
        <v>1</v>
      </c>
      <c r="D60" s="19">
        <f>C60/B60</f>
        <v>4.2735042735042739E-3</v>
      </c>
      <c r="E60" s="21">
        <f>D60/$D$60</f>
        <v>1</v>
      </c>
      <c r="F60" s="21">
        <f>D60/$D$62</f>
        <v>0.39476495726495725</v>
      </c>
      <c r="G60" s="1"/>
      <c r="H60" s="1"/>
      <c r="I60" s="1"/>
    </row>
    <row r="61" spans="1:9" ht="30" customHeight="1">
      <c r="A61" s="14" t="s">
        <v>145</v>
      </c>
      <c r="B61" s="16">
        <f>COUNTIF(WP003_Reference!$B$8:$B$1485,A61)</f>
        <v>13</v>
      </c>
      <c r="C61" s="16">
        <f>SUMIF(WP003_Reference!$B$8:$B$1485,A61,WP003_Reference!$E$8:$E$1485)</f>
        <v>0</v>
      </c>
      <c r="D61" s="18">
        <f>C61/B61</f>
        <v>0</v>
      </c>
      <c r="E61" s="20">
        <f>D61/$D$60</f>
        <v>0</v>
      </c>
      <c r="F61" s="20">
        <f>D61/$D$62</f>
        <v>0</v>
      </c>
      <c r="G61" s="1"/>
      <c r="H61" s="1"/>
      <c r="I61" s="1"/>
    </row>
    <row r="62" spans="1:9" ht="30" customHeight="1">
      <c r="A62" s="15" t="s">
        <v>146</v>
      </c>
      <c r="B62" s="17">
        <f>COUNTA(WP003_Reference!$A$8:$A$1485)</f>
        <v>1478</v>
      </c>
      <c r="C62" s="17">
        <f>SUM(WP003_Reference!$E$8:$E$1485)</f>
        <v>16</v>
      </c>
      <c r="D62" s="19">
        <f>C62/B62</f>
        <v>1.0825439783491205E-2</v>
      </c>
      <c r="E62" s="21">
        <f>D62/$D$60</f>
        <v>2.5331529093369416</v>
      </c>
      <c r="F62" s="21">
        <f>D62/$D$62</f>
        <v>1</v>
      </c>
      <c r="G62" s="1"/>
      <c r="H62" s="1"/>
      <c r="I62" s="1"/>
    </row>
    <row r="63" spans="1:9">
      <c r="A63" s="1"/>
      <c r="B63" s="1"/>
      <c r="C63" s="1"/>
      <c r="D63" s="1"/>
      <c r="E63" s="1"/>
      <c r="F63" s="1"/>
      <c r="G63" s="1"/>
      <c r="H63" s="1"/>
      <c r="I63" s="1"/>
    </row>
    <row r="64" spans="1:9">
      <c r="A64" s="1" t="s">
        <v>147</v>
      </c>
      <c r="B64" s="1"/>
      <c r="C64" s="1"/>
      <c r="D64" s="1"/>
      <c r="E64" s="1"/>
      <c r="F64" s="1"/>
      <c r="G64" s="1"/>
      <c r="H64" s="1"/>
      <c r="I64" s="1"/>
    </row>
    <row r="65" spans="1:9">
      <c r="A65" s="1" t="s">
        <v>148</v>
      </c>
      <c r="B65" s="1"/>
      <c r="C65" s="1"/>
      <c r="D65" s="1"/>
      <c r="E65" s="1"/>
      <c r="F65" s="1"/>
      <c r="G65" s="1"/>
      <c r="H65" s="1"/>
      <c r="I65" s="1"/>
    </row>
    <row r="66" spans="1:9">
      <c r="A66" s="1" t="s">
        <v>149</v>
      </c>
      <c r="B66" s="1"/>
      <c r="C66" s="1"/>
      <c r="D66" s="1"/>
      <c r="E66" s="1"/>
      <c r="F66" s="1"/>
      <c r="G66" s="1"/>
      <c r="H66" s="1"/>
      <c r="I66" s="1"/>
    </row>
    <row r="67" spans="1:9">
      <c r="A67" s="1" t="s">
        <v>150</v>
      </c>
      <c r="B67" s="1"/>
      <c r="C67" s="1"/>
      <c r="D67" s="1"/>
      <c r="E67" s="1"/>
      <c r="F67" s="1"/>
      <c r="G67" s="1"/>
      <c r="H67" s="1"/>
      <c r="I67" s="1"/>
    </row>
    <row r="68" spans="1:9">
      <c r="A68" s="1"/>
      <c r="B68" s="1"/>
      <c r="C68" s="1"/>
      <c r="D68" s="1"/>
      <c r="E68" s="1"/>
      <c r="F68" s="1"/>
      <c r="G68" s="1"/>
      <c r="H68" s="1"/>
      <c r="I68" s="1"/>
    </row>
    <row r="69" spans="1:9">
      <c r="A69" s="1"/>
      <c r="B69" s="1"/>
      <c r="C69" s="1"/>
      <c r="D69" s="1"/>
      <c r="E69" s="1"/>
      <c r="F69" s="1"/>
      <c r="G69" s="1"/>
      <c r="H69" s="1"/>
      <c r="I69" s="1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</sheetData>
  <mergeCells count="5">
    <mergeCell ref="A4:I4"/>
    <mergeCell ref="A5:I5"/>
    <mergeCell ref="A6:I6"/>
    <mergeCell ref="A7:I7"/>
    <mergeCell ref="A8:I8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showGridLines="0" topLeftCell="A20" workbookViewId="0">
      <selection activeCell="I10" sqref="I10"/>
    </sheetView>
  </sheetViews>
  <sheetFormatPr defaultRowHeight="13.8"/>
  <cols>
    <col min="1" max="1" width="13" customWidth="1"/>
    <col min="2" max="3" width="18" customWidth="1"/>
    <col min="4" max="4" width="38" customWidth="1"/>
    <col min="5" max="5" width="25" customWidth="1"/>
    <col min="6" max="6" width="19" customWidth="1"/>
    <col min="7" max="7" width="36" customWidth="1"/>
    <col min="8" max="8" width="47" customWidth="1"/>
    <col min="9" max="9" width="30" customWidth="1"/>
    <col min="10" max="10" width="26" customWidth="1"/>
    <col min="11" max="11" width="15" customWidth="1"/>
    <col min="12" max="12" width="32" customWidth="1"/>
    <col min="13" max="13" width="23" customWidth="1"/>
  </cols>
  <sheetData>
    <row r="1" spans="1:13" ht="22.0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2.05" customHeight="1">
      <c r="A2" s="3" t="s">
        <v>151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2.0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2.05" customHeight="1">
      <c r="A4" s="2" t="s">
        <v>152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22.0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4.049999999999997" customHeight="1">
      <c r="A6" s="5" t="s">
        <v>153</v>
      </c>
      <c r="B6" s="5">
        <f>COUNTA(A10:A25)</f>
        <v>16</v>
      </c>
      <c r="C6" s="5" t="s">
        <v>154</v>
      </c>
      <c r="D6" s="5">
        <f>COUNTIF(E10:E25,"site not audited")</f>
        <v>11</v>
      </c>
      <c r="E6" s="5" t="s">
        <v>155</v>
      </c>
      <c r="F6" s="5">
        <f>COUNTIF(E10:E25,"can't find on SC")</f>
        <v>5</v>
      </c>
      <c r="G6" s="5" t="s">
        <v>156</v>
      </c>
      <c r="H6" s="5">
        <f>COUNTIF(F10:F25,"Pending")</f>
        <v>16</v>
      </c>
      <c r="I6" s="2"/>
      <c r="J6" s="2"/>
      <c r="K6" s="2"/>
      <c r="L6" s="2"/>
      <c r="M6" s="2"/>
    </row>
    <row r="7" spans="1:13" ht="22.05" customHeight="1">
      <c r="A7" s="2" t="s">
        <v>157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22.0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4.950000000000003" customHeight="1">
      <c r="A9" s="6" t="s">
        <v>158</v>
      </c>
      <c r="B9" s="6" t="s">
        <v>137</v>
      </c>
      <c r="C9" s="6" t="s">
        <v>159</v>
      </c>
      <c r="D9" s="6" t="s">
        <v>160</v>
      </c>
      <c r="E9" s="6" t="s">
        <v>161</v>
      </c>
      <c r="F9" s="6" t="s">
        <v>162</v>
      </c>
      <c r="G9" s="6" t="s">
        <v>163</v>
      </c>
      <c r="H9" s="6" t="s">
        <v>164</v>
      </c>
      <c r="I9" s="6" t="s">
        <v>165</v>
      </c>
      <c r="J9" s="6" t="s">
        <v>166</v>
      </c>
      <c r="K9" s="6" t="s">
        <v>167</v>
      </c>
      <c r="L9" s="6" t="s">
        <v>168</v>
      </c>
      <c r="M9" s="6" t="s">
        <v>169</v>
      </c>
    </row>
    <row r="10" spans="1:13" ht="64.95" customHeight="1">
      <c r="A10" s="7" t="s">
        <v>170</v>
      </c>
      <c r="B10" s="7" t="s">
        <v>171</v>
      </c>
      <c r="C10" s="7" t="s">
        <v>172</v>
      </c>
      <c r="D10" s="7" t="s">
        <v>173</v>
      </c>
      <c r="E10" s="7" t="s">
        <v>174</v>
      </c>
      <c r="F10" s="7" t="s">
        <v>89</v>
      </c>
      <c r="G10" s="7" t="s">
        <v>175</v>
      </c>
      <c r="H10" s="7" t="s">
        <v>176</v>
      </c>
      <c r="I10" s="7" t="s">
        <v>177</v>
      </c>
      <c r="J10" s="7" t="s">
        <v>178</v>
      </c>
      <c r="K10" s="7">
        <v>8</v>
      </c>
      <c r="L10" s="7" t="s">
        <v>179</v>
      </c>
      <c r="M10" s="7" t="s">
        <v>180</v>
      </c>
    </row>
    <row r="11" spans="1:13" ht="64.95" customHeight="1">
      <c r="A11" s="8" t="s">
        <v>181</v>
      </c>
      <c r="B11" s="8" t="s">
        <v>143</v>
      </c>
      <c r="C11" s="8" t="s">
        <v>182</v>
      </c>
      <c r="D11" s="8" t="s">
        <v>183</v>
      </c>
      <c r="E11" s="8" t="s">
        <v>174</v>
      </c>
      <c r="F11" s="8" t="s">
        <v>89</v>
      </c>
      <c r="G11" s="8" t="s">
        <v>175</v>
      </c>
      <c r="H11" s="8" t="s">
        <v>176</v>
      </c>
      <c r="I11" s="8" t="s">
        <v>184</v>
      </c>
      <c r="J11" s="8" t="s">
        <v>185</v>
      </c>
      <c r="K11" s="8">
        <v>6</v>
      </c>
      <c r="L11" s="8" t="s">
        <v>186</v>
      </c>
      <c r="M11" s="8" t="s">
        <v>180</v>
      </c>
    </row>
    <row r="12" spans="1:13" ht="64.95" customHeight="1">
      <c r="A12" s="7" t="s">
        <v>187</v>
      </c>
      <c r="B12" s="7" t="s">
        <v>188</v>
      </c>
      <c r="C12" s="7" t="s">
        <v>182</v>
      </c>
      <c r="D12" s="7" t="s">
        <v>189</v>
      </c>
      <c r="E12" s="7" t="s">
        <v>174</v>
      </c>
      <c r="F12" s="7" t="s">
        <v>89</v>
      </c>
      <c r="G12" s="7" t="s">
        <v>175</v>
      </c>
      <c r="H12" s="7" t="s">
        <v>176</v>
      </c>
      <c r="I12" s="7" t="s">
        <v>184</v>
      </c>
      <c r="J12" s="7" t="s">
        <v>190</v>
      </c>
      <c r="K12" s="7">
        <v>9</v>
      </c>
      <c r="L12" s="7" t="s">
        <v>191</v>
      </c>
      <c r="M12" s="7" t="s">
        <v>180</v>
      </c>
    </row>
    <row r="13" spans="1:13" ht="64.95" customHeight="1">
      <c r="A13" s="8" t="s">
        <v>192</v>
      </c>
      <c r="B13" s="8" t="s">
        <v>143</v>
      </c>
      <c r="C13" s="8" t="s">
        <v>172</v>
      </c>
      <c r="D13" s="8" t="s">
        <v>193</v>
      </c>
      <c r="E13" s="8" t="s">
        <v>174</v>
      </c>
      <c r="F13" s="8" t="s">
        <v>89</v>
      </c>
      <c r="G13" s="8" t="s">
        <v>175</v>
      </c>
      <c r="H13" s="8" t="s">
        <v>176</v>
      </c>
      <c r="I13" s="8" t="s">
        <v>194</v>
      </c>
      <c r="J13" s="8" t="s">
        <v>195</v>
      </c>
      <c r="K13" s="8">
        <v>6</v>
      </c>
      <c r="L13" s="8" t="s">
        <v>196</v>
      </c>
      <c r="M13" s="8" t="s">
        <v>180</v>
      </c>
    </row>
    <row r="14" spans="1:13" ht="64.95" customHeight="1">
      <c r="A14" s="7" t="s">
        <v>197</v>
      </c>
      <c r="B14" s="7" t="s">
        <v>143</v>
      </c>
      <c r="C14" s="7" t="s">
        <v>172</v>
      </c>
      <c r="D14" s="7" t="s">
        <v>198</v>
      </c>
      <c r="E14" s="7" t="s">
        <v>174</v>
      </c>
      <c r="F14" s="7" t="s">
        <v>89</v>
      </c>
      <c r="G14" s="7" t="s">
        <v>175</v>
      </c>
      <c r="H14" s="7" t="s">
        <v>176</v>
      </c>
      <c r="I14" s="7" t="s">
        <v>194</v>
      </c>
      <c r="J14" s="7" t="s">
        <v>199</v>
      </c>
      <c r="K14" s="7">
        <v>4</v>
      </c>
      <c r="L14" s="7" t="s">
        <v>200</v>
      </c>
      <c r="M14" s="7" t="s">
        <v>180</v>
      </c>
    </row>
    <row r="15" spans="1:13" ht="64.95" customHeight="1">
      <c r="A15" s="8" t="s">
        <v>201</v>
      </c>
      <c r="B15" s="8" t="s">
        <v>143</v>
      </c>
      <c r="C15" s="8" t="s">
        <v>172</v>
      </c>
      <c r="D15" s="8" t="s">
        <v>202</v>
      </c>
      <c r="E15" s="8" t="s">
        <v>174</v>
      </c>
      <c r="F15" s="8" t="s">
        <v>89</v>
      </c>
      <c r="G15" s="8" t="s">
        <v>175</v>
      </c>
      <c r="H15" s="8" t="s">
        <v>176</v>
      </c>
      <c r="I15" s="8" t="s">
        <v>194</v>
      </c>
      <c r="J15" s="8" t="s">
        <v>203</v>
      </c>
      <c r="K15" s="8">
        <v>4</v>
      </c>
      <c r="L15" s="8" t="s">
        <v>204</v>
      </c>
      <c r="M15" s="8" t="s">
        <v>180</v>
      </c>
    </row>
    <row r="16" spans="1:13" ht="64.95" customHeight="1">
      <c r="A16" s="7" t="s">
        <v>205</v>
      </c>
      <c r="B16" s="7" t="s">
        <v>143</v>
      </c>
      <c r="C16" s="7" t="s">
        <v>172</v>
      </c>
      <c r="D16" s="7" t="s">
        <v>206</v>
      </c>
      <c r="E16" s="7" t="s">
        <v>207</v>
      </c>
      <c r="F16" s="7" t="s">
        <v>89</v>
      </c>
      <c r="G16" s="7" t="s">
        <v>208</v>
      </c>
      <c r="H16" s="7" t="s">
        <v>209</v>
      </c>
      <c r="I16" s="7" t="s">
        <v>194</v>
      </c>
      <c r="J16" s="7" t="s">
        <v>210</v>
      </c>
      <c r="K16" s="7">
        <v>6</v>
      </c>
      <c r="L16" s="7" t="s">
        <v>211</v>
      </c>
      <c r="M16" s="7" t="s">
        <v>212</v>
      </c>
    </row>
    <row r="17" spans="1:13" ht="64.95" customHeight="1">
      <c r="A17" s="8" t="s">
        <v>213</v>
      </c>
      <c r="B17" s="8" t="s">
        <v>143</v>
      </c>
      <c r="C17" s="8" t="s">
        <v>182</v>
      </c>
      <c r="D17" s="8" t="s">
        <v>214</v>
      </c>
      <c r="E17" s="8" t="s">
        <v>207</v>
      </c>
      <c r="F17" s="8" t="s">
        <v>89</v>
      </c>
      <c r="G17" s="8" t="s">
        <v>208</v>
      </c>
      <c r="H17" s="8" t="s">
        <v>209</v>
      </c>
      <c r="I17" s="8" t="s">
        <v>184</v>
      </c>
      <c r="J17" s="8" t="s">
        <v>215</v>
      </c>
      <c r="K17" s="8">
        <v>6</v>
      </c>
      <c r="L17" s="8" t="s">
        <v>216</v>
      </c>
      <c r="M17" s="8" t="s">
        <v>212</v>
      </c>
    </row>
    <row r="18" spans="1:13" ht="64.95" customHeight="1">
      <c r="A18" s="7" t="s">
        <v>217</v>
      </c>
      <c r="B18" s="7" t="s">
        <v>143</v>
      </c>
      <c r="C18" s="7" t="s">
        <v>172</v>
      </c>
      <c r="D18" s="7" t="s">
        <v>218</v>
      </c>
      <c r="E18" s="7" t="s">
        <v>207</v>
      </c>
      <c r="F18" s="7" t="s">
        <v>89</v>
      </c>
      <c r="G18" s="7" t="s">
        <v>208</v>
      </c>
      <c r="H18" s="7" t="s">
        <v>209</v>
      </c>
      <c r="I18" s="7" t="s">
        <v>194</v>
      </c>
      <c r="J18" s="7" t="s">
        <v>219</v>
      </c>
      <c r="K18" s="7">
        <v>4</v>
      </c>
      <c r="L18" s="7" t="s">
        <v>220</v>
      </c>
      <c r="M18" s="7" t="s">
        <v>212</v>
      </c>
    </row>
    <row r="19" spans="1:13" ht="64.95" customHeight="1">
      <c r="A19" s="8" t="s">
        <v>221</v>
      </c>
      <c r="B19" s="8" t="s">
        <v>143</v>
      </c>
      <c r="C19" s="8" t="s">
        <v>172</v>
      </c>
      <c r="D19" s="8" t="s">
        <v>222</v>
      </c>
      <c r="E19" s="8" t="s">
        <v>207</v>
      </c>
      <c r="F19" s="8" t="s">
        <v>89</v>
      </c>
      <c r="G19" s="8" t="s">
        <v>208</v>
      </c>
      <c r="H19" s="8" t="s">
        <v>209</v>
      </c>
      <c r="I19" s="8" t="s">
        <v>194</v>
      </c>
      <c r="J19" s="8" t="s">
        <v>223</v>
      </c>
      <c r="K19" s="8">
        <v>5</v>
      </c>
      <c r="L19" s="8" t="s">
        <v>224</v>
      </c>
      <c r="M19" s="8" t="s">
        <v>212</v>
      </c>
    </row>
    <row r="20" spans="1:13" ht="64.95" customHeight="1">
      <c r="A20" s="7" t="s">
        <v>225</v>
      </c>
      <c r="B20" s="7" t="s">
        <v>226</v>
      </c>
      <c r="C20" s="7" t="s">
        <v>182</v>
      </c>
      <c r="D20" s="7" t="s">
        <v>227</v>
      </c>
      <c r="E20" s="7" t="s">
        <v>174</v>
      </c>
      <c r="F20" s="7" t="s">
        <v>89</v>
      </c>
      <c r="G20" s="7" t="s">
        <v>175</v>
      </c>
      <c r="H20" s="7" t="s">
        <v>176</v>
      </c>
      <c r="I20" s="7" t="s">
        <v>184</v>
      </c>
      <c r="J20" s="7" t="s">
        <v>228</v>
      </c>
      <c r="K20" s="7">
        <v>6</v>
      </c>
      <c r="L20" s="7" t="s">
        <v>227</v>
      </c>
      <c r="M20" s="7" t="s">
        <v>180</v>
      </c>
    </row>
    <row r="21" spans="1:13" ht="64.95" customHeight="1">
      <c r="A21" s="8" t="s">
        <v>229</v>
      </c>
      <c r="B21" s="8" t="s">
        <v>230</v>
      </c>
      <c r="C21" s="8" t="s">
        <v>172</v>
      </c>
      <c r="D21" s="8" t="s">
        <v>231</v>
      </c>
      <c r="E21" s="8" t="s">
        <v>207</v>
      </c>
      <c r="F21" s="8" t="s">
        <v>89</v>
      </c>
      <c r="G21" s="8" t="s">
        <v>208</v>
      </c>
      <c r="H21" s="8" t="s">
        <v>209</v>
      </c>
      <c r="I21" s="8" t="s">
        <v>177</v>
      </c>
      <c r="J21" s="8" t="s">
        <v>232</v>
      </c>
      <c r="K21" s="8">
        <v>6</v>
      </c>
      <c r="L21" s="8" t="s">
        <v>233</v>
      </c>
      <c r="M21" s="8" t="s">
        <v>212</v>
      </c>
    </row>
    <row r="22" spans="1:13" ht="64.95" customHeight="1">
      <c r="A22" s="7" t="s">
        <v>234</v>
      </c>
      <c r="B22" s="7" t="s">
        <v>143</v>
      </c>
      <c r="C22" s="7" t="s">
        <v>172</v>
      </c>
      <c r="D22" s="7" t="s">
        <v>235</v>
      </c>
      <c r="E22" s="7" t="s">
        <v>174</v>
      </c>
      <c r="F22" s="7" t="s">
        <v>89</v>
      </c>
      <c r="G22" s="7" t="s">
        <v>175</v>
      </c>
      <c r="H22" s="7" t="s">
        <v>176</v>
      </c>
      <c r="I22" s="7" t="s">
        <v>194</v>
      </c>
      <c r="J22" s="7" t="s">
        <v>236</v>
      </c>
      <c r="K22" s="7">
        <v>4</v>
      </c>
      <c r="L22" s="7" t="s">
        <v>237</v>
      </c>
      <c r="M22" s="7" t="s">
        <v>180</v>
      </c>
    </row>
    <row r="23" spans="1:13" ht="64.95" customHeight="1">
      <c r="A23" s="8" t="s">
        <v>238</v>
      </c>
      <c r="B23" s="8" t="s">
        <v>143</v>
      </c>
      <c r="C23" s="8" t="s">
        <v>172</v>
      </c>
      <c r="D23" s="8" t="s">
        <v>239</v>
      </c>
      <c r="E23" s="8" t="s">
        <v>174</v>
      </c>
      <c r="F23" s="8" t="s">
        <v>89</v>
      </c>
      <c r="G23" s="8" t="s">
        <v>175</v>
      </c>
      <c r="H23" s="8" t="s">
        <v>176</v>
      </c>
      <c r="I23" s="8" t="s">
        <v>194</v>
      </c>
      <c r="J23" s="8" t="s">
        <v>240</v>
      </c>
      <c r="K23" s="8">
        <v>4</v>
      </c>
      <c r="L23" s="8" t="s">
        <v>241</v>
      </c>
      <c r="M23" s="8" t="s">
        <v>180</v>
      </c>
    </row>
    <row r="24" spans="1:13" ht="64.95" customHeight="1">
      <c r="A24" s="7" t="s">
        <v>242</v>
      </c>
      <c r="B24" s="7" t="s">
        <v>143</v>
      </c>
      <c r="C24" s="7" t="s">
        <v>172</v>
      </c>
      <c r="D24" s="7" t="s">
        <v>243</v>
      </c>
      <c r="E24" s="7" t="s">
        <v>174</v>
      </c>
      <c r="F24" s="7" t="s">
        <v>89</v>
      </c>
      <c r="G24" s="7" t="s">
        <v>175</v>
      </c>
      <c r="H24" s="7" t="s">
        <v>176</v>
      </c>
      <c r="I24" s="7" t="s">
        <v>194</v>
      </c>
      <c r="J24" s="7" t="s">
        <v>244</v>
      </c>
      <c r="K24" s="7">
        <v>4</v>
      </c>
      <c r="L24" s="7" t="s">
        <v>245</v>
      </c>
      <c r="M24" s="7" t="s">
        <v>180</v>
      </c>
    </row>
    <row r="25" spans="1:13" ht="64.95" customHeight="1">
      <c r="A25" s="8" t="s">
        <v>246</v>
      </c>
      <c r="B25" s="8" t="s">
        <v>144</v>
      </c>
      <c r="C25" s="8" t="s">
        <v>172</v>
      </c>
      <c r="D25" s="8" t="s">
        <v>247</v>
      </c>
      <c r="E25" s="8" t="s">
        <v>174</v>
      </c>
      <c r="F25" s="8" t="s">
        <v>89</v>
      </c>
      <c r="G25" s="8" t="s">
        <v>175</v>
      </c>
      <c r="H25" s="8" t="s">
        <v>176</v>
      </c>
      <c r="I25" s="8" t="s">
        <v>194</v>
      </c>
      <c r="J25" s="8" t="s">
        <v>248</v>
      </c>
      <c r="K25" s="8">
        <v>7</v>
      </c>
      <c r="L25" s="8" t="s">
        <v>247</v>
      </c>
      <c r="M25" s="8" t="s">
        <v>180</v>
      </c>
    </row>
    <row r="26" spans="1:13" ht="22.0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22.05" customHeight="1">
      <c r="A27" s="2" t="s">
        <v>249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</sheetData>
  <conditionalFormatting sqref="F10:F25">
    <cfRule type="containsText" dxfId="2" priority="1" operator="containsText" text="Pending"/>
    <cfRule type="containsText" dxfId="1" priority="2" operator="containsText" text="Fail"/>
  </conditionalFormatting>
  <dataValidations count="1">
    <dataValidation type="list" sqref="F10:F25" xr:uid="{00000000-0002-0000-0100-000000000000}">
      <formula1>"Pending,Pass,Conditional,Fail"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showGridLines="0" topLeftCell="A16" zoomScaleNormal="100" workbookViewId="0">
      <selection activeCell="G20" sqref="G20"/>
    </sheetView>
  </sheetViews>
  <sheetFormatPr defaultRowHeight="13.8"/>
  <cols>
    <col min="1" max="1" width="13" customWidth="1"/>
    <col min="2" max="2" width="34.3984375" bestFit="1" customWidth="1"/>
    <col min="3" max="3" width="47" customWidth="1"/>
    <col min="4" max="4" width="36" customWidth="1"/>
    <col min="5" max="5" width="65" customWidth="1"/>
    <col min="6" max="6" width="28" customWidth="1"/>
    <col min="7" max="7" width="65" customWidth="1"/>
    <col min="8" max="8" width="70" customWidth="1"/>
  </cols>
  <sheetData>
    <row r="1" spans="1:8" ht="22.05" customHeight="1">
      <c r="A1" s="2"/>
      <c r="B1" s="2"/>
      <c r="C1" s="2"/>
      <c r="D1" s="2"/>
      <c r="E1" s="2"/>
      <c r="F1" s="2"/>
      <c r="G1" s="2"/>
      <c r="H1" s="2"/>
    </row>
    <row r="2" spans="1:8" ht="22.05" customHeight="1">
      <c r="A2" s="3" t="s">
        <v>250</v>
      </c>
      <c r="B2" s="2"/>
      <c r="C2" s="2"/>
      <c r="D2" s="2"/>
      <c r="E2" s="2"/>
      <c r="F2" s="2"/>
      <c r="G2" s="2"/>
      <c r="H2" s="2"/>
    </row>
    <row r="3" spans="1:8" ht="22.05" customHeight="1">
      <c r="A3" s="4"/>
      <c r="B3" s="4"/>
      <c r="C3" s="4"/>
      <c r="D3" s="4"/>
      <c r="E3" s="4"/>
      <c r="F3" s="4"/>
      <c r="G3" s="4"/>
      <c r="H3" s="4"/>
    </row>
    <row r="4" spans="1:8" ht="22.05" customHeight="1">
      <c r="A4" s="2" t="inlineStr">
        <is>
          <t>Review date: 16 September 2026 | Archived documents anchor the historical evidence. Live policy links were checked on this date.</t>
        </is>
      </c>
      <c r="B4" s="2"/>
      <c r="C4" s="2"/>
      <c r="D4" s="2"/>
      <c r="E4" s="2"/>
      <c r="F4" s="2"/>
      <c r="G4" s="2"/>
      <c r="H4" s="2"/>
    </row>
    <row r="5" spans="1:8" ht="22.05" customHeight="1">
      <c r="A5" s="2" t="s">
        <v>252</v>
      </c>
      <c r="B5" s="2"/>
      <c r="C5" s="2"/>
      <c r="D5" s="2"/>
      <c r="E5" s="2"/>
      <c r="F5" s="2"/>
      <c r="G5" s="2"/>
      <c r="H5" s="2"/>
    </row>
    <row r="6" spans="1:8" ht="22.05" customHeight="1">
      <c r="A6" s="2"/>
      <c r="B6" s="2"/>
      <c r="C6" s="2"/>
      <c r="D6" s="2"/>
      <c r="E6" s="2"/>
      <c r="F6" s="2"/>
      <c r="G6" s="2"/>
      <c r="H6" s="2"/>
    </row>
    <row r="7" spans="1:8" ht="36" customHeight="1">
      <c r="A7" s="23" t="s">
        <v>14</v>
      </c>
      <c r="B7" s="23" t="s">
        <v>253</v>
      </c>
      <c r="C7" s="23" t="s">
        <v>254</v>
      </c>
      <c r="D7" s="23" t="s">
        <v>255</v>
      </c>
      <c r="E7" s="23" t="s">
        <v>256</v>
      </c>
      <c r="F7" s="23" t="s">
        <v>257</v>
      </c>
      <c r="G7" s="23" t="s">
        <v>258</v>
      </c>
      <c r="H7" s="23" t="s">
        <v>259</v>
      </c>
    </row>
    <row r="8" spans="1:8" ht="75" customHeight="1">
      <c r="A8" s="24" t="s">
        <v>260</v>
      </c>
      <c r="B8" s="24" t="s">
        <v>261</v>
      </c>
      <c r="C8" s="24" t="s">
        <v>262</v>
      </c>
      <c r="D8" s="24" t="s">
        <v>263</v>
      </c>
      <c r="E8" s="24" t="s">
        <v>264</v>
      </c>
      <c r="F8" s="24" t="s">
        <v>265</v>
      </c>
      <c r="G8" s="24" t="s">
        <v>266</v>
      </c>
      <c r="H8" s="30" t="s">
        <v>267</v>
      </c>
    </row>
    <row r="9" spans="1:8" ht="75" customHeight="1">
      <c r="A9" s="26" t="s">
        <v>268</v>
      </c>
      <c r="B9" s="26" t="s">
        <v>261</v>
      </c>
      <c r="C9" s="26" t="s">
        <v>262</v>
      </c>
      <c r="D9" s="26" t="s">
        <v>269</v>
      </c>
      <c r="E9" s="26" t="s">
        <v>270</v>
      </c>
      <c r="F9" s="26" t="s">
        <v>265</v>
      </c>
      <c r="G9" s="26" t="s">
        <v>271</v>
      </c>
      <c r="H9" s="31" t="s">
        <v>267</v>
      </c>
    </row>
    <row r="10" spans="1:8" ht="75" customHeight="1">
      <c r="A10" s="24" t="s">
        <v>272</v>
      </c>
      <c r="B10" s="24" t="s">
        <v>273</v>
      </c>
      <c r="C10" s="24" t="s">
        <v>274</v>
      </c>
      <c r="D10" s="24" t="s">
        <v>275</v>
      </c>
      <c r="E10" s="24" t="s">
        <v>276</v>
      </c>
      <c r="F10" s="24" t="s">
        <v>265</v>
      </c>
      <c r="G10" s="24" t="s">
        <v>277</v>
      </c>
      <c r="H10" s="30" t="s">
        <v>278</v>
      </c>
    </row>
    <row r="11" spans="1:8" ht="75" customHeight="1">
      <c r="A11" s="26" t="s">
        <v>279</v>
      </c>
      <c r="B11" s="26" t="s">
        <v>273</v>
      </c>
      <c r="C11" s="26" t="s">
        <v>274</v>
      </c>
      <c r="D11" s="26" t="s">
        <v>280</v>
      </c>
      <c r="E11" s="26" t="s">
        <v>281</v>
      </c>
      <c r="F11" s="26" t="s">
        <v>265</v>
      </c>
      <c r="G11" s="26" t="s">
        <v>282</v>
      </c>
      <c r="H11" s="31" t="s">
        <v>278</v>
      </c>
    </row>
    <row r="12" spans="1:8" ht="75" customHeight="1">
      <c r="A12" s="24" t="s">
        <v>283</v>
      </c>
      <c r="B12" s="24" t="s">
        <v>273</v>
      </c>
      <c r="C12" s="24" t="s">
        <v>274</v>
      </c>
      <c r="D12" s="24" t="s">
        <v>284</v>
      </c>
      <c r="E12" s="24" t="s">
        <v>285</v>
      </c>
      <c r="F12" s="24" t="s">
        <v>265</v>
      </c>
      <c r="G12" s="24" t="s">
        <v>286</v>
      </c>
      <c r="H12" s="30" t="s">
        <v>278</v>
      </c>
    </row>
    <row r="13" spans="1:8" ht="75" customHeight="1">
      <c r="A13" s="26" t="s">
        <v>287</v>
      </c>
      <c r="B13" s="26" t="s">
        <v>261</v>
      </c>
      <c r="C13" s="26" t="s">
        <v>262</v>
      </c>
      <c r="D13" s="26" t="s">
        <v>288</v>
      </c>
      <c r="E13" s="26" t="s">
        <v>289</v>
      </c>
      <c r="F13" s="26" t="s">
        <v>265</v>
      </c>
      <c r="G13" s="26" t="s">
        <v>290</v>
      </c>
      <c r="H13" s="31" t="s">
        <v>267</v>
      </c>
    </row>
    <row r="14" spans="1:8" ht="75" customHeight="1">
      <c r="A14" s="24" t="s">
        <v>291</v>
      </c>
      <c r="B14" s="24" t="s">
        <v>292</v>
      </c>
      <c r="C14" s="24" t="s">
        <v>293</v>
      </c>
      <c r="D14" s="24" t="s">
        <v>294</v>
      </c>
      <c r="E14" s="24" t="s">
        <v>295</v>
      </c>
      <c r="F14" s="24" t="s">
        <v>296</v>
      </c>
      <c r="G14" s="24" t="s">
        <v>297</v>
      </c>
      <c r="H14" s="30" t="s">
        <v>267</v>
      </c>
    </row>
    <row r="15" spans="1:8" ht="75" customHeight="1">
      <c r="A15" s="26" t="s">
        <v>298</v>
      </c>
      <c r="B15" s="26" t="s">
        <v>299</v>
      </c>
      <c r="C15" s="26" t="s">
        <v>300</v>
      </c>
      <c r="D15" s="26" t="s">
        <v>301</v>
      </c>
      <c r="E15" s="26" t="s">
        <v>302</v>
      </c>
      <c r="F15" s="26" t="s">
        <v>303</v>
      </c>
      <c r="G15" s="26" t="s">
        <v>304</v>
      </c>
      <c r="H15" s="31" t="s">
        <v>305</v>
      </c>
    </row>
    <row r="16" spans="1:8" ht="75" customHeight="1">
      <c r="A16" s="24" t="s">
        <v>306</v>
      </c>
      <c r="B16" s="24" t="s">
        <v>307</v>
      </c>
      <c r="C16" s="24" t="s">
        <v>308</v>
      </c>
      <c r="D16" s="24" t="s">
        <v>309</v>
      </c>
      <c r="E16" s="24" t="s">
        <v>310</v>
      </c>
      <c r="F16" s="24" t="s">
        <v>311</v>
      </c>
      <c r="G16" s="24" t="s">
        <v>312</v>
      </c>
      <c r="H16" s="24" t="inlineStr">
        <is>
          <t>Governed WP003 workbook</t>
        </is>
      </c>
    </row>
    <row r="17" spans="1:8" ht="75" customHeight="1">
      <c r="A17" s="26" t="s">
        <v>314</v>
      </c>
      <c r="B17" s="26" t="s">
        <v>315</v>
      </c>
      <c r="C17" s="26" t="s">
        <v>316</v>
      </c>
      <c r="D17" s="26" t="s">
        <v>317</v>
      </c>
      <c r="E17" s="26" t="s">
        <v>318</v>
      </c>
      <c r="F17" s="26" t="s">
        <v>319</v>
      </c>
      <c r="G17" s="26" t="s">
        <v>320</v>
      </c>
      <c r="H17" s="31" t="s">
        <v>321</v>
      </c>
    </row>
    <row r="18" spans="1:8" ht="75" customHeight="1">
      <c r="A18" s="24" t="s">
        <v>322</v>
      </c>
      <c r="B18" s="24" t="s">
        <v>323</v>
      </c>
      <c r="C18" s="24" t="s">
        <v>324</v>
      </c>
      <c r="D18" s="24" t="s">
        <v>325</v>
      </c>
      <c r="E18" s="24" t="s">
        <v>326</v>
      </c>
      <c r="F18" s="24" t="s">
        <v>319</v>
      </c>
      <c r="G18" s="24" t="s">
        <v>327</v>
      </c>
      <c r="H18" s="30" t="s">
        <v>328</v>
      </c>
    </row>
    <row r="19" spans="1:8" ht="75" customHeight="1">
      <c r="A19" s="27" t="s">
        <v>329</v>
      </c>
      <c r="B19" s="27" t="inlineStr">
        <is>
          <t>D008 mandatory sourcing gates</t>
        </is>
      </c>
      <c r="C19" s="27" t="inlineStr">
        <is>
          <t>docs/Research_Question_and_Scope.md</t>
        </is>
      </c>
      <c r="D19" s="27" t="inlineStr">
        <is>
          <t>Selected analytical decisions / D008</t>
        </is>
      </c>
      <c r="E19" s="27" t="s">
        <v>333</v>
      </c>
      <c r="F19" s="27" t="s">
        <v>334</v>
      </c>
      <c r="G19" s="22" t="s">
        <v>3486</v>
      </c>
      <c r="H19" s="27" t="inlineStr">
        <is>
          <t>docs/Research_Question_and_Scope.md</t>
        </is>
      </c>
    </row>
    <row r="20" spans="1:8" ht="75" customHeight="1">
      <c r="A20" s="25" t="s">
        <v>335</v>
      </c>
      <c r="B20" t="s">
        <v>3478</v>
      </c>
      <c r="C20" t="s">
        <v>3479</v>
      </c>
      <c r="D20" t="s">
        <v>3480</v>
      </c>
      <c r="E20" s="22" t="s">
        <v>3481</v>
      </c>
      <c r="F20" t="s">
        <v>3482</v>
      </c>
      <c r="G20" s="22" t="s">
        <v>3483</v>
      </c>
      <c r="H20" t="s">
        <v>3484</v>
      </c>
    </row>
  </sheetData>
  <hyperlinks>
    <hyperlink ref="H8" r:id="rId1" xr:uid="{101FD7B1-0EFD-41F2-BDC6-53B3B58FFD77}"/>
    <hyperlink ref="H9" r:id="rId2" xr:uid="{360077C8-408D-43B9-A8B6-C8A749584AEF}"/>
    <hyperlink ref="H10" r:id="rId3" xr:uid="{99605A87-FBBD-4979-9E16-843870DF973D}"/>
    <hyperlink ref="H11" r:id="rId4" xr:uid="{31006A36-BB60-46E5-9509-082840404C8A}"/>
    <hyperlink ref="H12" r:id="rId5" xr:uid="{1B0C2AA2-B158-4767-9922-EE591A873CB3}"/>
    <hyperlink ref="H13" r:id="rId6" xr:uid="{4982C5BB-A0EB-4A95-841E-B9C90FDABE8A}"/>
    <hyperlink ref="H14" r:id="rId7" xr:uid="{9684539C-3E8E-4422-8764-7BC8937E44C9}"/>
    <hyperlink ref="H15" r:id="rId8" xr:uid="{F7FEC356-F2E3-4548-BC2B-A1F029291B32}"/>
    <hyperlink ref="H17" r:id="rId9" xr:uid="{469FAFD9-5627-453A-A70D-DEBD1EEFCB55}"/>
    <hyperlink ref="H18" r:id="rId10" xr:uid="{A35ED723-0BDD-4EF5-B72D-17565049FCF1}"/>
  </hyperlinks>
  <pageMargins left="0.7" right="0.7" top="0.75" bottom="0.75" header="0.3" footer="0.3"/>
  <pageSetup orientation="portrait" r:id="rId11"/>
  <tableParts count="1"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1"/>
  <sheetViews>
    <sheetView showGridLines="0" topLeftCell="A4" workbookViewId="0"/>
  </sheetViews>
  <sheetFormatPr defaultRowHeight="13.8"/>
  <cols>
    <col min="1" max="1" width="14" customWidth="1"/>
    <col min="2" max="2" width="38" customWidth="1"/>
    <col min="3" max="3" width="30" customWidth="1"/>
    <col min="4" max="4" width="29" customWidth="1"/>
    <col min="5" max="5" width="22" customWidth="1"/>
    <col min="6" max="6" width="20" customWidth="1"/>
    <col min="7" max="7" width="19" customWidth="1"/>
    <col min="8" max="8" width="21" customWidth="1"/>
    <col min="9" max="10" width="15" customWidth="1"/>
    <col min="11" max="11" width="17" customWidth="1"/>
    <col min="12" max="12" width="20" customWidth="1"/>
    <col min="13" max="20" width="14" customWidth="1"/>
  </cols>
  <sheetData>
    <row r="1" spans="1:20" ht="22.0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22.05" customHeight="1">
      <c r="A2" s="3" t="s">
        <v>449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22.0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22.05" customHeight="1">
      <c r="A4" s="2" t="s">
        <v>450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22.05" customHeight="1">
      <c r="A5" s="2" t="s">
        <v>451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2.0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36" customHeight="1">
      <c r="A7" s="13" t="s">
        <v>452</v>
      </c>
      <c r="B7" s="13" t="s">
        <v>453</v>
      </c>
      <c r="C7" s="13" t="s">
        <v>454</v>
      </c>
      <c r="D7" s="13" t="s">
        <v>455</v>
      </c>
      <c r="E7" s="13" t="s">
        <v>456</v>
      </c>
      <c r="F7" s="13" t="s">
        <v>457</v>
      </c>
      <c r="G7" s="2"/>
      <c r="H7" s="2"/>
      <c r="I7" s="2"/>
      <c r="J7" s="2"/>
      <c r="K7" s="2"/>
      <c r="L7" s="2" t="s">
        <v>458</v>
      </c>
      <c r="M7" s="2"/>
      <c r="N7" s="2"/>
      <c r="O7" s="2"/>
      <c r="P7" s="2"/>
      <c r="Q7" s="2"/>
      <c r="R7" s="2"/>
      <c r="S7" s="2"/>
      <c r="T7" s="2"/>
    </row>
    <row r="8" spans="1:20" ht="43.05" customHeight="1">
      <c r="A8" s="24" t="s">
        <v>459</v>
      </c>
      <c r="B8" s="24" t="s">
        <v>460</v>
      </c>
      <c r="C8" s="24">
        <f>SUM(WP003_Reference!$E$8:$E$1485)</f>
        <v>16</v>
      </c>
      <c r="D8" s="24">
        <f>SUM(C16:C31)</f>
        <v>16</v>
      </c>
      <c r="E8" s="24">
        <f>ABS(C8-D8)+ABS(COUNTA(Site_Review!$A$10:$A$25)-C8)</f>
        <v>0</v>
      </c>
      <c r="F8" s="24" t="str">
        <f>IF(E8=0,"PASS","FAIL")</f>
        <v>PASS</v>
      </c>
      <c r="G8" s="2"/>
      <c r="H8" s="2"/>
      <c r="I8" s="2"/>
      <c r="J8" s="2"/>
      <c r="K8" s="2"/>
      <c r="L8" s="2" t="s">
        <v>89</v>
      </c>
      <c r="M8" s="2"/>
      <c r="N8" s="2"/>
      <c r="O8" s="2"/>
      <c r="P8" s="2"/>
      <c r="Q8" s="2"/>
      <c r="R8" s="2"/>
      <c r="S8" s="2"/>
      <c r="T8" s="2"/>
    </row>
    <row r="9" spans="1:20" ht="43.05" customHeight="1">
      <c r="A9" s="26" t="s">
        <v>461</v>
      </c>
      <c r="B9" s="26" t="s">
        <v>462</v>
      </c>
      <c r="C9" s="26">
        <f>SUM(WP003_Reference!$E$8:$E$1485)</f>
        <v>16</v>
      </c>
      <c r="D9" s="26">
        <f>SUM(G16:G31)</f>
        <v>16</v>
      </c>
      <c r="E9" s="26">
        <f>ABS(C9-D9)+ABS(COUNTA(Site_Review!$A$10:$A$25)-C9)</f>
        <v>0</v>
      </c>
      <c r="F9" s="26" t="str">
        <f>IF(E9=0,"PASS","FAIL")</f>
        <v>PASS</v>
      </c>
      <c r="G9" s="2"/>
      <c r="H9" s="2"/>
      <c r="I9" s="2"/>
      <c r="J9" s="2"/>
      <c r="K9" s="2"/>
      <c r="L9" s="2" t="s">
        <v>463</v>
      </c>
      <c r="M9" s="2"/>
      <c r="N9" s="2"/>
      <c r="O9" s="2"/>
      <c r="P9" s="2"/>
      <c r="Q9" s="2"/>
      <c r="R9" s="2"/>
      <c r="S9" s="2"/>
      <c r="T9" s="2"/>
    </row>
    <row r="10" spans="1:20" ht="43.05" customHeight="1">
      <c r="A10" s="24" t="s">
        <v>464</v>
      </c>
      <c r="B10" s="24" t="s">
        <v>465</v>
      </c>
      <c r="C10" s="24">
        <f>SUM(WP003_Reference!$E$8:$E$1485)</f>
        <v>16</v>
      </c>
      <c r="D10" s="24">
        <f>SUM(H16:H31)</f>
        <v>16</v>
      </c>
      <c r="E10" s="24">
        <f>ABS(C10-D10)+ABS(COUNTA(Site_Review!$A$10:$A$25)-C10)</f>
        <v>0</v>
      </c>
      <c r="F10" s="24" t="str">
        <f>IF(E10=0,"PASS","FAIL")</f>
        <v>PASS</v>
      </c>
      <c r="G10" s="2"/>
      <c r="H10" s="2"/>
      <c r="I10" s="2"/>
      <c r="J10" s="2"/>
      <c r="K10" s="2"/>
      <c r="L10" s="2" t="s">
        <v>91</v>
      </c>
      <c r="M10" s="2"/>
      <c r="N10" s="2"/>
      <c r="O10" s="2"/>
      <c r="P10" s="2"/>
      <c r="Q10" s="2"/>
      <c r="R10" s="2"/>
      <c r="S10" s="2"/>
      <c r="T10" s="2"/>
    </row>
    <row r="11" spans="1:20" ht="43.05" customHeight="1">
      <c r="A11" s="26" t="s">
        <v>466</v>
      </c>
      <c r="B11" s="26" t="s">
        <v>467</v>
      </c>
      <c r="C11" s="26">
        <f>SUM(WP003_Reference!$E$8:$E$1485)</f>
        <v>16</v>
      </c>
      <c r="D11" s="26">
        <f>SUM(F16:F31)</f>
        <v>16</v>
      </c>
      <c r="E11" s="26">
        <f>ABS(C11-D11)+ABS(COUNTA(Site_Review!$A$10:$A$25)-C11)</f>
        <v>0</v>
      </c>
      <c r="F11" s="26" t="str">
        <f>IF(E11=0,"PASS","FAIL")</f>
        <v>PASS</v>
      </c>
      <c r="G11" s="2"/>
      <c r="H11" s="2"/>
      <c r="I11" s="2"/>
      <c r="J11" s="2"/>
      <c r="K11" s="2"/>
      <c r="L11" s="2" t="s">
        <v>468</v>
      </c>
      <c r="M11" s="2"/>
      <c r="N11" s="2"/>
      <c r="O11" s="2"/>
      <c r="P11" s="2"/>
      <c r="Q11" s="2"/>
      <c r="R11" s="2"/>
      <c r="S11" s="2"/>
      <c r="T11" s="2"/>
    </row>
    <row r="12" spans="1:20" ht="43.05" customHeight="1">
      <c r="A12" s="24" t="s">
        <v>469</v>
      </c>
      <c r="B12" s="24" t="s">
        <v>470</v>
      </c>
      <c r="C12" s="24">
        <v>0</v>
      </c>
      <c r="D12" s="24">
        <f>SUM(D36:D59)</f>
        <v>0</v>
      </c>
      <c r="E12" s="24">
        <f>D12</f>
        <v>0</v>
      </c>
      <c r="F12" s="24" t="str">
        <f>IF(E12=0,"PASS","FAIL")</f>
        <v>PASS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22.0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22.0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36" customHeight="1">
      <c r="A15" s="13" t="s">
        <v>158</v>
      </c>
      <c r="B15" s="13" t="s">
        <v>471</v>
      </c>
      <c r="C15" s="13" t="s">
        <v>472</v>
      </c>
      <c r="D15" s="13" t="s">
        <v>473</v>
      </c>
      <c r="E15" s="13" t="s">
        <v>474</v>
      </c>
      <c r="F15" s="13" t="s">
        <v>475</v>
      </c>
      <c r="G15" s="13" t="s">
        <v>476</v>
      </c>
      <c r="H15" s="13" t="s">
        <v>477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27" customHeight="1">
      <c r="A16" s="24" t="str">
        <f>Site_Review!A10</f>
        <v>16360</v>
      </c>
      <c r="B16" s="24">
        <f>COUNTIF(WP003_Reference!$A$8:$A$1485,A16)</f>
        <v>1</v>
      </c>
      <c r="C16" s="24">
        <f>IF(Site_Review!E10="",0,COUNTIFS(WP003_Reference!$A$8:$A$1485,A16,WP003_Reference!$D$8:$D$1485,Site_Review!E10))</f>
        <v>1</v>
      </c>
      <c r="D16" s="24">
        <f>COUNTIFS(WP003_Reference!$A$8:$A$1485,A16,WP003_Reference!$B$8:$B$1485,Site_Review!B10)</f>
        <v>1</v>
      </c>
      <c r="E16" s="24">
        <f>COUNTIFS(WP003_Reference!$A$8:$A$1485,A16,WP003_Reference!$C$8:$C$1485,Site_Review!C10)</f>
        <v>1</v>
      </c>
      <c r="F16" s="24">
        <f>COUNTIF($L$8:$L$11,Site_Review!F10)</f>
        <v>1</v>
      </c>
      <c r="G16" s="24">
        <f>IF(AND(A16&lt;&gt;"",B16=1,COUNTIF(Site_Review!$A$10:$A$25,A16)=1),1,0)</f>
        <v>1</v>
      </c>
      <c r="H16" s="24">
        <f t="shared" ref="H16:H31" si="0">IF(AND(D16=1,E16=1),1,0)</f>
        <v>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27" customHeight="1">
      <c r="A17" s="26" t="str">
        <f>Site_Review!A11</f>
        <v>16580</v>
      </c>
      <c r="B17" s="26">
        <f>COUNTIF(WP003_Reference!$A$8:$A$1485,A17)</f>
        <v>1</v>
      </c>
      <c r="C17" s="26">
        <f>IF(Site_Review!E11="",0,COUNTIFS(WP003_Reference!$A$8:$A$1485,A17,WP003_Reference!$D$8:$D$1485,Site_Review!E11))</f>
        <v>1</v>
      </c>
      <c r="D17" s="26">
        <f>COUNTIFS(WP003_Reference!$A$8:$A$1485,A17,WP003_Reference!$B$8:$B$1485,Site_Review!B11)</f>
        <v>1</v>
      </c>
      <c r="E17" s="26">
        <f>COUNTIFS(WP003_Reference!$A$8:$A$1485,A17,WP003_Reference!$C$8:$C$1485,Site_Review!C11)</f>
        <v>1</v>
      </c>
      <c r="F17" s="26">
        <f>COUNTIF($L$8:$L$11,Site_Review!F11)</f>
        <v>1</v>
      </c>
      <c r="G17" s="26">
        <f>IF(AND(A17&lt;&gt;"",B17=1,COUNTIF(Site_Review!$A$10:$A$25,A17)=1),1,0)</f>
        <v>1</v>
      </c>
      <c r="H17" s="26">
        <f t="shared" si="0"/>
        <v>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27" customHeight="1">
      <c r="A18" s="24" t="str">
        <f>Site_Review!A12</f>
        <v>21361</v>
      </c>
      <c r="B18" s="24">
        <f>COUNTIF(WP003_Reference!$A$8:$A$1485,A18)</f>
        <v>1</v>
      </c>
      <c r="C18" s="24">
        <f>IF(Site_Review!E12="",0,COUNTIFS(WP003_Reference!$A$8:$A$1485,A18,WP003_Reference!$D$8:$D$1485,Site_Review!E12))</f>
        <v>1</v>
      </c>
      <c r="D18" s="24">
        <f>COUNTIFS(WP003_Reference!$A$8:$A$1485,A18,WP003_Reference!$B$8:$B$1485,Site_Review!B12)</f>
        <v>1</v>
      </c>
      <c r="E18" s="24">
        <f>COUNTIFS(WP003_Reference!$A$8:$A$1485,A18,WP003_Reference!$C$8:$C$1485,Site_Review!C12)</f>
        <v>1</v>
      </c>
      <c r="F18" s="24">
        <f>COUNTIF($L$8:$L$11,Site_Review!F12)</f>
        <v>1</v>
      </c>
      <c r="G18" s="24">
        <f>IF(AND(A18&lt;&gt;"",B18=1,COUNTIF(Site_Review!$A$10:$A$25,A18)=1),1,0)</f>
        <v>1</v>
      </c>
      <c r="H18" s="24">
        <f t="shared" si="0"/>
        <v>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27" customHeight="1">
      <c r="A19" s="26" t="str">
        <f>Site_Review!A13</f>
        <v>25555</v>
      </c>
      <c r="B19" s="26">
        <f>COUNTIF(WP003_Reference!$A$8:$A$1485,A19)</f>
        <v>1</v>
      </c>
      <c r="C19" s="26">
        <f>IF(Site_Review!E13="",0,COUNTIFS(WP003_Reference!$A$8:$A$1485,A19,WP003_Reference!$D$8:$D$1485,Site_Review!E13))</f>
        <v>1</v>
      </c>
      <c r="D19" s="26">
        <f>COUNTIFS(WP003_Reference!$A$8:$A$1485,A19,WP003_Reference!$B$8:$B$1485,Site_Review!B13)</f>
        <v>1</v>
      </c>
      <c r="E19" s="26">
        <f>COUNTIFS(WP003_Reference!$A$8:$A$1485,A19,WP003_Reference!$C$8:$C$1485,Site_Review!C13)</f>
        <v>1</v>
      </c>
      <c r="F19" s="26">
        <f>COUNTIF($L$8:$L$11,Site_Review!F13)</f>
        <v>1</v>
      </c>
      <c r="G19" s="26">
        <f>IF(AND(A19&lt;&gt;"",B19=1,COUNTIF(Site_Review!$A$10:$A$25,A19)=1),1,0)</f>
        <v>1</v>
      </c>
      <c r="H19" s="26">
        <f t="shared" si="0"/>
        <v>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27" customHeight="1">
      <c r="A20" s="24" t="str">
        <f>Site_Review!A14</f>
        <v>26061</v>
      </c>
      <c r="B20" s="24">
        <f>COUNTIF(WP003_Reference!$A$8:$A$1485,A20)</f>
        <v>1</v>
      </c>
      <c r="C20" s="24">
        <f>IF(Site_Review!E14="",0,COUNTIFS(WP003_Reference!$A$8:$A$1485,A20,WP003_Reference!$D$8:$D$1485,Site_Review!E14))</f>
        <v>1</v>
      </c>
      <c r="D20" s="24">
        <f>COUNTIFS(WP003_Reference!$A$8:$A$1485,A20,WP003_Reference!$B$8:$B$1485,Site_Review!B14)</f>
        <v>1</v>
      </c>
      <c r="E20" s="24">
        <f>COUNTIFS(WP003_Reference!$A$8:$A$1485,A20,WP003_Reference!$C$8:$C$1485,Site_Review!C14)</f>
        <v>1</v>
      </c>
      <c r="F20" s="24">
        <f>COUNTIF($L$8:$L$11,Site_Review!F14)</f>
        <v>1</v>
      </c>
      <c r="G20" s="24">
        <f>IF(AND(A20&lt;&gt;"",B20=1,COUNTIF(Site_Review!$A$10:$A$25,A20)=1),1,0)</f>
        <v>1</v>
      </c>
      <c r="H20" s="24">
        <f t="shared" si="0"/>
        <v>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27" customHeight="1">
      <c r="A21" s="26" t="str">
        <f>Site_Review!A15</f>
        <v>26527</v>
      </c>
      <c r="B21" s="26">
        <f>COUNTIF(WP003_Reference!$A$8:$A$1485,A21)</f>
        <v>1</v>
      </c>
      <c r="C21" s="26">
        <f>IF(Site_Review!E15="",0,COUNTIFS(WP003_Reference!$A$8:$A$1485,A21,WP003_Reference!$D$8:$D$1485,Site_Review!E15))</f>
        <v>1</v>
      </c>
      <c r="D21" s="26">
        <f>COUNTIFS(WP003_Reference!$A$8:$A$1485,A21,WP003_Reference!$B$8:$B$1485,Site_Review!B15)</f>
        <v>1</v>
      </c>
      <c r="E21" s="26">
        <f>COUNTIFS(WP003_Reference!$A$8:$A$1485,A21,WP003_Reference!$C$8:$C$1485,Site_Review!C15)</f>
        <v>1</v>
      </c>
      <c r="F21" s="26">
        <f>COUNTIF($L$8:$L$11,Site_Review!F15)</f>
        <v>1</v>
      </c>
      <c r="G21" s="26">
        <f>IF(AND(A21&lt;&gt;"",B21=1,COUNTIF(Site_Review!$A$10:$A$25,A21)=1),1,0)</f>
        <v>1</v>
      </c>
      <c r="H21" s="26">
        <f t="shared" si="0"/>
        <v>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27" customHeight="1">
      <c r="A22" s="24" t="str">
        <f>Site_Review!A16</f>
        <v>28834</v>
      </c>
      <c r="B22" s="24">
        <f>COUNTIF(WP003_Reference!$A$8:$A$1485,A22)</f>
        <v>1</v>
      </c>
      <c r="C22" s="24">
        <f>IF(Site_Review!E16="",0,COUNTIFS(WP003_Reference!$A$8:$A$1485,A22,WP003_Reference!$D$8:$D$1485,Site_Review!E16))</f>
        <v>1</v>
      </c>
      <c r="D22" s="24">
        <f>COUNTIFS(WP003_Reference!$A$8:$A$1485,A22,WP003_Reference!$B$8:$B$1485,Site_Review!B16)</f>
        <v>1</v>
      </c>
      <c r="E22" s="24">
        <f>COUNTIFS(WP003_Reference!$A$8:$A$1485,A22,WP003_Reference!$C$8:$C$1485,Site_Review!C16)</f>
        <v>1</v>
      </c>
      <c r="F22" s="24">
        <f>COUNTIF($L$8:$L$11,Site_Review!F16)</f>
        <v>1</v>
      </c>
      <c r="G22" s="24">
        <f>IF(AND(A22&lt;&gt;"",B22=1,COUNTIF(Site_Review!$A$10:$A$25,A22)=1),1,0)</f>
        <v>1</v>
      </c>
      <c r="H22" s="24">
        <f t="shared" si="0"/>
        <v>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27" customHeight="1">
      <c r="A23" s="26" t="str">
        <f>Site_Review!A17</f>
        <v>28898</v>
      </c>
      <c r="B23" s="26">
        <f>COUNTIF(WP003_Reference!$A$8:$A$1485,A23)</f>
        <v>1</v>
      </c>
      <c r="C23" s="26">
        <f>IF(Site_Review!E17="",0,COUNTIFS(WP003_Reference!$A$8:$A$1485,A23,WP003_Reference!$D$8:$D$1485,Site_Review!E17))</f>
        <v>1</v>
      </c>
      <c r="D23" s="26">
        <f>COUNTIFS(WP003_Reference!$A$8:$A$1485,A23,WP003_Reference!$B$8:$B$1485,Site_Review!B17)</f>
        <v>1</v>
      </c>
      <c r="E23" s="26">
        <f>COUNTIFS(WP003_Reference!$A$8:$A$1485,A23,WP003_Reference!$C$8:$C$1485,Site_Review!C17)</f>
        <v>1</v>
      </c>
      <c r="F23" s="26">
        <f>COUNTIF($L$8:$L$11,Site_Review!F17)</f>
        <v>1</v>
      </c>
      <c r="G23" s="26">
        <f>IF(AND(A23&lt;&gt;"",B23=1,COUNTIF(Site_Review!$A$10:$A$25,A23)=1),1,0)</f>
        <v>1</v>
      </c>
      <c r="H23" s="26">
        <f t="shared" si="0"/>
        <v>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27" customHeight="1">
      <c r="A24" s="24" t="str">
        <f>Site_Review!A18</f>
        <v>29016</v>
      </c>
      <c r="B24" s="24">
        <f>COUNTIF(WP003_Reference!$A$8:$A$1485,A24)</f>
        <v>1</v>
      </c>
      <c r="C24" s="24">
        <f>IF(Site_Review!E18="",0,COUNTIFS(WP003_Reference!$A$8:$A$1485,A24,WP003_Reference!$D$8:$D$1485,Site_Review!E18))</f>
        <v>1</v>
      </c>
      <c r="D24" s="24">
        <f>COUNTIFS(WP003_Reference!$A$8:$A$1485,A24,WP003_Reference!$B$8:$B$1485,Site_Review!B18)</f>
        <v>1</v>
      </c>
      <c r="E24" s="24">
        <f>COUNTIFS(WP003_Reference!$A$8:$A$1485,A24,WP003_Reference!$C$8:$C$1485,Site_Review!C18)</f>
        <v>1</v>
      </c>
      <c r="F24" s="24">
        <f>COUNTIF($L$8:$L$11,Site_Review!F18)</f>
        <v>1</v>
      </c>
      <c r="G24" s="24">
        <f>IF(AND(A24&lt;&gt;"",B24=1,COUNTIF(Site_Review!$A$10:$A$25,A24)=1),1,0)</f>
        <v>1</v>
      </c>
      <c r="H24" s="24">
        <f t="shared" si="0"/>
        <v>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27" customHeight="1">
      <c r="A25" s="26" t="str">
        <f>Site_Review!A19</f>
        <v>29073</v>
      </c>
      <c r="B25" s="26">
        <f>COUNTIF(WP003_Reference!$A$8:$A$1485,A25)</f>
        <v>1</v>
      </c>
      <c r="C25" s="26">
        <f>IF(Site_Review!E19="",0,COUNTIFS(WP003_Reference!$A$8:$A$1485,A25,WP003_Reference!$D$8:$D$1485,Site_Review!E19))</f>
        <v>1</v>
      </c>
      <c r="D25" s="26">
        <f>COUNTIFS(WP003_Reference!$A$8:$A$1485,A25,WP003_Reference!$B$8:$B$1485,Site_Review!B19)</f>
        <v>1</v>
      </c>
      <c r="E25" s="26">
        <f>COUNTIFS(WP003_Reference!$A$8:$A$1485,A25,WP003_Reference!$C$8:$C$1485,Site_Review!C19)</f>
        <v>1</v>
      </c>
      <c r="F25" s="26">
        <f>COUNTIF($L$8:$L$11,Site_Review!F19)</f>
        <v>1</v>
      </c>
      <c r="G25" s="26">
        <f>IF(AND(A25&lt;&gt;"",B25=1,COUNTIF(Site_Review!$A$10:$A$25,A25)=1),1,0)</f>
        <v>1</v>
      </c>
      <c r="H25" s="26">
        <f t="shared" si="0"/>
        <v>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27" customHeight="1">
      <c r="A26" s="24" t="str">
        <f>Site_Review!A20</f>
        <v>29322</v>
      </c>
      <c r="B26" s="24">
        <f>COUNTIF(WP003_Reference!$A$8:$A$1485,A26)</f>
        <v>1</v>
      </c>
      <c r="C26" s="24">
        <f>IF(Site_Review!E20="",0,COUNTIFS(WP003_Reference!$A$8:$A$1485,A26,WP003_Reference!$D$8:$D$1485,Site_Review!E20))</f>
        <v>1</v>
      </c>
      <c r="D26" s="24">
        <f>COUNTIFS(WP003_Reference!$A$8:$A$1485,A26,WP003_Reference!$B$8:$B$1485,Site_Review!B20)</f>
        <v>1</v>
      </c>
      <c r="E26" s="24">
        <f>COUNTIFS(WP003_Reference!$A$8:$A$1485,A26,WP003_Reference!$C$8:$C$1485,Site_Review!C20)</f>
        <v>1</v>
      </c>
      <c r="F26" s="24">
        <f>COUNTIF($L$8:$L$11,Site_Review!F20)</f>
        <v>1</v>
      </c>
      <c r="G26" s="24">
        <f>IF(AND(A26&lt;&gt;"",B26=1,COUNTIF(Site_Review!$A$10:$A$25,A26)=1),1,0)</f>
        <v>1</v>
      </c>
      <c r="H26" s="24">
        <f t="shared" si="0"/>
        <v>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27" customHeight="1">
      <c r="A27" s="26" t="str">
        <f>Site_Review!A21</f>
        <v>29910</v>
      </c>
      <c r="B27" s="26">
        <f>COUNTIF(WP003_Reference!$A$8:$A$1485,A27)</f>
        <v>1</v>
      </c>
      <c r="C27" s="26">
        <f>IF(Site_Review!E21="",0,COUNTIFS(WP003_Reference!$A$8:$A$1485,A27,WP003_Reference!$D$8:$D$1485,Site_Review!E21))</f>
        <v>1</v>
      </c>
      <c r="D27" s="26">
        <f>COUNTIFS(WP003_Reference!$A$8:$A$1485,A27,WP003_Reference!$B$8:$B$1485,Site_Review!B21)</f>
        <v>1</v>
      </c>
      <c r="E27" s="26">
        <f>COUNTIFS(WP003_Reference!$A$8:$A$1485,A27,WP003_Reference!$C$8:$C$1485,Site_Review!C21)</f>
        <v>1</v>
      </c>
      <c r="F27" s="26">
        <f>COUNTIF($L$8:$L$11,Site_Review!F21)</f>
        <v>1</v>
      </c>
      <c r="G27" s="26">
        <f>IF(AND(A27&lt;&gt;"",B27=1,COUNTIF(Site_Review!$A$10:$A$25,A27)=1),1,0)</f>
        <v>1</v>
      </c>
      <c r="H27" s="26">
        <f t="shared" si="0"/>
        <v>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27" customHeight="1">
      <c r="A28" s="24" t="str">
        <f>Site_Review!A22</f>
        <v>30128</v>
      </c>
      <c r="B28" s="24">
        <f>COUNTIF(WP003_Reference!$A$8:$A$1485,A28)</f>
        <v>1</v>
      </c>
      <c r="C28" s="24">
        <f>IF(Site_Review!E22="",0,COUNTIFS(WP003_Reference!$A$8:$A$1485,A28,WP003_Reference!$D$8:$D$1485,Site_Review!E22))</f>
        <v>1</v>
      </c>
      <c r="D28" s="24">
        <f>COUNTIFS(WP003_Reference!$A$8:$A$1485,A28,WP003_Reference!$B$8:$B$1485,Site_Review!B22)</f>
        <v>1</v>
      </c>
      <c r="E28" s="24">
        <f>COUNTIFS(WP003_Reference!$A$8:$A$1485,A28,WP003_Reference!$C$8:$C$1485,Site_Review!C22)</f>
        <v>1</v>
      </c>
      <c r="F28" s="24">
        <f>COUNTIF($L$8:$L$11,Site_Review!F22)</f>
        <v>1</v>
      </c>
      <c r="G28" s="24">
        <f>IF(AND(A28&lt;&gt;"",B28=1,COUNTIF(Site_Review!$A$10:$A$25,A28)=1),1,0)</f>
        <v>1</v>
      </c>
      <c r="H28" s="24">
        <f t="shared" si="0"/>
        <v>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27" customHeight="1">
      <c r="A29" s="26" t="str">
        <f>Site_Review!A23</f>
        <v>30202</v>
      </c>
      <c r="B29" s="26">
        <f>COUNTIF(WP003_Reference!$A$8:$A$1485,A29)</f>
        <v>1</v>
      </c>
      <c r="C29" s="26">
        <f>IF(Site_Review!E23="",0,COUNTIFS(WP003_Reference!$A$8:$A$1485,A29,WP003_Reference!$D$8:$D$1485,Site_Review!E23))</f>
        <v>1</v>
      </c>
      <c r="D29" s="26">
        <f>COUNTIFS(WP003_Reference!$A$8:$A$1485,A29,WP003_Reference!$B$8:$B$1485,Site_Review!B23)</f>
        <v>1</v>
      </c>
      <c r="E29" s="26">
        <f>COUNTIFS(WP003_Reference!$A$8:$A$1485,A29,WP003_Reference!$C$8:$C$1485,Site_Review!C23)</f>
        <v>1</v>
      </c>
      <c r="F29" s="26">
        <f>COUNTIF($L$8:$L$11,Site_Review!F23)</f>
        <v>1</v>
      </c>
      <c r="G29" s="26">
        <f>IF(AND(A29&lt;&gt;"",B29=1,COUNTIF(Site_Review!$A$10:$A$25,A29)=1),1,0)</f>
        <v>1</v>
      </c>
      <c r="H29" s="26">
        <f t="shared" si="0"/>
        <v>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27" customHeight="1">
      <c r="A30" s="24" t="str">
        <f>Site_Review!A24</f>
        <v>30360</v>
      </c>
      <c r="B30" s="24">
        <f>COUNTIF(WP003_Reference!$A$8:$A$1485,A30)</f>
        <v>1</v>
      </c>
      <c r="C30" s="24">
        <f>IF(Site_Review!E24="",0,COUNTIFS(WP003_Reference!$A$8:$A$1485,A30,WP003_Reference!$D$8:$D$1485,Site_Review!E24))</f>
        <v>1</v>
      </c>
      <c r="D30" s="24">
        <f>COUNTIFS(WP003_Reference!$A$8:$A$1485,A30,WP003_Reference!$B$8:$B$1485,Site_Review!B24)</f>
        <v>1</v>
      </c>
      <c r="E30" s="24">
        <f>COUNTIFS(WP003_Reference!$A$8:$A$1485,A30,WP003_Reference!$C$8:$C$1485,Site_Review!C24)</f>
        <v>1</v>
      </c>
      <c r="F30" s="24">
        <f>COUNTIF($L$8:$L$11,Site_Review!F24)</f>
        <v>1</v>
      </c>
      <c r="G30" s="24">
        <f>IF(AND(A30&lt;&gt;"",B30=1,COUNTIF(Site_Review!$A$10:$A$25,A30)=1),1,0)</f>
        <v>1</v>
      </c>
      <c r="H30" s="24">
        <f t="shared" si="0"/>
        <v>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27" customHeight="1">
      <c r="A31" s="26" t="str">
        <f>Site_Review!A25</f>
        <v>30751</v>
      </c>
      <c r="B31" s="26">
        <f>COUNTIF(WP003_Reference!$A$8:$A$1485,A31)</f>
        <v>1</v>
      </c>
      <c r="C31" s="26">
        <f>IF(Site_Review!E25="",0,COUNTIFS(WP003_Reference!$A$8:$A$1485,A31,WP003_Reference!$D$8:$D$1485,Site_Review!E25))</f>
        <v>1</v>
      </c>
      <c r="D31" s="26">
        <f>COUNTIFS(WP003_Reference!$A$8:$A$1485,A31,WP003_Reference!$B$8:$B$1485,Site_Review!B25)</f>
        <v>1</v>
      </c>
      <c r="E31" s="26">
        <f>COUNTIFS(WP003_Reference!$A$8:$A$1485,A31,WP003_Reference!$C$8:$C$1485,Site_Review!C25)</f>
        <v>1</v>
      </c>
      <c r="F31" s="26">
        <f>COUNTIF($L$8:$L$11,Site_Review!F25)</f>
        <v>1</v>
      </c>
      <c r="G31" s="26">
        <f>IF(AND(A31&lt;&gt;"",B31=1,COUNTIF(Site_Review!$A$10:$A$25,A31)=1),1,0)</f>
        <v>1</v>
      </c>
      <c r="H31" s="26">
        <f t="shared" si="0"/>
        <v>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22.0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22.0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22.0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36" customHeight="1">
      <c r="A35" s="13" t="s">
        <v>339</v>
      </c>
      <c r="B35" s="13" t="s">
        <v>478</v>
      </c>
      <c r="C35" s="13" t="s">
        <v>479</v>
      </c>
      <c r="D35" s="13" t="s">
        <v>480</v>
      </c>
      <c r="E35" s="13" t="s">
        <v>481</v>
      </c>
      <c r="F35" s="13" t="s">
        <v>482</v>
      </c>
      <c r="G35" s="13" t="s">
        <v>483</v>
      </c>
      <c r="H35" s="13" t="s">
        <v>484</v>
      </c>
      <c r="I35" s="13" t="s">
        <v>485</v>
      </c>
      <c r="J35" s="13" t="s">
        <v>486</v>
      </c>
      <c r="K35" s="13" t="s">
        <v>487</v>
      </c>
      <c r="L35" s="13" t="s">
        <v>488</v>
      </c>
      <c r="M35" s="13" t="s">
        <v>489</v>
      </c>
      <c r="N35" s="13" t="s">
        <v>490</v>
      </c>
      <c r="O35" s="13" t="s">
        <v>491</v>
      </c>
      <c r="P35" s="13" t="s">
        <v>492</v>
      </c>
      <c r="Q35" s="13" t="s">
        <v>493</v>
      </c>
      <c r="R35" s="13" t="s">
        <v>494</v>
      </c>
      <c r="S35" s="13" t="s">
        <v>495</v>
      </c>
      <c r="T35" s="13" t="s">
        <v>496</v>
      </c>
    </row>
    <row r="36" spans="1:20" ht="33" customHeight="1">
      <c r="A36" s="24" t="s">
        <v>497</v>
      </c>
      <c r="B36" s="24" t="s">
        <v>498</v>
      </c>
      <c r="C36" s="24" t="str">
        <f>Gate_Matrix!I11</f>
        <v>E01; E03</v>
      </c>
      <c r="D36" s="24">
        <f t="shared" ref="D36:D59" si="1">SUM(M36:T36)+IF(OR(C36="",LEN(C36)-LEN(SUBSTITUTE(C36,";",""))+1&gt;8),1,0)</f>
        <v>0</v>
      </c>
      <c r="E36" s="24" t="str">
        <f t="shared" ref="E36:E59" si="2">TRIM(MID(SUBSTITUTE(C36,";",REPT(" ",30)),1,30))</f>
        <v>E01</v>
      </c>
      <c r="F36" s="24" t="str">
        <f t="shared" ref="F36:F59" si="3">TRIM(MID(SUBSTITUTE(C36,";",REPT(" ",30)),31,30))</f>
        <v>E03</v>
      </c>
      <c r="G36" s="24" t="str">
        <f t="shared" ref="G36:G59" si="4">TRIM(MID(SUBSTITUTE(C36,";",REPT(" ",30)),61,30))</f>
        <v/>
      </c>
      <c r="H36" s="24" t="str">
        <f t="shared" ref="H36:H59" si="5">TRIM(MID(SUBSTITUTE(C36,";",REPT(" ",30)),91,30))</f>
        <v/>
      </c>
      <c r="I36" s="24" t="str">
        <f t="shared" ref="I36:I59" si="6">TRIM(MID(SUBSTITUTE(C36,";",REPT(" ",30)),121,30))</f>
        <v/>
      </c>
      <c r="J36" s="24" t="str">
        <f t="shared" ref="J36:J59" si="7">TRIM(MID(SUBSTITUTE(C36,";",REPT(" ",30)),151,30))</f>
        <v/>
      </c>
      <c r="K36" s="24" t="str">
        <f t="shared" ref="K36:K59" si="8">TRIM(MID(SUBSTITUTE(C36,";",REPT(" ",30)),181,30))</f>
        <v/>
      </c>
      <c r="L36" s="24" t="str">
        <f t="shared" ref="L36:L59" si="9">TRIM(MID(SUBSTITUTE(C36,";",REPT(" ",30)),211,30))</f>
        <v/>
      </c>
      <c r="M36" s="24">
        <f>IF(E36="",0,IF(COUNTIF(Evidence!$A$8:$A$20,E36)+COUNTIF(Gate_Matrix!$A$11:$A$18,E36)=1,0,1))</f>
        <v>0</v>
      </c>
      <c r="N36" s="24">
        <f>IF(F36="",0,IF(COUNTIF(Evidence!$A$8:$A$20,F36)+COUNTIF(Gate_Matrix!$A$11:$A$18,F36)=1,0,1))</f>
        <v>0</v>
      </c>
      <c r="O36" s="24">
        <f>IF(G36="",0,IF(COUNTIF(Evidence!$A$8:$A$20,G36)+COUNTIF(Gate_Matrix!$A$11:$A$18,G36)=1,0,1))</f>
        <v>0</v>
      </c>
      <c r="P36" s="24">
        <f>IF(H36="",0,IF(COUNTIF(Evidence!$A$8:$A$20,H36)+COUNTIF(Gate_Matrix!$A$11:$A$18,H36)=1,0,1))</f>
        <v>0</v>
      </c>
      <c r="Q36" s="24">
        <f>IF(I36="",0,IF(COUNTIF(Evidence!$A$8:$A$20,I36)+COUNTIF(Gate_Matrix!$A$11:$A$18,I36)=1,0,1))</f>
        <v>0</v>
      </c>
      <c r="R36" s="24">
        <f>IF(J36="",0,IF(COUNTIF(Evidence!$A$8:$A$20,J36)+COUNTIF(Gate_Matrix!$A$11:$A$18,J36)=1,0,1))</f>
        <v>0</v>
      </c>
      <c r="S36" s="24">
        <f>IF(K36="",0,IF(COUNTIF(Evidence!$A$8:$A$20,K36)+COUNTIF(Gate_Matrix!$A$11:$A$18,K36)=1,0,1))</f>
        <v>0</v>
      </c>
      <c r="T36" s="24">
        <f>IF(L36="",0,IF(COUNTIF(Evidence!$A$8:$A$20,L36)+COUNTIF(Gate_Matrix!$A$11:$A$18,L36)=1,0,1))</f>
        <v>0</v>
      </c>
    </row>
    <row r="37" spans="1:20" ht="33" customHeight="1">
      <c r="A37" s="26" t="s">
        <v>497</v>
      </c>
      <c r="B37" s="26" t="s">
        <v>499</v>
      </c>
      <c r="C37" s="26" t="str">
        <f>Gate_Matrix!I12</f>
        <v>E01; E02; E07; E08; E09</v>
      </c>
      <c r="D37" s="26">
        <f t="shared" si="1"/>
        <v>0</v>
      </c>
      <c r="E37" s="26" t="str">
        <f t="shared" si="2"/>
        <v>E01</v>
      </c>
      <c r="F37" s="26" t="str">
        <f t="shared" si="3"/>
        <v>E02</v>
      </c>
      <c r="G37" s="26" t="str">
        <f t="shared" si="4"/>
        <v>E07</v>
      </c>
      <c r="H37" s="26" t="str">
        <f t="shared" si="5"/>
        <v>E08</v>
      </c>
      <c r="I37" s="26" t="str">
        <f t="shared" si="6"/>
        <v>E09</v>
      </c>
      <c r="J37" s="26" t="str">
        <f t="shared" si="7"/>
        <v/>
      </c>
      <c r="K37" s="26" t="str">
        <f t="shared" si="8"/>
        <v/>
      </c>
      <c r="L37" s="26" t="str">
        <f t="shared" si="9"/>
        <v/>
      </c>
      <c r="M37" s="26">
        <f>IF(E37="",0,IF(COUNTIF(Evidence!$A$8:$A$20,E37)+COUNTIF(Gate_Matrix!$A$11:$A$18,E37)=1,0,1))</f>
        <v>0</v>
      </c>
      <c r="N37" s="26">
        <f>IF(F37="",0,IF(COUNTIF(Evidence!$A$8:$A$20,F37)+COUNTIF(Gate_Matrix!$A$11:$A$18,F37)=1,0,1))</f>
        <v>0</v>
      </c>
      <c r="O37" s="26">
        <f>IF(G37="",0,IF(COUNTIF(Evidence!$A$8:$A$20,G37)+COUNTIF(Gate_Matrix!$A$11:$A$18,G37)=1,0,1))</f>
        <v>0</v>
      </c>
      <c r="P37" s="26">
        <f>IF(H37="",0,IF(COUNTIF(Evidence!$A$8:$A$20,H37)+COUNTIF(Gate_Matrix!$A$11:$A$18,H37)=1,0,1))</f>
        <v>0</v>
      </c>
      <c r="Q37" s="26">
        <f>IF(I37="",0,IF(COUNTIF(Evidence!$A$8:$A$20,I37)+COUNTIF(Gate_Matrix!$A$11:$A$18,I37)=1,0,1))</f>
        <v>0</v>
      </c>
      <c r="R37" s="26">
        <f>IF(J37="",0,IF(COUNTIF(Evidence!$A$8:$A$20,J37)+COUNTIF(Gate_Matrix!$A$11:$A$18,J37)=1,0,1))</f>
        <v>0</v>
      </c>
      <c r="S37" s="26">
        <f>IF(K37="",0,IF(COUNTIF(Evidence!$A$8:$A$20,K37)+COUNTIF(Gate_Matrix!$A$11:$A$18,K37)=1,0,1))</f>
        <v>0</v>
      </c>
      <c r="T37" s="26">
        <f>IF(L37="",0,IF(COUNTIF(Evidence!$A$8:$A$20,L37)+COUNTIF(Gate_Matrix!$A$11:$A$18,L37)=1,0,1))</f>
        <v>0</v>
      </c>
    </row>
    <row r="38" spans="1:20" ht="33" customHeight="1">
      <c r="A38" s="24" t="s">
        <v>497</v>
      </c>
      <c r="B38" s="24" t="s">
        <v>500</v>
      </c>
      <c r="C38" s="24" t="str">
        <f>Gate_Matrix!I13</f>
        <v>E04; E05; E11</v>
      </c>
      <c r="D38" s="24">
        <f t="shared" si="1"/>
        <v>0</v>
      </c>
      <c r="E38" s="24" t="str">
        <f t="shared" si="2"/>
        <v>E04</v>
      </c>
      <c r="F38" s="24" t="str">
        <f t="shared" si="3"/>
        <v>E05</v>
      </c>
      <c r="G38" s="24" t="str">
        <f t="shared" si="4"/>
        <v>E11</v>
      </c>
      <c r="H38" s="24" t="str">
        <f t="shared" si="5"/>
        <v/>
      </c>
      <c r="I38" s="24" t="str">
        <f t="shared" si="6"/>
        <v/>
      </c>
      <c r="J38" s="24" t="str">
        <f t="shared" si="7"/>
        <v/>
      </c>
      <c r="K38" s="24" t="str">
        <f t="shared" si="8"/>
        <v/>
      </c>
      <c r="L38" s="24" t="str">
        <f t="shared" si="9"/>
        <v/>
      </c>
      <c r="M38" s="24">
        <f>IF(E38="",0,IF(COUNTIF(Evidence!$A$8:$A$20,E38)+COUNTIF(Gate_Matrix!$A$11:$A$18,E38)=1,0,1))</f>
        <v>0</v>
      </c>
      <c r="N38" s="24">
        <f>IF(F38="",0,IF(COUNTIF(Evidence!$A$8:$A$20,F38)+COUNTIF(Gate_Matrix!$A$11:$A$18,F38)=1,0,1))</f>
        <v>0</v>
      </c>
      <c r="O38" s="24">
        <f>IF(G38="",0,IF(COUNTIF(Evidence!$A$8:$A$20,G38)+COUNTIF(Gate_Matrix!$A$11:$A$18,G38)=1,0,1))</f>
        <v>0</v>
      </c>
      <c r="P38" s="24">
        <f>IF(H38="",0,IF(COUNTIF(Evidence!$A$8:$A$20,H38)+COUNTIF(Gate_Matrix!$A$11:$A$18,H38)=1,0,1))</f>
        <v>0</v>
      </c>
      <c r="Q38" s="24">
        <f>IF(I38="",0,IF(COUNTIF(Evidence!$A$8:$A$20,I38)+COUNTIF(Gate_Matrix!$A$11:$A$18,I38)=1,0,1))</f>
        <v>0</v>
      </c>
      <c r="R38" s="24">
        <f>IF(J38="",0,IF(COUNTIF(Evidence!$A$8:$A$20,J38)+COUNTIF(Gate_Matrix!$A$11:$A$18,J38)=1,0,1))</f>
        <v>0</v>
      </c>
      <c r="S38" s="24">
        <f>IF(K38="",0,IF(COUNTIF(Evidence!$A$8:$A$20,K38)+COUNTIF(Gate_Matrix!$A$11:$A$18,K38)=1,0,1))</f>
        <v>0</v>
      </c>
      <c r="T38" s="24">
        <f>IF(L38="",0,IF(COUNTIF(Evidence!$A$8:$A$20,L38)+COUNTIF(Gate_Matrix!$A$11:$A$18,L38)=1,0,1))</f>
        <v>0</v>
      </c>
    </row>
    <row r="39" spans="1:20" ht="33" customHeight="1">
      <c r="A39" s="26" t="s">
        <v>497</v>
      </c>
      <c r="B39" s="26" t="s">
        <v>501</v>
      </c>
      <c r="C39" s="26" t="str">
        <f>Gate_Matrix!I14</f>
        <v>E01; E10; E11</v>
      </c>
      <c r="D39" s="26">
        <f t="shared" si="1"/>
        <v>0</v>
      </c>
      <c r="E39" s="26" t="str">
        <f t="shared" si="2"/>
        <v>E01</v>
      </c>
      <c r="F39" s="26" t="str">
        <f t="shared" si="3"/>
        <v>E10</v>
      </c>
      <c r="G39" s="26" t="str">
        <f t="shared" si="4"/>
        <v>E11</v>
      </c>
      <c r="H39" s="26" t="str">
        <f t="shared" si="5"/>
        <v/>
      </c>
      <c r="I39" s="26" t="str">
        <f t="shared" si="6"/>
        <v/>
      </c>
      <c r="J39" s="26" t="str">
        <f t="shared" si="7"/>
        <v/>
      </c>
      <c r="K39" s="26" t="str">
        <f t="shared" si="8"/>
        <v/>
      </c>
      <c r="L39" s="26" t="str">
        <f t="shared" si="9"/>
        <v/>
      </c>
      <c r="M39" s="26">
        <f>IF(E39="",0,IF(COUNTIF(Evidence!$A$8:$A$20,E39)+COUNTIF(Gate_Matrix!$A$11:$A$18,E39)=1,0,1))</f>
        <v>0</v>
      </c>
      <c r="N39" s="26">
        <f>IF(F39="",0,IF(COUNTIF(Evidence!$A$8:$A$20,F39)+COUNTIF(Gate_Matrix!$A$11:$A$18,F39)=1,0,1))</f>
        <v>0</v>
      </c>
      <c r="O39" s="26">
        <f>IF(G39="",0,IF(COUNTIF(Evidence!$A$8:$A$20,G39)+COUNTIF(Gate_Matrix!$A$11:$A$18,G39)=1,0,1))</f>
        <v>0</v>
      </c>
      <c r="P39" s="26">
        <f>IF(H39="",0,IF(COUNTIF(Evidence!$A$8:$A$20,H39)+COUNTIF(Gate_Matrix!$A$11:$A$18,H39)=1,0,1))</f>
        <v>0</v>
      </c>
      <c r="Q39" s="26">
        <f>IF(I39="",0,IF(COUNTIF(Evidence!$A$8:$A$20,I39)+COUNTIF(Gate_Matrix!$A$11:$A$18,I39)=1,0,1))</f>
        <v>0</v>
      </c>
      <c r="R39" s="26">
        <f>IF(J39="",0,IF(COUNTIF(Evidence!$A$8:$A$20,J39)+COUNTIF(Gate_Matrix!$A$11:$A$18,J39)=1,0,1))</f>
        <v>0</v>
      </c>
      <c r="S39" s="26">
        <f>IF(K39="",0,IF(COUNTIF(Evidence!$A$8:$A$20,K39)+COUNTIF(Gate_Matrix!$A$11:$A$18,K39)=1,0,1))</f>
        <v>0</v>
      </c>
      <c r="T39" s="26">
        <f>IF(L39="",0,IF(COUNTIF(Evidence!$A$8:$A$20,L39)+COUNTIF(Gate_Matrix!$A$11:$A$18,L39)=1,0,1))</f>
        <v>0</v>
      </c>
    </row>
    <row r="40" spans="1:20" ht="33" customHeight="1">
      <c r="A40" s="24" t="s">
        <v>497</v>
      </c>
      <c r="B40" s="24" t="s">
        <v>502</v>
      </c>
      <c r="C40" s="24" t="str">
        <f>Gate_Matrix!I15</f>
        <v>E01; E06; E10; E11</v>
      </c>
      <c r="D40" s="24">
        <f t="shared" si="1"/>
        <v>0</v>
      </c>
      <c r="E40" s="24" t="str">
        <f t="shared" si="2"/>
        <v>E01</v>
      </c>
      <c r="F40" s="24" t="str">
        <f t="shared" si="3"/>
        <v>E06</v>
      </c>
      <c r="G40" s="24" t="str">
        <f t="shared" si="4"/>
        <v>E10</v>
      </c>
      <c r="H40" s="24" t="str">
        <f t="shared" si="5"/>
        <v>E11</v>
      </c>
      <c r="I40" s="24" t="str">
        <f t="shared" si="6"/>
        <v/>
      </c>
      <c r="J40" s="24" t="str">
        <f t="shared" si="7"/>
        <v/>
      </c>
      <c r="K40" s="24" t="str">
        <f t="shared" si="8"/>
        <v/>
      </c>
      <c r="L40" s="24" t="str">
        <f t="shared" si="9"/>
        <v/>
      </c>
      <c r="M40" s="24">
        <f>IF(E40="",0,IF(COUNTIF(Evidence!$A$8:$A$20,E40)+COUNTIF(Gate_Matrix!$A$11:$A$18,E40)=1,0,1))</f>
        <v>0</v>
      </c>
      <c r="N40" s="24">
        <f>IF(F40="",0,IF(COUNTIF(Evidence!$A$8:$A$20,F40)+COUNTIF(Gate_Matrix!$A$11:$A$18,F40)=1,0,1))</f>
        <v>0</v>
      </c>
      <c r="O40" s="24">
        <f>IF(G40="",0,IF(COUNTIF(Evidence!$A$8:$A$20,G40)+COUNTIF(Gate_Matrix!$A$11:$A$18,G40)=1,0,1))</f>
        <v>0</v>
      </c>
      <c r="P40" s="24">
        <f>IF(H40="",0,IF(COUNTIF(Evidence!$A$8:$A$20,H40)+COUNTIF(Gate_Matrix!$A$11:$A$18,H40)=1,0,1))</f>
        <v>0</v>
      </c>
      <c r="Q40" s="24">
        <f>IF(I40="",0,IF(COUNTIF(Evidence!$A$8:$A$20,I40)+COUNTIF(Gate_Matrix!$A$11:$A$18,I40)=1,0,1))</f>
        <v>0</v>
      </c>
      <c r="R40" s="24">
        <f>IF(J40="",0,IF(COUNTIF(Evidence!$A$8:$A$20,J40)+COUNTIF(Gate_Matrix!$A$11:$A$18,J40)=1,0,1))</f>
        <v>0</v>
      </c>
      <c r="S40" s="24">
        <f>IF(K40="",0,IF(COUNTIF(Evidence!$A$8:$A$20,K40)+COUNTIF(Gate_Matrix!$A$11:$A$18,K40)=1,0,1))</f>
        <v>0</v>
      </c>
      <c r="T40" s="24">
        <f>IF(L40="",0,IF(COUNTIF(Evidence!$A$8:$A$20,L40)+COUNTIF(Gate_Matrix!$A$11:$A$18,L40)=1,0,1))</f>
        <v>0</v>
      </c>
    </row>
    <row r="41" spans="1:20" ht="33" customHeight="1">
      <c r="A41" s="26" t="s">
        <v>497</v>
      </c>
      <c r="B41" s="26" t="s">
        <v>503</v>
      </c>
      <c r="C41" s="26" t="str">
        <f>Gate_Matrix!I16</f>
        <v>E03; E04</v>
      </c>
      <c r="D41" s="26">
        <f t="shared" si="1"/>
        <v>0</v>
      </c>
      <c r="E41" s="26" t="str">
        <f t="shared" si="2"/>
        <v>E03</v>
      </c>
      <c r="F41" s="26" t="str">
        <f t="shared" si="3"/>
        <v>E04</v>
      </c>
      <c r="G41" s="26" t="str">
        <f t="shared" si="4"/>
        <v/>
      </c>
      <c r="H41" s="26" t="str">
        <f t="shared" si="5"/>
        <v/>
      </c>
      <c r="I41" s="26" t="str">
        <f t="shared" si="6"/>
        <v/>
      </c>
      <c r="J41" s="26" t="str">
        <f t="shared" si="7"/>
        <v/>
      </c>
      <c r="K41" s="26" t="str">
        <f t="shared" si="8"/>
        <v/>
      </c>
      <c r="L41" s="26" t="str">
        <f t="shared" si="9"/>
        <v/>
      </c>
      <c r="M41" s="26">
        <f>IF(E41="",0,IF(COUNTIF(Evidence!$A$8:$A$20,E41)+COUNTIF(Gate_Matrix!$A$11:$A$18,E41)=1,0,1))</f>
        <v>0</v>
      </c>
      <c r="N41" s="26">
        <f>IF(F41="",0,IF(COUNTIF(Evidence!$A$8:$A$20,F41)+COUNTIF(Gate_Matrix!$A$11:$A$18,F41)=1,0,1))</f>
        <v>0</v>
      </c>
      <c r="O41" s="26">
        <f>IF(G41="",0,IF(COUNTIF(Evidence!$A$8:$A$20,G41)+COUNTIF(Gate_Matrix!$A$11:$A$18,G41)=1,0,1))</f>
        <v>0</v>
      </c>
      <c r="P41" s="26">
        <f>IF(H41="",0,IF(COUNTIF(Evidence!$A$8:$A$20,H41)+COUNTIF(Gate_Matrix!$A$11:$A$18,H41)=1,0,1))</f>
        <v>0</v>
      </c>
      <c r="Q41" s="26">
        <f>IF(I41="",0,IF(COUNTIF(Evidence!$A$8:$A$20,I41)+COUNTIF(Gate_Matrix!$A$11:$A$18,I41)=1,0,1))</f>
        <v>0</v>
      </c>
      <c r="R41" s="26">
        <f>IF(J41="",0,IF(COUNTIF(Evidence!$A$8:$A$20,J41)+COUNTIF(Gate_Matrix!$A$11:$A$18,J41)=1,0,1))</f>
        <v>0</v>
      </c>
      <c r="S41" s="26">
        <f>IF(K41="",0,IF(COUNTIF(Evidence!$A$8:$A$20,K41)+COUNTIF(Gate_Matrix!$A$11:$A$18,K41)=1,0,1))</f>
        <v>0</v>
      </c>
      <c r="T41" s="26">
        <f>IF(L41="",0,IF(COUNTIF(Evidence!$A$8:$A$20,L41)+COUNTIF(Gate_Matrix!$A$11:$A$18,L41)=1,0,1))</f>
        <v>0</v>
      </c>
    </row>
    <row r="42" spans="1:20" ht="33" customHeight="1">
      <c r="A42" s="24" t="s">
        <v>497</v>
      </c>
      <c r="B42" s="24" t="s">
        <v>504</v>
      </c>
      <c r="C42" s="24" t="str">
        <f>Gate_Matrix!I17</f>
        <v>E01; E02; E04; E05; E11</v>
      </c>
      <c r="D42" s="24">
        <f t="shared" si="1"/>
        <v>0</v>
      </c>
      <c r="E42" s="24" t="str">
        <f t="shared" si="2"/>
        <v>E01</v>
      </c>
      <c r="F42" s="24" t="str">
        <f t="shared" si="3"/>
        <v>E02</v>
      </c>
      <c r="G42" s="24" t="str">
        <f t="shared" si="4"/>
        <v>E04</v>
      </c>
      <c r="H42" s="24" t="str">
        <f t="shared" si="5"/>
        <v>E05</v>
      </c>
      <c r="I42" s="24" t="str">
        <f t="shared" si="6"/>
        <v>E11</v>
      </c>
      <c r="J42" s="24" t="str">
        <f t="shared" si="7"/>
        <v/>
      </c>
      <c r="K42" s="24" t="str">
        <f t="shared" si="8"/>
        <v/>
      </c>
      <c r="L42" s="24" t="str">
        <f t="shared" si="9"/>
        <v/>
      </c>
      <c r="M42" s="24">
        <f>IF(E42="",0,IF(COUNTIF(Evidence!$A$8:$A$20,E42)+COUNTIF(Gate_Matrix!$A$11:$A$18,E42)=1,0,1))</f>
        <v>0</v>
      </c>
      <c r="N42" s="24">
        <f>IF(F42="",0,IF(COUNTIF(Evidence!$A$8:$A$20,F42)+COUNTIF(Gate_Matrix!$A$11:$A$18,F42)=1,0,1))</f>
        <v>0</v>
      </c>
      <c r="O42" s="24">
        <f>IF(G42="",0,IF(COUNTIF(Evidence!$A$8:$A$20,G42)+COUNTIF(Gate_Matrix!$A$11:$A$18,G42)=1,0,1))</f>
        <v>0</v>
      </c>
      <c r="P42" s="24">
        <f>IF(H42="",0,IF(COUNTIF(Evidence!$A$8:$A$20,H42)+COUNTIF(Gate_Matrix!$A$11:$A$18,H42)=1,0,1))</f>
        <v>0</v>
      </c>
      <c r="Q42" s="24">
        <f>IF(I42="",0,IF(COUNTIF(Evidence!$A$8:$A$20,I42)+COUNTIF(Gate_Matrix!$A$11:$A$18,I42)=1,0,1))</f>
        <v>0</v>
      </c>
      <c r="R42" s="24">
        <f>IF(J42="",0,IF(COUNTIF(Evidence!$A$8:$A$20,J42)+COUNTIF(Gate_Matrix!$A$11:$A$18,J42)=1,0,1))</f>
        <v>0</v>
      </c>
      <c r="S42" s="24">
        <f>IF(K42="",0,IF(COUNTIF(Evidence!$A$8:$A$20,K42)+COUNTIF(Gate_Matrix!$A$11:$A$18,K42)=1,0,1))</f>
        <v>0</v>
      </c>
      <c r="T42" s="24">
        <f>IF(L42="",0,IF(COUNTIF(Evidence!$A$8:$A$20,L42)+COUNTIF(Gate_Matrix!$A$11:$A$18,L42)=1,0,1))</f>
        <v>0</v>
      </c>
    </row>
    <row r="43" spans="1:20" ht="33" customHeight="1">
      <c r="A43" s="26" t="s">
        <v>497</v>
      </c>
      <c r="B43" s="26" t="s">
        <v>505</v>
      </c>
      <c r="C43" s="26" t="str">
        <f>Gate_Matrix!I18</f>
        <v>E02; E03; E04; E05; E06; E12; E13</v>
      </c>
      <c r="D43" s="26">
        <f t="shared" si="1"/>
        <v>0</v>
      </c>
      <c r="E43" s="26" t="str">
        <f t="shared" si="2"/>
        <v>E02</v>
      </c>
      <c r="F43" s="26" t="str">
        <f t="shared" si="3"/>
        <v>E03</v>
      </c>
      <c r="G43" s="26" t="str">
        <f t="shared" si="4"/>
        <v>E04</v>
      </c>
      <c r="H43" s="26" t="str">
        <f t="shared" si="5"/>
        <v>E05</v>
      </c>
      <c r="I43" s="26" t="str">
        <f t="shared" si="6"/>
        <v>E06</v>
      </c>
      <c r="J43" s="26" t="str">
        <f t="shared" si="7"/>
        <v>E12</v>
      </c>
      <c r="K43" s="26" t="str">
        <f t="shared" si="8"/>
        <v>E13</v>
      </c>
      <c r="L43" s="26" t="str">
        <f t="shared" si="9"/>
        <v/>
      </c>
      <c r="M43" s="26">
        <f>IF(E43="",0,IF(COUNTIF(Evidence!$A$8:$A$20,E43)+COUNTIF(Gate_Matrix!$A$11:$A$18,E43)=1,0,1))</f>
        <v>0</v>
      </c>
      <c r="N43" s="26">
        <f>IF(F43="",0,IF(COUNTIF(Evidence!$A$8:$A$20,F43)+COUNTIF(Gate_Matrix!$A$11:$A$18,F43)=1,0,1))</f>
        <v>0</v>
      </c>
      <c r="O43" s="26">
        <f>IF(G43="",0,IF(COUNTIF(Evidence!$A$8:$A$20,G43)+COUNTIF(Gate_Matrix!$A$11:$A$18,G43)=1,0,1))</f>
        <v>0</v>
      </c>
      <c r="P43" s="26">
        <f>IF(H43="",0,IF(COUNTIF(Evidence!$A$8:$A$20,H43)+COUNTIF(Gate_Matrix!$A$11:$A$18,H43)=1,0,1))</f>
        <v>0</v>
      </c>
      <c r="Q43" s="26">
        <f>IF(I43="",0,IF(COUNTIF(Evidence!$A$8:$A$20,I43)+COUNTIF(Gate_Matrix!$A$11:$A$18,I43)=1,0,1))</f>
        <v>0</v>
      </c>
      <c r="R43" s="26">
        <f>IF(J43="",0,IF(COUNTIF(Evidence!$A$8:$A$20,J43)+COUNTIF(Gate_Matrix!$A$11:$A$18,J43)=1,0,1))</f>
        <v>0</v>
      </c>
      <c r="S43" s="26">
        <f>IF(K43="",0,IF(COUNTIF(Evidence!$A$8:$A$20,K43)+COUNTIF(Gate_Matrix!$A$11:$A$18,K43)=1,0,1))</f>
        <v>0</v>
      </c>
      <c r="T43" s="26">
        <f>IF(L43="",0,IF(COUNTIF(Evidence!$A$8:$A$20,L43)+COUNTIF(Gate_Matrix!$A$11:$A$18,L43)=1,0,1))</f>
        <v>0</v>
      </c>
    </row>
    <row r="44" spans="1:20" ht="33" customHeight="1">
      <c r="A44" s="24" t="s">
        <v>506</v>
      </c>
      <c r="B44" s="24" t="s">
        <v>507</v>
      </c>
      <c r="C44" s="24" t="str">
        <f>Site_Review!M10</f>
        <v>RS01; RS02; E08; E09</v>
      </c>
      <c r="D44" s="24">
        <f t="shared" si="1"/>
        <v>0</v>
      </c>
      <c r="E44" s="24" t="str">
        <f t="shared" si="2"/>
        <v>RS01</v>
      </c>
      <c r="F44" s="24" t="str">
        <f t="shared" si="3"/>
        <v>RS02</v>
      </c>
      <c r="G44" s="24" t="str">
        <f t="shared" si="4"/>
        <v>E08</v>
      </c>
      <c r="H44" s="24" t="str">
        <f t="shared" si="5"/>
        <v>E09</v>
      </c>
      <c r="I44" s="24" t="str">
        <f t="shared" si="6"/>
        <v/>
      </c>
      <c r="J44" s="24" t="str">
        <f t="shared" si="7"/>
        <v/>
      </c>
      <c r="K44" s="24" t="str">
        <f t="shared" si="8"/>
        <v/>
      </c>
      <c r="L44" s="24" t="str">
        <f t="shared" si="9"/>
        <v/>
      </c>
      <c r="M44" s="24">
        <f>IF(E44="",0,IF(COUNTIF(Evidence!$A$8:$A$20,E44)+COUNTIF(Gate_Matrix!$A$11:$A$18,E44)=1,0,1))</f>
        <v>0</v>
      </c>
      <c r="N44" s="24">
        <f>IF(F44="",0,IF(COUNTIF(Evidence!$A$8:$A$20,F44)+COUNTIF(Gate_Matrix!$A$11:$A$18,F44)=1,0,1))</f>
        <v>0</v>
      </c>
      <c r="O44" s="24">
        <f>IF(G44="",0,IF(COUNTIF(Evidence!$A$8:$A$20,G44)+COUNTIF(Gate_Matrix!$A$11:$A$18,G44)=1,0,1))</f>
        <v>0</v>
      </c>
      <c r="P44" s="24">
        <f>IF(H44="",0,IF(COUNTIF(Evidence!$A$8:$A$20,H44)+COUNTIF(Gate_Matrix!$A$11:$A$18,H44)=1,0,1))</f>
        <v>0</v>
      </c>
      <c r="Q44" s="24">
        <f>IF(I44="",0,IF(COUNTIF(Evidence!$A$8:$A$20,I44)+COUNTIF(Gate_Matrix!$A$11:$A$18,I44)=1,0,1))</f>
        <v>0</v>
      </c>
      <c r="R44" s="24">
        <f>IF(J44="",0,IF(COUNTIF(Evidence!$A$8:$A$20,J44)+COUNTIF(Gate_Matrix!$A$11:$A$18,J44)=1,0,1))</f>
        <v>0</v>
      </c>
      <c r="S44" s="24">
        <f>IF(K44="",0,IF(COUNTIF(Evidence!$A$8:$A$20,K44)+COUNTIF(Gate_Matrix!$A$11:$A$18,K44)=1,0,1))</f>
        <v>0</v>
      </c>
      <c r="T44" s="24">
        <f>IF(L44="",0,IF(COUNTIF(Evidence!$A$8:$A$20,L44)+COUNTIF(Gate_Matrix!$A$11:$A$18,L44)=1,0,1))</f>
        <v>0</v>
      </c>
    </row>
    <row r="45" spans="1:20" ht="33" customHeight="1">
      <c r="A45" s="26" t="s">
        <v>506</v>
      </c>
      <c r="B45" s="26" t="s">
        <v>508</v>
      </c>
      <c r="C45" s="26" t="str">
        <f>Site_Review!M11</f>
        <v>RS01; RS02; E08; E09</v>
      </c>
      <c r="D45" s="26">
        <f t="shared" si="1"/>
        <v>0</v>
      </c>
      <c r="E45" s="26" t="str">
        <f t="shared" si="2"/>
        <v>RS01</v>
      </c>
      <c r="F45" s="26" t="str">
        <f t="shared" si="3"/>
        <v>RS02</v>
      </c>
      <c r="G45" s="26" t="str">
        <f t="shared" si="4"/>
        <v>E08</v>
      </c>
      <c r="H45" s="26" t="str">
        <f t="shared" si="5"/>
        <v>E09</v>
      </c>
      <c r="I45" s="26" t="str">
        <f t="shared" si="6"/>
        <v/>
      </c>
      <c r="J45" s="26" t="str">
        <f t="shared" si="7"/>
        <v/>
      </c>
      <c r="K45" s="26" t="str">
        <f t="shared" si="8"/>
        <v/>
      </c>
      <c r="L45" s="26" t="str">
        <f t="shared" si="9"/>
        <v/>
      </c>
      <c r="M45" s="26">
        <f>IF(E45="",0,IF(COUNTIF(Evidence!$A$8:$A$20,E45)+COUNTIF(Gate_Matrix!$A$11:$A$18,E45)=1,0,1))</f>
        <v>0</v>
      </c>
      <c r="N45" s="26">
        <f>IF(F45="",0,IF(COUNTIF(Evidence!$A$8:$A$20,F45)+COUNTIF(Gate_Matrix!$A$11:$A$18,F45)=1,0,1))</f>
        <v>0</v>
      </c>
      <c r="O45" s="26">
        <f>IF(G45="",0,IF(COUNTIF(Evidence!$A$8:$A$20,G45)+COUNTIF(Gate_Matrix!$A$11:$A$18,G45)=1,0,1))</f>
        <v>0</v>
      </c>
      <c r="P45" s="26">
        <f>IF(H45="",0,IF(COUNTIF(Evidence!$A$8:$A$20,H45)+COUNTIF(Gate_Matrix!$A$11:$A$18,H45)=1,0,1))</f>
        <v>0</v>
      </c>
      <c r="Q45" s="26">
        <f>IF(I45="",0,IF(COUNTIF(Evidence!$A$8:$A$20,I45)+COUNTIF(Gate_Matrix!$A$11:$A$18,I45)=1,0,1))</f>
        <v>0</v>
      </c>
      <c r="R45" s="26">
        <f>IF(J45="",0,IF(COUNTIF(Evidence!$A$8:$A$20,J45)+COUNTIF(Gate_Matrix!$A$11:$A$18,J45)=1,0,1))</f>
        <v>0</v>
      </c>
      <c r="S45" s="26">
        <f>IF(K45="",0,IF(COUNTIF(Evidence!$A$8:$A$20,K45)+COUNTIF(Gate_Matrix!$A$11:$A$18,K45)=1,0,1))</f>
        <v>0</v>
      </c>
      <c r="T45" s="26">
        <f>IF(L45="",0,IF(COUNTIF(Evidence!$A$8:$A$20,L45)+COUNTIF(Gate_Matrix!$A$11:$A$18,L45)=1,0,1))</f>
        <v>0</v>
      </c>
    </row>
    <row r="46" spans="1:20" ht="33" customHeight="1">
      <c r="A46" s="24" t="s">
        <v>506</v>
      </c>
      <c r="B46" s="24" t="s">
        <v>509</v>
      </c>
      <c r="C46" s="24" t="str">
        <f>Site_Review!M12</f>
        <v>RS01; RS02; E08; E09</v>
      </c>
      <c r="D46" s="24">
        <f t="shared" si="1"/>
        <v>0</v>
      </c>
      <c r="E46" s="24" t="str">
        <f t="shared" si="2"/>
        <v>RS01</v>
      </c>
      <c r="F46" s="24" t="str">
        <f t="shared" si="3"/>
        <v>RS02</v>
      </c>
      <c r="G46" s="24" t="str">
        <f t="shared" si="4"/>
        <v>E08</v>
      </c>
      <c r="H46" s="24" t="str">
        <f t="shared" si="5"/>
        <v>E09</v>
      </c>
      <c r="I46" s="24" t="str">
        <f t="shared" si="6"/>
        <v/>
      </c>
      <c r="J46" s="24" t="str">
        <f t="shared" si="7"/>
        <v/>
      </c>
      <c r="K46" s="24" t="str">
        <f t="shared" si="8"/>
        <v/>
      </c>
      <c r="L46" s="24" t="str">
        <f t="shared" si="9"/>
        <v/>
      </c>
      <c r="M46" s="24">
        <f>IF(E46="",0,IF(COUNTIF(Evidence!$A$8:$A$20,E46)+COUNTIF(Gate_Matrix!$A$11:$A$18,E46)=1,0,1))</f>
        <v>0</v>
      </c>
      <c r="N46" s="24">
        <f>IF(F46="",0,IF(COUNTIF(Evidence!$A$8:$A$20,F46)+COUNTIF(Gate_Matrix!$A$11:$A$18,F46)=1,0,1))</f>
        <v>0</v>
      </c>
      <c r="O46" s="24">
        <f>IF(G46="",0,IF(COUNTIF(Evidence!$A$8:$A$20,G46)+COUNTIF(Gate_Matrix!$A$11:$A$18,G46)=1,0,1))</f>
        <v>0</v>
      </c>
      <c r="P46" s="24">
        <f>IF(H46="",0,IF(COUNTIF(Evidence!$A$8:$A$20,H46)+COUNTIF(Gate_Matrix!$A$11:$A$18,H46)=1,0,1))</f>
        <v>0</v>
      </c>
      <c r="Q46" s="24">
        <f>IF(I46="",0,IF(COUNTIF(Evidence!$A$8:$A$20,I46)+COUNTIF(Gate_Matrix!$A$11:$A$18,I46)=1,0,1))</f>
        <v>0</v>
      </c>
      <c r="R46" s="24">
        <f>IF(J46="",0,IF(COUNTIF(Evidence!$A$8:$A$20,J46)+COUNTIF(Gate_Matrix!$A$11:$A$18,J46)=1,0,1))</f>
        <v>0</v>
      </c>
      <c r="S46" s="24">
        <f>IF(K46="",0,IF(COUNTIF(Evidence!$A$8:$A$20,K46)+COUNTIF(Gate_Matrix!$A$11:$A$18,K46)=1,0,1))</f>
        <v>0</v>
      </c>
      <c r="T46" s="24">
        <f>IF(L46="",0,IF(COUNTIF(Evidence!$A$8:$A$20,L46)+COUNTIF(Gate_Matrix!$A$11:$A$18,L46)=1,0,1))</f>
        <v>0</v>
      </c>
    </row>
    <row r="47" spans="1:20" ht="33" customHeight="1">
      <c r="A47" s="26" t="s">
        <v>506</v>
      </c>
      <c r="B47" s="26" t="s">
        <v>510</v>
      </c>
      <c r="C47" s="26" t="str">
        <f>Site_Review!M13</f>
        <v>RS01; RS02; E08; E09</v>
      </c>
      <c r="D47" s="26">
        <f t="shared" si="1"/>
        <v>0</v>
      </c>
      <c r="E47" s="26" t="str">
        <f t="shared" si="2"/>
        <v>RS01</v>
      </c>
      <c r="F47" s="26" t="str">
        <f t="shared" si="3"/>
        <v>RS02</v>
      </c>
      <c r="G47" s="26" t="str">
        <f t="shared" si="4"/>
        <v>E08</v>
      </c>
      <c r="H47" s="26" t="str">
        <f t="shared" si="5"/>
        <v>E09</v>
      </c>
      <c r="I47" s="26" t="str">
        <f t="shared" si="6"/>
        <v/>
      </c>
      <c r="J47" s="26" t="str">
        <f t="shared" si="7"/>
        <v/>
      </c>
      <c r="K47" s="26" t="str">
        <f t="shared" si="8"/>
        <v/>
      </c>
      <c r="L47" s="26" t="str">
        <f t="shared" si="9"/>
        <v/>
      </c>
      <c r="M47" s="26">
        <f>IF(E47="",0,IF(COUNTIF(Evidence!$A$8:$A$20,E47)+COUNTIF(Gate_Matrix!$A$11:$A$18,E47)=1,0,1))</f>
        <v>0</v>
      </c>
      <c r="N47" s="26">
        <f>IF(F47="",0,IF(COUNTIF(Evidence!$A$8:$A$20,F47)+COUNTIF(Gate_Matrix!$A$11:$A$18,F47)=1,0,1))</f>
        <v>0</v>
      </c>
      <c r="O47" s="26">
        <f>IF(G47="",0,IF(COUNTIF(Evidence!$A$8:$A$20,G47)+COUNTIF(Gate_Matrix!$A$11:$A$18,G47)=1,0,1))</f>
        <v>0</v>
      </c>
      <c r="P47" s="26">
        <f>IF(H47="",0,IF(COUNTIF(Evidence!$A$8:$A$20,H47)+COUNTIF(Gate_Matrix!$A$11:$A$18,H47)=1,0,1))</f>
        <v>0</v>
      </c>
      <c r="Q47" s="26">
        <f>IF(I47="",0,IF(COUNTIF(Evidence!$A$8:$A$20,I47)+COUNTIF(Gate_Matrix!$A$11:$A$18,I47)=1,0,1))</f>
        <v>0</v>
      </c>
      <c r="R47" s="26">
        <f>IF(J47="",0,IF(COUNTIF(Evidence!$A$8:$A$20,J47)+COUNTIF(Gate_Matrix!$A$11:$A$18,J47)=1,0,1))</f>
        <v>0</v>
      </c>
      <c r="S47" s="26">
        <f>IF(K47="",0,IF(COUNTIF(Evidence!$A$8:$A$20,K47)+COUNTIF(Gate_Matrix!$A$11:$A$18,K47)=1,0,1))</f>
        <v>0</v>
      </c>
      <c r="T47" s="26">
        <f>IF(L47="",0,IF(COUNTIF(Evidence!$A$8:$A$20,L47)+COUNTIF(Gate_Matrix!$A$11:$A$18,L47)=1,0,1))</f>
        <v>0</v>
      </c>
    </row>
    <row r="48" spans="1:20" ht="33" customHeight="1">
      <c r="A48" s="24" t="s">
        <v>506</v>
      </c>
      <c r="B48" s="24" t="s">
        <v>511</v>
      </c>
      <c r="C48" s="24" t="str">
        <f>Site_Review!M14</f>
        <v>RS01; RS02; E08; E09</v>
      </c>
      <c r="D48" s="24">
        <f t="shared" si="1"/>
        <v>0</v>
      </c>
      <c r="E48" s="24" t="str">
        <f t="shared" si="2"/>
        <v>RS01</v>
      </c>
      <c r="F48" s="24" t="str">
        <f t="shared" si="3"/>
        <v>RS02</v>
      </c>
      <c r="G48" s="24" t="str">
        <f t="shared" si="4"/>
        <v>E08</v>
      </c>
      <c r="H48" s="24" t="str">
        <f t="shared" si="5"/>
        <v>E09</v>
      </c>
      <c r="I48" s="24" t="str">
        <f t="shared" si="6"/>
        <v/>
      </c>
      <c r="J48" s="24" t="str">
        <f t="shared" si="7"/>
        <v/>
      </c>
      <c r="K48" s="24" t="str">
        <f t="shared" si="8"/>
        <v/>
      </c>
      <c r="L48" s="24" t="str">
        <f t="shared" si="9"/>
        <v/>
      </c>
      <c r="M48" s="24">
        <f>IF(E48="",0,IF(COUNTIF(Evidence!$A$8:$A$20,E48)+COUNTIF(Gate_Matrix!$A$11:$A$18,E48)=1,0,1))</f>
        <v>0</v>
      </c>
      <c r="N48" s="24">
        <f>IF(F48="",0,IF(COUNTIF(Evidence!$A$8:$A$20,F48)+COUNTIF(Gate_Matrix!$A$11:$A$18,F48)=1,0,1))</f>
        <v>0</v>
      </c>
      <c r="O48" s="24">
        <f>IF(G48="",0,IF(COUNTIF(Evidence!$A$8:$A$20,G48)+COUNTIF(Gate_Matrix!$A$11:$A$18,G48)=1,0,1))</f>
        <v>0</v>
      </c>
      <c r="P48" s="24">
        <f>IF(H48="",0,IF(COUNTIF(Evidence!$A$8:$A$20,H48)+COUNTIF(Gate_Matrix!$A$11:$A$18,H48)=1,0,1))</f>
        <v>0</v>
      </c>
      <c r="Q48" s="24">
        <f>IF(I48="",0,IF(COUNTIF(Evidence!$A$8:$A$20,I48)+COUNTIF(Gate_Matrix!$A$11:$A$18,I48)=1,0,1))</f>
        <v>0</v>
      </c>
      <c r="R48" s="24">
        <f>IF(J48="",0,IF(COUNTIF(Evidence!$A$8:$A$20,J48)+COUNTIF(Gate_Matrix!$A$11:$A$18,J48)=1,0,1))</f>
        <v>0</v>
      </c>
      <c r="S48" s="24">
        <f>IF(K48="",0,IF(COUNTIF(Evidence!$A$8:$A$20,K48)+COUNTIF(Gate_Matrix!$A$11:$A$18,K48)=1,0,1))</f>
        <v>0</v>
      </c>
      <c r="T48" s="24">
        <f>IF(L48="",0,IF(COUNTIF(Evidence!$A$8:$A$20,L48)+COUNTIF(Gate_Matrix!$A$11:$A$18,L48)=1,0,1))</f>
        <v>0</v>
      </c>
    </row>
    <row r="49" spans="1:20" ht="33" customHeight="1">
      <c r="A49" s="26" t="s">
        <v>506</v>
      </c>
      <c r="B49" s="26" t="s">
        <v>512</v>
      </c>
      <c r="C49" s="26" t="str">
        <f>Site_Review!M15</f>
        <v>RS01; RS02; E08; E09</v>
      </c>
      <c r="D49" s="26">
        <f t="shared" si="1"/>
        <v>0</v>
      </c>
      <c r="E49" s="26" t="str">
        <f t="shared" si="2"/>
        <v>RS01</v>
      </c>
      <c r="F49" s="26" t="str">
        <f t="shared" si="3"/>
        <v>RS02</v>
      </c>
      <c r="G49" s="26" t="str">
        <f t="shared" si="4"/>
        <v>E08</v>
      </c>
      <c r="H49" s="26" t="str">
        <f t="shared" si="5"/>
        <v>E09</v>
      </c>
      <c r="I49" s="26" t="str">
        <f t="shared" si="6"/>
        <v/>
      </c>
      <c r="J49" s="26" t="str">
        <f t="shared" si="7"/>
        <v/>
      </c>
      <c r="K49" s="26" t="str">
        <f t="shared" si="8"/>
        <v/>
      </c>
      <c r="L49" s="26" t="str">
        <f t="shared" si="9"/>
        <v/>
      </c>
      <c r="M49" s="26">
        <f>IF(E49="",0,IF(COUNTIF(Evidence!$A$8:$A$20,E49)+COUNTIF(Gate_Matrix!$A$11:$A$18,E49)=1,0,1))</f>
        <v>0</v>
      </c>
      <c r="N49" s="26">
        <f>IF(F49="",0,IF(COUNTIF(Evidence!$A$8:$A$20,F49)+COUNTIF(Gate_Matrix!$A$11:$A$18,F49)=1,0,1))</f>
        <v>0</v>
      </c>
      <c r="O49" s="26">
        <f>IF(G49="",0,IF(COUNTIF(Evidence!$A$8:$A$20,G49)+COUNTIF(Gate_Matrix!$A$11:$A$18,G49)=1,0,1))</f>
        <v>0</v>
      </c>
      <c r="P49" s="26">
        <f>IF(H49="",0,IF(COUNTIF(Evidence!$A$8:$A$20,H49)+COUNTIF(Gate_Matrix!$A$11:$A$18,H49)=1,0,1))</f>
        <v>0</v>
      </c>
      <c r="Q49" s="26">
        <f>IF(I49="",0,IF(COUNTIF(Evidence!$A$8:$A$20,I49)+COUNTIF(Gate_Matrix!$A$11:$A$18,I49)=1,0,1))</f>
        <v>0</v>
      </c>
      <c r="R49" s="26">
        <f>IF(J49="",0,IF(COUNTIF(Evidence!$A$8:$A$20,J49)+COUNTIF(Gate_Matrix!$A$11:$A$18,J49)=1,0,1))</f>
        <v>0</v>
      </c>
      <c r="S49" s="26">
        <f>IF(K49="",0,IF(COUNTIF(Evidence!$A$8:$A$20,K49)+COUNTIF(Gate_Matrix!$A$11:$A$18,K49)=1,0,1))</f>
        <v>0</v>
      </c>
      <c r="T49" s="26">
        <f>IF(L49="",0,IF(COUNTIF(Evidence!$A$8:$A$20,L49)+COUNTIF(Gate_Matrix!$A$11:$A$18,L49)=1,0,1))</f>
        <v>0</v>
      </c>
    </row>
    <row r="50" spans="1:20" ht="33" customHeight="1">
      <c r="A50" s="24" t="s">
        <v>506</v>
      </c>
      <c r="B50" s="24" t="s">
        <v>513</v>
      </c>
      <c r="C50" s="24" t="str">
        <f>Site_Review!M16</f>
        <v>RS01; RS02; E07; E08; E09</v>
      </c>
      <c r="D50" s="24">
        <f t="shared" si="1"/>
        <v>0</v>
      </c>
      <c r="E50" s="24" t="str">
        <f t="shared" si="2"/>
        <v>RS01</v>
      </c>
      <c r="F50" s="24" t="str">
        <f t="shared" si="3"/>
        <v>RS02</v>
      </c>
      <c r="G50" s="24" t="str">
        <f t="shared" si="4"/>
        <v>E07</v>
      </c>
      <c r="H50" s="24" t="str">
        <f t="shared" si="5"/>
        <v>E08</v>
      </c>
      <c r="I50" s="24" t="str">
        <f t="shared" si="6"/>
        <v>E09</v>
      </c>
      <c r="J50" s="24" t="str">
        <f t="shared" si="7"/>
        <v/>
      </c>
      <c r="K50" s="24" t="str">
        <f t="shared" si="8"/>
        <v/>
      </c>
      <c r="L50" s="24" t="str">
        <f t="shared" si="9"/>
        <v/>
      </c>
      <c r="M50" s="24">
        <f>IF(E50="",0,IF(COUNTIF(Evidence!$A$8:$A$20,E50)+COUNTIF(Gate_Matrix!$A$11:$A$18,E50)=1,0,1))</f>
        <v>0</v>
      </c>
      <c r="N50" s="24">
        <f>IF(F50="",0,IF(COUNTIF(Evidence!$A$8:$A$20,F50)+COUNTIF(Gate_Matrix!$A$11:$A$18,F50)=1,0,1))</f>
        <v>0</v>
      </c>
      <c r="O50" s="24">
        <f>IF(G50="",0,IF(COUNTIF(Evidence!$A$8:$A$20,G50)+COUNTIF(Gate_Matrix!$A$11:$A$18,G50)=1,0,1))</f>
        <v>0</v>
      </c>
      <c r="P50" s="24">
        <f>IF(H50="",0,IF(COUNTIF(Evidence!$A$8:$A$20,H50)+COUNTIF(Gate_Matrix!$A$11:$A$18,H50)=1,0,1))</f>
        <v>0</v>
      </c>
      <c r="Q50" s="24">
        <f>IF(I50="",0,IF(COUNTIF(Evidence!$A$8:$A$20,I50)+COUNTIF(Gate_Matrix!$A$11:$A$18,I50)=1,0,1))</f>
        <v>0</v>
      </c>
      <c r="R50" s="24">
        <f>IF(J50="",0,IF(COUNTIF(Evidence!$A$8:$A$20,J50)+COUNTIF(Gate_Matrix!$A$11:$A$18,J50)=1,0,1))</f>
        <v>0</v>
      </c>
      <c r="S50" s="24">
        <f>IF(K50="",0,IF(COUNTIF(Evidence!$A$8:$A$20,K50)+COUNTIF(Gate_Matrix!$A$11:$A$18,K50)=1,0,1))</f>
        <v>0</v>
      </c>
      <c r="T50" s="24">
        <f>IF(L50="",0,IF(COUNTIF(Evidence!$A$8:$A$20,L50)+COUNTIF(Gate_Matrix!$A$11:$A$18,L50)=1,0,1))</f>
        <v>0</v>
      </c>
    </row>
    <row r="51" spans="1:20" ht="33" customHeight="1">
      <c r="A51" s="26" t="s">
        <v>506</v>
      </c>
      <c r="B51" s="26" t="s">
        <v>514</v>
      </c>
      <c r="C51" s="26" t="str">
        <f>Site_Review!M17</f>
        <v>RS01; RS02; E07; E08; E09</v>
      </c>
      <c r="D51" s="26">
        <f t="shared" si="1"/>
        <v>0</v>
      </c>
      <c r="E51" s="26" t="str">
        <f t="shared" si="2"/>
        <v>RS01</v>
      </c>
      <c r="F51" s="26" t="str">
        <f t="shared" si="3"/>
        <v>RS02</v>
      </c>
      <c r="G51" s="26" t="str">
        <f t="shared" si="4"/>
        <v>E07</v>
      </c>
      <c r="H51" s="26" t="str">
        <f t="shared" si="5"/>
        <v>E08</v>
      </c>
      <c r="I51" s="26" t="str">
        <f t="shared" si="6"/>
        <v>E09</v>
      </c>
      <c r="J51" s="26" t="str">
        <f t="shared" si="7"/>
        <v/>
      </c>
      <c r="K51" s="26" t="str">
        <f t="shared" si="8"/>
        <v/>
      </c>
      <c r="L51" s="26" t="str">
        <f t="shared" si="9"/>
        <v/>
      </c>
      <c r="M51" s="26">
        <f>IF(E51="",0,IF(COUNTIF(Evidence!$A$8:$A$20,E51)+COUNTIF(Gate_Matrix!$A$11:$A$18,E51)=1,0,1))</f>
        <v>0</v>
      </c>
      <c r="N51" s="26">
        <f>IF(F51="",0,IF(COUNTIF(Evidence!$A$8:$A$20,F51)+COUNTIF(Gate_Matrix!$A$11:$A$18,F51)=1,0,1))</f>
        <v>0</v>
      </c>
      <c r="O51" s="26">
        <f>IF(G51="",0,IF(COUNTIF(Evidence!$A$8:$A$20,G51)+COUNTIF(Gate_Matrix!$A$11:$A$18,G51)=1,0,1))</f>
        <v>0</v>
      </c>
      <c r="P51" s="26">
        <f>IF(H51="",0,IF(COUNTIF(Evidence!$A$8:$A$20,H51)+COUNTIF(Gate_Matrix!$A$11:$A$18,H51)=1,0,1))</f>
        <v>0</v>
      </c>
      <c r="Q51" s="26">
        <f>IF(I51="",0,IF(COUNTIF(Evidence!$A$8:$A$20,I51)+COUNTIF(Gate_Matrix!$A$11:$A$18,I51)=1,0,1))</f>
        <v>0</v>
      </c>
      <c r="R51" s="26">
        <f>IF(J51="",0,IF(COUNTIF(Evidence!$A$8:$A$20,J51)+COUNTIF(Gate_Matrix!$A$11:$A$18,J51)=1,0,1))</f>
        <v>0</v>
      </c>
      <c r="S51" s="26">
        <f>IF(K51="",0,IF(COUNTIF(Evidence!$A$8:$A$20,K51)+COUNTIF(Gate_Matrix!$A$11:$A$18,K51)=1,0,1))</f>
        <v>0</v>
      </c>
      <c r="T51" s="26">
        <f>IF(L51="",0,IF(COUNTIF(Evidence!$A$8:$A$20,L51)+COUNTIF(Gate_Matrix!$A$11:$A$18,L51)=1,0,1))</f>
        <v>0</v>
      </c>
    </row>
    <row r="52" spans="1:20" ht="33" customHeight="1">
      <c r="A52" s="24" t="s">
        <v>506</v>
      </c>
      <c r="B52" s="24" t="s">
        <v>515</v>
      </c>
      <c r="C52" s="24" t="str">
        <f>Site_Review!M18</f>
        <v>RS01; RS02; E07; E08; E09</v>
      </c>
      <c r="D52" s="24">
        <f t="shared" si="1"/>
        <v>0</v>
      </c>
      <c r="E52" s="24" t="str">
        <f t="shared" si="2"/>
        <v>RS01</v>
      </c>
      <c r="F52" s="24" t="str">
        <f t="shared" si="3"/>
        <v>RS02</v>
      </c>
      <c r="G52" s="24" t="str">
        <f t="shared" si="4"/>
        <v>E07</v>
      </c>
      <c r="H52" s="24" t="str">
        <f t="shared" si="5"/>
        <v>E08</v>
      </c>
      <c r="I52" s="24" t="str">
        <f t="shared" si="6"/>
        <v>E09</v>
      </c>
      <c r="J52" s="24" t="str">
        <f t="shared" si="7"/>
        <v/>
      </c>
      <c r="K52" s="24" t="str">
        <f t="shared" si="8"/>
        <v/>
      </c>
      <c r="L52" s="24" t="str">
        <f t="shared" si="9"/>
        <v/>
      </c>
      <c r="M52" s="24">
        <f>IF(E52="",0,IF(COUNTIF(Evidence!$A$8:$A$20,E52)+COUNTIF(Gate_Matrix!$A$11:$A$18,E52)=1,0,1))</f>
        <v>0</v>
      </c>
      <c r="N52" s="24">
        <f>IF(F52="",0,IF(COUNTIF(Evidence!$A$8:$A$20,F52)+COUNTIF(Gate_Matrix!$A$11:$A$18,F52)=1,0,1))</f>
        <v>0</v>
      </c>
      <c r="O52" s="24">
        <f>IF(G52="",0,IF(COUNTIF(Evidence!$A$8:$A$20,G52)+COUNTIF(Gate_Matrix!$A$11:$A$18,G52)=1,0,1))</f>
        <v>0</v>
      </c>
      <c r="P52" s="24">
        <f>IF(H52="",0,IF(COUNTIF(Evidence!$A$8:$A$20,H52)+COUNTIF(Gate_Matrix!$A$11:$A$18,H52)=1,0,1))</f>
        <v>0</v>
      </c>
      <c r="Q52" s="24">
        <f>IF(I52="",0,IF(COUNTIF(Evidence!$A$8:$A$20,I52)+COUNTIF(Gate_Matrix!$A$11:$A$18,I52)=1,0,1))</f>
        <v>0</v>
      </c>
      <c r="R52" s="24">
        <f>IF(J52="",0,IF(COUNTIF(Evidence!$A$8:$A$20,J52)+COUNTIF(Gate_Matrix!$A$11:$A$18,J52)=1,0,1))</f>
        <v>0</v>
      </c>
      <c r="S52" s="24">
        <f>IF(K52="",0,IF(COUNTIF(Evidence!$A$8:$A$20,K52)+COUNTIF(Gate_Matrix!$A$11:$A$18,K52)=1,0,1))</f>
        <v>0</v>
      </c>
      <c r="T52" s="24">
        <f>IF(L52="",0,IF(COUNTIF(Evidence!$A$8:$A$20,L52)+COUNTIF(Gate_Matrix!$A$11:$A$18,L52)=1,0,1))</f>
        <v>0</v>
      </c>
    </row>
    <row r="53" spans="1:20" ht="33" customHeight="1">
      <c r="A53" s="26" t="s">
        <v>506</v>
      </c>
      <c r="B53" s="26" t="s">
        <v>516</v>
      </c>
      <c r="C53" s="26" t="str">
        <f>Site_Review!M19</f>
        <v>RS01; RS02; E07; E08; E09</v>
      </c>
      <c r="D53" s="26">
        <f t="shared" si="1"/>
        <v>0</v>
      </c>
      <c r="E53" s="26" t="str">
        <f t="shared" si="2"/>
        <v>RS01</v>
      </c>
      <c r="F53" s="26" t="str">
        <f t="shared" si="3"/>
        <v>RS02</v>
      </c>
      <c r="G53" s="26" t="str">
        <f t="shared" si="4"/>
        <v>E07</v>
      </c>
      <c r="H53" s="26" t="str">
        <f t="shared" si="5"/>
        <v>E08</v>
      </c>
      <c r="I53" s="26" t="str">
        <f t="shared" si="6"/>
        <v>E09</v>
      </c>
      <c r="J53" s="26" t="str">
        <f t="shared" si="7"/>
        <v/>
      </c>
      <c r="K53" s="26" t="str">
        <f t="shared" si="8"/>
        <v/>
      </c>
      <c r="L53" s="26" t="str">
        <f t="shared" si="9"/>
        <v/>
      </c>
      <c r="M53" s="26">
        <f>IF(E53="",0,IF(COUNTIF(Evidence!$A$8:$A$20,E53)+COUNTIF(Gate_Matrix!$A$11:$A$18,E53)=1,0,1))</f>
        <v>0</v>
      </c>
      <c r="N53" s="26">
        <f>IF(F53="",0,IF(COUNTIF(Evidence!$A$8:$A$20,F53)+COUNTIF(Gate_Matrix!$A$11:$A$18,F53)=1,0,1))</f>
        <v>0</v>
      </c>
      <c r="O53" s="26">
        <f>IF(G53="",0,IF(COUNTIF(Evidence!$A$8:$A$20,G53)+COUNTIF(Gate_Matrix!$A$11:$A$18,G53)=1,0,1))</f>
        <v>0</v>
      </c>
      <c r="P53" s="26">
        <f>IF(H53="",0,IF(COUNTIF(Evidence!$A$8:$A$20,H53)+COUNTIF(Gate_Matrix!$A$11:$A$18,H53)=1,0,1))</f>
        <v>0</v>
      </c>
      <c r="Q53" s="26">
        <f>IF(I53="",0,IF(COUNTIF(Evidence!$A$8:$A$20,I53)+COUNTIF(Gate_Matrix!$A$11:$A$18,I53)=1,0,1))</f>
        <v>0</v>
      </c>
      <c r="R53" s="26">
        <f>IF(J53="",0,IF(COUNTIF(Evidence!$A$8:$A$20,J53)+COUNTIF(Gate_Matrix!$A$11:$A$18,J53)=1,0,1))</f>
        <v>0</v>
      </c>
      <c r="S53" s="26">
        <f>IF(K53="",0,IF(COUNTIF(Evidence!$A$8:$A$20,K53)+COUNTIF(Gate_Matrix!$A$11:$A$18,K53)=1,0,1))</f>
        <v>0</v>
      </c>
      <c r="T53" s="26">
        <f>IF(L53="",0,IF(COUNTIF(Evidence!$A$8:$A$20,L53)+COUNTIF(Gate_Matrix!$A$11:$A$18,L53)=1,0,1))</f>
        <v>0</v>
      </c>
    </row>
    <row r="54" spans="1:20" ht="33" customHeight="1">
      <c r="A54" s="24" t="s">
        <v>506</v>
      </c>
      <c r="B54" s="24" t="s">
        <v>517</v>
      </c>
      <c r="C54" s="24" t="str">
        <f>Site_Review!M20</f>
        <v>RS01; RS02; E08; E09</v>
      </c>
      <c r="D54" s="24">
        <f t="shared" si="1"/>
        <v>0</v>
      </c>
      <c r="E54" s="24" t="str">
        <f t="shared" si="2"/>
        <v>RS01</v>
      </c>
      <c r="F54" s="24" t="str">
        <f t="shared" si="3"/>
        <v>RS02</v>
      </c>
      <c r="G54" s="24" t="str">
        <f t="shared" si="4"/>
        <v>E08</v>
      </c>
      <c r="H54" s="24" t="str">
        <f t="shared" si="5"/>
        <v>E09</v>
      </c>
      <c r="I54" s="24" t="str">
        <f t="shared" si="6"/>
        <v/>
      </c>
      <c r="J54" s="24" t="str">
        <f t="shared" si="7"/>
        <v/>
      </c>
      <c r="K54" s="24" t="str">
        <f t="shared" si="8"/>
        <v/>
      </c>
      <c r="L54" s="24" t="str">
        <f t="shared" si="9"/>
        <v/>
      </c>
      <c r="M54" s="24">
        <f>IF(E54="",0,IF(COUNTIF(Evidence!$A$8:$A$20,E54)+COUNTIF(Gate_Matrix!$A$11:$A$18,E54)=1,0,1))</f>
        <v>0</v>
      </c>
      <c r="N54" s="24">
        <f>IF(F54="",0,IF(COUNTIF(Evidence!$A$8:$A$20,F54)+COUNTIF(Gate_Matrix!$A$11:$A$18,F54)=1,0,1))</f>
        <v>0</v>
      </c>
      <c r="O54" s="24">
        <f>IF(G54="",0,IF(COUNTIF(Evidence!$A$8:$A$20,G54)+COUNTIF(Gate_Matrix!$A$11:$A$18,G54)=1,0,1))</f>
        <v>0</v>
      </c>
      <c r="P54" s="24">
        <f>IF(H54="",0,IF(COUNTIF(Evidence!$A$8:$A$20,H54)+COUNTIF(Gate_Matrix!$A$11:$A$18,H54)=1,0,1))</f>
        <v>0</v>
      </c>
      <c r="Q54" s="24">
        <f>IF(I54="",0,IF(COUNTIF(Evidence!$A$8:$A$20,I54)+COUNTIF(Gate_Matrix!$A$11:$A$18,I54)=1,0,1))</f>
        <v>0</v>
      </c>
      <c r="R54" s="24">
        <f>IF(J54="",0,IF(COUNTIF(Evidence!$A$8:$A$20,J54)+COUNTIF(Gate_Matrix!$A$11:$A$18,J54)=1,0,1))</f>
        <v>0</v>
      </c>
      <c r="S54" s="24">
        <f>IF(K54="",0,IF(COUNTIF(Evidence!$A$8:$A$20,K54)+COUNTIF(Gate_Matrix!$A$11:$A$18,K54)=1,0,1))</f>
        <v>0</v>
      </c>
      <c r="T54" s="24">
        <f>IF(L54="",0,IF(COUNTIF(Evidence!$A$8:$A$20,L54)+COUNTIF(Gate_Matrix!$A$11:$A$18,L54)=1,0,1))</f>
        <v>0</v>
      </c>
    </row>
    <row r="55" spans="1:20" ht="33" customHeight="1">
      <c r="A55" s="26" t="s">
        <v>506</v>
      </c>
      <c r="B55" s="26" t="s">
        <v>518</v>
      </c>
      <c r="C55" s="26" t="str">
        <f>Site_Review!M21</f>
        <v>RS01; RS02; E07; E08; E09</v>
      </c>
      <c r="D55" s="26">
        <f t="shared" si="1"/>
        <v>0</v>
      </c>
      <c r="E55" s="26" t="str">
        <f t="shared" si="2"/>
        <v>RS01</v>
      </c>
      <c r="F55" s="26" t="str">
        <f t="shared" si="3"/>
        <v>RS02</v>
      </c>
      <c r="G55" s="26" t="str">
        <f t="shared" si="4"/>
        <v>E07</v>
      </c>
      <c r="H55" s="26" t="str">
        <f t="shared" si="5"/>
        <v>E08</v>
      </c>
      <c r="I55" s="26" t="str">
        <f t="shared" si="6"/>
        <v>E09</v>
      </c>
      <c r="J55" s="26" t="str">
        <f t="shared" si="7"/>
        <v/>
      </c>
      <c r="K55" s="26" t="str">
        <f t="shared" si="8"/>
        <v/>
      </c>
      <c r="L55" s="26" t="str">
        <f t="shared" si="9"/>
        <v/>
      </c>
      <c r="M55" s="26">
        <f>IF(E55="",0,IF(COUNTIF(Evidence!$A$8:$A$20,E55)+COUNTIF(Gate_Matrix!$A$11:$A$18,E55)=1,0,1))</f>
        <v>0</v>
      </c>
      <c r="N55" s="26">
        <f>IF(F55="",0,IF(COUNTIF(Evidence!$A$8:$A$20,F55)+COUNTIF(Gate_Matrix!$A$11:$A$18,F55)=1,0,1))</f>
        <v>0</v>
      </c>
      <c r="O55" s="26">
        <f>IF(G55="",0,IF(COUNTIF(Evidence!$A$8:$A$20,G55)+COUNTIF(Gate_Matrix!$A$11:$A$18,G55)=1,0,1))</f>
        <v>0</v>
      </c>
      <c r="P55" s="26">
        <f>IF(H55="",0,IF(COUNTIF(Evidence!$A$8:$A$20,H55)+COUNTIF(Gate_Matrix!$A$11:$A$18,H55)=1,0,1))</f>
        <v>0</v>
      </c>
      <c r="Q55" s="26">
        <f>IF(I55="",0,IF(COUNTIF(Evidence!$A$8:$A$20,I55)+COUNTIF(Gate_Matrix!$A$11:$A$18,I55)=1,0,1))</f>
        <v>0</v>
      </c>
      <c r="R55" s="26">
        <f>IF(J55="",0,IF(COUNTIF(Evidence!$A$8:$A$20,J55)+COUNTIF(Gate_Matrix!$A$11:$A$18,J55)=1,0,1))</f>
        <v>0</v>
      </c>
      <c r="S55" s="26">
        <f>IF(K55="",0,IF(COUNTIF(Evidence!$A$8:$A$20,K55)+COUNTIF(Gate_Matrix!$A$11:$A$18,K55)=1,0,1))</f>
        <v>0</v>
      </c>
      <c r="T55" s="26">
        <f>IF(L55="",0,IF(COUNTIF(Evidence!$A$8:$A$20,L55)+COUNTIF(Gate_Matrix!$A$11:$A$18,L55)=1,0,1))</f>
        <v>0</v>
      </c>
    </row>
    <row r="56" spans="1:20" ht="33" customHeight="1">
      <c r="A56" s="24" t="s">
        <v>506</v>
      </c>
      <c r="B56" s="24" t="s">
        <v>519</v>
      </c>
      <c r="C56" s="24" t="str">
        <f>Site_Review!M22</f>
        <v>RS01; RS02; E08; E09</v>
      </c>
      <c r="D56" s="24">
        <f t="shared" si="1"/>
        <v>0</v>
      </c>
      <c r="E56" s="24" t="str">
        <f t="shared" si="2"/>
        <v>RS01</v>
      </c>
      <c r="F56" s="24" t="str">
        <f t="shared" si="3"/>
        <v>RS02</v>
      </c>
      <c r="G56" s="24" t="str">
        <f t="shared" si="4"/>
        <v>E08</v>
      </c>
      <c r="H56" s="24" t="str">
        <f t="shared" si="5"/>
        <v>E09</v>
      </c>
      <c r="I56" s="24" t="str">
        <f t="shared" si="6"/>
        <v/>
      </c>
      <c r="J56" s="24" t="str">
        <f t="shared" si="7"/>
        <v/>
      </c>
      <c r="K56" s="24" t="str">
        <f t="shared" si="8"/>
        <v/>
      </c>
      <c r="L56" s="24" t="str">
        <f t="shared" si="9"/>
        <v/>
      </c>
      <c r="M56" s="24">
        <f>IF(E56="",0,IF(COUNTIF(Evidence!$A$8:$A$20,E56)+COUNTIF(Gate_Matrix!$A$11:$A$18,E56)=1,0,1))</f>
        <v>0</v>
      </c>
      <c r="N56" s="24">
        <f>IF(F56="",0,IF(COUNTIF(Evidence!$A$8:$A$20,F56)+COUNTIF(Gate_Matrix!$A$11:$A$18,F56)=1,0,1))</f>
        <v>0</v>
      </c>
      <c r="O56" s="24">
        <f>IF(G56="",0,IF(COUNTIF(Evidence!$A$8:$A$20,G56)+COUNTIF(Gate_Matrix!$A$11:$A$18,G56)=1,0,1))</f>
        <v>0</v>
      </c>
      <c r="P56" s="24">
        <f>IF(H56="",0,IF(COUNTIF(Evidence!$A$8:$A$20,H56)+COUNTIF(Gate_Matrix!$A$11:$A$18,H56)=1,0,1))</f>
        <v>0</v>
      </c>
      <c r="Q56" s="24">
        <f>IF(I56="",0,IF(COUNTIF(Evidence!$A$8:$A$20,I56)+COUNTIF(Gate_Matrix!$A$11:$A$18,I56)=1,0,1))</f>
        <v>0</v>
      </c>
      <c r="R56" s="24">
        <f>IF(J56="",0,IF(COUNTIF(Evidence!$A$8:$A$20,J56)+COUNTIF(Gate_Matrix!$A$11:$A$18,J56)=1,0,1))</f>
        <v>0</v>
      </c>
      <c r="S56" s="24">
        <f>IF(K56="",0,IF(COUNTIF(Evidence!$A$8:$A$20,K56)+COUNTIF(Gate_Matrix!$A$11:$A$18,K56)=1,0,1))</f>
        <v>0</v>
      </c>
      <c r="T56" s="24">
        <f>IF(L56="",0,IF(COUNTIF(Evidence!$A$8:$A$20,L56)+COUNTIF(Gate_Matrix!$A$11:$A$18,L56)=1,0,1))</f>
        <v>0</v>
      </c>
    </row>
    <row r="57" spans="1:20" ht="33" customHeight="1">
      <c r="A57" s="26" t="s">
        <v>506</v>
      </c>
      <c r="B57" s="26" t="s">
        <v>520</v>
      </c>
      <c r="C57" s="26" t="str">
        <f>Site_Review!M23</f>
        <v>RS01; RS02; E08; E09</v>
      </c>
      <c r="D57" s="26">
        <f t="shared" si="1"/>
        <v>0</v>
      </c>
      <c r="E57" s="26" t="str">
        <f t="shared" si="2"/>
        <v>RS01</v>
      </c>
      <c r="F57" s="26" t="str">
        <f t="shared" si="3"/>
        <v>RS02</v>
      </c>
      <c r="G57" s="26" t="str">
        <f t="shared" si="4"/>
        <v>E08</v>
      </c>
      <c r="H57" s="26" t="str">
        <f t="shared" si="5"/>
        <v>E09</v>
      </c>
      <c r="I57" s="26" t="str">
        <f t="shared" si="6"/>
        <v/>
      </c>
      <c r="J57" s="26" t="str">
        <f t="shared" si="7"/>
        <v/>
      </c>
      <c r="K57" s="26" t="str">
        <f t="shared" si="8"/>
        <v/>
      </c>
      <c r="L57" s="26" t="str">
        <f t="shared" si="9"/>
        <v/>
      </c>
      <c r="M57" s="26">
        <f>IF(E57="",0,IF(COUNTIF(Evidence!$A$8:$A$20,E57)+COUNTIF(Gate_Matrix!$A$11:$A$18,E57)=1,0,1))</f>
        <v>0</v>
      </c>
      <c r="N57" s="26">
        <f>IF(F57="",0,IF(COUNTIF(Evidence!$A$8:$A$20,F57)+COUNTIF(Gate_Matrix!$A$11:$A$18,F57)=1,0,1))</f>
        <v>0</v>
      </c>
      <c r="O57" s="26">
        <f>IF(G57="",0,IF(COUNTIF(Evidence!$A$8:$A$20,G57)+COUNTIF(Gate_Matrix!$A$11:$A$18,G57)=1,0,1))</f>
        <v>0</v>
      </c>
      <c r="P57" s="26">
        <f>IF(H57="",0,IF(COUNTIF(Evidence!$A$8:$A$20,H57)+COUNTIF(Gate_Matrix!$A$11:$A$18,H57)=1,0,1))</f>
        <v>0</v>
      </c>
      <c r="Q57" s="26">
        <f>IF(I57="",0,IF(COUNTIF(Evidence!$A$8:$A$20,I57)+COUNTIF(Gate_Matrix!$A$11:$A$18,I57)=1,0,1))</f>
        <v>0</v>
      </c>
      <c r="R57" s="26">
        <f>IF(J57="",0,IF(COUNTIF(Evidence!$A$8:$A$20,J57)+COUNTIF(Gate_Matrix!$A$11:$A$18,J57)=1,0,1))</f>
        <v>0</v>
      </c>
      <c r="S57" s="26">
        <f>IF(K57="",0,IF(COUNTIF(Evidence!$A$8:$A$20,K57)+COUNTIF(Gate_Matrix!$A$11:$A$18,K57)=1,0,1))</f>
        <v>0</v>
      </c>
      <c r="T57" s="26">
        <f>IF(L57="",0,IF(COUNTIF(Evidence!$A$8:$A$20,L57)+COUNTIF(Gate_Matrix!$A$11:$A$18,L57)=1,0,1))</f>
        <v>0</v>
      </c>
    </row>
    <row r="58" spans="1:20" ht="33" customHeight="1">
      <c r="A58" s="24" t="s">
        <v>506</v>
      </c>
      <c r="B58" s="24" t="s">
        <v>521</v>
      </c>
      <c r="C58" s="24" t="str">
        <f>Site_Review!M24</f>
        <v>RS01; RS02; E08; E09</v>
      </c>
      <c r="D58" s="24">
        <f t="shared" si="1"/>
        <v>0</v>
      </c>
      <c r="E58" s="24" t="str">
        <f t="shared" si="2"/>
        <v>RS01</v>
      </c>
      <c r="F58" s="24" t="str">
        <f t="shared" si="3"/>
        <v>RS02</v>
      </c>
      <c r="G58" s="24" t="str">
        <f t="shared" si="4"/>
        <v>E08</v>
      </c>
      <c r="H58" s="24" t="str">
        <f t="shared" si="5"/>
        <v>E09</v>
      </c>
      <c r="I58" s="24" t="str">
        <f t="shared" si="6"/>
        <v/>
      </c>
      <c r="J58" s="24" t="str">
        <f t="shared" si="7"/>
        <v/>
      </c>
      <c r="K58" s="24" t="str">
        <f t="shared" si="8"/>
        <v/>
      </c>
      <c r="L58" s="24" t="str">
        <f t="shared" si="9"/>
        <v/>
      </c>
      <c r="M58" s="24">
        <f>IF(E58="",0,IF(COUNTIF(Evidence!$A$8:$A$20,E58)+COUNTIF(Gate_Matrix!$A$11:$A$18,E58)=1,0,1))</f>
        <v>0</v>
      </c>
      <c r="N58" s="24">
        <f>IF(F58="",0,IF(COUNTIF(Evidence!$A$8:$A$20,F58)+COUNTIF(Gate_Matrix!$A$11:$A$18,F58)=1,0,1))</f>
        <v>0</v>
      </c>
      <c r="O58" s="24">
        <f>IF(G58="",0,IF(COUNTIF(Evidence!$A$8:$A$20,G58)+COUNTIF(Gate_Matrix!$A$11:$A$18,G58)=1,0,1))</f>
        <v>0</v>
      </c>
      <c r="P58" s="24">
        <f>IF(H58="",0,IF(COUNTIF(Evidence!$A$8:$A$20,H58)+COUNTIF(Gate_Matrix!$A$11:$A$18,H58)=1,0,1))</f>
        <v>0</v>
      </c>
      <c r="Q58" s="24">
        <f>IF(I58="",0,IF(COUNTIF(Evidence!$A$8:$A$20,I58)+COUNTIF(Gate_Matrix!$A$11:$A$18,I58)=1,0,1))</f>
        <v>0</v>
      </c>
      <c r="R58" s="24">
        <f>IF(J58="",0,IF(COUNTIF(Evidence!$A$8:$A$20,J58)+COUNTIF(Gate_Matrix!$A$11:$A$18,J58)=1,0,1))</f>
        <v>0</v>
      </c>
      <c r="S58" s="24">
        <f>IF(K58="",0,IF(COUNTIF(Evidence!$A$8:$A$20,K58)+COUNTIF(Gate_Matrix!$A$11:$A$18,K58)=1,0,1))</f>
        <v>0</v>
      </c>
      <c r="T58" s="24">
        <f>IF(L58="",0,IF(COUNTIF(Evidence!$A$8:$A$20,L58)+COUNTIF(Gate_Matrix!$A$11:$A$18,L58)=1,0,1))</f>
        <v>0</v>
      </c>
    </row>
    <row r="59" spans="1:20" ht="33" customHeight="1">
      <c r="A59" s="26" t="s">
        <v>506</v>
      </c>
      <c r="B59" s="26" t="s">
        <v>522</v>
      </c>
      <c r="C59" s="26" t="str">
        <f>Site_Review!M25</f>
        <v>RS01; RS02; E08; E09</v>
      </c>
      <c r="D59" s="26">
        <f t="shared" si="1"/>
        <v>0</v>
      </c>
      <c r="E59" s="26" t="str">
        <f t="shared" si="2"/>
        <v>RS01</v>
      </c>
      <c r="F59" s="26" t="str">
        <f t="shared" si="3"/>
        <v>RS02</v>
      </c>
      <c r="G59" s="26" t="str">
        <f t="shared" si="4"/>
        <v>E08</v>
      </c>
      <c r="H59" s="26" t="str">
        <f t="shared" si="5"/>
        <v>E09</v>
      </c>
      <c r="I59" s="26" t="str">
        <f t="shared" si="6"/>
        <v/>
      </c>
      <c r="J59" s="26" t="str">
        <f t="shared" si="7"/>
        <v/>
      </c>
      <c r="K59" s="26" t="str">
        <f t="shared" si="8"/>
        <v/>
      </c>
      <c r="L59" s="26" t="str">
        <f t="shared" si="9"/>
        <v/>
      </c>
      <c r="M59" s="26">
        <f>IF(E59="",0,IF(COUNTIF(Evidence!$A$8:$A$20,E59)+COUNTIF(Gate_Matrix!$A$11:$A$18,E59)=1,0,1))</f>
        <v>0</v>
      </c>
      <c r="N59" s="26">
        <f>IF(F59="",0,IF(COUNTIF(Evidence!$A$8:$A$20,F59)+COUNTIF(Gate_Matrix!$A$11:$A$18,F59)=1,0,1))</f>
        <v>0</v>
      </c>
      <c r="O59" s="26">
        <f>IF(G59="",0,IF(COUNTIF(Evidence!$A$8:$A$20,G59)+COUNTIF(Gate_Matrix!$A$11:$A$18,G59)=1,0,1))</f>
        <v>0</v>
      </c>
      <c r="P59" s="26">
        <f>IF(H59="",0,IF(COUNTIF(Evidence!$A$8:$A$20,H59)+COUNTIF(Gate_Matrix!$A$11:$A$18,H59)=1,0,1))</f>
        <v>0</v>
      </c>
      <c r="Q59" s="26">
        <f>IF(I59="",0,IF(COUNTIF(Evidence!$A$8:$A$20,I59)+COUNTIF(Gate_Matrix!$A$11:$A$18,I59)=1,0,1))</f>
        <v>0</v>
      </c>
      <c r="R59" s="26">
        <f>IF(J59="",0,IF(COUNTIF(Evidence!$A$8:$A$20,J59)+COUNTIF(Gate_Matrix!$A$11:$A$18,J59)=1,0,1))</f>
        <v>0</v>
      </c>
      <c r="S59" s="26">
        <f>IF(K59="",0,IF(COUNTIF(Evidence!$A$8:$A$20,K59)+COUNTIF(Gate_Matrix!$A$11:$A$18,K59)=1,0,1))</f>
        <v>0</v>
      </c>
      <c r="T59" s="26">
        <f>IF(L59="",0,IF(COUNTIF(Evidence!$A$8:$A$20,L59)+COUNTIF(Gate_Matrix!$A$11:$A$18,L59)=1,0,1))</f>
        <v>0</v>
      </c>
    </row>
    <row r="60" spans="1:20" ht="22.0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22.0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</sheetData>
  <conditionalFormatting sqref="F8:F12">
    <cfRule type="containsText" dxfId="0" priority="1" operator="containsText" text="FAIL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85"/>
  <sheetViews>
    <sheetView showGridLines="0" workbookViewId="0"/>
  </sheetViews>
  <sheetFormatPr defaultRowHeight="13.8"/>
  <cols>
    <col min="1" max="1" width="16" customWidth="1"/>
    <col min="2" max="2" width="22" customWidth="1"/>
    <col min="3" max="3" width="24" customWidth="1"/>
    <col min="4" max="4" width="27" customWidth="1"/>
    <col min="5" max="5" width="22" customWidth="1"/>
    <col min="6" max="6" width="75" customWidth="1"/>
    <col min="7" max="7" width="28" customWidth="1"/>
  </cols>
  <sheetData>
    <row r="1" spans="1:7" ht="22.05" customHeight="1">
      <c r="A1" s="2"/>
      <c r="B1" s="2"/>
      <c r="C1" s="2"/>
      <c r="D1" s="2"/>
      <c r="E1" s="2"/>
      <c r="F1" s="2"/>
      <c r="G1" s="2"/>
    </row>
    <row r="2" spans="1:7" ht="22.05" customHeight="1">
      <c r="A2" s="3" t="s">
        <v>523</v>
      </c>
      <c r="B2" s="2"/>
      <c r="C2" s="2"/>
      <c r="D2" s="2"/>
      <c r="E2" s="2"/>
      <c r="F2" s="2"/>
      <c r="G2" s="2"/>
    </row>
    <row r="3" spans="1:7" ht="22.05" customHeight="1">
      <c r="A3" s="4"/>
      <c r="B3" s="4"/>
      <c r="C3" s="4"/>
      <c r="D3" s="4"/>
      <c r="E3" s="4"/>
      <c r="F3" s="4"/>
      <c r="G3" s="4"/>
    </row>
    <row r="4" spans="1:7" ht="22.05" customHeight="1">
      <c r="A4" s="2" t="s">
        <v>524</v>
      </c>
      <c r="B4" s="2"/>
      <c r="C4" s="2"/>
      <c r="D4" s="2"/>
      <c r="E4" s="2"/>
      <c r="F4" s="2"/>
      <c r="G4" s="2"/>
    </row>
    <row r="5" spans="1:7" ht="22.05" customHeight="1">
      <c r="A5" s="2" t="s">
        <v>525</v>
      </c>
      <c r="B5" s="2"/>
      <c r="C5" s="2"/>
      <c r="D5" s="2"/>
      <c r="E5" s="2"/>
      <c r="F5" s="2"/>
      <c r="G5" s="2"/>
    </row>
    <row r="6" spans="1:7" ht="22.05" customHeight="1">
      <c r="A6" s="2"/>
      <c r="B6" s="2"/>
      <c r="C6" s="2"/>
      <c r="D6" s="2"/>
      <c r="E6" s="2"/>
      <c r="F6" s="2"/>
      <c r="G6" s="2"/>
    </row>
    <row r="7" spans="1:7" ht="36" customHeight="1">
      <c r="A7" s="13" t="s">
        <v>158</v>
      </c>
      <c r="B7" s="13" t="s">
        <v>137</v>
      </c>
      <c r="C7" s="13" t="s">
        <v>526</v>
      </c>
      <c r="D7" s="13" t="s">
        <v>527</v>
      </c>
      <c r="E7" s="13" t="s">
        <v>528</v>
      </c>
      <c r="F7" s="13" t="s">
        <v>529</v>
      </c>
      <c r="G7" s="13" t="s">
        <v>253</v>
      </c>
    </row>
    <row r="8" spans="1:7" ht="30" customHeight="1">
      <c r="A8" s="24" t="s">
        <v>530</v>
      </c>
      <c r="B8" s="24" t="s">
        <v>531</v>
      </c>
      <c r="C8" s="24" t="s">
        <v>182</v>
      </c>
      <c r="D8" s="24"/>
      <c r="E8" s="24">
        <v>0</v>
      </c>
      <c r="F8" s="28" t="s">
        <v>532</v>
      </c>
      <c r="G8" s="24" t="s">
        <v>299</v>
      </c>
    </row>
    <row r="9" spans="1:7" ht="30" customHeight="1">
      <c r="A9" s="26" t="s">
        <v>533</v>
      </c>
      <c r="B9" s="26" t="s">
        <v>534</v>
      </c>
      <c r="C9" s="26" t="s">
        <v>172</v>
      </c>
      <c r="D9" s="26"/>
      <c r="E9" s="26">
        <v>0</v>
      </c>
      <c r="F9" s="29" t="s">
        <v>535</v>
      </c>
      <c r="G9" s="26" t="s">
        <v>299</v>
      </c>
    </row>
    <row r="10" spans="1:7" ht="30" customHeight="1">
      <c r="A10" s="24" t="s">
        <v>536</v>
      </c>
      <c r="B10" s="24" t="s">
        <v>143</v>
      </c>
      <c r="C10" s="24" t="s">
        <v>172</v>
      </c>
      <c r="D10" s="24"/>
      <c r="E10" s="24">
        <v>0</v>
      </c>
      <c r="F10" s="28" t="s">
        <v>537</v>
      </c>
      <c r="G10" s="24" t="s">
        <v>299</v>
      </c>
    </row>
    <row r="11" spans="1:7" ht="30" customHeight="1">
      <c r="A11" s="26" t="s">
        <v>538</v>
      </c>
      <c r="B11" s="26" t="s">
        <v>539</v>
      </c>
      <c r="C11" s="26" t="s">
        <v>172</v>
      </c>
      <c r="D11" s="26"/>
      <c r="E11" s="26">
        <v>0</v>
      </c>
      <c r="F11" s="29" t="s">
        <v>540</v>
      </c>
      <c r="G11" s="26" t="s">
        <v>299</v>
      </c>
    </row>
    <row r="12" spans="1:7" ht="30" customHeight="1">
      <c r="A12" s="24" t="s">
        <v>541</v>
      </c>
      <c r="B12" s="24" t="s">
        <v>144</v>
      </c>
      <c r="C12" s="24" t="s">
        <v>172</v>
      </c>
      <c r="D12" s="24"/>
      <c r="E12" s="24">
        <v>0</v>
      </c>
      <c r="F12" s="28" t="s">
        <v>542</v>
      </c>
      <c r="G12" s="24" t="s">
        <v>299</v>
      </c>
    </row>
    <row r="13" spans="1:7" ht="30" customHeight="1">
      <c r="A13" s="26" t="s">
        <v>543</v>
      </c>
      <c r="B13" s="26" t="s">
        <v>544</v>
      </c>
      <c r="C13" s="26" t="s">
        <v>172</v>
      </c>
      <c r="D13" s="26"/>
      <c r="E13" s="26">
        <v>0</v>
      </c>
      <c r="F13" s="29" t="s">
        <v>545</v>
      </c>
      <c r="G13" s="26" t="s">
        <v>299</v>
      </c>
    </row>
    <row r="14" spans="1:7" ht="30" customHeight="1">
      <c r="A14" s="24" t="s">
        <v>546</v>
      </c>
      <c r="B14" s="24" t="s">
        <v>547</v>
      </c>
      <c r="C14" s="24" t="s">
        <v>172</v>
      </c>
      <c r="D14" s="24"/>
      <c r="E14" s="24">
        <v>0</v>
      </c>
      <c r="F14" s="28" t="s">
        <v>548</v>
      </c>
      <c r="G14" s="24" t="s">
        <v>299</v>
      </c>
    </row>
    <row r="15" spans="1:7" ht="30" customHeight="1">
      <c r="A15" s="26" t="s">
        <v>549</v>
      </c>
      <c r="B15" s="26" t="s">
        <v>144</v>
      </c>
      <c r="C15" s="26" t="s">
        <v>172</v>
      </c>
      <c r="D15" s="26"/>
      <c r="E15" s="26">
        <v>0</v>
      </c>
      <c r="F15" s="29" t="s">
        <v>550</v>
      </c>
      <c r="G15" s="26" t="s">
        <v>299</v>
      </c>
    </row>
    <row r="16" spans="1:7" ht="30" customHeight="1">
      <c r="A16" s="24" t="s">
        <v>551</v>
      </c>
      <c r="B16" s="24" t="s">
        <v>552</v>
      </c>
      <c r="C16" s="24" t="s">
        <v>172</v>
      </c>
      <c r="D16" s="24"/>
      <c r="E16" s="24">
        <v>0</v>
      </c>
      <c r="F16" s="28" t="s">
        <v>553</v>
      </c>
      <c r="G16" s="24" t="s">
        <v>299</v>
      </c>
    </row>
    <row r="17" spans="1:7" ht="30" customHeight="1">
      <c r="A17" s="26" t="s">
        <v>554</v>
      </c>
      <c r="B17" s="26" t="s">
        <v>555</v>
      </c>
      <c r="C17" s="26" t="s">
        <v>172</v>
      </c>
      <c r="D17" s="26"/>
      <c r="E17" s="26">
        <v>0</v>
      </c>
      <c r="F17" s="29" t="s">
        <v>556</v>
      </c>
      <c r="G17" s="26" t="s">
        <v>299</v>
      </c>
    </row>
    <row r="18" spans="1:7" ht="30" customHeight="1">
      <c r="A18" s="24" t="s">
        <v>557</v>
      </c>
      <c r="B18" s="24" t="s">
        <v>558</v>
      </c>
      <c r="C18" s="24" t="s">
        <v>172</v>
      </c>
      <c r="D18" s="24"/>
      <c r="E18" s="24">
        <v>0</v>
      </c>
      <c r="F18" s="28" t="s">
        <v>559</v>
      </c>
      <c r="G18" s="24" t="s">
        <v>299</v>
      </c>
    </row>
    <row r="19" spans="1:7" ht="30" customHeight="1">
      <c r="A19" s="26" t="s">
        <v>560</v>
      </c>
      <c r="B19" s="26" t="s">
        <v>143</v>
      </c>
      <c r="C19" s="26" t="s">
        <v>172</v>
      </c>
      <c r="D19" s="26"/>
      <c r="E19" s="26">
        <v>0</v>
      </c>
      <c r="F19" s="29" t="s">
        <v>561</v>
      </c>
      <c r="G19" s="26" t="s">
        <v>299</v>
      </c>
    </row>
    <row r="20" spans="1:7" ht="30" customHeight="1">
      <c r="A20" s="24" t="s">
        <v>562</v>
      </c>
      <c r="B20" s="24" t="s">
        <v>143</v>
      </c>
      <c r="C20" s="24" t="s">
        <v>172</v>
      </c>
      <c r="D20" s="24"/>
      <c r="E20" s="24">
        <v>0</v>
      </c>
      <c r="F20" s="28" t="s">
        <v>563</v>
      </c>
      <c r="G20" s="24" t="s">
        <v>299</v>
      </c>
    </row>
    <row r="21" spans="1:7" ht="30" customHeight="1">
      <c r="A21" s="26" t="s">
        <v>564</v>
      </c>
      <c r="B21" s="26" t="s">
        <v>539</v>
      </c>
      <c r="C21" s="26" t="s">
        <v>172</v>
      </c>
      <c r="D21" s="26"/>
      <c r="E21" s="26">
        <v>0</v>
      </c>
      <c r="F21" s="29" t="s">
        <v>565</v>
      </c>
      <c r="G21" s="26" t="s">
        <v>299</v>
      </c>
    </row>
    <row r="22" spans="1:7" ht="30" customHeight="1">
      <c r="A22" s="24" t="s">
        <v>566</v>
      </c>
      <c r="B22" s="24" t="s">
        <v>171</v>
      </c>
      <c r="C22" s="24" t="s">
        <v>182</v>
      </c>
      <c r="D22" s="24"/>
      <c r="E22" s="24">
        <v>0</v>
      </c>
      <c r="F22" s="28" t="s">
        <v>567</v>
      </c>
      <c r="G22" s="24" t="s">
        <v>299</v>
      </c>
    </row>
    <row r="23" spans="1:7" ht="30" customHeight="1">
      <c r="A23" s="26" t="s">
        <v>568</v>
      </c>
      <c r="B23" s="26" t="s">
        <v>569</v>
      </c>
      <c r="C23" s="26" t="s">
        <v>172</v>
      </c>
      <c r="D23" s="26"/>
      <c r="E23" s="26">
        <v>0</v>
      </c>
      <c r="F23" s="29" t="s">
        <v>570</v>
      </c>
      <c r="G23" s="26" t="s">
        <v>299</v>
      </c>
    </row>
    <row r="24" spans="1:7" ht="30" customHeight="1">
      <c r="A24" s="24" t="s">
        <v>571</v>
      </c>
      <c r="B24" s="24" t="s">
        <v>572</v>
      </c>
      <c r="C24" s="24" t="s">
        <v>172</v>
      </c>
      <c r="D24" s="24"/>
      <c r="E24" s="24">
        <v>0</v>
      </c>
      <c r="F24" s="28" t="s">
        <v>573</v>
      </c>
      <c r="G24" s="24" t="s">
        <v>299</v>
      </c>
    </row>
    <row r="25" spans="1:7" ht="30" customHeight="1">
      <c r="A25" s="26" t="s">
        <v>574</v>
      </c>
      <c r="B25" s="26" t="s">
        <v>572</v>
      </c>
      <c r="C25" s="26" t="s">
        <v>172</v>
      </c>
      <c r="D25" s="26"/>
      <c r="E25" s="26">
        <v>0</v>
      </c>
      <c r="F25" s="29" t="s">
        <v>575</v>
      </c>
      <c r="G25" s="26" t="s">
        <v>299</v>
      </c>
    </row>
    <row r="26" spans="1:7" ht="30" customHeight="1">
      <c r="A26" s="24" t="s">
        <v>576</v>
      </c>
      <c r="B26" s="24" t="s">
        <v>569</v>
      </c>
      <c r="C26" s="24" t="s">
        <v>172</v>
      </c>
      <c r="D26" s="24"/>
      <c r="E26" s="24">
        <v>0</v>
      </c>
      <c r="F26" s="28" t="s">
        <v>577</v>
      </c>
      <c r="G26" s="24" t="s">
        <v>299</v>
      </c>
    </row>
    <row r="27" spans="1:7" ht="30" customHeight="1">
      <c r="A27" s="26" t="s">
        <v>578</v>
      </c>
      <c r="B27" s="26" t="s">
        <v>143</v>
      </c>
      <c r="C27" s="26" t="s">
        <v>172</v>
      </c>
      <c r="D27" s="26"/>
      <c r="E27" s="26">
        <v>0</v>
      </c>
      <c r="F27" s="29" t="s">
        <v>579</v>
      </c>
      <c r="G27" s="26" t="s">
        <v>299</v>
      </c>
    </row>
    <row r="28" spans="1:7" ht="30" customHeight="1">
      <c r="A28" s="24" t="s">
        <v>580</v>
      </c>
      <c r="B28" s="24" t="s">
        <v>581</v>
      </c>
      <c r="C28" s="24" t="s">
        <v>172</v>
      </c>
      <c r="D28" s="24"/>
      <c r="E28" s="24">
        <v>0</v>
      </c>
      <c r="F28" s="28" t="s">
        <v>582</v>
      </c>
      <c r="G28" s="24" t="s">
        <v>299</v>
      </c>
    </row>
    <row r="29" spans="1:7" ht="30" customHeight="1">
      <c r="A29" s="26" t="s">
        <v>583</v>
      </c>
      <c r="B29" s="26" t="s">
        <v>581</v>
      </c>
      <c r="C29" s="26" t="s">
        <v>172</v>
      </c>
      <c r="D29" s="26"/>
      <c r="E29" s="26">
        <v>0</v>
      </c>
      <c r="F29" s="29" t="s">
        <v>584</v>
      </c>
      <c r="G29" s="26" t="s">
        <v>299</v>
      </c>
    </row>
    <row r="30" spans="1:7" ht="30" customHeight="1">
      <c r="A30" s="24" t="s">
        <v>585</v>
      </c>
      <c r="B30" s="24" t="s">
        <v>569</v>
      </c>
      <c r="C30" s="24" t="s">
        <v>172</v>
      </c>
      <c r="D30" s="24"/>
      <c r="E30" s="24">
        <v>0</v>
      </c>
      <c r="F30" s="28" t="s">
        <v>586</v>
      </c>
      <c r="G30" s="24" t="s">
        <v>299</v>
      </c>
    </row>
    <row r="31" spans="1:7" ht="30" customHeight="1">
      <c r="A31" s="26" t="s">
        <v>587</v>
      </c>
      <c r="B31" s="26" t="s">
        <v>226</v>
      </c>
      <c r="C31" s="26" t="s">
        <v>172</v>
      </c>
      <c r="D31" s="26"/>
      <c r="E31" s="26">
        <v>0</v>
      </c>
      <c r="F31" s="29" t="s">
        <v>588</v>
      </c>
      <c r="G31" s="26" t="s">
        <v>299</v>
      </c>
    </row>
    <row r="32" spans="1:7" ht="30" customHeight="1">
      <c r="A32" s="24" t="s">
        <v>589</v>
      </c>
      <c r="B32" s="24" t="s">
        <v>581</v>
      </c>
      <c r="C32" s="24" t="s">
        <v>172</v>
      </c>
      <c r="D32" s="24"/>
      <c r="E32" s="24">
        <v>0</v>
      </c>
      <c r="F32" s="28" t="s">
        <v>590</v>
      </c>
      <c r="G32" s="24" t="s">
        <v>299</v>
      </c>
    </row>
    <row r="33" spans="1:7" ht="30" customHeight="1">
      <c r="A33" s="26" t="s">
        <v>591</v>
      </c>
      <c r="B33" s="26" t="s">
        <v>581</v>
      </c>
      <c r="C33" s="26" t="s">
        <v>172</v>
      </c>
      <c r="D33" s="26"/>
      <c r="E33" s="26">
        <v>0</v>
      </c>
      <c r="F33" s="29" t="s">
        <v>592</v>
      </c>
      <c r="G33" s="26" t="s">
        <v>299</v>
      </c>
    </row>
    <row r="34" spans="1:7" ht="30" customHeight="1">
      <c r="A34" s="24" t="s">
        <v>593</v>
      </c>
      <c r="B34" s="24" t="s">
        <v>534</v>
      </c>
      <c r="C34" s="24" t="s">
        <v>172</v>
      </c>
      <c r="D34" s="24"/>
      <c r="E34" s="24">
        <v>0</v>
      </c>
      <c r="F34" s="28" t="s">
        <v>594</v>
      </c>
      <c r="G34" s="24" t="s">
        <v>299</v>
      </c>
    </row>
    <row r="35" spans="1:7" ht="30" customHeight="1">
      <c r="A35" s="26" t="s">
        <v>595</v>
      </c>
      <c r="B35" s="26" t="s">
        <v>572</v>
      </c>
      <c r="C35" s="26" t="s">
        <v>172</v>
      </c>
      <c r="D35" s="26"/>
      <c r="E35" s="26">
        <v>0</v>
      </c>
      <c r="F35" s="29" t="s">
        <v>596</v>
      </c>
      <c r="G35" s="26" t="s">
        <v>299</v>
      </c>
    </row>
    <row r="36" spans="1:7" ht="30" customHeight="1">
      <c r="A36" s="24" t="s">
        <v>597</v>
      </c>
      <c r="B36" s="24" t="s">
        <v>539</v>
      </c>
      <c r="C36" s="24" t="s">
        <v>172</v>
      </c>
      <c r="D36" s="24"/>
      <c r="E36" s="24">
        <v>0</v>
      </c>
      <c r="F36" s="28" t="s">
        <v>598</v>
      </c>
      <c r="G36" s="24" t="s">
        <v>299</v>
      </c>
    </row>
    <row r="37" spans="1:7" ht="30" customHeight="1">
      <c r="A37" s="26" t="s">
        <v>599</v>
      </c>
      <c r="B37" s="26" t="s">
        <v>572</v>
      </c>
      <c r="C37" s="26" t="s">
        <v>172</v>
      </c>
      <c r="D37" s="26"/>
      <c r="E37" s="26">
        <v>0</v>
      </c>
      <c r="F37" s="29" t="s">
        <v>600</v>
      </c>
      <c r="G37" s="26" t="s">
        <v>299</v>
      </c>
    </row>
    <row r="38" spans="1:7" ht="30" customHeight="1">
      <c r="A38" s="24" t="s">
        <v>601</v>
      </c>
      <c r="B38" s="24" t="s">
        <v>572</v>
      </c>
      <c r="C38" s="24" t="s">
        <v>172</v>
      </c>
      <c r="D38" s="24"/>
      <c r="E38" s="24">
        <v>0</v>
      </c>
      <c r="F38" s="28" t="s">
        <v>602</v>
      </c>
      <c r="G38" s="24" t="s">
        <v>299</v>
      </c>
    </row>
    <row r="39" spans="1:7" ht="30" customHeight="1">
      <c r="A39" s="26" t="s">
        <v>603</v>
      </c>
      <c r="B39" s="26" t="s">
        <v>143</v>
      </c>
      <c r="C39" s="26" t="s">
        <v>172</v>
      </c>
      <c r="D39" s="26"/>
      <c r="E39" s="26">
        <v>0</v>
      </c>
      <c r="F39" s="29" t="s">
        <v>604</v>
      </c>
      <c r="G39" s="26" t="s">
        <v>299</v>
      </c>
    </row>
    <row r="40" spans="1:7" ht="30" customHeight="1">
      <c r="A40" s="24" t="s">
        <v>605</v>
      </c>
      <c r="B40" s="24" t="s">
        <v>144</v>
      </c>
      <c r="C40" s="24" t="s">
        <v>172</v>
      </c>
      <c r="D40" s="24"/>
      <c r="E40" s="24">
        <v>0</v>
      </c>
      <c r="F40" s="28" t="s">
        <v>606</v>
      </c>
      <c r="G40" s="24" t="s">
        <v>299</v>
      </c>
    </row>
    <row r="41" spans="1:7" ht="30" customHeight="1">
      <c r="A41" s="26" t="s">
        <v>607</v>
      </c>
      <c r="B41" s="26" t="s">
        <v>143</v>
      </c>
      <c r="C41" s="26" t="s">
        <v>172</v>
      </c>
      <c r="D41" s="26"/>
      <c r="E41" s="26">
        <v>0</v>
      </c>
      <c r="F41" s="29" t="s">
        <v>608</v>
      </c>
      <c r="G41" s="26" t="s">
        <v>299</v>
      </c>
    </row>
    <row r="42" spans="1:7" ht="30" customHeight="1">
      <c r="A42" s="24" t="s">
        <v>609</v>
      </c>
      <c r="B42" s="24" t="s">
        <v>143</v>
      </c>
      <c r="C42" s="24" t="s">
        <v>172</v>
      </c>
      <c r="D42" s="24"/>
      <c r="E42" s="24">
        <v>0</v>
      </c>
      <c r="F42" s="28" t="s">
        <v>610</v>
      </c>
      <c r="G42" s="24" t="s">
        <v>299</v>
      </c>
    </row>
    <row r="43" spans="1:7" ht="30" customHeight="1">
      <c r="A43" s="26" t="s">
        <v>611</v>
      </c>
      <c r="B43" s="26" t="s">
        <v>144</v>
      </c>
      <c r="C43" s="26" t="s">
        <v>182</v>
      </c>
      <c r="D43" s="26"/>
      <c r="E43" s="26">
        <v>0</v>
      </c>
      <c r="F43" s="29" t="s">
        <v>612</v>
      </c>
      <c r="G43" s="26" t="s">
        <v>299</v>
      </c>
    </row>
    <row r="44" spans="1:7" ht="30" customHeight="1">
      <c r="A44" s="24" t="s">
        <v>613</v>
      </c>
      <c r="B44" s="24" t="s">
        <v>144</v>
      </c>
      <c r="C44" s="24" t="s">
        <v>172</v>
      </c>
      <c r="D44" s="24"/>
      <c r="E44" s="24">
        <v>0</v>
      </c>
      <c r="F44" s="28" t="s">
        <v>614</v>
      </c>
      <c r="G44" s="24" t="s">
        <v>299</v>
      </c>
    </row>
    <row r="45" spans="1:7" ht="30" customHeight="1">
      <c r="A45" s="26" t="s">
        <v>615</v>
      </c>
      <c r="B45" s="26" t="s">
        <v>143</v>
      </c>
      <c r="C45" s="26" t="s">
        <v>182</v>
      </c>
      <c r="D45" s="26"/>
      <c r="E45" s="26">
        <v>0</v>
      </c>
      <c r="F45" s="29" t="s">
        <v>616</v>
      </c>
      <c r="G45" s="26" t="s">
        <v>299</v>
      </c>
    </row>
    <row r="46" spans="1:7" ht="30" customHeight="1">
      <c r="A46" s="24" t="s">
        <v>617</v>
      </c>
      <c r="B46" s="24" t="s">
        <v>143</v>
      </c>
      <c r="C46" s="24" t="s">
        <v>182</v>
      </c>
      <c r="D46" s="24"/>
      <c r="E46" s="24">
        <v>0</v>
      </c>
      <c r="F46" s="28" t="s">
        <v>618</v>
      </c>
      <c r="G46" s="24" t="s">
        <v>299</v>
      </c>
    </row>
    <row r="47" spans="1:7" ht="30" customHeight="1">
      <c r="A47" s="26" t="s">
        <v>619</v>
      </c>
      <c r="B47" s="26" t="s">
        <v>144</v>
      </c>
      <c r="C47" s="26" t="s">
        <v>182</v>
      </c>
      <c r="D47" s="26"/>
      <c r="E47" s="26">
        <v>0</v>
      </c>
      <c r="F47" s="29" t="s">
        <v>620</v>
      </c>
      <c r="G47" s="26" t="s">
        <v>299</v>
      </c>
    </row>
    <row r="48" spans="1:7" ht="30" customHeight="1">
      <c r="A48" s="24" t="s">
        <v>621</v>
      </c>
      <c r="B48" s="24" t="s">
        <v>144</v>
      </c>
      <c r="C48" s="24" t="s">
        <v>182</v>
      </c>
      <c r="D48" s="24"/>
      <c r="E48" s="24">
        <v>0</v>
      </c>
      <c r="F48" s="28" t="s">
        <v>622</v>
      </c>
      <c r="G48" s="24" t="s">
        <v>299</v>
      </c>
    </row>
    <row r="49" spans="1:7" ht="30" customHeight="1">
      <c r="A49" s="26" t="s">
        <v>623</v>
      </c>
      <c r="B49" s="26" t="s">
        <v>143</v>
      </c>
      <c r="C49" s="26" t="s">
        <v>182</v>
      </c>
      <c r="D49" s="26"/>
      <c r="E49" s="26">
        <v>0</v>
      </c>
      <c r="F49" s="29" t="s">
        <v>624</v>
      </c>
      <c r="G49" s="26" t="s">
        <v>299</v>
      </c>
    </row>
    <row r="50" spans="1:7" ht="30" customHeight="1">
      <c r="A50" s="24" t="s">
        <v>625</v>
      </c>
      <c r="B50" s="24" t="s">
        <v>143</v>
      </c>
      <c r="C50" s="24" t="s">
        <v>182</v>
      </c>
      <c r="D50" s="24"/>
      <c r="E50" s="24">
        <v>0</v>
      </c>
      <c r="F50" s="28" t="s">
        <v>626</v>
      </c>
      <c r="G50" s="24" t="s">
        <v>299</v>
      </c>
    </row>
    <row r="51" spans="1:7" ht="30" customHeight="1">
      <c r="A51" s="26" t="s">
        <v>627</v>
      </c>
      <c r="B51" s="26" t="s">
        <v>143</v>
      </c>
      <c r="C51" s="26" t="s">
        <v>182</v>
      </c>
      <c r="D51" s="26"/>
      <c r="E51" s="26">
        <v>0</v>
      </c>
      <c r="F51" s="29" t="s">
        <v>628</v>
      </c>
      <c r="G51" s="26" t="s">
        <v>299</v>
      </c>
    </row>
    <row r="52" spans="1:7" ht="30" customHeight="1">
      <c r="A52" s="24" t="s">
        <v>629</v>
      </c>
      <c r="B52" s="24" t="s">
        <v>143</v>
      </c>
      <c r="C52" s="24" t="s">
        <v>182</v>
      </c>
      <c r="D52" s="24"/>
      <c r="E52" s="24">
        <v>0</v>
      </c>
      <c r="F52" s="28" t="s">
        <v>630</v>
      </c>
      <c r="G52" s="24" t="s">
        <v>299</v>
      </c>
    </row>
    <row r="53" spans="1:7" ht="30" customHeight="1">
      <c r="A53" s="26" t="s">
        <v>631</v>
      </c>
      <c r="B53" s="26" t="s">
        <v>143</v>
      </c>
      <c r="C53" s="26" t="s">
        <v>182</v>
      </c>
      <c r="D53" s="26"/>
      <c r="E53" s="26">
        <v>0</v>
      </c>
      <c r="F53" s="29" t="s">
        <v>632</v>
      </c>
      <c r="G53" s="26" t="s">
        <v>299</v>
      </c>
    </row>
    <row r="54" spans="1:7" ht="30" customHeight="1">
      <c r="A54" s="24" t="s">
        <v>633</v>
      </c>
      <c r="B54" s="24" t="s">
        <v>634</v>
      </c>
      <c r="C54" s="24" t="s">
        <v>182</v>
      </c>
      <c r="D54" s="24"/>
      <c r="E54" s="24">
        <v>0</v>
      </c>
      <c r="F54" s="28" t="s">
        <v>635</v>
      </c>
      <c r="G54" s="24" t="s">
        <v>299</v>
      </c>
    </row>
    <row r="55" spans="1:7" ht="30" customHeight="1">
      <c r="A55" s="26" t="s">
        <v>636</v>
      </c>
      <c r="B55" s="26" t="s">
        <v>143</v>
      </c>
      <c r="C55" s="26" t="s">
        <v>172</v>
      </c>
      <c r="D55" s="26"/>
      <c r="E55" s="26">
        <v>0</v>
      </c>
      <c r="F55" s="29" t="s">
        <v>637</v>
      </c>
      <c r="G55" s="26" t="s">
        <v>299</v>
      </c>
    </row>
    <row r="56" spans="1:7" ht="30" customHeight="1">
      <c r="A56" s="24" t="s">
        <v>638</v>
      </c>
      <c r="B56" s="24" t="s">
        <v>171</v>
      </c>
      <c r="C56" s="24" t="s">
        <v>182</v>
      </c>
      <c r="D56" s="24"/>
      <c r="E56" s="24">
        <v>0</v>
      </c>
      <c r="F56" s="28" t="s">
        <v>639</v>
      </c>
      <c r="G56" s="24" t="s">
        <v>299</v>
      </c>
    </row>
    <row r="57" spans="1:7" ht="30" customHeight="1">
      <c r="A57" s="26" t="s">
        <v>640</v>
      </c>
      <c r="B57" s="26" t="s">
        <v>143</v>
      </c>
      <c r="C57" s="26" t="s">
        <v>182</v>
      </c>
      <c r="D57" s="26"/>
      <c r="E57" s="26">
        <v>0</v>
      </c>
      <c r="F57" s="29" t="s">
        <v>641</v>
      </c>
      <c r="G57" s="26" t="s">
        <v>299</v>
      </c>
    </row>
    <row r="58" spans="1:7" ht="30" customHeight="1">
      <c r="A58" s="24" t="s">
        <v>642</v>
      </c>
      <c r="B58" s="24" t="s">
        <v>539</v>
      </c>
      <c r="C58" s="24" t="s">
        <v>172</v>
      </c>
      <c r="D58" s="24"/>
      <c r="E58" s="24">
        <v>0</v>
      </c>
      <c r="F58" s="28" t="s">
        <v>643</v>
      </c>
      <c r="G58" s="24" t="s">
        <v>299</v>
      </c>
    </row>
    <row r="59" spans="1:7" ht="30" customHeight="1">
      <c r="A59" s="26" t="s">
        <v>644</v>
      </c>
      <c r="B59" s="26" t="s">
        <v>143</v>
      </c>
      <c r="C59" s="26" t="s">
        <v>172</v>
      </c>
      <c r="D59" s="26"/>
      <c r="E59" s="26">
        <v>0</v>
      </c>
      <c r="F59" s="29" t="s">
        <v>645</v>
      </c>
      <c r="G59" s="26" t="s">
        <v>299</v>
      </c>
    </row>
    <row r="60" spans="1:7" ht="30" customHeight="1">
      <c r="A60" s="24" t="s">
        <v>646</v>
      </c>
      <c r="B60" s="24" t="s">
        <v>144</v>
      </c>
      <c r="C60" s="24" t="s">
        <v>172</v>
      </c>
      <c r="D60" s="24"/>
      <c r="E60" s="24">
        <v>0</v>
      </c>
      <c r="F60" s="28" t="s">
        <v>647</v>
      </c>
      <c r="G60" s="24" t="s">
        <v>299</v>
      </c>
    </row>
    <row r="61" spans="1:7" ht="30" customHeight="1">
      <c r="A61" s="26" t="s">
        <v>648</v>
      </c>
      <c r="B61" s="26" t="s">
        <v>144</v>
      </c>
      <c r="C61" s="26" t="s">
        <v>172</v>
      </c>
      <c r="D61" s="26"/>
      <c r="E61" s="26">
        <v>0</v>
      </c>
      <c r="F61" s="29" t="s">
        <v>649</v>
      </c>
      <c r="G61" s="26" t="s">
        <v>299</v>
      </c>
    </row>
    <row r="62" spans="1:7" ht="30" customHeight="1">
      <c r="A62" s="24" t="s">
        <v>650</v>
      </c>
      <c r="B62" s="24" t="s">
        <v>144</v>
      </c>
      <c r="C62" s="24" t="s">
        <v>172</v>
      </c>
      <c r="D62" s="24"/>
      <c r="E62" s="24">
        <v>0</v>
      </c>
      <c r="F62" s="28" t="s">
        <v>651</v>
      </c>
      <c r="G62" s="24" t="s">
        <v>299</v>
      </c>
    </row>
    <row r="63" spans="1:7" ht="30" customHeight="1">
      <c r="A63" s="26" t="s">
        <v>652</v>
      </c>
      <c r="B63" s="26" t="s">
        <v>144</v>
      </c>
      <c r="C63" s="26" t="s">
        <v>172</v>
      </c>
      <c r="D63" s="26"/>
      <c r="E63" s="26">
        <v>0</v>
      </c>
      <c r="F63" s="29" t="s">
        <v>653</v>
      </c>
      <c r="G63" s="26" t="s">
        <v>299</v>
      </c>
    </row>
    <row r="64" spans="1:7" ht="30" customHeight="1">
      <c r="A64" s="24" t="s">
        <v>654</v>
      </c>
      <c r="B64" s="24" t="s">
        <v>144</v>
      </c>
      <c r="C64" s="24" t="s">
        <v>172</v>
      </c>
      <c r="D64" s="24"/>
      <c r="E64" s="24">
        <v>0</v>
      </c>
      <c r="F64" s="28" t="s">
        <v>655</v>
      </c>
      <c r="G64" s="24" t="s">
        <v>299</v>
      </c>
    </row>
    <row r="65" spans="1:7" ht="30" customHeight="1">
      <c r="A65" s="26" t="s">
        <v>656</v>
      </c>
      <c r="B65" s="26" t="s">
        <v>144</v>
      </c>
      <c r="C65" s="26" t="s">
        <v>172</v>
      </c>
      <c r="D65" s="26"/>
      <c r="E65" s="26">
        <v>0</v>
      </c>
      <c r="F65" s="29" t="s">
        <v>657</v>
      </c>
      <c r="G65" s="26" t="s">
        <v>299</v>
      </c>
    </row>
    <row r="66" spans="1:7" ht="30" customHeight="1">
      <c r="A66" s="24" t="s">
        <v>658</v>
      </c>
      <c r="B66" s="24" t="s">
        <v>144</v>
      </c>
      <c r="C66" s="24" t="s">
        <v>172</v>
      </c>
      <c r="D66" s="24"/>
      <c r="E66" s="24">
        <v>0</v>
      </c>
      <c r="F66" s="28" t="s">
        <v>659</v>
      </c>
      <c r="G66" s="24" t="s">
        <v>299</v>
      </c>
    </row>
    <row r="67" spans="1:7" ht="30" customHeight="1">
      <c r="A67" s="26" t="s">
        <v>660</v>
      </c>
      <c r="B67" s="26" t="s">
        <v>581</v>
      </c>
      <c r="C67" s="26" t="s">
        <v>172</v>
      </c>
      <c r="D67" s="26"/>
      <c r="E67" s="26">
        <v>0</v>
      </c>
      <c r="F67" s="29" t="s">
        <v>661</v>
      </c>
      <c r="G67" s="26" t="s">
        <v>299</v>
      </c>
    </row>
    <row r="68" spans="1:7" ht="30" customHeight="1">
      <c r="A68" s="24" t="s">
        <v>662</v>
      </c>
      <c r="B68" s="24" t="s">
        <v>144</v>
      </c>
      <c r="C68" s="24" t="s">
        <v>172</v>
      </c>
      <c r="D68" s="24"/>
      <c r="E68" s="24">
        <v>0</v>
      </c>
      <c r="F68" s="28" t="s">
        <v>663</v>
      </c>
      <c r="G68" s="24" t="s">
        <v>299</v>
      </c>
    </row>
    <row r="69" spans="1:7" ht="30" customHeight="1">
      <c r="A69" s="26" t="s">
        <v>664</v>
      </c>
      <c r="B69" s="26" t="s">
        <v>581</v>
      </c>
      <c r="C69" s="26" t="s">
        <v>172</v>
      </c>
      <c r="D69" s="26"/>
      <c r="E69" s="26">
        <v>0</v>
      </c>
      <c r="F69" s="29" t="s">
        <v>665</v>
      </c>
      <c r="G69" s="26" t="s">
        <v>299</v>
      </c>
    </row>
    <row r="70" spans="1:7" ht="30" customHeight="1">
      <c r="A70" s="24" t="s">
        <v>666</v>
      </c>
      <c r="B70" s="24" t="s">
        <v>544</v>
      </c>
      <c r="C70" s="24" t="s">
        <v>172</v>
      </c>
      <c r="D70" s="24"/>
      <c r="E70" s="24">
        <v>0</v>
      </c>
      <c r="F70" s="28" t="s">
        <v>667</v>
      </c>
      <c r="G70" s="24" t="s">
        <v>299</v>
      </c>
    </row>
    <row r="71" spans="1:7" ht="30" customHeight="1">
      <c r="A71" s="26" t="s">
        <v>668</v>
      </c>
      <c r="B71" s="26" t="s">
        <v>581</v>
      </c>
      <c r="C71" s="26" t="s">
        <v>172</v>
      </c>
      <c r="D71" s="26"/>
      <c r="E71" s="26">
        <v>0</v>
      </c>
      <c r="F71" s="29" t="s">
        <v>669</v>
      </c>
      <c r="G71" s="26" t="s">
        <v>299</v>
      </c>
    </row>
    <row r="72" spans="1:7" ht="30" customHeight="1">
      <c r="A72" s="24" t="s">
        <v>670</v>
      </c>
      <c r="B72" s="24" t="s">
        <v>569</v>
      </c>
      <c r="C72" s="24" t="s">
        <v>172</v>
      </c>
      <c r="D72" s="24"/>
      <c r="E72" s="24">
        <v>0</v>
      </c>
      <c r="F72" s="28" t="s">
        <v>671</v>
      </c>
      <c r="G72" s="24" t="s">
        <v>299</v>
      </c>
    </row>
    <row r="73" spans="1:7" ht="30" customHeight="1">
      <c r="A73" s="26" t="s">
        <v>672</v>
      </c>
      <c r="B73" s="26" t="s">
        <v>144</v>
      </c>
      <c r="C73" s="26" t="s">
        <v>172</v>
      </c>
      <c r="D73" s="26"/>
      <c r="E73" s="26">
        <v>0</v>
      </c>
      <c r="F73" s="29" t="s">
        <v>673</v>
      </c>
      <c r="G73" s="26" t="s">
        <v>299</v>
      </c>
    </row>
    <row r="74" spans="1:7" ht="30" customHeight="1">
      <c r="A74" s="24" t="s">
        <v>674</v>
      </c>
      <c r="B74" s="24" t="s">
        <v>534</v>
      </c>
      <c r="C74" s="24" t="s">
        <v>172</v>
      </c>
      <c r="D74" s="24"/>
      <c r="E74" s="24">
        <v>0</v>
      </c>
      <c r="F74" s="28" t="s">
        <v>675</v>
      </c>
      <c r="G74" s="24" t="s">
        <v>299</v>
      </c>
    </row>
    <row r="75" spans="1:7" ht="30" customHeight="1">
      <c r="A75" s="26" t="s">
        <v>676</v>
      </c>
      <c r="B75" s="26" t="s">
        <v>569</v>
      </c>
      <c r="C75" s="26" t="s">
        <v>172</v>
      </c>
      <c r="D75" s="26"/>
      <c r="E75" s="26">
        <v>0</v>
      </c>
      <c r="F75" s="29" t="s">
        <v>677</v>
      </c>
      <c r="G75" s="26" t="s">
        <v>299</v>
      </c>
    </row>
    <row r="76" spans="1:7" ht="30" customHeight="1">
      <c r="A76" s="24" t="s">
        <v>678</v>
      </c>
      <c r="B76" s="24" t="s">
        <v>569</v>
      </c>
      <c r="C76" s="24" t="s">
        <v>172</v>
      </c>
      <c r="D76" s="24"/>
      <c r="E76" s="24">
        <v>0</v>
      </c>
      <c r="F76" s="28" t="s">
        <v>679</v>
      </c>
      <c r="G76" s="24" t="s">
        <v>299</v>
      </c>
    </row>
    <row r="77" spans="1:7" ht="30" customHeight="1">
      <c r="A77" s="26" t="s">
        <v>680</v>
      </c>
      <c r="B77" s="26" t="s">
        <v>143</v>
      </c>
      <c r="C77" s="26" t="s">
        <v>182</v>
      </c>
      <c r="D77" s="26"/>
      <c r="E77" s="26">
        <v>0</v>
      </c>
      <c r="F77" s="29" t="s">
        <v>681</v>
      </c>
      <c r="G77" s="26" t="s">
        <v>299</v>
      </c>
    </row>
    <row r="78" spans="1:7" ht="30" customHeight="1">
      <c r="A78" s="24" t="s">
        <v>682</v>
      </c>
      <c r="B78" s="24" t="s">
        <v>569</v>
      </c>
      <c r="C78" s="24" t="s">
        <v>172</v>
      </c>
      <c r="D78" s="24"/>
      <c r="E78" s="24">
        <v>0</v>
      </c>
      <c r="F78" s="28" t="s">
        <v>683</v>
      </c>
      <c r="G78" s="24" t="s">
        <v>299</v>
      </c>
    </row>
    <row r="79" spans="1:7" ht="30" customHeight="1">
      <c r="A79" s="26" t="s">
        <v>684</v>
      </c>
      <c r="B79" s="26" t="s">
        <v>143</v>
      </c>
      <c r="C79" s="26" t="s">
        <v>172</v>
      </c>
      <c r="D79" s="26"/>
      <c r="E79" s="26">
        <v>0</v>
      </c>
      <c r="F79" s="29" t="s">
        <v>685</v>
      </c>
      <c r="G79" s="26" t="s">
        <v>299</v>
      </c>
    </row>
    <row r="80" spans="1:7" ht="30" customHeight="1">
      <c r="A80" s="24" t="s">
        <v>686</v>
      </c>
      <c r="B80" s="24" t="s">
        <v>143</v>
      </c>
      <c r="C80" s="24" t="s">
        <v>172</v>
      </c>
      <c r="D80" s="24"/>
      <c r="E80" s="24">
        <v>0</v>
      </c>
      <c r="F80" s="28" t="s">
        <v>687</v>
      </c>
      <c r="G80" s="24" t="s">
        <v>299</v>
      </c>
    </row>
    <row r="81" spans="1:7" ht="30" customHeight="1">
      <c r="A81" s="26" t="s">
        <v>688</v>
      </c>
      <c r="B81" s="26" t="s">
        <v>569</v>
      </c>
      <c r="C81" s="26" t="s">
        <v>172</v>
      </c>
      <c r="D81" s="26"/>
      <c r="E81" s="26">
        <v>0</v>
      </c>
      <c r="F81" s="29" t="s">
        <v>689</v>
      </c>
      <c r="G81" s="26" t="s">
        <v>299</v>
      </c>
    </row>
    <row r="82" spans="1:7" ht="30" customHeight="1">
      <c r="A82" s="24" t="s">
        <v>690</v>
      </c>
      <c r="B82" s="24" t="s">
        <v>572</v>
      </c>
      <c r="C82" s="24" t="s">
        <v>172</v>
      </c>
      <c r="D82" s="24"/>
      <c r="E82" s="24">
        <v>0</v>
      </c>
      <c r="F82" s="28" t="s">
        <v>691</v>
      </c>
      <c r="G82" s="24" t="s">
        <v>299</v>
      </c>
    </row>
    <row r="83" spans="1:7" ht="30" customHeight="1">
      <c r="A83" s="26" t="s">
        <v>692</v>
      </c>
      <c r="B83" s="26" t="s">
        <v>572</v>
      </c>
      <c r="C83" s="26" t="s">
        <v>172</v>
      </c>
      <c r="D83" s="26"/>
      <c r="E83" s="26">
        <v>0</v>
      </c>
      <c r="F83" s="29" t="s">
        <v>693</v>
      </c>
      <c r="G83" s="26" t="s">
        <v>299</v>
      </c>
    </row>
    <row r="84" spans="1:7" ht="30" customHeight="1">
      <c r="A84" s="24" t="s">
        <v>694</v>
      </c>
      <c r="B84" s="24" t="s">
        <v>143</v>
      </c>
      <c r="C84" s="24" t="s">
        <v>172</v>
      </c>
      <c r="D84" s="24"/>
      <c r="E84" s="24">
        <v>0</v>
      </c>
      <c r="F84" s="28" t="s">
        <v>695</v>
      </c>
      <c r="G84" s="24" t="s">
        <v>299</v>
      </c>
    </row>
    <row r="85" spans="1:7" ht="30" customHeight="1">
      <c r="A85" s="26" t="s">
        <v>696</v>
      </c>
      <c r="B85" s="26" t="s">
        <v>143</v>
      </c>
      <c r="C85" s="26" t="s">
        <v>172</v>
      </c>
      <c r="D85" s="26"/>
      <c r="E85" s="26">
        <v>0</v>
      </c>
      <c r="F85" s="29" t="s">
        <v>697</v>
      </c>
      <c r="G85" s="26" t="s">
        <v>299</v>
      </c>
    </row>
    <row r="86" spans="1:7" ht="30" customHeight="1">
      <c r="A86" s="24" t="s">
        <v>698</v>
      </c>
      <c r="B86" s="24" t="s">
        <v>143</v>
      </c>
      <c r="C86" s="24" t="s">
        <v>172</v>
      </c>
      <c r="D86" s="24"/>
      <c r="E86" s="24">
        <v>0</v>
      </c>
      <c r="F86" s="28" t="s">
        <v>699</v>
      </c>
      <c r="G86" s="24" t="s">
        <v>299</v>
      </c>
    </row>
    <row r="87" spans="1:7" ht="30" customHeight="1">
      <c r="A87" s="26" t="s">
        <v>700</v>
      </c>
      <c r="B87" s="26" t="s">
        <v>572</v>
      </c>
      <c r="C87" s="26" t="s">
        <v>172</v>
      </c>
      <c r="D87" s="26"/>
      <c r="E87" s="26">
        <v>0</v>
      </c>
      <c r="F87" s="29" t="s">
        <v>701</v>
      </c>
      <c r="G87" s="26" t="s">
        <v>299</v>
      </c>
    </row>
    <row r="88" spans="1:7" ht="30" customHeight="1">
      <c r="A88" s="24" t="s">
        <v>702</v>
      </c>
      <c r="B88" s="24" t="s">
        <v>572</v>
      </c>
      <c r="C88" s="24" t="s">
        <v>172</v>
      </c>
      <c r="D88" s="24"/>
      <c r="E88" s="24">
        <v>0</v>
      </c>
      <c r="F88" s="28" t="s">
        <v>703</v>
      </c>
      <c r="G88" s="24" t="s">
        <v>299</v>
      </c>
    </row>
    <row r="89" spans="1:7" ht="30" customHeight="1">
      <c r="A89" s="26" t="s">
        <v>704</v>
      </c>
      <c r="B89" s="26" t="s">
        <v>143</v>
      </c>
      <c r="C89" s="26" t="s">
        <v>172</v>
      </c>
      <c r="D89" s="26"/>
      <c r="E89" s="26">
        <v>0</v>
      </c>
      <c r="F89" s="29" t="s">
        <v>705</v>
      </c>
      <c r="G89" s="26" t="s">
        <v>299</v>
      </c>
    </row>
    <row r="90" spans="1:7" ht="30" customHeight="1">
      <c r="A90" s="24" t="s">
        <v>706</v>
      </c>
      <c r="B90" s="24" t="s">
        <v>143</v>
      </c>
      <c r="C90" s="24" t="s">
        <v>172</v>
      </c>
      <c r="D90" s="24"/>
      <c r="E90" s="24">
        <v>0</v>
      </c>
      <c r="F90" s="28" t="s">
        <v>707</v>
      </c>
      <c r="G90" s="24" t="s">
        <v>299</v>
      </c>
    </row>
    <row r="91" spans="1:7" ht="30" customHeight="1">
      <c r="A91" s="26" t="s">
        <v>708</v>
      </c>
      <c r="B91" s="26" t="s">
        <v>539</v>
      </c>
      <c r="C91" s="26" t="s">
        <v>182</v>
      </c>
      <c r="D91" s="26"/>
      <c r="E91" s="26">
        <v>0</v>
      </c>
      <c r="F91" s="29" t="s">
        <v>709</v>
      </c>
      <c r="G91" s="26" t="s">
        <v>299</v>
      </c>
    </row>
    <row r="92" spans="1:7" ht="30" customHeight="1">
      <c r="A92" s="24" t="s">
        <v>710</v>
      </c>
      <c r="B92" s="24" t="s">
        <v>572</v>
      </c>
      <c r="C92" s="24" t="s">
        <v>172</v>
      </c>
      <c r="D92" s="24"/>
      <c r="E92" s="24">
        <v>0</v>
      </c>
      <c r="F92" s="28" t="s">
        <v>711</v>
      </c>
      <c r="G92" s="24" t="s">
        <v>299</v>
      </c>
    </row>
    <row r="93" spans="1:7" ht="30" customHeight="1">
      <c r="A93" s="26" t="s">
        <v>712</v>
      </c>
      <c r="B93" s="26" t="s">
        <v>143</v>
      </c>
      <c r="C93" s="26" t="s">
        <v>182</v>
      </c>
      <c r="D93" s="26"/>
      <c r="E93" s="26">
        <v>0</v>
      </c>
      <c r="F93" s="29" t="s">
        <v>713</v>
      </c>
      <c r="G93" s="26" t="s">
        <v>299</v>
      </c>
    </row>
    <row r="94" spans="1:7" ht="30" customHeight="1">
      <c r="A94" s="24" t="s">
        <v>714</v>
      </c>
      <c r="B94" s="24" t="s">
        <v>143</v>
      </c>
      <c r="C94" s="24" t="s">
        <v>172</v>
      </c>
      <c r="D94" s="24"/>
      <c r="E94" s="24">
        <v>0</v>
      </c>
      <c r="F94" s="28" t="s">
        <v>715</v>
      </c>
      <c r="G94" s="24" t="s">
        <v>299</v>
      </c>
    </row>
    <row r="95" spans="1:7" ht="30" customHeight="1">
      <c r="A95" s="26" t="s">
        <v>716</v>
      </c>
      <c r="B95" s="26" t="s">
        <v>143</v>
      </c>
      <c r="C95" s="26" t="s">
        <v>172</v>
      </c>
      <c r="D95" s="26"/>
      <c r="E95" s="26">
        <v>0</v>
      </c>
      <c r="F95" s="29" t="s">
        <v>717</v>
      </c>
      <c r="G95" s="26" t="s">
        <v>299</v>
      </c>
    </row>
    <row r="96" spans="1:7" ht="30" customHeight="1">
      <c r="A96" s="24" t="s">
        <v>718</v>
      </c>
      <c r="B96" s="24" t="s">
        <v>544</v>
      </c>
      <c r="C96" s="24" t="s">
        <v>172</v>
      </c>
      <c r="D96" s="24"/>
      <c r="E96" s="24">
        <v>0</v>
      </c>
      <c r="F96" s="28" t="s">
        <v>719</v>
      </c>
      <c r="G96" s="24" t="s">
        <v>299</v>
      </c>
    </row>
    <row r="97" spans="1:7" ht="30" customHeight="1">
      <c r="A97" s="26" t="s">
        <v>720</v>
      </c>
      <c r="B97" s="26" t="s">
        <v>143</v>
      </c>
      <c r="C97" s="26" t="s">
        <v>172</v>
      </c>
      <c r="D97" s="26"/>
      <c r="E97" s="26">
        <v>0</v>
      </c>
      <c r="F97" s="29" t="s">
        <v>721</v>
      </c>
      <c r="G97" s="26" t="s">
        <v>299</v>
      </c>
    </row>
    <row r="98" spans="1:7" ht="30" customHeight="1">
      <c r="A98" s="24" t="s">
        <v>722</v>
      </c>
      <c r="B98" s="24" t="s">
        <v>143</v>
      </c>
      <c r="C98" s="24" t="s">
        <v>172</v>
      </c>
      <c r="D98" s="24"/>
      <c r="E98" s="24">
        <v>0</v>
      </c>
      <c r="F98" s="28" t="s">
        <v>723</v>
      </c>
      <c r="G98" s="24" t="s">
        <v>299</v>
      </c>
    </row>
    <row r="99" spans="1:7" ht="30" customHeight="1">
      <c r="A99" s="26" t="s">
        <v>724</v>
      </c>
      <c r="B99" s="26" t="s">
        <v>143</v>
      </c>
      <c r="C99" s="26" t="s">
        <v>182</v>
      </c>
      <c r="D99" s="26"/>
      <c r="E99" s="26">
        <v>0</v>
      </c>
      <c r="F99" s="29" t="s">
        <v>725</v>
      </c>
      <c r="G99" s="26" t="s">
        <v>299</v>
      </c>
    </row>
    <row r="100" spans="1:7" ht="30" customHeight="1">
      <c r="A100" s="24" t="s">
        <v>726</v>
      </c>
      <c r="B100" s="24" t="s">
        <v>143</v>
      </c>
      <c r="C100" s="24" t="s">
        <v>172</v>
      </c>
      <c r="D100" s="24"/>
      <c r="E100" s="24">
        <v>0</v>
      </c>
      <c r="F100" s="28" t="s">
        <v>727</v>
      </c>
      <c r="G100" s="24" t="s">
        <v>299</v>
      </c>
    </row>
    <row r="101" spans="1:7" ht="30" customHeight="1">
      <c r="A101" s="26" t="s">
        <v>728</v>
      </c>
      <c r="B101" s="26" t="s">
        <v>143</v>
      </c>
      <c r="C101" s="26" t="s">
        <v>172</v>
      </c>
      <c r="D101" s="26"/>
      <c r="E101" s="26">
        <v>0</v>
      </c>
      <c r="F101" s="29" t="s">
        <v>729</v>
      </c>
      <c r="G101" s="26" t="s">
        <v>299</v>
      </c>
    </row>
    <row r="102" spans="1:7" ht="30" customHeight="1">
      <c r="A102" s="24" t="s">
        <v>730</v>
      </c>
      <c r="B102" s="24" t="s">
        <v>544</v>
      </c>
      <c r="C102" s="24" t="s">
        <v>182</v>
      </c>
      <c r="D102" s="24"/>
      <c r="E102" s="24">
        <v>0</v>
      </c>
      <c r="F102" s="28" t="s">
        <v>731</v>
      </c>
      <c r="G102" s="24" t="s">
        <v>299</v>
      </c>
    </row>
    <row r="103" spans="1:7" ht="30" customHeight="1">
      <c r="A103" s="26" t="s">
        <v>732</v>
      </c>
      <c r="B103" s="26" t="s">
        <v>143</v>
      </c>
      <c r="C103" s="26" t="s">
        <v>172</v>
      </c>
      <c r="D103" s="26"/>
      <c r="E103" s="26">
        <v>0</v>
      </c>
      <c r="F103" s="29" t="s">
        <v>733</v>
      </c>
      <c r="G103" s="26" t="s">
        <v>299</v>
      </c>
    </row>
    <row r="104" spans="1:7" ht="30" customHeight="1">
      <c r="A104" s="24" t="s">
        <v>734</v>
      </c>
      <c r="B104" s="24" t="s">
        <v>143</v>
      </c>
      <c r="C104" s="24" t="s">
        <v>172</v>
      </c>
      <c r="D104" s="24"/>
      <c r="E104" s="24">
        <v>0</v>
      </c>
      <c r="F104" s="28" t="s">
        <v>735</v>
      </c>
      <c r="G104" s="24" t="s">
        <v>299</v>
      </c>
    </row>
    <row r="105" spans="1:7" ht="30" customHeight="1">
      <c r="A105" s="26" t="s">
        <v>736</v>
      </c>
      <c r="B105" s="26" t="s">
        <v>143</v>
      </c>
      <c r="C105" s="26" t="s">
        <v>172</v>
      </c>
      <c r="D105" s="26"/>
      <c r="E105" s="26">
        <v>0</v>
      </c>
      <c r="F105" s="29" t="s">
        <v>737</v>
      </c>
      <c r="G105" s="26" t="s">
        <v>299</v>
      </c>
    </row>
    <row r="106" spans="1:7" ht="30" customHeight="1">
      <c r="A106" s="24" t="s">
        <v>738</v>
      </c>
      <c r="B106" s="24" t="s">
        <v>226</v>
      </c>
      <c r="C106" s="24" t="s">
        <v>182</v>
      </c>
      <c r="D106" s="24"/>
      <c r="E106" s="24">
        <v>0</v>
      </c>
      <c r="F106" s="28" t="s">
        <v>739</v>
      </c>
      <c r="G106" s="24" t="s">
        <v>299</v>
      </c>
    </row>
    <row r="107" spans="1:7" ht="30" customHeight="1">
      <c r="A107" s="26" t="s">
        <v>740</v>
      </c>
      <c r="B107" s="26" t="s">
        <v>539</v>
      </c>
      <c r="C107" s="26" t="s">
        <v>172</v>
      </c>
      <c r="D107" s="26"/>
      <c r="E107" s="26">
        <v>0</v>
      </c>
      <c r="F107" s="29" t="s">
        <v>741</v>
      </c>
      <c r="G107" s="26" t="s">
        <v>299</v>
      </c>
    </row>
    <row r="108" spans="1:7" ht="30" customHeight="1">
      <c r="A108" s="24" t="s">
        <v>742</v>
      </c>
      <c r="B108" s="24" t="s">
        <v>143</v>
      </c>
      <c r="C108" s="24" t="s">
        <v>182</v>
      </c>
      <c r="D108" s="24"/>
      <c r="E108" s="24">
        <v>0</v>
      </c>
      <c r="F108" s="28" t="s">
        <v>743</v>
      </c>
      <c r="G108" s="24" t="s">
        <v>299</v>
      </c>
    </row>
    <row r="109" spans="1:7" ht="30" customHeight="1">
      <c r="A109" s="26" t="s">
        <v>744</v>
      </c>
      <c r="B109" s="26" t="s">
        <v>143</v>
      </c>
      <c r="C109" s="26" t="s">
        <v>172</v>
      </c>
      <c r="D109" s="26"/>
      <c r="E109" s="26">
        <v>0</v>
      </c>
      <c r="F109" s="29" t="s">
        <v>745</v>
      </c>
      <c r="G109" s="26" t="s">
        <v>299</v>
      </c>
    </row>
    <row r="110" spans="1:7" ht="30" customHeight="1">
      <c r="A110" s="24" t="s">
        <v>746</v>
      </c>
      <c r="B110" s="24" t="s">
        <v>143</v>
      </c>
      <c r="C110" s="24" t="s">
        <v>172</v>
      </c>
      <c r="D110" s="24"/>
      <c r="E110" s="24">
        <v>0</v>
      </c>
      <c r="F110" s="28" t="s">
        <v>747</v>
      </c>
      <c r="G110" s="24" t="s">
        <v>299</v>
      </c>
    </row>
    <row r="111" spans="1:7" ht="30" customHeight="1">
      <c r="A111" s="26" t="s">
        <v>748</v>
      </c>
      <c r="B111" s="26" t="s">
        <v>572</v>
      </c>
      <c r="C111" s="26" t="s">
        <v>172</v>
      </c>
      <c r="D111" s="26"/>
      <c r="E111" s="26">
        <v>0</v>
      </c>
      <c r="F111" s="29" t="s">
        <v>749</v>
      </c>
      <c r="G111" s="26" t="s">
        <v>299</v>
      </c>
    </row>
    <row r="112" spans="1:7" ht="30" customHeight="1">
      <c r="A112" s="24" t="s">
        <v>750</v>
      </c>
      <c r="B112" s="24" t="s">
        <v>751</v>
      </c>
      <c r="C112" s="24" t="s">
        <v>172</v>
      </c>
      <c r="D112" s="24"/>
      <c r="E112" s="24">
        <v>0</v>
      </c>
      <c r="F112" s="28" t="s">
        <v>752</v>
      </c>
      <c r="G112" s="24" t="s">
        <v>299</v>
      </c>
    </row>
    <row r="113" spans="1:7" ht="30" customHeight="1">
      <c r="A113" s="26" t="s">
        <v>753</v>
      </c>
      <c r="B113" s="26" t="s">
        <v>143</v>
      </c>
      <c r="C113" s="26" t="s">
        <v>172</v>
      </c>
      <c r="D113" s="26"/>
      <c r="E113" s="26">
        <v>0</v>
      </c>
      <c r="F113" s="29" t="s">
        <v>754</v>
      </c>
      <c r="G113" s="26" t="s">
        <v>299</v>
      </c>
    </row>
    <row r="114" spans="1:7" ht="30" customHeight="1">
      <c r="A114" s="24" t="s">
        <v>755</v>
      </c>
      <c r="B114" s="24" t="s">
        <v>539</v>
      </c>
      <c r="C114" s="24" t="s">
        <v>172</v>
      </c>
      <c r="D114" s="24"/>
      <c r="E114" s="24">
        <v>0</v>
      </c>
      <c r="F114" s="28" t="s">
        <v>756</v>
      </c>
      <c r="G114" s="24" t="s">
        <v>299</v>
      </c>
    </row>
    <row r="115" spans="1:7" ht="30" customHeight="1">
      <c r="A115" s="26" t="s">
        <v>757</v>
      </c>
      <c r="B115" s="26" t="s">
        <v>143</v>
      </c>
      <c r="C115" s="26" t="s">
        <v>172</v>
      </c>
      <c r="D115" s="26"/>
      <c r="E115" s="26">
        <v>0</v>
      </c>
      <c r="F115" s="29" t="s">
        <v>758</v>
      </c>
      <c r="G115" s="26" t="s">
        <v>299</v>
      </c>
    </row>
    <row r="116" spans="1:7" ht="30" customHeight="1">
      <c r="A116" s="24" t="s">
        <v>759</v>
      </c>
      <c r="B116" s="24" t="s">
        <v>143</v>
      </c>
      <c r="C116" s="24" t="s">
        <v>182</v>
      </c>
      <c r="D116" s="24"/>
      <c r="E116" s="24">
        <v>0</v>
      </c>
      <c r="F116" s="28" t="s">
        <v>760</v>
      </c>
      <c r="G116" s="24" t="s">
        <v>299</v>
      </c>
    </row>
    <row r="117" spans="1:7" ht="30" customHeight="1">
      <c r="A117" s="26" t="s">
        <v>761</v>
      </c>
      <c r="B117" s="26" t="s">
        <v>144</v>
      </c>
      <c r="C117" s="26" t="s">
        <v>172</v>
      </c>
      <c r="D117" s="26"/>
      <c r="E117" s="26">
        <v>0</v>
      </c>
      <c r="F117" s="29" t="s">
        <v>762</v>
      </c>
      <c r="G117" s="26" t="s">
        <v>299</v>
      </c>
    </row>
    <row r="118" spans="1:7" ht="30" customHeight="1">
      <c r="A118" s="24" t="s">
        <v>763</v>
      </c>
      <c r="B118" s="24" t="s">
        <v>539</v>
      </c>
      <c r="C118" s="24" t="s">
        <v>172</v>
      </c>
      <c r="D118" s="24"/>
      <c r="E118" s="24">
        <v>0</v>
      </c>
      <c r="F118" s="28" t="s">
        <v>764</v>
      </c>
      <c r="G118" s="24" t="s">
        <v>299</v>
      </c>
    </row>
    <row r="119" spans="1:7" ht="30" customHeight="1">
      <c r="A119" s="26" t="s">
        <v>765</v>
      </c>
      <c r="B119" s="26" t="s">
        <v>143</v>
      </c>
      <c r="C119" s="26" t="s">
        <v>172</v>
      </c>
      <c r="D119" s="26"/>
      <c r="E119" s="26">
        <v>0</v>
      </c>
      <c r="F119" s="29" t="s">
        <v>766</v>
      </c>
      <c r="G119" s="26" t="s">
        <v>299</v>
      </c>
    </row>
    <row r="120" spans="1:7" ht="30" customHeight="1">
      <c r="A120" s="24" t="s">
        <v>767</v>
      </c>
      <c r="B120" s="24" t="s">
        <v>226</v>
      </c>
      <c r="C120" s="24" t="s">
        <v>182</v>
      </c>
      <c r="D120" s="24"/>
      <c r="E120" s="24">
        <v>0</v>
      </c>
      <c r="F120" s="28" t="s">
        <v>768</v>
      </c>
      <c r="G120" s="24" t="s">
        <v>299</v>
      </c>
    </row>
    <row r="121" spans="1:7" ht="30" customHeight="1">
      <c r="A121" s="26" t="s">
        <v>769</v>
      </c>
      <c r="B121" s="26" t="s">
        <v>144</v>
      </c>
      <c r="C121" s="26" t="s">
        <v>172</v>
      </c>
      <c r="D121" s="26"/>
      <c r="E121" s="26">
        <v>0</v>
      </c>
      <c r="F121" s="29" t="s">
        <v>770</v>
      </c>
      <c r="G121" s="26" t="s">
        <v>299</v>
      </c>
    </row>
    <row r="122" spans="1:7" ht="30" customHeight="1">
      <c r="A122" s="24" t="s">
        <v>771</v>
      </c>
      <c r="B122" s="24" t="s">
        <v>544</v>
      </c>
      <c r="C122" s="24" t="s">
        <v>172</v>
      </c>
      <c r="D122" s="24"/>
      <c r="E122" s="24">
        <v>0</v>
      </c>
      <c r="F122" s="28" t="s">
        <v>772</v>
      </c>
      <c r="G122" s="24" t="s">
        <v>299</v>
      </c>
    </row>
    <row r="123" spans="1:7" ht="30" customHeight="1">
      <c r="A123" s="26" t="s">
        <v>773</v>
      </c>
      <c r="B123" s="26" t="s">
        <v>143</v>
      </c>
      <c r="C123" s="26" t="s">
        <v>172</v>
      </c>
      <c r="D123" s="26"/>
      <c r="E123" s="26">
        <v>0</v>
      </c>
      <c r="F123" s="29" t="s">
        <v>774</v>
      </c>
      <c r="G123" s="26" t="s">
        <v>299</v>
      </c>
    </row>
    <row r="124" spans="1:7" ht="30" customHeight="1">
      <c r="A124" s="24" t="s">
        <v>775</v>
      </c>
      <c r="B124" s="24" t="s">
        <v>572</v>
      </c>
      <c r="C124" s="24" t="s">
        <v>172</v>
      </c>
      <c r="D124" s="24"/>
      <c r="E124" s="24">
        <v>0</v>
      </c>
      <c r="F124" s="28" t="s">
        <v>776</v>
      </c>
      <c r="G124" s="24" t="s">
        <v>299</v>
      </c>
    </row>
    <row r="125" spans="1:7" ht="30" customHeight="1">
      <c r="A125" s="26" t="s">
        <v>777</v>
      </c>
      <c r="B125" s="26" t="s">
        <v>143</v>
      </c>
      <c r="C125" s="26" t="s">
        <v>172</v>
      </c>
      <c r="D125" s="26"/>
      <c r="E125" s="26">
        <v>0</v>
      </c>
      <c r="F125" s="29" t="s">
        <v>778</v>
      </c>
      <c r="G125" s="26" t="s">
        <v>299</v>
      </c>
    </row>
    <row r="126" spans="1:7" ht="30" customHeight="1">
      <c r="A126" s="24" t="s">
        <v>779</v>
      </c>
      <c r="B126" s="24" t="s">
        <v>780</v>
      </c>
      <c r="C126" s="24" t="s">
        <v>182</v>
      </c>
      <c r="D126" s="24"/>
      <c r="E126" s="24">
        <v>0</v>
      </c>
      <c r="F126" s="28" t="s">
        <v>781</v>
      </c>
      <c r="G126" s="24" t="s">
        <v>299</v>
      </c>
    </row>
    <row r="127" spans="1:7" ht="30" customHeight="1">
      <c r="A127" s="26" t="s">
        <v>782</v>
      </c>
      <c r="B127" s="26" t="s">
        <v>572</v>
      </c>
      <c r="C127" s="26" t="s">
        <v>172</v>
      </c>
      <c r="D127" s="26"/>
      <c r="E127" s="26">
        <v>0</v>
      </c>
      <c r="F127" s="29" t="s">
        <v>783</v>
      </c>
      <c r="G127" s="26" t="s">
        <v>299</v>
      </c>
    </row>
    <row r="128" spans="1:7" ht="30" customHeight="1">
      <c r="A128" s="24" t="s">
        <v>784</v>
      </c>
      <c r="B128" s="24" t="s">
        <v>555</v>
      </c>
      <c r="C128" s="24" t="s">
        <v>172</v>
      </c>
      <c r="D128" s="24"/>
      <c r="E128" s="24">
        <v>0</v>
      </c>
      <c r="F128" s="28" t="s">
        <v>785</v>
      </c>
      <c r="G128" s="24" t="s">
        <v>299</v>
      </c>
    </row>
    <row r="129" spans="1:7" ht="30" customHeight="1">
      <c r="A129" s="26" t="s">
        <v>786</v>
      </c>
      <c r="B129" s="26" t="s">
        <v>572</v>
      </c>
      <c r="C129" s="26" t="s">
        <v>172</v>
      </c>
      <c r="D129" s="26"/>
      <c r="E129" s="26">
        <v>0</v>
      </c>
      <c r="F129" s="29" t="s">
        <v>787</v>
      </c>
      <c r="G129" s="26" t="s">
        <v>299</v>
      </c>
    </row>
    <row r="130" spans="1:7" ht="30" customHeight="1">
      <c r="A130" s="24" t="s">
        <v>788</v>
      </c>
      <c r="B130" s="24" t="s">
        <v>143</v>
      </c>
      <c r="C130" s="24" t="s">
        <v>172</v>
      </c>
      <c r="D130" s="24"/>
      <c r="E130" s="24">
        <v>0</v>
      </c>
      <c r="F130" s="28" t="s">
        <v>789</v>
      </c>
      <c r="G130" s="24" t="s">
        <v>299</v>
      </c>
    </row>
    <row r="131" spans="1:7" ht="30" customHeight="1">
      <c r="A131" s="26" t="s">
        <v>790</v>
      </c>
      <c r="B131" s="26" t="s">
        <v>572</v>
      </c>
      <c r="C131" s="26" t="s">
        <v>172</v>
      </c>
      <c r="D131" s="26"/>
      <c r="E131" s="26">
        <v>0</v>
      </c>
      <c r="F131" s="29" t="s">
        <v>791</v>
      </c>
      <c r="G131" s="26" t="s">
        <v>299</v>
      </c>
    </row>
    <row r="132" spans="1:7" ht="30" customHeight="1">
      <c r="A132" s="24" t="s">
        <v>792</v>
      </c>
      <c r="B132" s="24" t="s">
        <v>569</v>
      </c>
      <c r="C132" s="24" t="s">
        <v>172</v>
      </c>
      <c r="D132" s="24"/>
      <c r="E132" s="24">
        <v>0</v>
      </c>
      <c r="F132" s="28" t="s">
        <v>793</v>
      </c>
      <c r="G132" s="24" t="s">
        <v>299</v>
      </c>
    </row>
    <row r="133" spans="1:7" ht="30" customHeight="1">
      <c r="A133" s="26" t="s">
        <v>794</v>
      </c>
      <c r="B133" s="26" t="s">
        <v>143</v>
      </c>
      <c r="C133" s="26" t="s">
        <v>182</v>
      </c>
      <c r="D133" s="26"/>
      <c r="E133" s="26">
        <v>0</v>
      </c>
      <c r="F133" s="29" t="s">
        <v>795</v>
      </c>
      <c r="G133" s="26" t="s">
        <v>299</v>
      </c>
    </row>
    <row r="134" spans="1:7" ht="30" customHeight="1">
      <c r="A134" s="24" t="s">
        <v>796</v>
      </c>
      <c r="B134" s="24" t="s">
        <v>143</v>
      </c>
      <c r="C134" s="24" t="s">
        <v>172</v>
      </c>
      <c r="D134" s="24"/>
      <c r="E134" s="24">
        <v>0</v>
      </c>
      <c r="F134" s="28" t="s">
        <v>797</v>
      </c>
      <c r="G134" s="24" t="s">
        <v>299</v>
      </c>
    </row>
    <row r="135" spans="1:7" ht="30" customHeight="1">
      <c r="A135" s="26" t="s">
        <v>798</v>
      </c>
      <c r="B135" s="26" t="s">
        <v>143</v>
      </c>
      <c r="C135" s="26" t="s">
        <v>172</v>
      </c>
      <c r="D135" s="26"/>
      <c r="E135" s="26">
        <v>0</v>
      </c>
      <c r="F135" s="29" t="s">
        <v>799</v>
      </c>
      <c r="G135" s="26" t="s">
        <v>299</v>
      </c>
    </row>
    <row r="136" spans="1:7" ht="30" customHeight="1">
      <c r="A136" s="24" t="s">
        <v>800</v>
      </c>
      <c r="B136" s="24" t="s">
        <v>572</v>
      </c>
      <c r="C136" s="24" t="s">
        <v>172</v>
      </c>
      <c r="D136" s="24"/>
      <c r="E136" s="24">
        <v>0</v>
      </c>
      <c r="F136" s="28" t="s">
        <v>801</v>
      </c>
      <c r="G136" s="24" t="s">
        <v>299</v>
      </c>
    </row>
    <row r="137" spans="1:7" ht="30" customHeight="1">
      <c r="A137" s="26" t="s">
        <v>802</v>
      </c>
      <c r="B137" s="26" t="s">
        <v>572</v>
      </c>
      <c r="C137" s="26" t="s">
        <v>172</v>
      </c>
      <c r="D137" s="26"/>
      <c r="E137" s="26">
        <v>0</v>
      </c>
      <c r="F137" s="29" t="s">
        <v>803</v>
      </c>
      <c r="G137" s="26" t="s">
        <v>299</v>
      </c>
    </row>
    <row r="138" spans="1:7" ht="30" customHeight="1">
      <c r="A138" s="24" t="s">
        <v>804</v>
      </c>
      <c r="B138" s="24" t="s">
        <v>143</v>
      </c>
      <c r="C138" s="24" t="s">
        <v>182</v>
      </c>
      <c r="D138" s="24"/>
      <c r="E138" s="24">
        <v>0</v>
      </c>
      <c r="F138" s="28" t="s">
        <v>805</v>
      </c>
      <c r="G138" s="24" t="s">
        <v>299</v>
      </c>
    </row>
    <row r="139" spans="1:7" ht="30" customHeight="1">
      <c r="A139" s="26" t="s">
        <v>806</v>
      </c>
      <c r="B139" s="26" t="s">
        <v>143</v>
      </c>
      <c r="C139" s="26" t="s">
        <v>182</v>
      </c>
      <c r="D139" s="26"/>
      <c r="E139" s="26">
        <v>0</v>
      </c>
      <c r="F139" s="29" t="s">
        <v>807</v>
      </c>
      <c r="G139" s="26" t="s">
        <v>299</v>
      </c>
    </row>
    <row r="140" spans="1:7" ht="30" customHeight="1">
      <c r="A140" s="24" t="s">
        <v>808</v>
      </c>
      <c r="B140" s="24" t="s">
        <v>539</v>
      </c>
      <c r="C140" s="24" t="s">
        <v>172</v>
      </c>
      <c r="D140" s="24"/>
      <c r="E140" s="24">
        <v>0</v>
      </c>
      <c r="F140" s="28" t="s">
        <v>809</v>
      </c>
      <c r="G140" s="24" t="s">
        <v>299</v>
      </c>
    </row>
    <row r="141" spans="1:7" ht="30" customHeight="1">
      <c r="A141" s="26" t="s">
        <v>810</v>
      </c>
      <c r="B141" s="26" t="s">
        <v>230</v>
      </c>
      <c r="C141" s="26" t="s">
        <v>172</v>
      </c>
      <c r="D141" s="26"/>
      <c r="E141" s="26">
        <v>0</v>
      </c>
      <c r="F141" s="29" t="s">
        <v>811</v>
      </c>
      <c r="G141" s="26" t="s">
        <v>299</v>
      </c>
    </row>
    <row r="142" spans="1:7" ht="30" customHeight="1">
      <c r="A142" s="24" t="s">
        <v>812</v>
      </c>
      <c r="B142" s="24" t="s">
        <v>143</v>
      </c>
      <c r="C142" s="24" t="s">
        <v>172</v>
      </c>
      <c r="D142" s="24"/>
      <c r="E142" s="24">
        <v>0</v>
      </c>
      <c r="F142" s="28" t="s">
        <v>813</v>
      </c>
      <c r="G142" s="24" t="s">
        <v>299</v>
      </c>
    </row>
    <row r="143" spans="1:7" ht="30" customHeight="1">
      <c r="A143" s="26" t="s">
        <v>814</v>
      </c>
      <c r="B143" s="26" t="s">
        <v>143</v>
      </c>
      <c r="C143" s="26" t="s">
        <v>172</v>
      </c>
      <c r="D143" s="26"/>
      <c r="E143" s="26">
        <v>0</v>
      </c>
      <c r="F143" s="29" t="s">
        <v>815</v>
      </c>
      <c r="G143" s="26" t="s">
        <v>299</v>
      </c>
    </row>
    <row r="144" spans="1:7" ht="30" customHeight="1">
      <c r="A144" s="24" t="s">
        <v>816</v>
      </c>
      <c r="B144" s="24" t="s">
        <v>572</v>
      </c>
      <c r="C144" s="24" t="s">
        <v>172</v>
      </c>
      <c r="D144" s="24"/>
      <c r="E144" s="24">
        <v>0</v>
      </c>
      <c r="F144" s="28" t="s">
        <v>817</v>
      </c>
      <c r="G144" s="24" t="s">
        <v>299</v>
      </c>
    </row>
    <row r="145" spans="1:7" ht="30" customHeight="1">
      <c r="A145" s="26" t="s">
        <v>818</v>
      </c>
      <c r="B145" s="26" t="s">
        <v>581</v>
      </c>
      <c r="C145" s="26" t="s">
        <v>172</v>
      </c>
      <c r="D145" s="26"/>
      <c r="E145" s="26">
        <v>0</v>
      </c>
      <c r="F145" s="29" t="s">
        <v>819</v>
      </c>
      <c r="G145" s="26" t="s">
        <v>299</v>
      </c>
    </row>
    <row r="146" spans="1:7" ht="30" customHeight="1">
      <c r="A146" s="24" t="s">
        <v>820</v>
      </c>
      <c r="B146" s="24" t="s">
        <v>569</v>
      </c>
      <c r="C146" s="24" t="s">
        <v>172</v>
      </c>
      <c r="D146" s="24"/>
      <c r="E146" s="24">
        <v>0</v>
      </c>
      <c r="F146" s="28" t="s">
        <v>821</v>
      </c>
      <c r="G146" s="24" t="s">
        <v>299</v>
      </c>
    </row>
    <row r="147" spans="1:7" ht="30" customHeight="1">
      <c r="A147" s="26" t="s">
        <v>822</v>
      </c>
      <c r="B147" s="26" t="s">
        <v>534</v>
      </c>
      <c r="C147" s="26" t="s">
        <v>172</v>
      </c>
      <c r="D147" s="26"/>
      <c r="E147" s="26">
        <v>0</v>
      </c>
      <c r="F147" s="29" t="s">
        <v>823</v>
      </c>
      <c r="G147" s="26" t="s">
        <v>299</v>
      </c>
    </row>
    <row r="148" spans="1:7" ht="30" customHeight="1">
      <c r="A148" s="24" t="s">
        <v>824</v>
      </c>
      <c r="B148" s="24" t="s">
        <v>569</v>
      </c>
      <c r="C148" s="24" t="s">
        <v>172</v>
      </c>
      <c r="D148" s="24"/>
      <c r="E148" s="24">
        <v>0</v>
      </c>
      <c r="F148" s="28" t="s">
        <v>825</v>
      </c>
      <c r="G148" s="24" t="s">
        <v>299</v>
      </c>
    </row>
    <row r="149" spans="1:7" ht="30" customHeight="1">
      <c r="A149" s="26" t="s">
        <v>826</v>
      </c>
      <c r="B149" s="26" t="s">
        <v>581</v>
      </c>
      <c r="C149" s="26" t="s">
        <v>172</v>
      </c>
      <c r="D149" s="26"/>
      <c r="E149" s="26">
        <v>0</v>
      </c>
      <c r="F149" s="29" t="s">
        <v>827</v>
      </c>
      <c r="G149" s="26" t="s">
        <v>299</v>
      </c>
    </row>
    <row r="150" spans="1:7" ht="30" customHeight="1">
      <c r="A150" s="24" t="s">
        <v>828</v>
      </c>
      <c r="B150" s="24" t="s">
        <v>572</v>
      </c>
      <c r="C150" s="24" t="s">
        <v>172</v>
      </c>
      <c r="D150" s="24"/>
      <c r="E150" s="24">
        <v>0</v>
      </c>
      <c r="F150" s="28" t="s">
        <v>829</v>
      </c>
      <c r="G150" s="24" t="s">
        <v>299</v>
      </c>
    </row>
    <row r="151" spans="1:7" ht="30" customHeight="1">
      <c r="A151" s="26" t="s">
        <v>830</v>
      </c>
      <c r="B151" s="26" t="s">
        <v>143</v>
      </c>
      <c r="C151" s="26" t="s">
        <v>172</v>
      </c>
      <c r="D151" s="26"/>
      <c r="E151" s="26">
        <v>0</v>
      </c>
      <c r="F151" s="29" t="s">
        <v>831</v>
      </c>
      <c r="G151" s="26" t="s">
        <v>299</v>
      </c>
    </row>
    <row r="152" spans="1:7" ht="30" customHeight="1">
      <c r="A152" s="24" t="s">
        <v>832</v>
      </c>
      <c r="B152" s="24" t="s">
        <v>572</v>
      </c>
      <c r="C152" s="24" t="s">
        <v>172</v>
      </c>
      <c r="D152" s="24"/>
      <c r="E152" s="24">
        <v>0</v>
      </c>
      <c r="F152" s="28" t="s">
        <v>833</v>
      </c>
      <c r="G152" s="24" t="s">
        <v>299</v>
      </c>
    </row>
    <row r="153" spans="1:7" ht="30" customHeight="1">
      <c r="A153" s="26" t="s">
        <v>834</v>
      </c>
      <c r="B153" s="26" t="s">
        <v>143</v>
      </c>
      <c r="C153" s="26" t="s">
        <v>172</v>
      </c>
      <c r="D153" s="26"/>
      <c r="E153" s="26">
        <v>0</v>
      </c>
      <c r="F153" s="29" t="s">
        <v>835</v>
      </c>
      <c r="G153" s="26" t="s">
        <v>299</v>
      </c>
    </row>
    <row r="154" spans="1:7" ht="30" customHeight="1">
      <c r="A154" s="24" t="s">
        <v>836</v>
      </c>
      <c r="B154" s="24" t="s">
        <v>143</v>
      </c>
      <c r="C154" s="24" t="s">
        <v>172</v>
      </c>
      <c r="D154" s="24"/>
      <c r="E154" s="24">
        <v>0</v>
      </c>
      <c r="F154" s="28" t="s">
        <v>837</v>
      </c>
      <c r="G154" s="24" t="s">
        <v>299</v>
      </c>
    </row>
    <row r="155" spans="1:7" ht="30" customHeight="1">
      <c r="A155" s="26" t="s">
        <v>838</v>
      </c>
      <c r="B155" s="26" t="s">
        <v>143</v>
      </c>
      <c r="C155" s="26" t="s">
        <v>172</v>
      </c>
      <c r="D155" s="26"/>
      <c r="E155" s="26">
        <v>0</v>
      </c>
      <c r="F155" s="29" t="s">
        <v>839</v>
      </c>
      <c r="G155" s="26" t="s">
        <v>299</v>
      </c>
    </row>
    <row r="156" spans="1:7" ht="30" customHeight="1">
      <c r="A156" s="24" t="s">
        <v>840</v>
      </c>
      <c r="B156" s="24" t="s">
        <v>144</v>
      </c>
      <c r="C156" s="24" t="s">
        <v>172</v>
      </c>
      <c r="D156" s="24"/>
      <c r="E156" s="24">
        <v>0</v>
      </c>
      <c r="F156" s="28" t="s">
        <v>841</v>
      </c>
      <c r="G156" s="24" t="s">
        <v>299</v>
      </c>
    </row>
    <row r="157" spans="1:7" ht="30" customHeight="1">
      <c r="A157" s="26" t="s">
        <v>842</v>
      </c>
      <c r="B157" s="26" t="s">
        <v>558</v>
      </c>
      <c r="C157" s="26" t="s">
        <v>172</v>
      </c>
      <c r="D157" s="26"/>
      <c r="E157" s="26">
        <v>0</v>
      </c>
      <c r="F157" s="29" t="s">
        <v>843</v>
      </c>
      <c r="G157" s="26" t="s">
        <v>299</v>
      </c>
    </row>
    <row r="158" spans="1:7" ht="30" customHeight="1">
      <c r="A158" s="24" t="s">
        <v>844</v>
      </c>
      <c r="B158" s="24" t="s">
        <v>581</v>
      </c>
      <c r="C158" s="24" t="s">
        <v>172</v>
      </c>
      <c r="D158" s="24"/>
      <c r="E158" s="24">
        <v>0</v>
      </c>
      <c r="F158" s="28" t="s">
        <v>845</v>
      </c>
      <c r="G158" s="24" t="s">
        <v>299</v>
      </c>
    </row>
    <row r="159" spans="1:7" ht="30" customHeight="1">
      <c r="A159" s="26" t="s">
        <v>846</v>
      </c>
      <c r="B159" s="26" t="s">
        <v>539</v>
      </c>
      <c r="C159" s="26" t="s">
        <v>172</v>
      </c>
      <c r="D159" s="26"/>
      <c r="E159" s="26">
        <v>0</v>
      </c>
      <c r="F159" s="29" t="s">
        <v>847</v>
      </c>
      <c r="G159" s="26" t="s">
        <v>299</v>
      </c>
    </row>
    <row r="160" spans="1:7" ht="30" customHeight="1">
      <c r="A160" s="24" t="s">
        <v>848</v>
      </c>
      <c r="B160" s="24" t="s">
        <v>143</v>
      </c>
      <c r="C160" s="24" t="s">
        <v>172</v>
      </c>
      <c r="D160" s="24"/>
      <c r="E160" s="24">
        <v>0</v>
      </c>
      <c r="F160" s="28" t="s">
        <v>849</v>
      </c>
      <c r="G160" s="24" t="s">
        <v>299</v>
      </c>
    </row>
    <row r="161" spans="1:7" ht="30" customHeight="1">
      <c r="A161" s="26" t="s">
        <v>850</v>
      </c>
      <c r="B161" s="26" t="s">
        <v>144</v>
      </c>
      <c r="C161" s="26" t="s">
        <v>172</v>
      </c>
      <c r="D161" s="26"/>
      <c r="E161" s="26">
        <v>0</v>
      </c>
      <c r="F161" s="29" t="s">
        <v>851</v>
      </c>
      <c r="G161" s="26" t="s">
        <v>299</v>
      </c>
    </row>
    <row r="162" spans="1:7" ht="30" customHeight="1">
      <c r="A162" s="24" t="s">
        <v>852</v>
      </c>
      <c r="B162" s="24" t="s">
        <v>143</v>
      </c>
      <c r="C162" s="24" t="s">
        <v>172</v>
      </c>
      <c r="D162" s="24"/>
      <c r="E162" s="24">
        <v>0</v>
      </c>
      <c r="F162" s="28" t="s">
        <v>853</v>
      </c>
      <c r="G162" s="24" t="s">
        <v>299</v>
      </c>
    </row>
    <row r="163" spans="1:7" ht="30" customHeight="1">
      <c r="A163" s="26" t="s">
        <v>854</v>
      </c>
      <c r="B163" s="26" t="s">
        <v>531</v>
      </c>
      <c r="C163" s="26" t="s">
        <v>172</v>
      </c>
      <c r="D163" s="26"/>
      <c r="E163" s="26">
        <v>0</v>
      </c>
      <c r="F163" s="29" t="s">
        <v>855</v>
      </c>
      <c r="G163" s="26" t="s">
        <v>299</v>
      </c>
    </row>
    <row r="164" spans="1:7" ht="30" customHeight="1">
      <c r="A164" s="24" t="s">
        <v>856</v>
      </c>
      <c r="B164" s="24" t="s">
        <v>143</v>
      </c>
      <c r="C164" s="24" t="s">
        <v>172</v>
      </c>
      <c r="D164" s="24"/>
      <c r="E164" s="24">
        <v>0</v>
      </c>
      <c r="F164" s="28" t="s">
        <v>857</v>
      </c>
      <c r="G164" s="24" t="s">
        <v>299</v>
      </c>
    </row>
    <row r="165" spans="1:7" ht="30" customHeight="1">
      <c r="A165" s="26" t="s">
        <v>858</v>
      </c>
      <c r="B165" s="26" t="s">
        <v>572</v>
      </c>
      <c r="C165" s="26" t="s">
        <v>172</v>
      </c>
      <c r="D165" s="26"/>
      <c r="E165" s="26">
        <v>0</v>
      </c>
      <c r="F165" s="29" t="s">
        <v>859</v>
      </c>
      <c r="G165" s="26" t="s">
        <v>299</v>
      </c>
    </row>
    <row r="166" spans="1:7" ht="30" customHeight="1">
      <c r="A166" s="24" t="s">
        <v>860</v>
      </c>
      <c r="B166" s="24" t="s">
        <v>143</v>
      </c>
      <c r="C166" s="24" t="s">
        <v>172</v>
      </c>
      <c r="D166" s="24"/>
      <c r="E166" s="24">
        <v>0</v>
      </c>
      <c r="F166" s="28" t="s">
        <v>861</v>
      </c>
      <c r="G166" s="24" t="s">
        <v>299</v>
      </c>
    </row>
    <row r="167" spans="1:7" ht="30" customHeight="1">
      <c r="A167" s="26" t="s">
        <v>862</v>
      </c>
      <c r="B167" s="26" t="s">
        <v>539</v>
      </c>
      <c r="C167" s="26" t="s">
        <v>172</v>
      </c>
      <c r="D167" s="26"/>
      <c r="E167" s="26">
        <v>0</v>
      </c>
      <c r="F167" s="29" t="s">
        <v>863</v>
      </c>
      <c r="G167" s="26" t="s">
        <v>299</v>
      </c>
    </row>
    <row r="168" spans="1:7" ht="30" customHeight="1">
      <c r="A168" s="24" t="s">
        <v>864</v>
      </c>
      <c r="B168" s="24" t="s">
        <v>572</v>
      </c>
      <c r="C168" s="24" t="s">
        <v>172</v>
      </c>
      <c r="D168" s="24"/>
      <c r="E168" s="24">
        <v>0</v>
      </c>
      <c r="F168" s="28" t="s">
        <v>865</v>
      </c>
      <c r="G168" s="24" t="s">
        <v>299</v>
      </c>
    </row>
    <row r="169" spans="1:7" ht="30" customHeight="1">
      <c r="A169" s="26" t="s">
        <v>866</v>
      </c>
      <c r="B169" s="26" t="s">
        <v>230</v>
      </c>
      <c r="C169" s="26" t="s">
        <v>172</v>
      </c>
      <c r="D169" s="26"/>
      <c r="E169" s="26">
        <v>0</v>
      </c>
      <c r="F169" s="29" t="s">
        <v>867</v>
      </c>
      <c r="G169" s="26" t="s">
        <v>299</v>
      </c>
    </row>
    <row r="170" spans="1:7" ht="30" customHeight="1">
      <c r="A170" s="24" t="s">
        <v>868</v>
      </c>
      <c r="B170" s="24" t="s">
        <v>539</v>
      </c>
      <c r="C170" s="24" t="s">
        <v>172</v>
      </c>
      <c r="D170" s="24"/>
      <c r="E170" s="24">
        <v>0</v>
      </c>
      <c r="F170" s="28" t="s">
        <v>869</v>
      </c>
      <c r="G170" s="24" t="s">
        <v>299</v>
      </c>
    </row>
    <row r="171" spans="1:7" ht="30" customHeight="1">
      <c r="A171" s="26" t="s">
        <v>870</v>
      </c>
      <c r="B171" s="26" t="s">
        <v>572</v>
      </c>
      <c r="C171" s="26" t="s">
        <v>172</v>
      </c>
      <c r="D171" s="26"/>
      <c r="E171" s="26">
        <v>0</v>
      </c>
      <c r="F171" s="29" t="s">
        <v>871</v>
      </c>
      <c r="G171" s="26" t="s">
        <v>299</v>
      </c>
    </row>
    <row r="172" spans="1:7" ht="30" customHeight="1">
      <c r="A172" s="24" t="s">
        <v>872</v>
      </c>
      <c r="B172" s="24" t="s">
        <v>569</v>
      </c>
      <c r="C172" s="24" t="s">
        <v>172</v>
      </c>
      <c r="D172" s="24"/>
      <c r="E172" s="24">
        <v>0</v>
      </c>
      <c r="F172" s="28" t="s">
        <v>873</v>
      </c>
      <c r="G172" s="24" t="s">
        <v>299</v>
      </c>
    </row>
    <row r="173" spans="1:7" ht="30" customHeight="1">
      <c r="A173" s="26" t="s">
        <v>874</v>
      </c>
      <c r="B173" s="26" t="s">
        <v>144</v>
      </c>
      <c r="C173" s="26" t="s">
        <v>172</v>
      </c>
      <c r="D173" s="26"/>
      <c r="E173" s="26">
        <v>0</v>
      </c>
      <c r="F173" s="29" t="s">
        <v>875</v>
      </c>
      <c r="G173" s="26" t="s">
        <v>299</v>
      </c>
    </row>
    <row r="174" spans="1:7" ht="30" customHeight="1">
      <c r="A174" s="24" t="s">
        <v>876</v>
      </c>
      <c r="B174" s="24" t="s">
        <v>143</v>
      </c>
      <c r="C174" s="24" t="s">
        <v>172</v>
      </c>
      <c r="D174" s="24"/>
      <c r="E174" s="24">
        <v>0</v>
      </c>
      <c r="F174" s="28" t="s">
        <v>877</v>
      </c>
      <c r="G174" s="24" t="s">
        <v>299</v>
      </c>
    </row>
    <row r="175" spans="1:7" ht="30" customHeight="1">
      <c r="A175" s="26" t="s">
        <v>878</v>
      </c>
      <c r="B175" s="26" t="s">
        <v>144</v>
      </c>
      <c r="C175" s="26" t="s">
        <v>172</v>
      </c>
      <c r="D175" s="26"/>
      <c r="E175" s="26">
        <v>0</v>
      </c>
      <c r="F175" s="29" t="s">
        <v>879</v>
      </c>
      <c r="G175" s="26" t="s">
        <v>299</v>
      </c>
    </row>
    <row r="176" spans="1:7" ht="30" customHeight="1">
      <c r="A176" s="24" t="s">
        <v>880</v>
      </c>
      <c r="B176" s="24" t="s">
        <v>143</v>
      </c>
      <c r="C176" s="24" t="s">
        <v>172</v>
      </c>
      <c r="D176" s="24"/>
      <c r="E176" s="24">
        <v>0</v>
      </c>
      <c r="F176" s="28" t="s">
        <v>881</v>
      </c>
      <c r="G176" s="24" t="s">
        <v>299</v>
      </c>
    </row>
    <row r="177" spans="1:7" ht="30" customHeight="1">
      <c r="A177" s="26" t="s">
        <v>882</v>
      </c>
      <c r="B177" s="26" t="s">
        <v>572</v>
      </c>
      <c r="C177" s="26" t="s">
        <v>172</v>
      </c>
      <c r="D177" s="26"/>
      <c r="E177" s="26">
        <v>0</v>
      </c>
      <c r="F177" s="29" t="s">
        <v>883</v>
      </c>
      <c r="G177" s="26" t="s">
        <v>299</v>
      </c>
    </row>
    <row r="178" spans="1:7" ht="30" customHeight="1">
      <c r="A178" s="24" t="s">
        <v>884</v>
      </c>
      <c r="B178" s="24" t="s">
        <v>572</v>
      </c>
      <c r="C178" s="24" t="s">
        <v>172</v>
      </c>
      <c r="D178" s="24"/>
      <c r="E178" s="24">
        <v>0</v>
      </c>
      <c r="F178" s="28" t="s">
        <v>885</v>
      </c>
      <c r="G178" s="24" t="s">
        <v>299</v>
      </c>
    </row>
    <row r="179" spans="1:7" ht="30" customHeight="1">
      <c r="A179" s="26" t="s">
        <v>886</v>
      </c>
      <c r="B179" s="26" t="s">
        <v>143</v>
      </c>
      <c r="C179" s="26" t="s">
        <v>172</v>
      </c>
      <c r="D179" s="26"/>
      <c r="E179" s="26">
        <v>0</v>
      </c>
      <c r="F179" s="29" t="s">
        <v>887</v>
      </c>
      <c r="G179" s="26" t="s">
        <v>299</v>
      </c>
    </row>
    <row r="180" spans="1:7" ht="30" customHeight="1">
      <c r="A180" s="24" t="s">
        <v>888</v>
      </c>
      <c r="B180" s="24" t="s">
        <v>226</v>
      </c>
      <c r="C180" s="24" t="s">
        <v>182</v>
      </c>
      <c r="D180" s="24"/>
      <c r="E180" s="24">
        <v>0</v>
      </c>
      <c r="F180" s="28" t="s">
        <v>889</v>
      </c>
      <c r="G180" s="24" t="s">
        <v>299</v>
      </c>
    </row>
    <row r="181" spans="1:7" ht="30" customHeight="1">
      <c r="A181" s="26" t="s">
        <v>890</v>
      </c>
      <c r="B181" s="26" t="s">
        <v>143</v>
      </c>
      <c r="C181" s="26" t="s">
        <v>182</v>
      </c>
      <c r="D181" s="26"/>
      <c r="E181" s="26">
        <v>0</v>
      </c>
      <c r="F181" s="29" t="s">
        <v>891</v>
      </c>
      <c r="G181" s="26" t="s">
        <v>299</v>
      </c>
    </row>
    <row r="182" spans="1:7" ht="30" customHeight="1">
      <c r="A182" s="24" t="s">
        <v>892</v>
      </c>
      <c r="B182" s="24" t="s">
        <v>143</v>
      </c>
      <c r="C182" s="24" t="s">
        <v>172</v>
      </c>
      <c r="D182" s="24"/>
      <c r="E182" s="24">
        <v>0</v>
      </c>
      <c r="F182" s="28" t="s">
        <v>893</v>
      </c>
      <c r="G182" s="24" t="s">
        <v>299</v>
      </c>
    </row>
    <row r="183" spans="1:7" ht="30" customHeight="1">
      <c r="A183" s="26" t="s">
        <v>894</v>
      </c>
      <c r="B183" s="26" t="s">
        <v>143</v>
      </c>
      <c r="C183" s="26" t="s">
        <v>172</v>
      </c>
      <c r="D183" s="26"/>
      <c r="E183" s="26">
        <v>0</v>
      </c>
      <c r="F183" s="29" t="s">
        <v>895</v>
      </c>
      <c r="G183" s="26" t="s">
        <v>299</v>
      </c>
    </row>
    <row r="184" spans="1:7" ht="30" customHeight="1">
      <c r="A184" s="24" t="s">
        <v>896</v>
      </c>
      <c r="B184" s="24" t="s">
        <v>143</v>
      </c>
      <c r="C184" s="24" t="s">
        <v>172</v>
      </c>
      <c r="D184" s="24"/>
      <c r="E184" s="24">
        <v>0</v>
      </c>
      <c r="F184" s="28" t="s">
        <v>897</v>
      </c>
      <c r="G184" s="24" t="s">
        <v>299</v>
      </c>
    </row>
    <row r="185" spans="1:7" ht="30" customHeight="1">
      <c r="A185" s="26" t="s">
        <v>898</v>
      </c>
      <c r="B185" s="26" t="s">
        <v>143</v>
      </c>
      <c r="C185" s="26" t="s">
        <v>172</v>
      </c>
      <c r="D185" s="26"/>
      <c r="E185" s="26">
        <v>0</v>
      </c>
      <c r="F185" s="29" t="s">
        <v>899</v>
      </c>
      <c r="G185" s="26" t="s">
        <v>299</v>
      </c>
    </row>
    <row r="186" spans="1:7" ht="30" customHeight="1">
      <c r="A186" s="24" t="s">
        <v>900</v>
      </c>
      <c r="B186" s="24" t="s">
        <v>143</v>
      </c>
      <c r="C186" s="24" t="s">
        <v>182</v>
      </c>
      <c r="D186" s="24"/>
      <c r="E186" s="24">
        <v>0</v>
      </c>
      <c r="F186" s="28" t="s">
        <v>901</v>
      </c>
      <c r="G186" s="24" t="s">
        <v>299</v>
      </c>
    </row>
    <row r="187" spans="1:7" ht="30" customHeight="1">
      <c r="A187" s="26" t="s">
        <v>902</v>
      </c>
      <c r="B187" s="26" t="s">
        <v>143</v>
      </c>
      <c r="C187" s="26" t="s">
        <v>182</v>
      </c>
      <c r="D187" s="26"/>
      <c r="E187" s="26">
        <v>0</v>
      </c>
      <c r="F187" s="29" t="s">
        <v>903</v>
      </c>
      <c r="G187" s="26" t="s">
        <v>299</v>
      </c>
    </row>
    <row r="188" spans="1:7" ht="30" customHeight="1">
      <c r="A188" s="24" t="s">
        <v>904</v>
      </c>
      <c r="B188" s="24" t="s">
        <v>143</v>
      </c>
      <c r="C188" s="24" t="s">
        <v>172</v>
      </c>
      <c r="D188" s="24"/>
      <c r="E188" s="24">
        <v>0</v>
      </c>
      <c r="F188" s="28" t="s">
        <v>905</v>
      </c>
      <c r="G188" s="24" t="s">
        <v>299</v>
      </c>
    </row>
    <row r="189" spans="1:7" ht="30" customHeight="1">
      <c r="A189" s="26" t="s">
        <v>906</v>
      </c>
      <c r="B189" s="26" t="s">
        <v>143</v>
      </c>
      <c r="C189" s="26" t="s">
        <v>172</v>
      </c>
      <c r="D189" s="26"/>
      <c r="E189" s="26">
        <v>0</v>
      </c>
      <c r="F189" s="29" t="s">
        <v>907</v>
      </c>
      <c r="G189" s="26" t="s">
        <v>299</v>
      </c>
    </row>
    <row r="190" spans="1:7" ht="30" customHeight="1">
      <c r="A190" s="24" t="s">
        <v>908</v>
      </c>
      <c r="B190" s="24" t="s">
        <v>226</v>
      </c>
      <c r="C190" s="24" t="s">
        <v>182</v>
      </c>
      <c r="D190" s="24"/>
      <c r="E190" s="24">
        <v>0</v>
      </c>
      <c r="F190" s="28" t="s">
        <v>909</v>
      </c>
      <c r="G190" s="24" t="s">
        <v>299</v>
      </c>
    </row>
    <row r="191" spans="1:7" ht="30" customHeight="1">
      <c r="A191" s="26" t="s">
        <v>910</v>
      </c>
      <c r="B191" s="26" t="s">
        <v>143</v>
      </c>
      <c r="C191" s="26" t="s">
        <v>172</v>
      </c>
      <c r="D191" s="26"/>
      <c r="E191" s="26">
        <v>0</v>
      </c>
      <c r="F191" s="29" t="s">
        <v>911</v>
      </c>
      <c r="G191" s="26" t="s">
        <v>299</v>
      </c>
    </row>
    <row r="192" spans="1:7" ht="30" customHeight="1">
      <c r="A192" s="24" t="s">
        <v>912</v>
      </c>
      <c r="B192" s="24" t="s">
        <v>569</v>
      </c>
      <c r="C192" s="24" t="s">
        <v>172</v>
      </c>
      <c r="D192" s="24"/>
      <c r="E192" s="24">
        <v>0</v>
      </c>
      <c r="F192" s="28" t="s">
        <v>913</v>
      </c>
      <c r="G192" s="24" t="s">
        <v>299</v>
      </c>
    </row>
    <row r="193" spans="1:7" ht="30" customHeight="1">
      <c r="A193" s="26" t="s">
        <v>914</v>
      </c>
      <c r="B193" s="26" t="s">
        <v>143</v>
      </c>
      <c r="C193" s="26" t="s">
        <v>172</v>
      </c>
      <c r="D193" s="26"/>
      <c r="E193" s="26">
        <v>0</v>
      </c>
      <c r="F193" s="29" t="s">
        <v>915</v>
      </c>
      <c r="G193" s="26" t="s">
        <v>299</v>
      </c>
    </row>
    <row r="194" spans="1:7" ht="30" customHeight="1">
      <c r="A194" s="24" t="s">
        <v>916</v>
      </c>
      <c r="B194" s="24" t="s">
        <v>572</v>
      </c>
      <c r="C194" s="24" t="s">
        <v>172</v>
      </c>
      <c r="D194" s="24"/>
      <c r="E194" s="24">
        <v>0</v>
      </c>
      <c r="F194" s="28" t="s">
        <v>917</v>
      </c>
      <c r="G194" s="24" t="s">
        <v>299</v>
      </c>
    </row>
    <row r="195" spans="1:7" ht="30" customHeight="1">
      <c r="A195" s="26" t="s">
        <v>918</v>
      </c>
      <c r="B195" s="26" t="s">
        <v>144</v>
      </c>
      <c r="C195" s="26" t="s">
        <v>182</v>
      </c>
      <c r="D195" s="26"/>
      <c r="E195" s="26">
        <v>0</v>
      </c>
      <c r="F195" s="29" t="s">
        <v>919</v>
      </c>
      <c r="G195" s="26" t="s">
        <v>299</v>
      </c>
    </row>
    <row r="196" spans="1:7" ht="30" customHeight="1">
      <c r="A196" s="24" t="s">
        <v>920</v>
      </c>
      <c r="B196" s="24" t="s">
        <v>143</v>
      </c>
      <c r="C196" s="24" t="s">
        <v>172</v>
      </c>
      <c r="D196" s="24"/>
      <c r="E196" s="24">
        <v>0</v>
      </c>
      <c r="F196" s="28" t="s">
        <v>921</v>
      </c>
      <c r="G196" s="24" t="s">
        <v>299</v>
      </c>
    </row>
    <row r="197" spans="1:7" ht="30" customHeight="1">
      <c r="A197" s="26" t="s">
        <v>922</v>
      </c>
      <c r="B197" s="26" t="s">
        <v>143</v>
      </c>
      <c r="C197" s="26" t="s">
        <v>172</v>
      </c>
      <c r="D197" s="26"/>
      <c r="E197" s="26">
        <v>0</v>
      </c>
      <c r="F197" s="29" t="s">
        <v>923</v>
      </c>
      <c r="G197" s="26" t="s">
        <v>299</v>
      </c>
    </row>
    <row r="198" spans="1:7" ht="30" customHeight="1">
      <c r="A198" s="24" t="s">
        <v>924</v>
      </c>
      <c r="B198" s="24" t="s">
        <v>144</v>
      </c>
      <c r="C198" s="24" t="s">
        <v>172</v>
      </c>
      <c r="D198" s="24"/>
      <c r="E198" s="24">
        <v>0</v>
      </c>
      <c r="F198" s="28" t="s">
        <v>925</v>
      </c>
      <c r="G198" s="24" t="s">
        <v>299</v>
      </c>
    </row>
    <row r="199" spans="1:7" ht="30" customHeight="1">
      <c r="A199" s="26" t="s">
        <v>926</v>
      </c>
      <c r="B199" s="26" t="s">
        <v>572</v>
      </c>
      <c r="C199" s="26" t="s">
        <v>172</v>
      </c>
      <c r="D199" s="26"/>
      <c r="E199" s="26">
        <v>0</v>
      </c>
      <c r="F199" s="29" t="s">
        <v>927</v>
      </c>
      <c r="G199" s="26" t="s">
        <v>299</v>
      </c>
    </row>
    <row r="200" spans="1:7" ht="30" customHeight="1">
      <c r="A200" s="24" t="s">
        <v>928</v>
      </c>
      <c r="B200" s="24" t="s">
        <v>572</v>
      </c>
      <c r="C200" s="24" t="s">
        <v>172</v>
      </c>
      <c r="D200" s="24"/>
      <c r="E200" s="24">
        <v>0</v>
      </c>
      <c r="F200" s="28" t="s">
        <v>929</v>
      </c>
      <c r="G200" s="24" t="s">
        <v>299</v>
      </c>
    </row>
    <row r="201" spans="1:7" ht="30" customHeight="1">
      <c r="A201" s="26" t="s">
        <v>930</v>
      </c>
      <c r="B201" s="26" t="s">
        <v>226</v>
      </c>
      <c r="C201" s="26" t="s">
        <v>182</v>
      </c>
      <c r="D201" s="26"/>
      <c r="E201" s="26">
        <v>0</v>
      </c>
      <c r="F201" s="29" t="s">
        <v>931</v>
      </c>
      <c r="G201" s="26" t="s">
        <v>299</v>
      </c>
    </row>
    <row r="202" spans="1:7" ht="30" customHeight="1">
      <c r="A202" s="24" t="s">
        <v>932</v>
      </c>
      <c r="B202" s="24" t="s">
        <v>544</v>
      </c>
      <c r="C202" s="24" t="s">
        <v>172</v>
      </c>
      <c r="D202" s="24"/>
      <c r="E202" s="24">
        <v>0</v>
      </c>
      <c r="F202" s="28" t="s">
        <v>933</v>
      </c>
      <c r="G202" s="24" t="s">
        <v>299</v>
      </c>
    </row>
    <row r="203" spans="1:7" ht="30" customHeight="1">
      <c r="A203" s="26" t="s">
        <v>934</v>
      </c>
      <c r="B203" s="26" t="s">
        <v>572</v>
      </c>
      <c r="C203" s="26" t="s">
        <v>172</v>
      </c>
      <c r="D203" s="26"/>
      <c r="E203" s="26">
        <v>0</v>
      </c>
      <c r="F203" s="29" t="s">
        <v>935</v>
      </c>
      <c r="G203" s="26" t="s">
        <v>299</v>
      </c>
    </row>
    <row r="204" spans="1:7" ht="30" customHeight="1">
      <c r="A204" s="24" t="s">
        <v>936</v>
      </c>
      <c r="B204" s="24" t="s">
        <v>144</v>
      </c>
      <c r="C204" s="24" t="s">
        <v>172</v>
      </c>
      <c r="D204" s="24"/>
      <c r="E204" s="24">
        <v>0</v>
      </c>
      <c r="F204" s="28" t="s">
        <v>937</v>
      </c>
      <c r="G204" s="24" t="s">
        <v>299</v>
      </c>
    </row>
    <row r="205" spans="1:7" ht="30" customHeight="1">
      <c r="A205" s="26" t="s">
        <v>938</v>
      </c>
      <c r="B205" s="26" t="s">
        <v>572</v>
      </c>
      <c r="C205" s="26" t="s">
        <v>172</v>
      </c>
      <c r="D205" s="26"/>
      <c r="E205" s="26">
        <v>0</v>
      </c>
      <c r="F205" s="29" t="s">
        <v>939</v>
      </c>
      <c r="G205" s="26" t="s">
        <v>299</v>
      </c>
    </row>
    <row r="206" spans="1:7" ht="30" customHeight="1">
      <c r="A206" s="24" t="s">
        <v>940</v>
      </c>
      <c r="B206" s="24" t="s">
        <v>572</v>
      </c>
      <c r="C206" s="24" t="s">
        <v>172</v>
      </c>
      <c r="D206" s="24"/>
      <c r="E206" s="24">
        <v>0</v>
      </c>
      <c r="F206" s="28" t="s">
        <v>941</v>
      </c>
      <c r="G206" s="24" t="s">
        <v>299</v>
      </c>
    </row>
    <row r="207" spans="1:7" ht="30" customHeight="1">
      <c r="A207" s="26" t="s">
        <v>942</v>
      </c>
      <c r="B207" s="26" t="s">
        <v>143</v>
      </c>
      <c r="C207" s="26" t="s">
        <v>182</v>
      </c>
      <c r="D207" s="26"/>
      <c r="E207" s="26">
        <v>0</v>
      </c>
      <c r="F207" s="29" t="s">
        <v>943</v>
      </c>
      <c r="G207" s="26" t="s">
        <v>299</v>
      </c>
    </row>
    <row r="208" spans="1:7" ht="30" customHeight="1">
      <c r="A208" s="24" t="s">
        <v>944</v>
      </c>
      <c r="B208" s="24" t="s">
        <v>572</v>
      </c>
      <c r="C208" s="24" t="s">
        <v>172</v>
      </c>
      <c r="D208" s="24"/>
      <c r="E208" s="24">
        <v>0</v>
      </c>
      <c r="F208" s="28" t="s">
        <v>945</v>
      </c>
      <c r="G208" s="24" t="s">
        <v>299</v>
      </c>
    </row>
    <row r="209" spans="1:7" ht="30" customHeight="1">
      <c r="A209" s="26" t="s">
        <v>946</v>
      </c>
      <c r="B209" s="26" t="s">
        <v>143</v>
      </c>
      <c r="C209" s="26" t="s">
        <v>182</v>
      </c>
      <c r="D209" s="26"/>
      <c r="E209" s="26">
        <v>0</v>
      </c>
      <c r="F209" s="29" t="s">
        <v>947</v>
      </c>
      <c r="G209" s="26" t="s">
        <v>299</v>
      </c>
    </row>
    <row r="210" spans="1:7" ht="30" customHeight="1">
      <c r="A210" s="24" t="s">
        <v>948</v>
      </c>
      <c r="B210" s="24" t="s">
        <v>144</v>
      </c>
      <c r="C210" s="24" t="s">
        <v>172</v>
      </c>
      <c r="D210" s="24"/>
      <c r="E210" s="24">
        <v>0</v>
      </c>
      <c r="F210" s="28" t="s">
        <v>949</v>
      </c>
      <c r="G210" s="24" t="s">
        <v>299</v>
      </c>
    </row>
    <row r="211" spans="1:7" ht="30" customHeight="1">
      <c r="A211" s="26" t="s">
        <v>950</v>
      </c>
      <c r="B211" s="26" t="s">
        <v>558</v>
      </c>
      <c r="C211" s="26" t="s">
        <v>172</v>
      </c>
      <c r="D211" s="26"/>
      <c r="E211" s="26">
        <v>0</v>
      </c>
      <c r="F211" s="29" t="s">
        <v>951</v>
      </c>
      <c r="G211" s="26" t="s">
        <v>299</v>
      </c>
    </row>
    <row r="212" spans="1:7" ht="30" customHeight="1">
      <c r="A212" s="24" t="s">
        <v>952</v>
      </c>
      <c r="B212" s="24" t="s">
        <v>144</v>
      </c>
      <c r="C212" s="24" t="s">
        <v>172</v>
      </c>
      <c r="D212" s="24"/>
      <c r="E212" s="24">
        <v>0</v>
      </c>
      <c r="F212" s="28" t="s">
        <v>953</v>
      </c>
      <c r="G212" s="24" t="s">
        <v>299</v>
      </c>
    </row>
    <row r="213" spans="1:7" ht="30" customHeight="1">
      <c r="A213" s="26" t="s">
        <v>954</v>
      </c>
      <c r="B213" s="26" t="s">
        <v>955</v>
      </c>
      <c r="C213" s="26" t="s">
        <v>172</v>
      </c>
      <c r="D213" s="26"/>
      <c r="E213" s="26">
        <v>0</v>
      </c>
      <c r="F213" s="29" t="s">
        <v>956</v>
      </c>
      <c r="G213" s="26" t="s">
        <v>299</v>
      </c>
    </row>
    <row r="214" spans="1:7" ht="30" customHeight="1">
      <c r="A214" s="24" t="s">
        <v>957</v>
      </c>
      <c r="B214" s="24" t="s">
        <v>544</v>
      </c>
      <c r="C214" s="24" t="s">
        <v>172</v>
      </c>
      <c r="D214" s="24"/>
      <c r="E214" s="24">
        <v>0</v>
      </c>
      <c r="F214" s="28" t="s">
        <v>958</v>
      </c>
      <c r="G214" s="24" t="s">
        <v>299</v>
      </c>
    </row>
    <row r="215" spans="1:7" ht="30" customHeight="1">
      <c r="A215" s="26" t="s">
        <v>959</v>
      </c>
      <c r="B215" s="26" t="s">
        <v>143</v>
      </c>
      <c r="C215" s="26" t="s">
        <v>182</v>
      </c>
      <c r="D215" s="26"/>
      <c r="E215" s="26">
        <v>0</v>
      </c>
      <c r="F215" s="29" t="s">
        <v>960</v>
      </c>
      <c r="G215" s="26" t="s">
        <v>299</v>
      </c>
    </row>
    <row r="216" spans="1:7" ht="30" customHeight="1">
      <c r="A216" s="24" t="s">
        <v>961</v>
      </c>
      <c r="B216" s="24" t="s">
        <v>226</v>
      </c>
      <c r="C216" s="24" t="s">
        <v>182</v>
      </c>
      <c r="D216" s="24"/>
      <c r="E216" s="24">
        <v>0</v>
      </c>
      <c r="F216" s="28" t="s">
        <v>962</v>
      </c>
      <c r="G216" s="24" t="s">
        <v>299</v>
      </c>
    </row>
    <row r="217" spans="1:7" ht="30" customHeight="1">
      <c r="A217" s="26" t="s">
        <v>963</v>
      </c>
      <c r="B217" s="26" t="s">
        <v>964</v>
      </c>
      <c r="C217" s="26" t="s">
        <v>182</v>
      </c>
      <c r="D217" s="26"/>
      <c r="E217" s="26">
        <v>0</v>
      </c>
      <c r="F217" s="29" t="s">
        <v>965</v>
      </c>
      <c r="G217" s="26" t="s">
        <v>299</v>
      </c>
    </row>
    <row r="218" spans="1:7" ht="30" customHeight="1">
      <c r="A218" s="24" t="s">
        <v>966</v>
      </c>
      <c r="B218" s="24" t="s">
        <v>143</v>
      </c>
      <c r="C218" s="24" t="s">
        <v>182</v>
      </c>
      <c r="D218" s="24"/>
      <c r="E218" s="24">
        <v>0</v>
      </c>
      <c r="F218" s="28" t="s">
        <v>967</v>
      </c>
      <c r="G218" s="24" t="s">
        <v>299</v>
      </c>
    </row>
    <row r="219" spans="1:7" ht="30" customHeight="1">
      <c r="A219" s="26" t="s">
        <v>968</v>
      </c>
      <c r="B219" s="26" t="s">
        <v>230</v>
      </c>
      <c r="C219" s="26" t="s">
        <v>182</v>
      </c>
      <c r="D219" s="26"/>
      <c r="E219" s="26">
        <v>0</v>
      </c>
      <c r="F219" s="29" t="s">
        <v>969</v>
      </c>
      <c r="G219" s="26" t="s">
        <v>299</v>
      </c>
    </row>
    <row r="220" spans="1:7" ht="30" customHeight="1">
      <c r="A220" s="24" t="s">
        <v>970</v>
      </c>
      <c r="B220" s="24" t="s">
        <v>144</v>
      </c>
      <c r="C220" s="24" t="s">
        <v>172</v>
      </c>
      <c r="D220" s="24"/>
      <c r="E220" s="24">
        <v>0</v>
      </c>
      <c r="F220" s="28" t="s">
        <v>971</v>
      </c>
      <c r="G220" s="24" t="s">
        <v>299</v>
      </c>
    </row>
    <row r="221" spans="1:7" ht="30" customHeight="1">
      <c r="A221" s="26" t="s">
        <v>972</v>
      </c>
      <c r="B221" s="26" t="s">
        <v>144</v>
      </c>
      <c r="C221" s="26" t="s">
        <v>172</v>
      </c>
      <c r="D221" s="26"/>
      <c r="E221" s="26">
        <v>0</v>
      </c>
      <c r="F221" s="29" t="s">
        <v>973</v>
      </c>
      <c r="G221" s="26" t="s">
        <v>299</v>
      </c>
    </row>
    <row r="222" spans="1:7" ht="30" customHeight="1">
      <c r="A222" s="24" t="s">
        <v>974</v>
      </c>
      <c r="B222" s="24" t="s">
        <v>572</v>
      </c>
      <c r="C222" s="24" t="s">
        <v>172</v>
      </c>
      <c r="D222" s="24"/>
      <c r="E222" s="24">
        <v>0</v>
      </c>
      <c r="F222" s="28" t="s">
        <v>975</v>
      </c>
      <c r="G222" s="24" t="s">
        <v>299</v>
      </c>
    </row>
    <row r="223" spans="1:7" ht="30" customHeight="1">
      <c r="A223" s="26" t="s">
        <v>976</v>
      </c>
      <c r="B223" s="26" t="s">
        <v>143</v>
      </c>
      <c r="C223" s="26" t="s">
        <v>172</v>
      </c>
      <c r="D223" s="26"/>
      <c r="E223" s="26">
        <v>0</v>
      </c>
      <c r="F223" s="29" t="s">
        <v>977</v>
      </c>
      <c r="G223" s="26" t="s">
        <v>299</v>
      </c>
    </row>
    <row r="224" spans="1:7" ht="30" customHeight="1">
      <c r="A224" s="24" t="s">
        <v>978</v>
      </c>
      <c r="B224" s="24" t="s">
        <v>143</v>
      </c>
      <c r="C224" s="24" t="s">
        <v>172</v>
      </c>
      <c r="D224" s="24"/>
      <c r="E224" s="24">
        <v>0</v>
      </c>
      <c r="F224" s="28" t="s">
        <v>979</v>
      </c>
      <c r="G224" s="24" t="s">
        <v>299</v>
      </c>
    </row>
    <row r="225" spans="1:7" ht="30" customHeight="1">
      <c r="A225" s="26" t="s">
        <v>980</v>
      </c>
      <c r="B225" s="26" t="s">
        <v>572</v>
      </c>
      <c r="C225" s="26" t="s">
        <v>172</v>
      </c>
      <c r="D225" s="26"/>
      <c r="E225" s="26">
        <v>0</v>
      </c>
      <c r="F225" s="29" t="s">
        <v>981</v>
      </c>
      <c r="G225" s="26" t="s">
        <v>299</v>
      </c>
    </row>
    <row r="226" spans="1:7" ht="30" customHeight="1">
      <c r="A226" s="24" t="s">
        <v>982</v>
      </c>
      <c r="B226" s="24" t="s">
        <v>572</v>
      </c>
      <c r="C226" s="24" t="s">
        <v>172</v>
      </c>
      <c r="D226" s="24"/>
      <c r="E226" s="24">
        <v>0</v>
      </c>
      <c r="F226" s="28" t="s">
        <v>983</v>
      </c>
      <c r="G226" s="24" t="s">
        <v>299</v>
      </c>
    </row>
    <row r="227" spans="1:7" ht="30" customHeight="1">
      <c r="A227" s="26" t="s">
        <v>984</v>
      </c>
      <c r="B227" s="26" t="s">
        <v>581</v>
      </c>
      <c r="C227" s="26" t="s">
        <v>172</v>
      </c>
      <c r="D227" s="26"/>
      <c r="E227" s="26">
        <v>0</v>
      </c>
      <c r="F227" s="29" t="s">
        <v>985</v>
      </c>
      <c r="G227" s="26" t="s">
        <v>299</v>
      </c>
    </row>
    <row r="228" spans="1:7" ht="30" customHeight="1">
      <c r="A228" s="24" t="s">
        <v>986</v>
      </c>
      <c r="B228" s="24" t="s">
        <v>144</v>
      </c>
      <c r="C228" s="24" t="s">
        <v>172</v>
      </c>
      <c r="D228" s="24"/>
      <c r="E228" s="24">
        <v>0</v>
      </c>
      <c r="F228" s="28" t="s">
        <v>987</v>
      </c>
      <c r="G228" s="24" t="s">
        <v>299</v>
      </c>
    </row>
    <row r="229" spans="1:7" ht="30" customHeight="1">
      <c r="A229" s="26" t="s">
        <v>988</v>
      </c>
      <c r="B229" s="26" t="s">
        <v>144</v>
      </c>
      <c r="C229" s="26" t="s">
        <v>172</v>
      </c>
      <c r="D229" s="26"/>
      <c r="E229" s="26">
        <v>0</v>
      </c>
      <c r="F229" s="29" t="s">
        <v>989</v>
      </c>
      <c r="G229" s="26" t="s">
        <v>299</v>
      </c>
    </row>
    <row r="230" spans="1:7" ht="30" customHeight="1">
      <c r="A230" s="24" t="s">
        <v>990</v>
      </c>
      <c r="B230" s="24" t="s">
        <v>144</v>
      </c>
      <c r="C230" s="24" t="s">
        <v>172</v>
      </c>
      <c r="D230" s="24"/>
      <c r="E230" s="24">
        <v>0</v>
      </c>
      <c r="F230" s="28" t="s">
        <v>991</v>
      </c>
      <c r="G230" s="24" t="s">
        <v>299</v>
      </c>
    </row>
    <row r="231" spans="1:7" ht="30" customHeight="1">
      <c r="A231" s="26" t="s">
        <v>992</v>
      </c>
      <c r="B231" s="26" t="s">
        <v>539</v>
      </c>
      <c r="C231" s="26" t="s">
        <v>172</v>
      </c>
      <c r="D231" s="26"/>
      <c r="E231" s="26">
        <v>0</v>
      </c>
      <c r="F231" s="29" t="s">
        <v>993</v>
      </c>
      <c r="G231" s="26" t="s">
        <v>299</v>
      </c>
    </row>
    <row r="232" spans="1:7" ht="30" customHeight="1">
      <c r="A232" s="24" t="s">
        <v>994</v>
      </c>
      <c r="B232" s="24" t="s">
        <v>572</v>
      </c>
      <c r="C232" s="24" t="s">
        <v>172</v>
      </c>
      <c r="D232" s="24"/>
      <c r="E232" s="24">
        <v>0</v>
      </c>
      <c r="F232" s="28" t="s">
        <v>995</v>
      </c>
      <c r="G232" s="24" t="s">
        <v>299</v>
      </c>
    </row>
    <row r="233" spans="1:7" ht="30" customHeight="1">
      <c r="A233" s="26" t="s">
        <v>996</v>
      </c>
      <c r="B233" s="26" t="s">
        <v>143</v>
      </c>
      <c r="C233" s="26" t="s">
        <v>182</v>
      </c>
      <c r="D233" s="26"/>
      <c r="E233" s="26">
        <v>0</v>
      </c>
      <c r="F233" s="29" t="s">
        <v>997</v>
      </c>
      <c r="G233" s="26" t="s">
        <v>299</v>
      </c>
    </row>
    <row r="234" spans="1:7" ht="30" customHeight="1">
      <c r="A234" s="24" t="s">
        <v>998</v>
      </c>
      <c r="B234" s="24" t="s">
        <v>226</v>
      </c>
      <c r="C234" s="24" t="s">
        <v>182</v>
      </c>
      <c r="D234" s="24"/>
      <c r="E234" s="24">
        <v>0</v>
      </c>
      <c r="F234" s="28" t="s">
        <v>999</v>
      </c>
      <c r="G234" s="24" t="s">
        <v>299</v>
      </c>
    </row>
    <row r="235" spans="1:7" ht="30" customHeight="1">
      <c r="A235" s="26" t="s">
        <v>1000</v>
      </c>
      <c r="B235" s="26" t="s">
        <v>572</v>
      </c>
      <c r="C235" s="26" t="s">
        <v>172</v>
      </c>
      <c r="D235" s="26"/>
      <c r="E235" s="26">
        <v>0</v>
      </c>
      <c r="F235" s="29" t="s">
        <v>1001</v>
      </c>
      <c r="G235" s="26" t="s">
        <v>299</v>
      </c>
    </row>
    <row r="236" spans="1:7" ht="30" customHeight="1">
      <c r="A236" s="24" t="s">
        <v>1002</v>
      </c>
      <c r="B236" s="24" t="s">
        <v>539</v>
      </c>
      <c r="C236" s="24" t="s">
        <v>172</v>
      </c>
      <c r="D236" s="24"/>
      <c r="E236" s="24">
        <v>0</v>
      </c>
      <c r="F236" s="28" t="s">
        <v>1003</v>
      </c>
      <c r="G236" s="24" t="s">
        <v>299</v>
      </c>
    </row>
    <row r="237" spans="1:7" ht="30" customHeight="1">
      <c r="A237" s="26" t="s">
        <v>1004</v>
      </c>
      <c r="B237" s="26" t="s">
        <v>572</v>
      </c>
      <c r="C237" s="26" t="s">
        <v>172</v>
      </c>
      <c r="D237" s="26"/>
      <c r="E237" s="26">
        <v>0</v>
      </c>
      <c r="F237" s="29" t="s">
        <v>1005</v>
      </c>
      <c r="G237" s="26" t="s">
        <v>299</v>
      </c>
    </row>
    <row r="238" spans="1:7" ht="30" customHeight="1">
      <c r="A238" s="24" t="s">
        <v>1006</v>
      </c>
      <c r="B238" s="24" t="s">
        <v>226</v>
      </c>
      <c r="C238" s="24" t="s">
        <v>172</v>
      </c>
      <c r="D238" s="24"/>
      <c r="E238" s="24">
        <v>0</v>
      </c>
      <c r="F238" s="28" t="s">
        <v>1007</v>
      </c>
      <c r="G238" s="24" t="s">
        <v>299</v>
      </c>
    </row>
    <row r="239" spans="1:7" ht="30" customHeight="1">
      <c r="A239" s="26" t="s">
        <v>1008</v>
      </c>
      <c r="B239" s="26" t="s">
        <v>572</v>
      </c>
      <c r="C239" s="26" t="s">
        <v>182</v>
      </c>
      <c r="D239" s="26"/>
      <c r="E239" s="26">
        <v>0</v>
      </c>
      <c r="F239" s="29" t="s">
        <v>1009</v>
      </c>
      <c r="G239" s="26" t="s">
        <v>299</v>
      </c>
    </row>
    <row r="240" spans="1:7" ht="30" customHeight="1">
      <c r="A240" s="24" t="s">
        <v>1010</v>
      </c>
      <c r="B240" s="24" t="s">
        <v>143</v>
      </c>
      <c r="C240" s="24" t="s">
        <v>172</v>
      </c>
      <c r="D240" s="24"/>
      <c r="E240" s="24">
        <v>0</v>
      </c>
      <c r="F240" s="28" t="s">
        <v>1011</v>
      </c>
      <c r="G240" s="24" t="s">
        <v>299</v>
      </c>
    </row>
    <row r="241" spans="1:7" ht="30" customHeight="1">
      <c r="A241" s="26" t="s">
        <v>1012</v>
      </c>
      <c r="B241" s="26" t="s">
        <v>143</v>
      </c>
      <c r="C241" s="26" t="s">
        <v>182</v>
      </c>
      <c r="D241" s="26"/>
      <c r="E241" s="26">
        <v>0</v>
      </c>
      <c r="F241" s="29" t="s">
        <v>1013</v>
      </c>
      <c r="G241" s="26" t="s">
        <v>299</v>
      </c>
    </row>
    <row r="242" spans="1:7" ht="30" customHeight="1">
      <c r="A242" s="24" t="s">
        <v>1014</v>
      </c>
      <c r="B242" s="24" t="s">
        <v>581</v>
      </c>
      <c r="C242" s="24" t="s">
        <v>172</v>
      </c>
      <c r="D242" s="24"/>
      <c r="E242" s="24">
        <v>0</v>
      </c>
      <c r="F242" s="28" t="s">
        <v>1015</v>
      </c>
      <c r="G242" s="24" t="s">
        <v>299</v>
      </c>
    </row>
    <row r="243" spans="1:7" ht="30" customHeight="1">
      <c r="A243" s="26" t="s">
        <v>1016</v>
      </c>
      <c r="B243" s="26" t="s">
        <v>581</v>
      </c>
      <c r="C243" s="26" t="s">
        <v>172</v>
      </c>
      <c r="D243" s="26"/>
      <c r="E243" s="26">
        <v>0</v>
      </c>
      <c r="F243" s="29" t="s">
        <v>1017</v>
      </c>
      <c r="G243" s="26" t="s">
        <v>299</v>
      </c>
    </row>
    <row r="244" spans="1:7" ht="30" customHeight="1">
      <c r="A244" s="24" t="s">
        <v>1018</v>
      </c>
      <c r="B244" s="24" t="s">
        <v>143</v>
      </c>
      <c r="C244" s="24" t="s">
        <v>182</v>
      </c>
      <c r="D244" s="24"/>
      <c r="E244" s="24">
        <v>0</v>
      </c>
      <c r="F244" s="28" t="s">
        <v>1019</v>
      </c>
      <c r="G244" s="24" t="s">
        <v>299</v>
      </c>
    </row>
    <row r="245" spans="1:7" ht="30" customHeight="1">
      <c r="A245" s="26" t="s">
        <v>1020</v>
      </c>
      <c r="B245" s="26" t="s">
        <v>143</v>
      </c>
      <c r="C245" s="26" t="s">
        <v>172</v>
      </c>
      <c r="D245" s="26"/>
      <c r="E245" s="26">
        <v>0</v>
      </c>
      <c r="F245" s="29" t="s">
        <v>1021</v>
      </c>
      <c r="G245" s="26" t="s">
        <v>299</v>
      </c>
    </row>
    <row r="246" spans="1:7" ht="30" customHeight="1">
      <c r="A246" s="24" t="s">
        <v>1022</v>
      </c>
      <c r="B246" s="24" t="s">
        <v>558</v>
      </c>
      <c r="C246" s="24" t="s">
        <v>172</v>
      </c>
      <c r="D246" s="24"/>
      <c r="E246" s="24">
        <v>0</v>
      </c>
      <c r="F246" s="28" t="s">
        <v>1023</v>
      </c>
      <c r="G246" s="24" t="s">
        <v>299</v>
      </c>
    </row>
    <row r="247" spans="1:7" ht="30" customHeight="1">
      <c r="A247" s="26" t="s">
        <v>1024</v>
      </c>
      <c r="B247" s="26" t="s">
        <v>143</v>
      </c>
      <c r="C247" s="26" t="s">
        <v>172</v>
      </c>
      <c r="D247" s="26"/>
      <c r="E247" s="26">
        <v>0</v>
      </c>
      <c r="F247" s="29" t="s">
        <v>1025</v>
      </c>
      <c r="G247" s="26" t="s">
        <v>299</v>
      </c>
    </row>
    <row r="248" spans="1:7" ht="30" customHeight="1">
      <c r="A248" s="24" t="s">
        <v>1026</v>
      </c>
      <c r="B248" s="24" t="s">
        <v>143</v>
      </c>
      <c r="C248" s="24" t="s">
        <v>172</v>
      </c>
      <c r="D248" s="24"/>
      <c r="E248" s="24">
        <v>0</v>
      </c>
      <c r="F248" s="28" t="s">
        <v>1027</v>
      </c>
      <c r="G248" s="24" t="s">
        <v>299</v>
      </c>
    </row>
    <row r="249" spans="1:7" ht="30" customHeight="1">
      <c r="A249" s="26" t="s">
        <v>1028</v>
      </c>
      <c r="B249" s="26" t="s">
        <v>143</v>
      </c>
      <c r="C249" s="26" t="s">
        <v>172</v>
      </c>
      <c r="D249" s="26"/>
      <c r="E249" s="26">
        <v>0</v>
      </c>
      <c r="F249" s="29" t="s">
        <v>1029</v>
      </c>
      <c r="G249" s="26" t="s">
        <v>299</v>
      </c>
    </row>
    <row r="250" spans="1:7" ht="30" customHeight="1">
      <c r="A250" s="24" t="s">
        <v>1030</v>
      </c>
      <c r="B250" s="24" t="s">
        <v>572</v>
      </c>
      <c r="C250" s="24" t="s">
        <v>172</v>
      </c>
      <c r="D250" s="24"/>
      <c r="E250" s="24">
        <v>0</v>
      </c>
      <c r="F250" s="28" t="s">
        <v>1031</v>
      </c>
      <c r="G250" s="24" t="s">
        <v>299</v>
      </c>
    </row>
    <row r="251" spans="1:7" ht="30" customHeight="1">
      <c r="A251" s="26" t="s">
        <v>1032</v>
      </c>
      <c r="B251" s="26" t="s">
        <v>572</v>
      </c>
      <c r="C251" s="26" t="s">
        <v>172</v>
      </c>
      <c r="D251" s="26"/>
      <c r="E251" s="26">
        <v>0</v>
      </c>
      <c r="F251" s="29" t="s">
        <v>1033</v>
      </c>
      <c r="G251" s="26" t="s">
        <v>299</v>
      </c>
    </row>
    <row r="252" spans="1:7" ht="30" customHeight="1">
      <c r="A252" s="24" t="s">
        <v>1034</v>
      </c>
      <c r="B252" s="24" t="s">
        <v>143</v>
      </c>
      <c r="C252" s="24" t="s">
        <v>182</v>
      </c>
      <c r="D252" s="24"/>
      <c r="E252" s="24">
        <v>0</v>
      </c>
      <c r="F252" s="28" t="s">
        <v>1035</v>
      </c>
      <c r="G252" s="24" t="s">
        <v>299</v>
      </c>
    </row>
    <row r="253" spans="1:7" ht="30" customHeight="1">
      <c r="A253" s="26" t="s">
        <v>1036</v>
      </c>
      <c r="B253" s="26" t="s">
        <v>143</v>
      </c>
      <c r="C253" s="26" t="s">
        <v>172</v>
      </c>
      <c r="D253" s="26"/>
      <c r="E253" s="26">
        <v>0</v>
      </c>
      <c r="F253" s="29" t="s">
        <v>1037</v>
      </c>
      <c r="G253" s="26" t="s">
        <v>299</v>
      </c>
    </row>
    <row r="254" spans="1:7" ht="30" customHeight="1">
      <c r="A254" s="24" t="s">
        <v>1038</v>
      </c>
      <c r="B254" s="24" t="s">
        <v>143</v>
      </c>
      <c r="C254" s="24" t="s">
        <v>182</v>
      </c>
      <c r="D254" s="24"/>
      <c r="E254" s="24">
        <v>0</v>
      </c>
      <c r="F254" s="28" t="s">
        <v>1039</v>
      </c>
      <c r="G254" s="24" t="s">
        <v>299</v>
      </c>
    </row>
    <row r="255" spans="1:7" ht="30" customHeight="1">
      <c r="A255" s="26" t="s">
        <v>1040</v>
      </c>
      <c r="B255" s="26" t="s">
        <v>539</v>
      </c>
      <c r="C255" s="26" t="s">
        <v>172</v>
      </c>
      <c r="D255" s="26"/>
      <c r="E255" s="26">
        <v>0</v>
      </c>
      <c r="F255" s="29" t="s">
        <v>1041</v>
      </c>
      <c r="G255" s="26" t="s">
        <v>299</v>
      </c>
    </row>
    <row r="256" spans="1:7" ht="30" customHeight="1">
      <c r="A256" s="24" t="s">
        <v>1042</v>
      </c>
      <c r="B256" s="24" t="s">
        <v>143</v>
      </c>
      <c r="C256" s="24" t="s">
        <v>172</v>
      </c>
      <c r="D256" s="24"/>
      <c r="E256" s="24">
        <v>0</v>
      </c>
      <c r="F256" s="28" t="s">
        <v>1043</v>
      </c>
      <c r="G256" s="24" t="s">
        <v>299</v>
      </c>
    </row>
    <row r="257" spans="1:7" ht="30" customHeight="1">
      <c r="A257" s="26" t="s">
        <v>1044</v>
      </c>
      <c r="B257" s="26" t="s">
        <v>143</v>
      </c>
      <c r="C257" s="26" t="s">
        <v>182</v>
      </c>
      <c r="D257" s="26"/>
      <c r="E257" s="26">
        <v>0</v>
      </c>
      <c r="F257" s="29" t="s">
        <v>1045</v>
      </c>
      <c r="G257" s="26" t="s">
        <v>299</v>
      </c>
    </row>
    <row r="258" spans="1:7" ht="30" customHeight="1">
      <c r="A258" s="24" t="s">
        <v>1046</v>
      </c>
      <c r="B258" s="24" t="s">
        <v>143</v>
      </c>
      <c r="C258" s="24" t="s">
        <v>182</v>
      </c>
      <c r="D258" s="24"/>
      <c r="E258" s="24">
        <v>0</v>
      </c>
      <c r="F258" s="28" t="s">
        <v>1047</v>
      </c>
      <c r="G258" s="24" t="s">
        <v>299</v>
      </c>
    </row>
    <row r="259" spans="1:7" ht="30" customHeight="1">
      <c r="A259" s="26" t="s">
        <v>1048</v>
      </c>
      <c r="B259" s="26" t="s">
        <v>144</v>
      </c>
      <c r="C259" s="26" t="s">
        <v>172</v>
      </c>
      <c r="D259" s="26"/>
      <c r="E259" s="26">
        <v>0</v>
      </c>
      <c r="F259" s="29" t="s">
        <v>1049</v>
      </c>
      <c r="G259" s="26" t="s">
        <v>299</v>
      </c>
    </row>
    <row r="260" spans="1:7" ht="30" customHeight="1">
      <c r="A260" s="24" t="s">
        <v>1050</v>
      </c>
      <c r="B260" s="24" t="s">
        <v>144</v>
      </c>
      <c r="C260" s="24" t="s">
        <v>172</v>
      </c>
      <c r="D260" s="24"/>
      <c r="E260" s="24">
        <v>0</v>
      </c>
      <c r="F260" s="28" t="s">
        <v>1051</v>
      </c>
      <c r="G260" s="24" t="s">
        <v>299</v>
      </c>
    </row>
    <row r="261" spans="1:7" ht="30" customHeight="1">
      <c r="A261" s="26" t="s">
        <v>1052</v>
      </c>
      <c r="B261" s="26" t="s">
        <v>581</v>
      </c>
      <c r="C261" s="26" t="s">
        <v>172</v>
      </c>
      <c r="D261" s="26"/>
      <c r="E261" s="26">
        <v>0</v>
      </c>
      <c r="F261" s="29" t="s">
        <v>1053</v>
      </c>
      <c r="G261" s="26" t="s">
        <v>299</v>
      </c>
    </row>
    <row r="262" spans="1:7" ht="30" customHeight="1">
      <c r="A262" s="24" t="s">
        <v>1054</v>
      </c>
      <c r="B262" s="24" t="s">
        <v>144</v>
      </c>
      <c r="C262" s="24" t="s">
        <v>172</v>
      </c>
      <c r="D262" s="24"/>
      <c r="E262" s="24">
        <v>0</v>
      </c>
      <c r="F262" s="28" t="s">
        <v>1055</v>
      </c>
      <c r="G262" s="24" t="s">
        <v>299</v>
      </c>
    </row>
    <row r="263" spans="1:7" ht="30" customHeight="1">
      <c r="A263" s="26" t="s">
        <v>1056</v>
      </c>
      <c r="B263" s="26" t="s">
        <v>143</v>
      </c>
      <c r="C263" s="26" t="s">
        <v>182</v>
      </c>
      <c r="D263" s="26"/>
      <c r="E263" s="26">
        <v>0</v>
      </c>
      <c r="F263" s="29" t="s">
        <v>1057</v>
      </c>
      <c r="G263" s="26" t="s">
        <v>299</v>
      </c>
    </row>
    <row r="264" spans="1:7" ht="30" customHeight="1">
      <c r="A264" s="24" t="s">
        <v>1058</v>
      </c>
      <c r="B264" s="24" t="s">
        <v>143</v>
      </c>
      <c r="C264" s="24" t="s">
        <v>172</v>
      </c>
      <c r="D264" s="24"/>
      <c r="E264" s="24">
        <v>0</v>
      </c>
      <c r="F264" s="28" t="s">
        <v>1059</v>
      </c>
      <c r="G264" s="24" t="s">
        <v>299</v>
      </c>
    </row>
    <row r="265" spans="1:7" ht="30" customHeight="1">
      <c r="A265" s="26" t="s">
        <v>1060</v>
      </c>
      <c r="B265" s="26" t="s">
        <v>143</v>
      </c>
      <c r="C265" s="26" t="s">
        <v>172</v>
      </c>
      <c r="D265" s="26"/>
      <c r="E265" s="26">
        <v>0</v>
      </c>
      <c r="F265" s="29" t="s">
        <v>1061</v>
      </c>
      <c r="G265" s="26" t="s">
        <v>299</v>
      </c>
    </row>
    <row r="266" spans="1:7" ht="30" customHeight="1">
      <c r="A266" s="24" t="s">
        <v>1062</v>
      </c>
      <c r="B266" s="24" t="s">
        <v>143</v>
      </c>
      <c r="C266" s="24" t="s">
        <v>172</v>
      </c>
      <c r="D266" s="24"/>
      <c r="E266" s="24">
        <v>0</v>
      </c>
      <c r="F266" s="28" t="s">
        <v>1063</v>
      </c>
      <c r="G266" s="24" t="s">
        <v>299</v>
      </c>
    </row>
    <row r="267" spans="1:7" ht="30" customHeight="1">
      <c r="A267" s="26" t="s">
        <v>1064</v>
      </c>
      <c r="B267" s="26" t="s">
        <v>581</v>
      </c>
      <c r="C267" s="26" t="s">
        <v>172</v>
      </c>
      <c r="D267" s="26"/>
      <c r="E267" s="26">
        <v>0</v>
      </c>
      <c r="F267" s="29" t="s">
        <v>1065</v>
      </c>
      <c r="G267" s="26" t="s">
        <v>299</v>
      </c>
    </row>
    <row r="268" spans="1:7" ht="30" customHeight="1">
      <c r="A268" s="24" t="s">
        <v>1066</v>
      </c>
      <c r="B268" s="24" t="s">
        <v>539</v>
      </c>
      <c r="C268" s="24" t="s">
        <v>182</v>
      </c>
      <c r="D268" s="24"/>
      <c r="E268" s="24">
        <v>0</v>
      </c>
      <c r="F268" s="28" t="s">
        <v>1067</v>
      </c>
      <c r="G268" s="24" t="s">
        <v>299</v>
      </c>
    </row>
    <row r="269" spans="1:7" ht="30" customHeight="1">
      <c r="A269" s="26" t="s">
        <v>1068</v>
      </c>
      <c r="B269" s="26" t="s">
        <v>144</v>
      </c>
      <c r="C269" s="26" t="s">
        <v>172</v>
      </c>
      <c r="D269" s="26"/>
      <c r="E269" s="26">
        <v>0</v>
      </c>
      <c r="F269" s="29" t="s">
        <v>1069</v>
      </c>
      <c r="G269" s="26" t="s">
        <v>299</v>
      </c>
    </row>
    <row r="270" spans="1:7" ht="30" customHeight="1">
      <c r="A270" s="24" t="s">
        <v>1070</v>
      </c>
      <c r="B270" s="24" t="s">
        <v>144</v>
      </c>
      <c r="C270" s="24" t="s">
        <v>172</v>
      </c>
      <c r="D270" s="24"/>
      <c r="E270" s="24">
        <v>0</v>
      </c>
      <c r="F270" s="28" t="s">
        <v>1071</v>
      </c>
      <c r="G270" s="24" t="s">
        <v>299</v>
      </c>
    </row>
    <row r="271" spans="1:7" ht="30" customHeight="1">
      <c r="A271" s="26" t="s">
        <v>1072</v>
      </c>
      <c r="B271" s="26" t="s">
        <v>581</v>
      </c>
      <c r="C271" s="26" t="s">
        <v>172</v>
      </c>
      <c r="D271" s="26"/>
      <c r="E271" s="26">
        <v>0</v>
      </c>
      <c r="F271" s="29" t="s">
        <v>1073</v>
      </c>
      <c r="G271" s="26" t="s">
        <v>299</v>
      </c>
    </row>
    <row r="272" spans="1:7" ht="30" customHeight="1">
      <c r="A272" s="24" t="s">
        <v>1074</v>
      </c>
      <c r="B272" s="24" t="s">
        <v>143</v>
      </c>
      <c r="C272" s="24" t="s">
        <v>172</v>
      </c>
      <c r="D272" s="24"/>
      <c r="E272" s="24">
        <v>0</v>
      </c>
      <c r="F272" s="28" t="s">
        <v>1075</v>
      </c>
      <c r="G272" s="24" t="s">
        <v>299</v>
      </c>
    </row>
    <row r="273" spans="1:7" ht="30" customHeight="1">
      <c r="A273" s="26" t="s">
        <v>1076</v>
      </c>
      <c r="B273" s="26" t="s">
        <v>143</v>
      </c>
      <c r="C273" s="26" t="s">
        <v>172</v>
      </c>
      <c r="D273" s="26"/>
      <c r="E273" s="26">
        <v>0</v>
      </c>
      <c r="F273" s="29" t="s">
        <v>1077</v>
      </c>
      <c r="G273" s="26" t="s">
        <v>299</v>
      </c>
    </row>
    <row r="274" spans="1:7" ht="30" customHeight="1">
      <c r="A274" s="24" t="s">
        <v>1078</v>
      </c>
      <c r="B274" s="24" t="s">
        <v>144</v>
      </c>
      <c r="C274" s="24" t="s">
        <v>172</v>
      </c>
      <c r="D274" s="24"/>
      <c r="E274" s="24">
        <v>0</v>
      </c>
      <c r="F274" s="28" t="s">
        <v>1079</v>
      </c>
      <c r="G274" s="24" t="s">
        <v>299</v>
      </c>
    </row>
    <row r="275" spans="1:7" ht="30" customHeight="1">
      <c r="A275" s="26" t="s">
        <v>1080</v>
      </c>
      <c r="B275" s="26" t="s">
        <v>143</v>
      </c>
      <c r="C275" s="26" t="s">
        <v>172</v>
      </c>
      <c r="D275" s="26"/>
      <c r="E275" s="26">
        <v>0</v>
      </c>
      <c r="F275" s="29" t="s">
        <v>1081</v>
      </c>
      <c r="G275" s="26" t="s">
        <v>299</v>
      </c>
    </row>
    <row r="276" spans="1:7" ht="30" customHeight="1">
      <c r="A276" s="24" t="s">
        <v>1082</v>
      </c>
      <c r="B276" s="24" t="s">
        <v>572</v>
      </c>
      <c r="C276" s="24" t="s">
        <v>172</v>
      </c>
      <c r="D276" s="24"/>
      <c r="E276" s="24">
        <v>0</v>
      </c>
      <c r="F276" s="28" t="s">
        <v>1083</v>
      </c>
      <c r="G276" s="24" t="s">
        <v>299</v>
      </c>
    </row>
    <row r="277" spans="1:7" ht="30" customHeight="1">
      <c r="A277" s="26" t="s">
        <v>1084</v>
      </c>
      <c r="B277" s="26" t="s">
        <v>171</v>
      </c>
      <c r="C277" s="26" t="s">
        <v>182</v>
      </c>
      <c r="D277" s="26"/>
      <c r="E277" s="26">
        <v>0</v>
      </c>
      <c r="F277" s="29" t="s">
        <v>1085</v>
      </c>
      <c r="G277" s="26" t="s">
        <v>299</v>
      </c>
    </row>
    <row r="278" spans="1:7" ht="30" customHeight="1">
      <c r="A278" s="24" t="s">
        <v>1086</v>
      </c>
      <c r="B278" s="24" t="s">
        <v>581</v>
      </c>
      <c r="C278" s="24" t="s">
        <v>172</v>
      </c>
      <c r="D278" s="24"/>
      <c r="E278" s="24">
        <v>0</v>
      </c>
      <c r="F278" s="28" t="s">
        <v>1087</v>
      </c>
      <c r="G278" s="24" t="s">
        <v>299</v>
      </c>
    </row>
    <row r="279" spans="1:7" ht="30" customHeight="1">
      <c r="A279" s="26" t="s">
        <v>1088</v>
      </c>
      <c r="B279" s="26" t="s">
        <v>143</v>
      </c>
      <c r="C279" s="26" t="s">
        <v>172</v>
      </c>
      <c r="D279" s="26"/>
      <c r="E279" s="26">
        <v>0</v>
      </c>
      <c r="F279" s="29" t="s">
        <v>1089</v>
      </c>
      <c r="G279" s="26" t="s">
        <v>299</v>
      </c>
    </row>
    <row r="280" spans="1:7" ht="30" customHeight="1">
      <c r="A280" s="24" t="s">
        <v>1090</v>
      </c>
      <c r="B280" s="24" t="s">
        <v>144</v>
      </c>
      <c r="C280" s="24" t="s">
        <v>172</v>
      </c>
      <c r="D280" s="24"/>
      <c r="E280" s="24">
        <v>0</v>
      </c>
      <c r="F280" s="28" t="s">
        <v>1091</v>
      </c>
      <c r="G280" s="24" t="s">
        <v>299</v>
      </c>
    </row>
    <row r="281" spans="1:7" ht="30" customHeight="1">
      <c r="A281" s="26" t="s">
        <v>1092</v>
      </c>
      <c r="B281" s="26" t="s">
        <v>143</v>
      </c>
      <c r="C281" s="26" t="s">
        <v>182</v>
      </c>
      <c r="D281" s="26"/>
      <c r="E281" s="26">
        <v>0</v>
      </c>
      <c r="F281" s="29" t="s">
        <v>1093</v>
      </c>
      <c r="G281" s="26" t="s">
        <v>299</v>
      </c>
    </row>
    <row r="282" spans="1:7" ht="30" customHeight="1">
      <c r="A282" s="24" t="s">
        <v>1094</v>
      </c>
      <c r="B282" s="24" t="s">
        <v>581</v>
      </c>
      <c r="C282" s="24" t="s">
        <v>172</v>
      </c>
      <c r="D282" s="24"/>
      <c r="E282" s="24">
        <v>0</v>
      </c>
      <c r="F282" s="28" t="s">
        <v>1095</v>
      </c>
      <c r="G282" s="24" t="s">
        <v>299</v>
      </c>
    </row>
    <row r="283" spans="1:7" ht="30" customHeight="1">
      <c r="A283" s="26" t="s">
        <v>1096</v>
      </c>
      <c r="B283" s="26" t="s">
        <v>143</v>
      </c>
      <c r="C283" s="26" t="s">
        <v>182</v>
      </c>
      <c r="D283" s="26"/>
      <c r="E283" s="26">
        <v>0</v>
      </c>
      <c r="F283" s="29" t="s">
        <v>1097</v>
      </c>
      <c r="G283" s="26" t="s">
        <v>299</v>
      </c>
    </row>
    <row r="284" spans="1:7" ht="30" customHeight="1">
      <c r="A284" s="24" t="s">
        <v>1098</v>
      </c>
      <c r="B284" s="24" t="s">
        <v>1099</v>
      </c>
      <c r="C284" s="24" t="s">
        <v>172</v>
      </c>
      <c r="D284" s="24"/>
      <c r="E284" s="24">
        <v>0</v>
      </c>
      <c r="F284" s="28" t="s">
        <v>1100</v>
      </c>
      <c r="G284" s="24" t="s">
        <v>299</v>
      </c>
    </row>
    <row r="285" spans="1:7" ht="30" customHeight="1">
      <c r="A285" s="26" t="s">
        <v>1101</v>
      </c>
      <c r="B285" s="26" t="s">
        <v>581</v>
      </c>
      <c r="C285" s="26" t="s">
        <v>172</v>
      </c>
      <c r="D285" s="26"/>
      <c r="E285" s="26">
        <v>0</v>
      </c>
      <c r="F285" s="29" t="s">
        <v>1102</v>
      </c>
      <c r="G285" s="26" t="s">
        <v>299</v>
      </c>
    </row>
    <row r="286" spans="1:7" ht="30" customHeight="1">
      <c r="A286" s="24" t="s">
        <v>1103</v>
      </c>
      <c r="B286" s="24" t="s">
        <v>572</v>
      </c>
      <c r="C286" s="24" t="s">
        <v>172</v>
      </c>
      <c r="D286" s="24"/>
      <c r="E286" s="24">
        <v>0</v>
      </c>
      <c r="F286" s="28" t="s">
        <v>1104</v>
      </c>
      <c r="G286" s="24" t="s">
        <v>299</v>
      </c>
    </row>
    <row r="287" spans="1:7" ht="30" customHeight="1">
      <c r="A287" s="26" t="s">
        <v>1105</v>
      </c>
      <c r="B287" s="26" t="s">
        <v>572</v>
      </c>
      <c r="C287" s="26" t="s">
        <v>172</v>
      </c>
      <c r="D287" s="26"/>
      <c r="E287" s="26">
        <v>0</v>
      </c>
      <c r="F287" s="29" t="s">
        <v>1106</v>
      </c>
      <c r="G287" s="26" t="s">
        <v>299</v>
      </c>
    </row>
    <row r="288" spans="1:7" ht="30" customHeight="1">
      <c r="A288" s="24" t="s">
        <v>1107</v>
      </c>
      <c r="B288" s="24" t="s">
        <v>143</v>
      </c>
      <c r="C288" s="24" t="s">
        <v>172</v>
      </c>
      <c r="D288" s="24"/>
      <c r="E288" s="24">
        <v>0</v>
      </c>
      <c r="F288" s="28" t="s">
        <v>1108</v>
      </c>
      <c r="G288" s="24" t="s">
        <v>299</v>
      </c>
    </row>
    <row r="289" spans="1:7" ht="30" customHeight="1">
      <c r="A289" s="26" t="s">
        <v>1109</v>
      </c>
      <c r="B289" s="26" t="s">
        <v>144</v>
      </c>
      <c r="C289" s="26" t="s">
        <v>172</v>
      </c>
      <c r="D289" s="26"/>
      <c r="E289" s="26">
        <v>0</v>
      </c>
      <c r="F289" s="29" t="s">
        <v>1110</v>
      </c>
      <c r="G289" s="26" t="s">
        <v>299</v>
      </c>
    </row>
    <row r="290" spans="1:7" ht="30" customHeight="1">
      <c r="A290" s="24" t="s">
        <v>1111</v>
      </c>
      <c r="B290" s="24" t="s">
        <v>581</v>
      </c>
      <c r="C290" s="24" t="s">
        <v>172</v>
      </c>
      <c r="D290" s="24"/>
      <c r="E290" s="24">
        <v>0</v>
      </c>
      <c r="F290" s="28" t="s">
        <v>1112</v>
      </c>
      <c r="G290" s="24" t="s">
        <v>299</v>
      </c>
    </row>
    <row r="291" spans="1:7" ht="30" customHeight="1">
      <c r="A291" s="26" t="s">
        <v>1113</v>
      </c>
      <c r="B291" s="26" t="s">
        <v>1099</v>
      </c>
      <c r="C291" s="26" t="s">
        <v>172</v>
      </c>
      <c r="D291" s="26"/>
      <c r="E291" s="26">
        <v>0</v>
      </c>
      <c r="F291" s="29" t="s">
        <v>1114</v>
      </c>
      <c r="G291" s="26" t="s">
        <v>299</v>
      </c>
    </row>
    <row r="292" spans="1:7" ht="30" customHeight="1">
      <c r="A292" s="24" t="s">
        <v>1115</v>
      </c>
      <c r="B292" s="24" t="s">
        <v>572</v>
      </c>
      <c r="C292" s="24" t="s">
        <v>172</v>
      </c>
      <c r="D292" s="24"/>
      <c r="E292" s="24">
        <v>0</v>
      </c>
      <c r="F292" s="28" t="s">
        <v>1116</v>
      </c>
      <c r="G292" s="24" t="s">
        <v>299</v>
      </c>
    </row>
    <row r="293" spans="1:7" ht="30" customHeight="1">
      <c r="A293" s="26" t="s">
        <v>1117</v>
      </c>
      <c r="B293" s="26" t="s">
        <v>143</v>
      </c>
      <c r="C293" s="26" t="s">
        <v>172</v>
      </c>
      <c r="D293" s="26"/>
      <c r="E293" s="26">
        <v>0</v>
      </c>
      <c r="F293" s="29" t="s">
        <v>1118</v>
      </c>
      <c r="G293" s="26" t="s">
        <v>299</v>
      </c>
    </row>
    <row r="294" spans="1:7" ht="30" customHeight="1">
      <c r="A294" s="24" t="s">
        <v>1119</v>
      </c>
      <c r="B294" s="24" t="s">
        <v>544</v>
      </c>
      <c r="C294" s="24" t="s">
        <v>172</v>
      </c>
      <c r="D294" s="24"/>
      <c r="E294" s="24">
        <v>0</v>
      </c>
      <c r="F294" s="28" t="s">
        <v>1120</v>
      </c>
      <c r="G294" s="24" t="s">
        <v>299</v>
      </c>
    </row>
    <row r="295" spans="1:7" ht="30" customHeight="1">
      <c r="A295" s="26" t="s">
        <v>1121</v>
      </c>
      <c r="B295" s="26" t="s">
        <v>581</v>
      </c>
      <c r="C295" s="26" t="s">
        <v>172</v>
      </c>
      <c r="D295" s="26"/>
      <c r="E295" s="26">
        <v>0</v>
      </c>
      <c r="F295" s="29" t="s">
        <v>1122</v>
      </c>
      <c r="G295" s="26" t="s">
        <v>299</v>
      </c>
    </row>
    <row r="296" spans="1:7" ht="30" customHeight="1">
      <c r="A296" s="24" t="s">
        <v>1123</v>
      </c>
      <c r="B296" s="24" t="s">
        <v>143</v>
      </c>
      <c r="C296" s="24" t="s">
        <v>172</v>
      </c>
      <c r="D296" s="24"/>
      <c r="E296" s="24">
        <v>0</v>
      </c>
      <c r="F296" s="28" t="s">
        <v>1124</v>
      </c>
      <c r="G296" s="24" t="s">
        <v>299</v>
      </c>
    </row>
    <row r="297" spans="1:7" ht="30" customHeight="1">
      <c r="A297" s="26" t="s">
        <v>1125</v>
      </c>
      <c r="B297" s="26" t="s">
        <v>144</v>
      </c>
      <c r="C297" s="26" t="s">
        <v>172</v>
      </c>
      <c r="D297" s="26"/>
      <c r="E297" s="26">
        <v>0</v>
      </c>
      <c r="F297" s="29" t="s">
        <v>1126</v>
      </c>
      <c r="G297" s="26" t="s">
        <v>299</v>
      </c>
    </row>
    <row r="298" spans="1:7" ht="30" customHeight="1">
      <c r="A298" s="24" t="s">
        <v>1127</v>
      </c>
      <c r="B298" s="24" t="s">
        <v>581</v>
      </c>
      <c r="C298" s="24" t="s">
        <v>172</v>
      </c>
      <c r="D298" s="24"/>
      <c r="E298" s="24">
        <v>0</v>
      </c>
      <c r="F298" s="28" t="s">
        <v>1128</v>
      </c>
      <c r="G298" s="24" t="s">
        <v>299</v>
      </c>
    </row>
    <row r="299" spans="1:7" ht="30" customHeight="1">
      <c r="A299" s="26" t="s">
        <v>1129</v>
      </c>
      <c r="B299" s="26" t="s">
        <v>143</v>
      </c>
      <c r="C299" s="26" t="s">
        <v>172</v>
      </c>
      <c r="D299" s="26"/>
      <c r="E299" s="26">
        <v>0</v>
      </c>
      <c r="F299" s="29" t="s">
        <v>1130</v>
      </c>
      <c r="G299" s="26" t="s">
        <v>299</v>
      </c>
    </row>
    <row r="300" spans="1:7" ht="30" customHeight="1">
      <c r="A300" s="24" t="s">
        <v>1131</v>
      </c>
      <c r="B300" s="24" t="s">
        <v>539</v>
      </c>
      <c r="C300" s="24" t="s">
        <v>172</v>
      </c>
      <c r="D300" s="24"/>
      <c r="E300" s="24">
        <v>0</v>
      </c>
      <c r="F300" s="28" t="s">
        <v>1132</v>
      </c>
      <c r="G300" s="24" t="s">
        <v>299</v>
      </c>
    </row>
    <row r="301" spans="1:7" ht="30" customHeight="1">
      <c r="A301" s="26" t="s">
        <v>1133</v>
      </c>
      <c r="B301" s="26" t="s">
        <v>143</v>
      </c>
      <c r="C301" s="26" t="s">
        <v>172</v>
      </c>
      <c r="D301" s="26"/>
      <c r="E301" s="26">
        <v>0</v>
      </c>
      <c r="F301" s="29" t="s">
        <v>1134</v>
      </c>
      <c r="G301" s="26" t="s">
        <v>299</v>
      </c>
    </row>
    <row r="302" spans="1:7" ht="30" customHeight="1">
      <c r="A302" s="24" t="s">
        <v>1135</v>
      </c>
      <c r="B302" s="24" t="s">
        <v>143</v>
      </c>
      <c r="C302" s="24" t="s">
        <v>172</v>
      </c>
      <c r="D302" s="24"/>
      <c r="E302" s="24">
        <v>0</v>
      </c>
      <c r="F302" s="28" t="s">
        <v>1136</v>
      </c>
      <c r="G302" s="24" t="s">
        <v>299</v>
      </c>
    </row>
    <row r="303" spans="1:7" ht="30" customHeight="1">
      <c r="A303" s="26" t="s">
        <v>1137</v>
      </c>
      <c r="B303" s="26" t="s">
        <v>144</v>
      </c>
      <c r="C303" s="26" t="s">
        <v>172</v>
      </c>
      <c r="D303" s="26"/>
      <c r="E303" s="26">
        <v>0</v>
      </c>
      <c r="F303" s="29" t="s">
        <v>1138</v>
      </c>
      <c r="G303" s="26" t="s">
        <v>299</v>
      </c>
    </row>
    <row r="304" spans="1:7" ht="30" customHeight="1">
      <c r="A304" s="24" t="s">
        <v>1139</v>
      </c>
      <c r="B304" s="24" t="s">
        <v>144</v>
      </c>
      <c r="C304" s="24" t="s">
        <v>172</v>
      </c>
      <c r="D304" s="24"/>
      <c r="E304" s="24">
        <v>0</v>
      </c>
      <c r="F304" s="28" t="s">
        <v>1140</v>
      </c>
      <c r="G304" s="24" t="s">
        <v>299</v>
      </c>
    </row>
    <row r="305" spans="1:7" ht="30" customHeight="1">
      <c r="A305" s="26" t="s">
        <v>1141</v>
      </c>
      <c r="B305" s="26" t="s">
        <v>143</v>
      </c>
      <c r="C305" s="26" t="s">
        <v>182</v>
      </c>
      <c r="D305" s="26"/>
      <c r="E305" s="26">
        <v>0</v>
      </c>
      <c r="F305" s="29" t="s">
        <v>1142</v>
      </c>
      <c r="G305" s="26" t="s">
        <v>299</v>
      </c>
    </row>
    <row r="306" spans="1:7" ht="30" customHeight="1">
      <c r="A306" s="24" t="s">
        <v>1143</v>
      </c>
      <c r="B306" s="24" t="s">
        <v>143</v>
      </c>
      <c r="C306" s="24" t="s">
        <v>172</v>
      </c>
      <c r="D306" s="24"/>
      <c r="E306" s="24">
        <v>0</v>
      </c>
      <c r="F306" s="28" t="s">
        <v>1144</v>
      </c>
      <c r="G306" s="24" t="s">
        <v>299</v>
      </c>
    </row>
    <row r="307" spans="1:7" ht="30" customHeight="1">
      <c r="A307" s="26" t="s">
        <v>1145</v>
      </c>
      <c r="B307" s="26" t="s">
        <v>143</v>
      </c>
      <c r="C307" s="26" t="s">
        <v>182</v>
      </c>
      <c r="D307" s="26"/>
      <c r="E307" s="26">
        <v>0</v>
      </c>
      <c r="F307" s="29" t="s">
        <v>1146</v>
      </c>
      <c r="G307" s="26" t="s">
        <v>299</v>
      </c>
    </row>
    <row r="308" spans="1:7" ht="30" customHeight="1">
      <c r="A308" s="24" t="s">
        <v>1147</v>
      </c>
      <c r="B308" s="24" t="s">
        <v>143</v>
      </c>
      <c r="C308" s="24" t="s">
        <v>172</v>
      </c>
      <c r="D308" s="24"/>
      <c r="E308" s="24">
        <v>0</v>
      </c>
      <c r="F308" s="28" t="s">
        <v>1148</v>
      </c>
      <c r="G308" s="24" t="s">
        <v>299</v>
      </c>
    </row>
    <row r="309" spans="1:7" ht="30" customHeight="1">
      <c r="A309" s="26" t="s">
        <v>1149</v>
      </c>
      <c r="B309" s="26" t="s">
        <v>572</v>
      </c>
      <c r="C309" s="26" t="s">
        <v>172</v>
      </c>
      <c r="D309" s="26"/>
      <c r="E309" s="26">
        <v>0</v>
      </c>
      <c r="F309" s="29" t="s">
        <v>1150</v>
      </c>
      <c r="G309" s="26" t="s">
        <v>299</v>
      </c>
    </row>
    <row r="310" spans="1:7" ht="30" customHeight="1">
      <c r="A310" s="24" t="s">
        <v>1151</v>
      </c>
      <c r="B310" s="24" t="s">
        <v>144</v>
      </c>
      <c r="C310" s="24" t="s">
        <v>172</v>
      </c>
      <c r="D310" s="24"/>
      <c r="E310" s="24">
        <v>0</v>
      </c>
      <c r="F310" s="28" t="s">
        <v>1152</v>
      </c>
      <c r="G310" s="24" t="s">
        <v>299</v>
      </c>
    </row>
    <row r="311" spans="1:7" ht="30" customHeight="1">
      <c r="A311" s="26" t="s">
        <v>1153</v>
      </c>
      <c r="B311" s="26" t="s">
        <v>572</v>
      </c>
      <c r="C311" s="26" t="s">
        <v>172</v>
      </c>
      <c r="D311" s="26"/>
      <c r="E311" s="26">
        <v>0</v>
      </c>
      <c r="F311" s="29" t="s">
        <v>1154</v>
      </c>
      <c r="G311" s="26" t="s">
        <v>299</v>
      </c>
    </row>
    <row r="312" spans="1:7" ht="30" customHeight="1">
      <c r="A312" s="24" t="s">
        <v>1155</v>
      </c>
      <c r="B312" s="24" t="s">
        <v>226</v>
      </c>
      <c r="C312" s="24" t="s">
        <v>182</v>
      </c>
      <c r="D312" s="24"/>
      <c r="E312" s="24">
        <v>0</v>
      </c>
      <c r="F312" s="28" t="s">
        <v>1156</v>
      </c>
      <c r="G312" s="24" t="s">
        <v>299</v>
      </c>
    </row>
    <row r="313" spans="1:7" ht="30" customHeight="1">
      <c r="A313" s="26" t="s">
        <v>1157</v>
      </c>
      <c r="B313" s="26" t="s">
        <v>143</v>
      </c>
      <c r="C313" s="26" t="s">
        <v>172</v>
      </c>
      <c r="D313" s="26"/>
      <c r="E313" s="26">
        <v>0</v>
      </c>
      <c r="F313" s="29" t="s">
        <v>1158</v>
      </c>
      <c r="G313" s="26" t="s">
        <v>299</v>
      </c>
    </row>
    <row r="314" spans="1:7" ht="30" customHeight="1">
      <c r="A314" s="24" t="s">
        <v>1159</v>
      </c>
      <c r="B314" s="24" t="s">
        <v>572</v>
      </c>
      <c r="C314" s="24" t="s">
        <v>172</v>
      </c>
      <c r="D314" s="24"/>
      <c r="E314" s="24">
        <v>0</v>
      </c>
      <c r="F314" s="28" t="s">
        <v>1160</v>
      </c>
      <c r="G314" s="24" t="s">
        <v>299</v>
      </c>
    </row>
    <row r="315" spans="1:7" ht="30" customHeight="1">
      <c r="A315" s="26" t="s">
        <v>1161</v>
      </c>
      <c r="B315" s="26" t="s">
        <v>569</v>
      </c>
      <c r="C315" s="26" t="s">
        <v>172</v>
      </c>
      <c r="D315" s="26"/>
      <c r="E315" s="26">
        <v>0</v>
      </c>
      <c r="F315" s="29" t="s">
        <v>1162</v>
      </c>
      <c r="G315" s="26" t="s">
        <v>299</v>
      </c>
    </row>
    <row r="316" spans="1:7" ht="30" customHeight="1">
      <c r="A316" s="24" t="s">
        <v>1163</v>
      </c>
      <c r="B316" s="24" t="s">
        <v>143</v>
      </c>
      <c r="C316" s="24" t="s">
        <v>182</v>
      </c>
      <c r="D316" s="24"/>
      <c r="E316" s="24">
        <v>0</v>
      </c>
      <c r="F316" s="28" t="s">
        <v>1164</v>
      </c>
      <c r="G316" s="24" t="s">
        <v>299</v>
      </c>
    </row>
    <row r="317" spans="1:7" ht="30" customHeight="1">
      <c r="A317" s="26" t="s">
        <v>1165</v>
      </c>
      <c r="B317" s="26" t="s">
        <v>569</v>
      </c>
      <c r="C317" s="26" t="s">
        <v>172</v>
      </c>
      <c r="D317" s="26"/>
      <c r="E317" s="26">
        <v>0</v>
      </c>
      <c r="F317" s="29" t="s">
        <v>1166</v>
      </c>
      <c r="G317" s="26" t="s">
        <v>299</v>
      </c>
    </row>
    <row r="318" spans="1:7" ht="30" customHeight="1">
      <c r="A318" s="24" t="s">
        <v>1167</v>
      </c>
      <c r="B318" s="24" t="s">
        <v>143</v>
      </c>
      <c r="C318" s="24" t="s">
        <v>172</v>
      </c>
      <c r="D318" s="24"/>
      <c r="E318" s="24">
        <v>0</v>
      </c>
      <c r="F318" s="28" t="s">
        <v>1168</v>
      </c>
      <c r="G318" s="24" t="s">
        <v>299</v>
      </c>
    </row>
    <row r="319" spans="1:7" ht="30" customHeight="1">
      <c r="A319" s="26" t="s">
        <v>1169</v>
      </c>
      <c r="B319" s="26" t="s">
        <v>144</v>
      </c>
      <c r="C319" s="26" t="s">
        <v>172</v>
      </c>
      <c r="D319" s="26"/>
      <c r="E319" s="26">
        <v>0</v>
      </c>
      <c r="F319" s="29" t="s">
        <v>1170</v>
      </c>
      <c r="G319" s="26" t="s">
        <v>299</v>
      </c>
    </row>
    <row r="320" spans="1:7" ht="30" customHeight="1">
      <c r="A320" s="24" t="s">
        <v>1171</v>
      </c>
      <c r="B320" s="24" t="s">
        <v>572</v>
      </c>
      <c r="C320" s="24" t="s">
        <v>172</v>
      </c>
      <c r="D320" s="24"/>
      <c r="E320" s="24">
        <v>0</v>
      </c>
      <c r="F320" s="28" t="s">
        <v>1172</v>
      </c>
      <c r="G320" s="24" t="s">
        <v>299</v>
      </c>
    </row>
    <row r="321" spans="1:7" ht="30" customHeight="1">
      <c r="A321" s="26" t="s">
        <v>1173</v>
      </c>
      <c r="B321" s="26" t="s">
        <v>143</v>
      </c>
      <c r="C321" s="26" t="s">
        <v>182</v>
      </c>
      <c r="D321" s="26"/>
      <c r="E321" s="26">
        <v>0</v>
      </c>
      <c r="F321" s="29" t="s">
        <v>1174</v>
      </c>
      <c r="G321" s="26" t="s">
        <v>299</v>
      </c>
    </row>
    <row r="322" spans="1:7" ht="30" customHeight="1">
      <c r="A322" s="24" t="s">
        <v>1175</v>
      </c>
      <c r="B322" s="24" t="s">
        <v>143</v>
      </c>
      <c r="C322" s="24" t="s">
        <v>172</v>
      </c>
      <c r="D322" s="24"/>
      <c r="E322" s="24">
        <v>0</v>
      </c>
      <c r="F322" s="28" t="s">
        <v>1176</v>
      </c>
      <c r="G322" s="24" t="s">
        <v>299</v>
      </c>
    </row>
    <row r="323" spans="1:7" ht="30" customHeight="1">
      <c r="A323" s="26" t="s">
        <v>1177</v>
      </c>
      <c r="B323" s="26" t="s">
        <v>572</v>
      </c>
      <c r="C323" s="26" t="s">
        <v>172</v>
      </c>
      <c r="D323" s="26"/>
      <c r="E323" s="26">
        <v>0</v>
      </c>
      <c r="F323" s="29" t="s">
        <v>1178</v>
      </c>
      <c r="G323" s="26" t="s">
        <v>299</v>
      </c>
    </row>
    <row r="324" spans="1:7" ht="30" customHeight="1">
      <c r="A324" s="24" t="s">
        <v>1179</v>
      </c>
      <c r="B324" s="24" t="s">
        <v>143</v>
      </c>
      <c r="C324" s="24" t="s">
        <v>172</v>
      </c>
      <c r="D324" s="24"/>
      <c r="E324" s="24">
        <v>0</v>
      </c>
      <c r="F324" s="28" t="s">
        <v>1180</v>
      </c>
      <c r="G324" s="24" t="s">
        <v>299</v>
      </c>
    </row>
    <row r="325" spans="1:7" ht="30" customHeight="1">
      <c r="A325" s="26" t="s">
        <v>1181</v>
      </c>
      <c r="B325" s="26" t="s">
        <v>143</v>
      </c>
      <c r="C325" s="26" t="s">
        <v>172</v>
      </c>
      <c r="D325" s="26"/>
      <c r="E325" s="26">
        <v>0</v>
      </c>
      <c r="F325" s="29" t="s">
        <v>1182</v>
      </c>
      <c r="G325" s="26" t="s">
        <v>299</v>
      </c>
    </row>
    <row r="326" spans="1:7" ht="30" customHeight="1">
      <c r="A326" s="24" t="s">
        <v>1183</v>
      </c>
      <c r="B326" s="24" t="s">
        <v>955</v>
      </c>
      <c r="C326" s="24" t="s">
        <v>172</v>
      </c>
      <c r="D326" s="24"/>
      <c r="E326" s="24">
        <v>0</v>
      </c>
      <c r="F326" s="28" t="s">
        <v>1184</v>
      </c>
      <c r="G326" s="24" t="s">
        <v>299</v>
      </c>
    </row>
    <row r="327" spans="1:7" ht="30" customHeight="1">
      <c r="A327" s="26" t="s">
        <v>1185</v>
      </c>
      <c r="B327" s="26" t="s">
        <v>544</v>
      </c>
      <c r="C327" s="26" t="s">
        <v>172</v>
      </c>
      <c r="D327" s="26"/>
      <c r="E327" s="26">
        <v>0</v>
      </c>
      <c r="F327" s="29" t="s">
        <v>1186</v>
      </c>
      <c r="G327" s="26" t="s">
        <v>299</v>
      </c>
    </row>
    <row r="328" spans="1:7" ht="30" customHeight="1">
      <c r="A328" s="24" t="s">
        <v>1187</v>
      </c>
      <c r="B328" s="24" t="s">
        <v>572</v>
      </c>
      <c r="C328" s="24" t="s">
        <v>172</v>
      </c>
      <c r="D328" s="24"/>
      <c r="E328" s="24">
        <v>0</v>
      </c>
      <c r="F328" s="28" t="s">
        <v>1188</v>
      </c>
      <c r="G328" s="24" t="s">
        <v>299</v>
      </c>
    </row>
    <row r="329" spans="1:7" ht="30" customHeight="1">
      <c r="A329" s="26" t="s">
        <v>1189</v>
      </c>
      <c r="B329" s="26" t="s">
        <v>144</v>
      </c>
      <c r="C329" s="26" t="s">
        <v>172</v>
      </c>
      <c r="D329" s="26"/>
      <c r="E329" s="26">
        <v>0</v>
      </c>
      <c r="F329" s="29" t="s">
        <v>1190</v>
      </c>
      <c r="G329" s="26" t="s">
        <v>299</v>
      </c>
    </row>
    <row r="330" spans="1:7" ht="30" customHeight="1">
      <c r="A330" s="24" t="s">
        <v>1191</v>
      </c>
      <c r="B330" s="24" t="s">
        <v>144</v>
      </c>
      <c r="C330" s="24" t="s">
        <v>172</v>
      </c>
      <c r="D330" s="24"/>
      <c r="E330" s="24">
        <v>0</v>
      </c>
      <c r="F330" s="28" t="s">
        <v>1192</v>
      </c>
      <c r="G330" s="24" t="s">
        <v>299</v>
      </c>
    </row>
    <row r="331" spans="1:7" ht="30" customHeight="1">
      <c r="A331" s="26" t="s">
        <v>1193</v>
      </c>
      <c r="B331" s="26" t="s">
        <v>572</v>
      </c>
      <c r="C331" s="26" t="s">
        <v>172</v>
      </c>
      <c r="D331" s="26"/>
      <c r="E331" s="26">
        <v>0</v>
      </c>
      <c r="F331" s="29" t="s">
        <v>1194</v>
      </c>
      <c r="G331" s="26" t="s">
        <v>299</v>
      </c>
    </row>
    <row r="332" spans="1:7" ht="30" customHeight="1">
      <c r="A332" s="24" t="s">
        <v>1195</v>
      </c>
      <c r="B332" s="24" t="s">
        <v>143</v>
      </c>
      <c r="C332" s="24" t="s">
        <v>172</v>
      </c>
      <c r="D332" s="24"/>
      <c r="E332" s="24">
        <v>0</v>
      </c>
      <c r="F332" s="28" t="s">
        <v>1196</v>
      </c>
      <c r="G332" s="24" t="s">
        <v>299</v>
      </c>
    </row>
    <row r="333" spans="1:7" ht="30" customHeight="1">
      <c r="A333" s="26" t="s">
        <v>1197</v>
      </c>
      <c r="B333" s="26" t="s">
        <v>143</v>
      </c>
      <c r="C333" s="26" t="s">
        <v>172</v>
      </c>
      <c r="D333" s="26"/>
      <c r="E333" s="26">
        <v>0</v>
      </c>
      <c r="F333" s="29" t="s">
        <v>1198</v>
      </c>
      <c r="G333" s="26" t="s">
        <v>299</v>
      </c>
    </row>
    <row r="334" spans="1:7" ht="30" customHeight="1">
      <c r="A334" s="24" t="s">
        <v>1199</v>
      </c>
      <c r="B334" s="24" t="s">
        <v>572</v>
      </c>
      <c r="C334" s="24" t="s">
        <v>172</v>
      </c>
      <c r="D334" s="24"/>
      <c r="E334" s="24">
        <v>0</v>
      </c>
      <c r="F334" s="28" t="s">
        <v>1200</v>
      </c>
      <c r="G334" s="24" t="s">
        <v>299</v>
      </c>
    </row>
    <row r="335" spans="1:7" ht="30" customHeight="1">
      <c r="A335" s="26" t="s">
        <v>1201</v>
      </c>
      <c r="B335" s="26" t="s">
        <v>143</v>
      </c>
      <c r="C335" s="26" t="s">
        <v>182</v>
      </c>
      <c r="D335" s="26"/>
      <c r="E335" s="26">
        <v>0</v>
      </c>
      <c r="F335" s="29" t="s">
        <v>1202</v>
      </c>
      <c r="G335" s="26" t="s">
        <v>299</v>
      </c>
    </row>
    <row r="336" spans="1:7" ht="30" customHeight="1">
      <c r="A336" s="24" t="s">
        <v>1203</v>
      </c>
      <c r="B336" s="24" t="s">
        <v>143</v>
      </c>
      <c r="C336" s="24" t="s">
        <v>172</v>
      </c>
      <c r="D336" s="24"/>
      <c r="E336" s="24">
        <v>0</v>
      </c>
      <c r="F336" s="28" t="s">
        <v>1204</v>
      </c>
      <c r="G336" s="24" t="s">
        <v>299</v>
      </c>
    </row>
    <row r="337" spans="1:7" ht="30" customHeight="1">
      <c r="A337" s="26" t="s">
        <v>1205</v>
      </c>
      <c r="B337" s="26" t="s">
        <v>143</v>
      </c>
      <c r="C337" s="26" t="s">
        <v>172</v>
      </c>
      <c r="D337" s="26"/>
      <c r="E337" s="26">
        <v>0</v>
      </c>
      <c r="F337" s="29" t="s">
        <v>1206</v>
      </c>
      <c r="G337" s="26" t="s">
        <v>299</v>
      </c>
    </row>
    <row r="338" spans="1:7" ht="30" customHeight="1">
      <c r="A338" s="24" t="s">
        <v>1207</v>
      </c>
      <c r="B338" s="24" t="s">
        <v>572</v>
      </c>
      <c r="C338" s="24" t="s">
        <v>172</v>
      </c>
      <c r="D338" s="24"/>
      <c r="E338" s="24">
        <v>0</v>
      </c>
      <c r="F338" s="28" t="s">
        <v>1208</v>
      </c>
      <c r="G338" s="24" t="s">
        <v>299</v>
      </c>
    </row>
    <row r="339" spans="1:7" ht="30" customHeight="1">
      <c r="A339" s="26" t="s">
        <v>1209</v>
      </c>
      <c r="B339" s="26" t="s">
        <v>569</v>
      </c>
      <c r="C339" s="26" t="s">
        <v>172</v>
      </c>
      <c r="D339" s="26"/>
      <c r="E339" s="26">
        <v>0</v>
      </c>
      <c r="F339" s="29" t="s">
        <v>1210</v>
      </c>
      <c r="G339" s="26" t="s">
        <v>299</v>
      </c>
    </row>
    <row r="340" spans="1:7" ht="30" customHeight="1">
      <c r="A340" s="24" t="s">
        <v>1211</v>
      </c>
      <c r="B340" s="24" t="s">
        <v>544</v>
      </c>
      <c r="C340" s="24" t="s">
        <v>172</v>
      </c>
      <c r="D340" s="24"/>
      <c r="E340" s="24">
        <v>0</v>
      </c>
      <c r="F340" s="28" t="s">
        <v>1212</v>
      </c>
      <c r="G340" s="24" t="s">
        <v>299</v>
      </c>
    </row>
    <row r="341" spans="1:7" ht="30" customHeight="1">
      <c r="A341" s="26" t="s">
        <v>1213</v>
      </c>
      <c r="B341" s="26" t="s">
        <v>143</v>
      </c>
      <c r="C341" s="26" t="s">
        <v>172</v>
      </c>
      <c r="D341" s="26"/>
      <c r="E341" s="26">
        <v>0</v>
      </c>
      <c r="F341" s="29" t="s">
        <v>1214</v>
      </c>
      <c r="G341" s="26" t="s">
        <v>299</v>
      </c>
    </row>
    <row r="342" spans="1:7" ht="30" customHeight="1">
      <c r="A342" s="24" t="s">
        <v>1215</v>
      </c>
      <c r="B342" s="24" t="s">
        <v>581</v>
      </c>
      <c r="C342" s="24" t="s">
        <v>172</v>
      </c>
      <c r="D342" s="24"/>
      <c r="E342" s="24">
        <v>0</v>
      </c>
      <c r="F342" s="28" t="s">
        <v>1216</v>
      </c>
      <c r="G342" s="24" t="s">
        <v>299</v>
      </c>
    </row>
    <row r="343" spans="1:7" ht="30" customHeight="1">
      <c r="A343" s="26" t="s">
        <v>1217</v>
      </c>
      <c r="B343" s="26" t="s">
        <v>539</v>
      </c>
      <c r="C343" s="26" t="s">
        <v>172</v>
      </c>
      <c r="D343" s="26"/>
      <c r="E343" s="26">
        <v>0</v>
      </c>
      <c r="F343" s="29" t="s">
        <v>1218</v>
      </c>
      <c r="G343" s="26" t="s">
        <v>299</v>
      </c>
    </row>
    <row r="344" spans="1:7" ht="30" customHeight="1">
      <c r="A344" s="24" t="s">
        <v>1219</v>
      </c>
      <c r="B344" s="24" t="s">
        <v>144</v>
      </c>
      <c r="C344" s="24" t="s">
        <v>172</v>
      </c>
      <c r="D344" s="24"/>
      <c r="E344" s="24">
        <v>0</v>
      </c>
      <c r="F344" s="28" t="s">
        <v>1220</v>
      </c>
      <c r="G344" s="24" t="s">
        <v>299</v>
      </c>
    </row>
    <row r="345" spans="1:7" ht="30" customHeight="1">
      <c r="A345" s="26" t="s">
        <v>1221</v>
      </c>
      <c r="B345" s="26" t="s">
        <v>143</v>
      </c>
      <c r="C345" s="26" t="s">
        <v>172</v>
      </c>
      <c r="D345" s="26"/>
      <c r="E345" s="26">
        <v>0</v>
      </c>
      <c r="F345" s="29" t="s">
        <v>1222</v>
      </c>
      <c r="G345" s="26" t="s">
        <v>299</v>
      </c>
    </row>
    <row r="346" spans="1:7" ht="30" customHeight="1">
      <c r="A346" s="24" t="s">
        <v>1223</v>
      </c>
      <c r="B346" s="24" t="s">
        <v>572</v>
      </c>
      <c r="C346" s="24" t="s">
        <v>172</v>
      </c>
      <c r="D346" s="24"/>
      <c r="E346" s="24">
        <v>0</v>
      </c>
      <c r="F346" s="28" t="s">
        <v>1224</v>
      </c>
      <c r="G346" s="24" t="s">
        <v>299</v>
      </c>
    </row>
    <row r="347" spans="1:7" ht="30" customHeight="1">
      <c r="A347" s="26" t="s">
        <v>1225</v>
      </c>
      <c r="B347" s="26" t="s">
        <v>143</v>
      </c>
      <c r="C347" s="26" t="s">
        <v>182</v>
      </c>
      <c r="D347" s="26"/>
      <c r="E347" s="26">
        <v>0</v>
      </c>
      <c r="F347" s="29" t="s">
        <v>1226</v>
      </c>
      <c r="G347" s="26" t="s">
        <v>299</v>
      </c>
    </row>
    <row r="348" spans="1:7" ht="30" customHeight="1">
      <c r="A348" s="24" t="s">
        <v>1227</v>
      </c>
      <c r="B348" s="24" t="s">
        <v>226</v>
      </c>
      <c r="C348" s="24" t="s">
        <v>172</v>
      </c>
      <c r="D348" s="24"/>
      <c r="E348" s="24">
        <v>0</v>
      </c>
      <c r="F348" s="28" t="s">
        <v>1228</v>
      </c>
      <c r="G348" s="24" t="s">
        <v>299</v>
      </c>
    </row>
    <row r="349" spans="1:7" ht="30" customHeight="1">
      <c r="A349" s="26" t="s">
        <v>1229</v>
      </c>
      <c r="B349" s="26" t="s">
        <v>144</v>
      </c>
      <c r="C349" s="26" t="s">
        <v>172</v>
      </c>
      <c r="D349" s="26"/>
      <c r="E349" s="26">
        <v>0</v>
      </c>
      <c r="F349" s="29" t="s">
        <v>1230</v>
      </c>
      <c r="G349" s="26" t="s">
        <v>299</v>
      </c>
    </row>
    <row r="350" spans="1:7" ht="30" customHeight="1">
      <c r="A350" s="24" t="s">
        <v>1231</v>
      </c>
      <c r="B350" s="24" t="s">
        <v>572</v>
      </c>
      <c r="C350" s="24" t="s">
        <v>172</v>
      </c>
      <c r="D350" s="24"/>
      <c r="E350" s="24">
        <v>0</v>
      </c>
      <c r="F350" s="28" t="s">
        <v>1232</v>
      </c>
      <c r="G350" s="24" t="s">
        <v>299</v>
      </c>
    </row>
    <row r="351" spans="1:7" ht="30" customHeight="1">
      <c r="A351" s="26" t="s">
        <v>1233</v>
      </c>
      <c r="B351" s="26" t="s">
        <v>144</v>
      </c>
      <c r="C351" s="26" t="s">
        <v>172</v>
      </c>
      <c r="D351" s="26"/>
      <c r="E351" s="26">
        <v>0</v>
      </c>
      <c r="F351" s="29" t="s">
        <v>1234</v>
      </c>
      <c r="G351" s="26" t="s">
        <v>299</v>
      </c>
    </row>
    <row r="352" spans="1:7" ht="30" customHeight="1">
      <c r="A352" s="24" t="s">
        <v>1235</v>
      </c>
      <c r="B352" s="24" t="s">
        <v>1236</v>
      </c>
      <c r="C352" s="24" t="s">
        <v>182</v>
      </c>
      <c r="D352" s="24"/>
      <c r="E352" s="24">
        <v>0</v>
      </c>
      <c r="F352" s="28" t="s">
        <v>1237</v>
      </c>
      <c r="G352" s="24" t="s">
        <v>299</v>
      </c>
    </row>
    <row r="353" spans="1:7" ht="30" customHeight="1">
      <c r="A353" s="26" t="s">
        <v>1238</v>
      </c>
      <c r="B353" s="26" t="s">
        <v>143</v>
      </c>
      <c r="C353" s="26" t="s">
        <v>172</v>
      </c>
      <c r="D353" s="26"/>
      <c r="E353" s="26">
        <v>0</v>
      </c>
      <c r="F353" s="29" t="s">
        <v>1239</v>
      </c>
      <c r="G353" s="26" t="s">
        <v>299</v>
      </c>
    </row>
    <row r="354" spans="1:7" ht="30" customHeight="1">
      <c r="A354" s="24" t="s">
        <v>1240</v>
      </c>
      <c r="B354" s="24" t="s">
        <v>544</v>
      </c>
      <c r="C354" s="24" t="s">
        <v>172</v>
      </c>
      <c r="D354" s="24"/>
      <c r="E354" s="24">
        <v>0</v>
      </c>
      <c r="F354" s="28" t="s">
        <v>1241</v>
      </c>
      <c r="G354" s="24" t="s">
        <v>299</v>
      </c>
    </row>
    <row r="355" spans="1:7" ht="30" customHeight="1">
      <c r="A355" s="26" t="s">
        <v>1242</v>
      </c>
      <c r="B355" s="26" t="s">
        <v>581</v>
      </c>
      <c r="C355" s="26" t="s">
        <v>172</v>
      </c>
      <c r="D355" s="26"/>
      <c r="E355" s="26">
        <v>0</v>
      </c>
      <c r="F355" s="29" t="s">
        <v>1243</v>
      </c>
      <c r="G355" s="26" t="s">
        <v>299</v>
      </c>
    </row>
    <row r="356" spans="1:7" ht="30" customHeight="1">
      <c r="A356" s="24" t="s">
        <v>1244</v>
      </c>
      <c r="B356" s="24" t="s">
        <v>544</v>
      </c>
      <c r="C356" s="24" t="s">
        <v>172</v>
      </c>
      <c r="D356" s="24"/>
      <c r="E356" s="24">
        <v>0</v>
      </c>
      <c r="F356" s="28" t="s">
        <v>1245</v>
      </c>
      <c r="G356" s="24" t="s">
        <v>299</v>
      </c>
    </row>
    <row r="357" spans="1:7" ht="30" customHeight="1">
      <c r="A357" s="26" t="s">
        <v>1246</v>
      </c>
      <c r="B357" s="26" t="s">
        <v>581</v>
      </c>
      <c r="C357" s="26" t="s">
        <v>172</v>
      </c>
      <c r="D357" s="26"/>
      <c r="E357" s="26">
        <v>0</v>
      </c>
      <c r="F357" s="29" t="s">
        <v>1247</v>
      </c>
      <c r="G357" s="26" t="s">
        <v>299</v>
      </c>
    </row>
    <row r="358" spans="1:7" ht="30" customHeight="1">
      <c r="A358" s="24" t="s">
        <v>1248</v>
      </c>
      <c r="B358" s="24" t="s">
        <v>558</v>
      </c>
      <c r="C358" s="24" t="s">
        <v>172</v>
      </c>
      <c r="D358" s="24"/>
      <c r="E358" s="24">
        <v>0</v>
      </c>
      <c r="F358" s="28" t="s">
        <v>1249</v>
      </c>
      <c r="G358" s="24" t="s">
        <v>299</v>
      </c>
    </row>
    <row r="359" spans="1:7" ht="30" customHeight="1">
      <c r="A359" s="26" t="s">
        <v>1250</v>
      </c>
      <c r="B359" s="26" t="s">
        <v>569</v>
      </c>
      <c r="C359" s="26" t="s">
        <v>172</v>
      </c>
      <c r="D359" s="26"/>
      <c r="E359" s="26">
        <v>0</v>
      </c>
      <c r="F359" s="29" t="s">
        <v>1251</v>
      </c>
      <c r="G359" s="26" t="s">
        <v>299</v>
      </c>
    </row>
    <row r="360" spans="1:7" ht="30" customHeight="1">
      <c r="A360" s="24" t="s">
        <v>1252</v>
      </c>
      <c r="B360" s="24" t="s">
        <v>569</v>
      </c>
      <c r="C360" s="24" t="s">
        <v>172</v>
      </c>
      <c r="D360" s="24"/>
      <c r="E360" s="24">
        <v>0</v>
      </c>
      <c r="F360" s="28" t="s">
        <v>1253</v>
      </c>
      <c r="G360" s="24" t="s">
        <v>299</v>
      </c>
    </row>
    <row r="361" spans="1:7" ht="30" customHeight="1">
      <c r="A361" s="26" t="s">
        <v>1254</v>
      </c>
      <c r="B361" s="26" t="s">
        <v>572</v>
      </c>
      <c r="C361" s="26" t="s">
        <v>172</v>
      </c>
      <c r="D361" s="26"/>
      <c r="E361" s="26">
        <v>0</v>
      </c>
      <c r="F361" s="29" t="s">
        <v>1255</v>
      </c>
      <c r="G361" s="26" t="s">
        <v>299</v>
      </c>
    </row>
    <row r="362" spans="1:7" ht="30" customHeight="1">
      <c r="A362" s="24" t="s">
        <v>1256</v>
      </c>
      <c r="B362" s="24" t="s">
        <v>572</v>
      </c>
      <c r="C362" s="24" t="s">
        <v>172</v>
      </c>
      <c r="D362" s="24"/>
      <c r="E362" s="24">
        <v>0</v>
      </c>
      <c r="F362" s="28" t="s">
        <v>1257</v>
      </c>
      <c r="G362" s="24" t="s">
        <v>299</v>
      </c>
    </row>
    <row r="363" spans="1:7" ht="30" customHeight="1">
      <c r="A363" s="26" t="s">
        <v>1258</v>
      </c>
      <c r="B363" s="26" t="s">
        <v>572</v>
      </c>
      <c r="C363" s="26" t="s">
        <v>172</v>
      </c>
      <c r="D363" s="26"/>
      <c r="E363" s="26">
        <v>0</v>
      </c>
      <c r="F363" s="29" t="s">
        <v>1259</v>
      </c>
      <c r="G363" s="26" t="s">
        <v>299</v>
      </c>
    </row>
    <row r="364" spans="1:7" ht="30" customHeight="1">
      <c r="A364" s="24" t="s">
        <v>1260</v>
      </c>
      <c r="B364" s="24" t="s">
        <v>558</v>
      </c>
      <c r="C364" s="24" t="s">
        <v>172</v>
      </c>
      <c r="D364" s="24"/>
      <c r="E364" s="24">
        <v>0</v>
      </c>
      <c r="F364" s="28" t="s">
        <v>1261</v>
      </c>
      <c r="G364" s="24" t="s">
        <v>299</v>
      </c>
    </row>
    <row r="365" spans="1:7" ht="30" customHeight="1">
      <c r="A365" s="26" t="s">
        <v>1262</v>
      </c>
      <c r="B365" s="26" t="s">
        <v>581</v>
      </c>
      <c r="C365" s="26" t="s">
        <v>172</v>
      </c>
      <c r="D365" s="26"/>
      <c r="E365" s="26">
        <v>0</v>
      </c>
      <c r="F365" s="29" t="s">
        <v>1263</v>
      </c>
      <c r="G365" s="26" t="s">
        <v>299</v>
      </c>
    </row>
    <row r="366" spans="1:7" ht="30" customHeight="1">
      <c r="A366" s="24" t="s">
        <v>1264</v>
      </c>
      <c r="B366" s="24" t="s">
        <v>572</v>
      </c>
      <c r="C366" s="24" t="s">
        <v>172</v>
      </c>
      <c r="D366" s="24"/>
      <c r="E366" s="24">
        <v>0</v>
      </c>
      <c r="F366" s="28" t="s">
        <v>1265</v>
      </c>
      <c r="G366" s="24" t="s">
        <v>299</v>
      </c>
    </row>
    <row r="367" spans="1:7" ht="30" customHeight="1">
      <c r="A367" s="26" t="s">
        <v>1266</v>
      </c>
      <c r="B367" s="26" t="s">
        <v>572</v>
      </c>
      <c r="C367" s="26" t="s">
        <v>172</v>
      </c>
      <c r="D367" s="26"/>
      <c r="E367" s="26">
        <v>0</v>
      </c>
      <c r="F367" s="29" t="s">
        <v>1267</v>
      </c>
      <c r="G367" s="26" t="s">
        <v>299</v>
      </c>
    </row>
    <row r="368" spans="1:7" ht="30" customHeight="1">
      <c r="A368" s="24" t="s">
        <v>1268</v>
      </c>
      <c r="B368" s="24" t="s">
        <v>144</v>
      </c>
      <c r="C368" s="24" t="s">
        <v>172</v>
      </c>
      <c r="D368" s="24"/>
      <c r="E368" s="24">
        <v>0</v>
      </c>
      <c r="F368" s="28" t="s">
        <v>1269</v>
      </c>
      <c r="G368" s="24" t="s">
        <v>299</v>
      </c>
    </row>
    <row r="369" spans="1:7" ht="30" customHeight="1">
      <c r="A369" s="26" t="s">
        <v>1270</v>
      </c>
      <c r="B369" s="26" t="s">
        <v>226</v>
      </c>
      <c r="C369" s="26" t="s">
        <v>182</v>
      </c>
      <c r="D369" s="26"/>
      <c r="E369" s="26">
        <v>0</v>
      </c>
      <c r="F369" s="29" t="s">
        <v>1271</v>
      </c>
      <c r="G369" s="26" t="s">
        <v>299</v>
      </c>
    </row>
    <row r="370" spans="1:7" ht="30" customHeight="1">
      <c r="A370" s="24" t="s">
        <v>1272</v>
      </c>
      <c r="B370" s="24" t="s">
        <v>572</v>
      </c>
      <c r="C370" s="24" t="s">
        <v>172</v>
      </c>
      <c r="D370" s="24"/>
      <c r="E370" s="24">
        <v>0</v>
      </c>
      <c r="F370" s="28" t="s">
        <v>1273</v>
      </c>
      <c r="G370" s="24" t="s">
        <v>299</v>
      </c>
    </row>
    <row r="371" spans="1:7" ht="30" customHeight="1">
      <c r="A371" s="26" t="s">
        <v>1274</v>
      </c>
      <c r="B371" s="26" t="s">
        <v>144</v>
      </c>
      <c r="C371" s="26" t="s">
        <v>172</v>
      </c>
      <c r="D371" s="26"/>
      <c r="E371" s="26">
        <v>0</v>
      </c>
      <c r="F371" s="29" t="s">
        <v>1275</v>
      </c>
      <c r="G371" s="26" t="s">
        <v>299</v>
      </c>
    </row>
    <row r="372" spans="1:7" ht="30" customHeight="1">
      <c r="A372" s="24" t="s">
        <v>1276</v>
      </c>
      <c r="B372" s="24" t="s">
        <v>144</v>
      </c>
      <c r="C372" s="24" t="s">
        <v>172</v>
      </c>
      <c r="D372" s="24"/>
      <c r="E372" s="24">
        <v>0</v>
      </c>
      <c r="F372" s="28" t="s">
        <v>1277</v>
      </c>
      <c r="G372" s="24" t="s">
        <v>299</v>
      </c>
    </row>
    <row r="373" spans="1:7" ht="30" customHeight="1">
      <c r="A373" s="26" t="s">
        <v>1278</v>
      </c>
      <c r="B373" s="26" t="s">
        <v>144</v>
      </c>
      <c r="C373" s="26" t="s">
        <v>172</v>
      </c>
      <c r="D373" s="26"/>
      <c r="E373" s="26">
        <v>0</v>
      </c>
      <c r="F373" s="29" t="s">
        <v>1279</v>
      </c>
      <c r="G373" s="26" t="s">
        <v>299</v>
      </c>
    </row>
    <row r="374" spans="1:7" ht="30" customHeight="1">
      <c r="A374" s="24" t="s">
        <v>1280</v>
      </c>
      <c r="B374" s="24" t="s">
        <v>143</v>
      </c>
      <c r="C374" s="24" t="s">
        <v>172</v>
      </c>
      <c r="D374" s="24"/>
      <c r="E374" s="24">
        <v>0</v>
      </c>
      <c r="F374" s="28" t="s">
        <v>1281</v>
      </c>
      <c r="G374" s="24" t="s">
        <v>299</v>
      </c>
    </row>
    <row r="375" spans="1:7" ht="30" customHeight="1">
      <c r="A375" s="26" t="s">
        <v>1282</v>
      </c>
      <c r="B375" s="26" t="s">
        <v>572</v>
      </c>
      <c r="C375" s="26" t="s">
        <v>172</v>
      </c>
      <c r="D375" s="26"/>
      <c r="E375" s="26">
        <v>0</v>
      </c>
      <c r="F375" s="29" t="s">
        <v>1283</v>
      </c>
      <c r="G375" s="26" t="s">
        <v>299</v>
      </c>
    </row>
    <row r="376" spans="1:7" ht="30" customHeight="1">
      <c r="A376" s="24" t="s">
        <v>1284</v>
      </c>
      <c r="B376" s="24" t="s">
        <v>572</v>
      </c>
      <c r="C376" s="24" t="s">
        <v>172</v>
      </c>
      <c r="D376" s="24"/>
      <c r="E376" s="24">
        <v>0</v>
      </c>
      <c r="F376" s="28" t="s">
        <v>1285</v>
      </c>
      <c r="G376" s="24" t="s">
        <v>299</v>
      </c>
    </row>
    <row r="377" spans="1:7" ht="30" customHeight="1">
      <c r="A377" s="26" t="s">
        <v>1286</v>
      </c>
      <c r="B377" s="26" t="s">
        <v>1287</v>
      </c>
      <c r="C377" s="26" t="s">
        <v>172</v>
      </c>
      <c r="D377" s="26"/>
      <c r="E377" s="26">
        <v>0</v>
      </c>
      <c r="F377" s="29" t="s">
        <v>1288</v>
      </c>
      <c r="G377" s="26" t="s">
        <v>299</v>
      </c>
    </row>
    <row r="378" spans="1:7" ht="30" customHeight="1">
      <c r="A378" s="24" t="s">
        <v>1289</v>
      </c>
      <c r="B378" s="24" t="s">
        <v>143</v>
      </c>
      <c r="C378" s="24" t="s">
        <v>172</v>
      </c>
      <c r="D378" s="24"/>
      <c r="E378" s="24">
        <v>0</v>
      </c>
      <c r="F378" s="28" t="s">
        <v>1290</v>
      </c>
      <c r="G378" s="24" t="s">
        <v>299</v>
      </c>
    </row>
    <row r="379" spans="1:7" ht="30" customHeight="1">
      <c r="A379" s="26" t="s">
        <v>1291</v>
      </c>
      <c r="B379" s="26" t="s">
        <v>572</v>
      </c>
      <c r="C379" s="26" t="s">
        <v>172</v>
      </c>
      <c r="D379" s="26"/>
      <c r="E379" s="26">
        <v>0</v>
      </c>
      <c r="F379" s="29" t="s">
        <v>1292</v>
      </c>
      <c r="G379" s="26" t="s">
        <v>299</v>
      </c>
    </row>
    <row r="380" spans="1:7" ht="30" customHeight="1">
      <c r="A380" s="24" t="s">
        <v>1293</v>
      </c>
      <c r="B380" s="24" t="s">
        <v>143</v>
      </c>
      <c r="C380" s="24" t="s">
        <v>182</v>
      </c>
      <c r="D380" s="24"/>
      <c r="E380" s="24">
        <v>0</v>
      </c>
      <c r="F380" s="28" t="s">
        <v>1294</v>
      </c>
      <c r="G380" s="24" t="s">
        <v>299</v>
      </c>
    </row>
    <row r="381" spans="1:7" ht="30" customHeight="1">
      <c r="A381" s="26" t="s">
        <v>1295</v>
      </c>
      <c r="B381" s="26" t="s">
        <v>143</v>
      </c>
      <c r="C381" s="26" t="s">
        <v>172</v>
      </c>
      <c r="D381" s="26"/>
      <c r="E381" s="26">
        <v>0</v>
      </c>
      <c r="F381" s="29" t="s">
        <v>1296</v>
      </c>
      <c r="G381" s="26" t="s">
        <v>299</v>
      </c>
    </row>
    <row r="382" spans="1:7" ht="30" customHeight="1">
      <c r="A382" s="24" t="s">
        <v>1297</v>
      </c>
      <c r="B382" s="24" t="s">
        <v>572</v>
      </c>
      <c r="C382" s="24" t="s">
        <v>172</v>
      </c>
      <c r="D382" s="24"/>
      <c r="E382" s="24">
        <v>0</v>
      </c>
      <c r="F382" s="28" t="s">
        <v>1298</v>
      </c>
      <c r="G382" s="24" t="s">
        <v>299</v>
      </c>
    </row>
    <row r="383" spans="1:7" ht="30" customHeight="1">
      <c r="A383" s="26" t="s">
        <v>1299</v>
      </c>
      <c r="B383" s="26" t="s">
        <v>143</v>
      </c>
      <c r="C383" s="26" t="s">
        <v>182</v>
      </c>
      <c r="D383" s="26"/>
      <c r="E383" s="26">
        <v>0</v>
      </c>
      <c r="F383" s="29" t="s">
        <v>1300</v>
      </c>
      <c r="G383" s="26" t="s">
        <v>299</v>
      </c>
    </row>
    <row r="384" spans="1:7" ht="30" customHeight="1">
      <c r="A384" s="24" t="s">
        <v>1301</v>
      </c>
      <c r="B384" s="24" t="s">
        <v>143</v>
      </c>
      <c r="C384" s="24" t="s">
        <v>182</v>
      </c>
      <c r="D384" s="24"/>
      <c r="E384" s="24">
        <v>0</v>
      </c>
      <c r="F384" s="28" t="s">
        <v>1302</v>
      </c>
      <c r="G384" s="24" t="s">
        <v>299</v>
      </c>
    </row>
    <row r="385" spans="1:7" ht="30" customHeight="1">
      <c r="A385" s="26" t="s">
        <v>1303</v>
      </c>
      <c r="B385" s="26" t="s">
        <v>143</v>
      </c>
      <c r="C385" s="26" t="s">
        <v>172</v>
      </c>
      <c r="D385" s="26"/>
      <c r="E385" s="26">
        <v>0</v>
      </c>
      <c r="F385" s="29" t="s">
        <v>1304</v>
      </c>
      <c r="G385" s="26" t="s">
        <v>299</v>
      </c>
    </row>
    <row r="386" spans="1:7" ht="30" customHeight="1">
      <c r="A386" s="24" t="s">
        <v>1305</v>
      </c>
      <c r="B386" s="24" t="s">
        <v>572</v>
      </c>
      <c r="C386" s="24" t="s">
        <v>172</v>
      </c>
      <c r="D386" s="24"/>
      <c r="E386" s="24">
        <v>0</v>
      </c>
      <c r="F386" s="28" t="s">
        <v>1306</v>
      </c>
      <c r="G386" s="24" t="s">
        <v>299</v>
      </c>
    </row>
    <row r="387" spans="1:7" ht="30" customHeight="1">
      <c r="A387" s="26" t="s">
        <v>1307</v>
      </c>
      <c r="B387" s="26" t="s">
        <v>144</v>
      </c>
      <c r="C387" s="26" t="s">
        <v>172</v>
      </c>
      <c r="D387" s="26"/>
      <c r="E387" s="26">
        <v>0</v>
      </c>
      <c r="F387" s="29" t="s">
        <v>1308</v>
      </c>
      <c r="G387" s="26" t="s">
        <v>299</v>
      </c>
    </row>
    <row r="388" spans="1:7" ht="30" customHeight="1">
      <c r="A388" s="24" t="s">
        <v>1309</v>
      </c>
      <c r="B388" s="24" t="s">
        <v>144</v>
      </c>
      <c r="C388" s="24" t="s">
        <v>172</v>
      </c>
      <c r="D388" s="24"/>
      <c r="E388" s="24">
        <v>0</v>
      </c>
      <c r="F388" s="28" t="s">
        <v>1310</v>
      </c>
      <c r="G388" s="24" t="s">
        <v>299</v>
      </c>
    </row>
    <row r="389" spans="1:7" ht="30" customHeight="1">
      <c r="A389" s="26" t="s">
        <v>1311</v>
      </c>
      <c r="B389" s="26" t="s">
        <v>572</v>
      </c>
      <c r="C389" s="26" t="s">
        <v>172</v>
      </c>
      <c r="D389" s="26"/>
      <c r="E389" s="26">
        <v>0</v>
      </c>
      <c r="F389" s="29" t="s">
        <v>1312</v>
      </c>
      <c r="G389" s="26" t="s">
        <v>299</v>
      </c>
    </row>
    <row r="390" spans="1:7" ht="30" customHeight="1">
      <c r="A390" s="24" t="s">
        <v>1313</v>
      </c>
      <c r="B390" s="24" t="s">
        <v>539</v>
      </c>
      <c r="C390" s="24" t="s">
        <v>172</v>
      </c>
      <c r="D390" s="24"/>
      <c r="E390" s="24">
        <v>0</v>
      </c>
      <c r="F390" s="28" t="s">
        <v>1314</v>
      </c>
      <c r="G390" s="24" t="s">
        <v>299</v>
      </c>
    </row>
    <row r="391" spans="1:7" ht="30" customHeight="1">
      <c r="A391" s="26" t="s">
        <v>1315</v>
      </c>
      <c r="B391" s="26" t="s">
        <v>144</v>
      </c>
      <c r="C391" s="26" t="s">
        <v>172</v>
      </c>
      <c r="D391" s="26"/>
      <c r="E391" s="26">
        <v>0</v>
      </c>
      <c r="F391" s="29" t="s">
        <v>1316</v>
      </c>
      <c r="G391" s="26" t="s">
        <v>299</v>
      </c>
    </row>
    <row r="392" spans="1:7" ht="30" customHeight="1">
      <c r="A392" s="24" t="s">
        <v>1317</v>
      </c>
      <c r="B392" s="24" t="s">
        <v>581</v>
      </c>
      <c r="C392" s="24" t="s">
        <v>172</v>
      </c>
      <c r="D392" s="24"/>
      <c r="E392" s="24">
        <v>0</v>
      </c>
      <c r="F392" s="28" t="s">
        <v>1318</v>
      </c>
      <c r="G392" s="24" t="s">
        <v>299</v>
      </c>
    </row>
    <row r="393" spans="1:7" ht="30" customHeight="1">
      <c r="A393" s="26" t="s">
        <v>1319</v>
      </c>
      <c r="B393" s="26" t="s">
        <v>539</v>
      </c>
      <c r="C393" s="26" t="s">
        <v>172</v>
      </c>
      <c r="D393" s="26"/>
      <c r="E393" s="26">
        <v>0</v>
      </c>
      <c r="F393" s="29" t="s">
        <v>1320</v>
      </c>
      <c r="G393" s="26" t="s">
        <v>299</v>
      </c>
    </row>
    <row r="394" spans="1:7" ht="30" customHeight="1">
      <c r="A394" s="24" t="s">
        <v>1321</v>
      </c>
      <c r="B394" s="24" t="s">
        <v>534</v>
      </c>
      <c r="C394" s="24" t="s">
        <v>172</v>
      </c>
      <c r="D394" s="24"/>
      <c r="E394" s="24">
        <v>0</v>
      </c>
      <c r="F394" s="28" t="s">
        <v>1322</v>
      </c>
      <c r="G394" s="24" t="s">
        <v>299</v>
      </c>
    </row>
    <row r="395" spans="1:7" ht="30" customHeight="1">
      <c r="A395" s="26" t="s">
        <v>1323</v>
      </c>
      <c r="B395" s="26" t="s">
        <v>143</v>
      </c>
      <c r="C395" s="26" t="s">
        <v>172</v>
      </c>
      <c r="D395" s="26"/>
      <c r="E395" s="26">
        <v>0</v>
      </c>
      <c r="F395" s="29" t="s">
        <v>1324</v>
      </c>
      <c r="G395" s="26" t="s">
        <v>299</v>
      </c>
    </row>
    <row r="396" spans="1:7" ht="30" customHeight="1">
      <c r="A396" s="24" t="s">
        <v>1325</v>
      </c>
      <c r="B396" s="24" t="s">
        <v>581</v>
      </c>
      <c r="C396" s="24" t="s">
        <v>172</v>
      </c>
      <c r="D396" s="24"/>
      <c r="E396" s="24">
        <v>0</v>
      </c>
      <c r="F396" s="28" t="s">
        <v>1326</v>
      </c>
      <c r="G396" s="24" t="s">
        <v>299</v>
      </c>
    </row>
    <row r="397" spans="1:7" ht="30" customHeight="1">
      <c r="A397" s="26" t="s">
        <v>1327</v>
      </c>
      <c r="B397" s="26" t="s">
        <v>143</v>
      </c>
      <c r="C397" s="26" t="s">
        <v>172</v>
      </c>
      <c r="D397" s="26"/>
      <c r="E397" s="26">
        <v>0</v>
      </c>
      <c r="F397" s="29" t="s">
        <v>1328</v>
      </c>
      <c r="G397" s="26" t="s">
        <v>299</v>
      </c>
    </row>
    <row r="398" spans="1:7" ht="30" customHeight="1">
      <c r="A398" s="24" t="s">
        <v>1329</v>
      </c>
      <c r="B398" s="24" t="s">
        <v>143</v>
      </c>
      <c r="C398" s="24" t="s">
        <v>172</v>
      </c>
      <c r="D398" s="24"/>
      <c r="E398" s="24">
        <v>0</v>
      </c>
      <c r="F398" s="28" t="s">
        <v>1330</v>
      </c>
      <c r="G398" s="24" t="s">
        <v>299</v>
      </c>
    </row>
    <row r="399" spans="1:7" ht="30" customHeight="1">
      <c r="A399" s="26" t="s">
        <v>1331</v>
      </c>
      <c r="B399" s="26" t="s">
        <v>144</v>
      </c>
      <c r="C399" s="26" t="s">
        <v>172</v>
      </c>
      <c r="D399" s="26"/>
      <c r="E399" s="26">
        <v>0</v>
      </c>
      <c r="F399" s="29" t="s">
        <v>1332</v>
      </c>
      <c r="G399" s="26" t="s">
        <v>299</v>
      </c>
    </row>
    <row r="400" spans="1:7" ht="30" customHeight="1">
      <c r="A400" s="24" t="s">
        <v>1333</v>
      </c>
      <c r="B400" s="24" t="s">
        <v>143</v>
      </c>
      <c r="C400" s="24" t="s">
        <v>172</v>
      </c>
      <c r="D400" s="24"/>
      <c r="E400" s="24">
        <v>0</v>
      </c>
      <c r="F400" s="28" t="s">
        <v>1334</v>
      </c>
      <c r="G400" s="24" t="s">
        <v>299</v>
      </c>
    </row>
    <row r="401" spans="1:7" ht="30" customHeight="1">
      <c r="A401" s="26" t="s">
        <v>1335</v>
      </c>
      <c r="B401" s="26" t="s">
        <v>544</v>
      </c>
      <c r="C401" s="26" t="s">
        <v>172</v>
      </c>
      <c r="D401" s="26"/>
      <c r="E401" s="26">
        <v>0</v>
      </c>
      <c r="F401" s="29" t="s">
        <v>1336</v>
      </c>
      <c r="G401" s="26" t="s">
        <v>299</v>
      </c>
    </row>
    <row r="402" spans="1:7" ht="30" customHeight="1">
      <c r="A402" s="24" t="s">
        <v>1337</v>
      </c>
      <c r="B402" s="24" t="s">
        <v>143</v>
      </c>
      <c r="C402" s="24" t="s">
        <v>172</v>
      </c>
      <c r="D402" s="24"/>
      <c r="E402" s="24">
        <v>0</v>
      </c>
      <c r="F402" s="28" t="s">
        <v>1338</v>
      </c>
      <c r="G402" s="24" t="s">
        <v>299</v>
      </c>
    </row>
    <row r="403" spans="1:7" ht="30" customHeight="1">
      <c r="A403" s="26" t="s">
        <v>1339</v>
      </c>
      <c r="B403" s="26" t="s">
        <v>143</v>
      </c>
      <c r="C403" s="26" t="s">
        <v>182</v>
      </c>
      <c r="D403" s="26"/>
      <c r="E403" s="26">
        <v>0</v>
      </c>
      <c r="F403" s="29" t="s">
        <v>1340</v>
      </c>
      <c r="G403" s="26" t="s">
        <v>299</v>
      </c>
    </row>
    <row r="404" spans="1:7" ht="30" customHeight="1">
      <c r="A404" s="24" t="s">
        <v>1341</v>
      </c>
      <c r="B404" s="24" t="s">
        <v>143</v>
      </c>
      <c r="C404" s="24" t="s">
        <v>182</v>
      </c>
      <c r="D404" s="24"/>
      <c r="E404" s="24">
        <v>0</v>
      </c>
      <c r="F404" s="28" t="s">
        <v>1342</v>
      </c>
      <c r="G404" s="24" t="s">
        <v>299</v>
      </c>
    </row>
    <row r="405" spans="1:7" ht="30" customHeight="1">
      <c r="A405" s="26" t="s">
        <v>1343</v>
      </c>
      <c r="B405" s="26" t="s">
        <v>143</v>
      </c>
      <c r="C405" s="26" t="s">
        <v>172</v>
      </c>
      <c r="D405" s="26"/>
      <c r="E405" s="26">
        <v>0</v>
      </c>
      <c r="F405" s="29" t="s">
        <v>1344</v>
      </c>
      <c r="G405" s="26" t="s">
        <v>299</v>
      </c>
    </row>
    <row r="406" spans="1:7" ht="30" customHeight="1">
      <c r="A406" s="24" t="s">
        <v>1345</v>
      </c>
      <c r="B406" s="24" t="s">
        <v>544</v>
      </c>
      <c r="C406" s="24" t="s">
        <v>172</v>
      </c>
      <c r="D406" s="24"/>
      <c r="E406" s="24">
        <v>0</v>
      </c>
      <c r="F406" s="28" t="s">
        <v>1346</v>
      </c>
      <c r="G406" s="24" t="s">
        <v>299</v>
      </c>
    </row>
    <row r="407" spans="1:7" ht="30" customHeight="1">
      <c r="A407" s="26" t="s">
        <v>1347</v>
      </c>
      <c r="B407" s="26" t="s">
        <v>572</v>
      </c>
      <c r="C407" s="26" t="s">
        <v>172</v>
      </c>
      <c r="D407" s="26"/>
      <c r="E407" s="26">
        <v>0</v>
      </c>
      <c r="F407" s="29" t="s">
        <v>1348</v>
      </c>
      <c r="G407" s="26" t="s">
        <v>299</v>
      </c>
    </row>
    <row r="408" spans="1:7" ht="30" customHeight="1">
      <c r="A408" s="24" t="s">
        <v>1349</v>
      </c>
      <c r="B408" s="24" t="s">
        <v>143</v>
      </c>
      <c r="C408" s="24" t="s">
        <v>182</v>
      </c>
      <c r="D408" s="24"/>
      <c r="E408" s="24">
        <v>0</v>
      </c>
      <c r="F408" s="28" t="s">
        <v>1350</v>
      </c>
      <c r="G408" s="24" t="s">
        <v>299</v>
      </c>
    </row>
    <row r="409" spans="1:7" ht="30" customHeight="1">
      <c r="A409" s="26" t="s">
        <v>1351</v>
      </c>
      <c r="B409" s="26" t="s">
        <v>572</v>
      </c>
      <c r="C409" s="26" t="s">
        <v>172</v>
      </c>
      <c r="D409" s="26"/>
      <c r="E409" s="26">
        <v>0</v>
      </c>
      <c r="F409" s="29" t="s">
        <v>1352</v>
      </c>
      <c r="G409" s="26" t="s">
        <v>299</v>
      </c>
    </row>
    <row r="410" spans="1:7" ht="30" customHeight="1">
      <c r="A410" s="24" t="s">
        <v>1353</v>
      </c>
      <c r="B410" s="24" t="s">
        <v>581</v>
      </c>
      <c r="C410" s="24" t="s">
        <v>172</v>
      </c>
      <c r="D410" s="24"/>
      <c r="E410" s="24">
        <v>0</v>
      </c>
      <c r="F410" s="28" t="s">
        <v>1354</v>
      </c>
      <c r="G410" s="24" t="s">
        <v>299</v>
      </c>
    </row>
    <row r="411" spans="1:7" ht="30" customHeight="1">
      <c r="A411" s="26" t="s">
        <v>1355</v>
      </c>
      <c r="B411" s="26" t="s">
        <v>143</v>
      </c>
      <c r="C411" s="26" t="s">
        <v>172</v>
      </c>
      <c r="D411" s="26"/>
      <c r="E411" s="26">
        <v>0</v>
      </c>
      <c r="F411" s="29" t="s">
        <v>1356</v>
      </c>
      <c r="G411" s="26" t="s">
        <v>299</v>
      </c>
    </row>
    <row r="412" spans="1:7" ht="30" customHeight="1">
      <c r="A412" s="24" t="s">
        <v>1357</v>
      </c>
      <c r="B412" s="24" t="s">
        <v>569</v>
      </c>
      <c r="C412" s="24" t="s">
        <v>172</v>
      </c>
      <c r="D412" s="24"/>
      <c r="E412" s="24">
        <v>0</v>
      </c>
      <c r="F412" s="28" t="s">
        <v>1358</v>
      </c>
      <c r="G412" s="24" t="s">
        <v>299</v>
      </c>
    </row>
    <row r="413" spans="1:7" ht="30" customHeight="1">
      <c r="A413" s="26" t="s">
        <v>1359</v>
      </c>
      <c r="B413" s="26" t="s">
        <v>144</v>
      </c>
      <c r="C413" s="26" t="s">
        <v>172</v>
      </c>
      <c r="D413" s="26"/>
      <c r="E413" s="26">
        <v>0</v>
      </c>
      <c r="F413" s="29" t="s">
        <v>1360</v>
      </c>
      <c r="G413" s="26" t="s">
        <v>299</v>
      </c>
    </row>
    <row r="414" spans="1:7" ht="30" customHeight="1">
      <c r="A414" s="24" t="s">
        <v>1361</v>
      </c>
      <c r="B414" s="24" t="s">
        <v>143</v>
      </c>
      <c r="C414" s="24" t="s">
        <v>182</v>
      </c>
      <c r="D414" s="24"/>
      <c r="E414" s="24">
        <v>0</v>
      </c>
      <c r="F414" s="28" t="s">
        <v>1362</v>
      </c>
      <c r="G414" s="24" t="s">
        <v>299</v>
      </c>
    </row>
    <row r="415" spans="1:7" ht="30" customHeight="1">
      <c r="A415" s="26" t="s">
        <v>1363</v>
      </c>
      <c r="B415" s="26" t="s">
        <v>581</v>
      </c>
      <c r="C415" s="26" t="s">
        <v>172</v>
      </c>
      <c r="D415" s="26"/>
      <c r="E415" s="26">
        <v>0</v>
      </c>
      <c r="F415" s="29" t="s">
        <v>1364</v>
      </c>
      <c r="G415" s="26" t="s">
        <v>299</v>
      </c>
    </row>
    <row r="416" spans="1:7" ht="30" customHeight="1">
      <c r="A416" s="24" t="s">
        <v>1365</v>
      </c>
      <c r="B416" s="24" t="s">
        <v>143</v>
      </c>
      <c r="C416" s="24" t="s">
        <v>182</v>
      </c>
      <c r="D416" s="24"/>
      <c r="E416" s="24">
        <v>0</v>
      </c>
      <c r="F416" s="28" t="s">
        <v>1366</v>
      </c>
      <c r="G416" s="24" t="s">
        <v>299</v>
      </c>
    </row>
    <row r="417" spans="1:7" ht="30" customHeight="1">
      <c r="A417" s="26" t="s">
        <v>1367</v>
      </c>
      <c r="B417" s="26" t="s">
        <v>143</v>
      </c>
      <c r="C417" s="26" t="s">
        <v>172</v>
      </c>
      <c r="D417" s="26"/>
      <c r="E417" s="26">
        <v>0</v>
      </c>
      <c r="F417" s="29" t="s">
        <v>1368</v>
      </c>
      <c r="G417" s="26" t="s">
        <v>299</v>
      </c>
    </row>
    <row r="418" spans="1:7" ht="30" customHeight="1">
      <c r="A418" s="24" t="s">
        <v>1369</v>
      </c>
      <c r="B418" s="24" t="s">
        <v>572</v>
      </c>
      <c r="C418" s="24" t="s">
        <v>172</v>
      </c>
      <c r="D418" s="24"/>
      <c r="E418" s="24">
        <v>0</v>
      </c>
      <c r="F418" s="28" t="s">
        <v>1370</v>
      </c>
      <c r="G418" s="24" t="s">
        <v>299</v>
      </c>
    </row>
    <row r="419" spans="1:7" ht="30" customHeight="1">
      <c r="A419" s="26" t="s">
        <v>1371</v>
      </c>
      <c r="B419" s="26" t="s">
        <v>143</v>
      </c>
      <c r="C419" s="26" t="s">
        <v>172</v>
      </c>
      <c r="D419" s="26"/>
      <c r="E419" s="26">
        <v>0</v>
      </c>
      <c r="F419" s="29" t="s">
        <v>1372</v>
      </c>
      <c r="G419" s="26" t="s">
        <v>299</v>
      </c>
    </row>
    <row r="420" spans="1:7" ht="30" customHeight="1">
      <c r="A420" s="24" t="s">
        <v>1373</v>
      </c>
      <c r="B420" s="24" t="s">
        <v>572</v>
      </c>
      <c r="C420" s="24" t="s">
        <v>172</v>
      </c>
      <c r="D420" s="24"/>
      <c r="E420" s="24">
        <v>0</v>
      </c>
      <c r="F420" s="28" t="s">
        <v>1374</v>
      </c>
      <c r="G420" s="24" t="s">
        <v>299</v>
      </c>
    </row>
    <row r="421" spans="1:7" ht="30" customHeight="1">
      <c r="A421" s="26" t="s">
        <v>1375</v>
      </c>
      <c r="B421" s="26" t="s">
        <v>544</v>
      </c>
      <c r="C421" s="26" t="s">
        <v>172</v>
      </c>
      <c r="D421" s="26"/>
      <c r="E421" s="26">
        <v>0</v>
      </c>
      <c r="F421" s="29" t="s">
        <v>1376</v>
      </c>
      <c r="G421" s="26" t="s">
        <v>299</v>
      </c>
    </row>
    <row r="422" spans="1:7" ht="30" customHeight="1">
      <c r="A422" s="24" t="s">
        <v>1377</v>
      </c>
      <c r="B422" s="24" t="s">
        <v>144</v>
      </c>
      <c r="C422" s="24" t="s">
        <v>172</v>
      </c>
      <c r="D422" s="24"/>
      <c r="E422" s="24">
        <v>0</v>
      </c>
      <c r="F422" s="28" t="s">
        <v>1378</v>
      </c>
      <c r="G422" s="24" t="s">
        <v>299</v>
      </c>
    </row>
    <row r="423" spans="1:7" ht="30" customHeight="1">
      <c r="A423" s="26" t="s">
        <v>1379</v>
      </c>
      <c r="B423" s="26" t="s">
        <v>143</v>
      </c>
      <c r="C423" s="26" t="s">
        <v>172</v>
      </c>
      <c r="D423" s="26"/>
      <c r="E423" s="26">
        <v>0</v>
      </c>
      <c r="F423" s="29" t="s">
        <v>1380</v>
      </c>
      <c r="G423" s="26" t="s">
        <v>299</v>
      </c>
    </row>
    <row r="424" spans="1:7" ht="30" customHeight="1">
      <c r="A424" s="24" t="s">
        <v>1381</v>
      </c>
      <c r="B424" s="24" t="s">
        <v>144</v>
      </c>
      <c r="C424" s="24" t="s">
        <v>172</v>
      </c>
      <c r="D424" s="24"/>
      <c r="E424" s="24">
        <v>0</v>
      </c>
      <c r="F424" s="28" t="s">
        <v>1382</v>
      </c>
      <c r="G424" s="24" t="s">
        <v>299</v>
      </c>
    </row>
    <row r="425" spans="1:7" ht="30" customHeight="1">
      <c r="A425" s="26" t="s">
        <v>1383</v>
      </c>
      <c r="B425" s="26" t="s">
        <v>143</v>
      </c>
      <c r="C425" s="26" t="s">
        <v>172</v>
      </c>
      <c r="D425" s="26"/>
      <c r="E425" s="26">
        <v>0</v>
      </c>
      <c r="F425" s="29" t="s">
        <v>1384</v>
      </c>
      <c r="G425" s="26" t="s">
        <v>299</v>
      </c>
    </row>
    <row r="426" spans="1:7" ht="30" customHeight="1">
      <c r="A426" s="24" t="s">
        <v>1385</v>
      </c>
      <c r="B426" s="24" t="s">
        <v>143</v>
      </c>
      <c r="C426" s="24" t="s">
        <v>172</v>
      </c>
      <c r="D426" s="24"/>
      <c r="E426" s="24">
        <v>0</v>
      </c>
      <c r="F426" s="28" t="s">
        <v>1386</v>
      </c>
      <c r="G426" s="24" t="s">
        <v>299</v>
      </c>
    </row>
    <row r="427" spans="1:7" ht="30" customHeight="1">
      <c r="A427" s="26" t="s">
        <v>1387</v>
      </c>
      <c r="B427" s="26" t="s">
        <v>581</v>
      </c>
      <c r="C427" s="26" t="s">
        <v>172</v>
      </c>
      <c r="D427" s="26"/>
      <c r="E427" s="26">
        <v>0</v>
      </c>
      <c r="F427" s="29" t="s">
        <v>1388</v>
      </c>
      <c r="G427" s="26" t="s">
        <v>299</v>
      </c>
    </row>
    <row r="428" spans="1:7" ht="30" customHeight="1">
      <c r="A428" s="24" t="s">
        <v>1389</v>
      </c>
      <c r="B428" s="24" t="s">
        <v>143</v>
      </c>
      <c r="C428" s="24" t="s">
        <v>172</v>
      </c>
      <c r="D428" s="24"/>
      <c r="E428" s="24">
        <v>0</v>
      </c>
      <c r="F428" s="28" t="s">
        <v>1390</v>
      </c>
      <c r="G428" s="24" t="s">
        <v>299</v>
      </c>
    </row>
    <row r="429" spans="1:7" ht="30" customHeight="1">
      <c r="A429" s="26" t="s">
        <v>1391</v>
      </c>
      <c r="B429" s="26" t="s">
        <v>572</v>
      </c>
      <c r="C429" s="26" t="s">
        <v>172</v>
      </c>
      <c r="D429" s="26"/>
      <c r="E429" s="26">
        <v>0</v>
      </c>
      <c r="F429" s="29" t="s">
        <v>1392</v>
      </c>
      <c r="G429" s="26" t="s">
        <v>299</v>
      </c>
    </row>
    <row r="430" spans="1:7" ht="30" customHeight="1">
      <c r="A430" s="24" t="s">
        <v>1393</v>
      </c>
      <c r="B430" s="24" t="s">
        <v>544</v>
      </c>
      <c r="C430" s="24" t="s">
        <v>182</v>
      </c>
      <c r="D430" s="24"/>
      <c r="E430" s="24">
        <v>0</v>
      </c>
      <c r="F430" s="28" t="s">
        <v>1394</v>
      </c>
      <c r="G430" s="24" t="s">
        <v>299</v>
      </c>
    </row>
    <row r="431" spans="1:7" ht="30" customHeight="1">
      <c r="A431" s="26" t="s">
        <v>1395</v>
      </c>
      <c r="B431" s="26" t="s">
        <v>1396</v>
      </c>
      <c r="C431" s="26" t="s">
        <v>182</v>
      </c>
      <c r="D431" s="26"/>
      <c r="E431" s="26">
        <v>0</v>
      </c>
      <c r="F431" s="29" t="s">
        <v>1397</v>
      </c>
      <c r="G431" s="26" t="s">
        <v>299</v>
      </c>
    </row>
    <row r="432" spans="1:7" ht="30" customHeight="1">
      <c r="A432" s="24" t="s">
        <v>1398</v>
      </c>
      <c r="B432" s="24" t="s">
        <v>144</v>
      </c>
      <c r="C432" s="24" t="s">
        <v>172</v>
      </c>
      <c r="D432" s="24"/>
      <c r="E432" s="24">
        <v>0</v>
      </c>
      <c r="F432" s="28" t="s">
        <v>1399</v>
      </c>
      <c r="G432" s="24" t="s">
        <v>299</v>
      </c>
    </row>
    <row r="433" spans="1:7" ht="30" customHeight="1">
      <c r="A433" s="26" t="s">
        <v>1400</v>
      </c>
      <c r="B433" s="26" t="s">
        <v>144</v>
      </c>
      <c r="C433" s="26" t="s">
        <v>172</v>
      </c>
      <c r="D433" s="26"/>
      <c r="E433" s="26">
        <v>0</v>
      </c>
      <c r="F433" s="29" t="s">
        <v>1401</v>
      </c>
      <c r="G433" s="26" t="s">
        <v>299</v>
      </c>
    </row>
    <row r="434" spans="1:7" ht="30" customHeight="1">
      <c r="A434" s="24" t="s">
        <v>1402</v>
      </c>
      <c r="B434" s="24" t="s">
        <v>572</v>
      </c>
      <c r="C434" s="24" t="s">
        <v>172</v>
      </c>
      <c r="D434" s="24"/>
      <c r="E434" s="24">
        <v>0</v>
      </c>
      <c r="F434" s="28" t="s">
        <v>1403</v>
      </c>
      <c r="G434" s="24" t="s">
        <v>299</v>
      </c>
    </row>
    <row r="435" spans="1:7" ht="30" customHeight="1">
      <c r="A435" s="26" t="s">
        <v>1404</v>
      </c>
      <c r="B435" s="26" t="s">
        <v>1099</v>
      </c>
      <c r="C435" s="26" t="s">
        <v>172</v>
      </c>
      <c r="D435" s="26"/>
      <c r="E435" s="26">
        <v>0</v>
      </c>
      <c r="F435" s="29" t="s">
        <v>1405</v>
      </c>
      <c r="G435" s="26" t="s">
        <v>299</v>
      </c>
    </row>
    <row r="436" spans="1:7" ht="30" customHeight="1">
      <c r="A436" s="24" t="s">
        <v>1406</v>
      </c>
      <c r="B436" s="24" t="s">
        <v>558</v>
      </c>
      <c r="C436" s="24" t="s">
        <v>172</v>
      </c>
      <c r="D436" s="24"/>
      <c r="E436" s="24">
        <v>0</v>
      </c>
      <c r="F436" s="28" t="s">
        <v>1407</v>
      </c>
      <c r="G436" s="24" t="s">
        <v>299</v>
      </c>
    </row>
    <row r="437" spans="1:7" ht="30" customHeight="1">
      <c r="A437" s="26" t="s">
        <v>1408</v>
      </c>
      <c r="B437" s="26" t="s">
        <v>143</v>
      </c>
      <c r="C437" s="26" t="s">
        <v>172</v>
      </c>
      <c r="D437" s="26"/>
      <c r="E437" s="26">
        <v>0</v>
      </c>
      <c r="F437" s="29" t="s">
        <v>1409</v>
      </c>
      <c r="G437" s="26" t="s">
        <v>299</v>
      </c>
    </row>
    <row r="438" spans="1:7" ht="30" customHeight="1">
      <c r="A438" s="24" t="s">
        <v>1410</v>
      </c>
      <c r="B438" s="24" t="s">
        <v>572</v>
      </c>
      <c r="C438" s="24" t="s">
        <v>172</v>
      </c>
      <c r="D438" s="24"/>
      <c r="E438" s="24">
        <v>0</v>
      </c>
      <c r="F438" s="28" t="s">
        <v>1411</v>
      </c>
      <c r="G438" s="24" t="s">
        <v>299</v>
      </c>
    </row>
    <row r="439" spans="1:7" ht="30" customHeight="1">
      <c r="A439" s="26" t="s">
        <v>1412</v>
      </c>
      <c r="B439" s="26" t="s">
        <v>581</v>
      </c>
      <c r="C439" s="26" t="s">
        <v>172</v>
      </c>
      <c r="D439" s="26"/>
      <c r="E439" s="26">
        <v>0</v>
      </c>
      <c r="F439" s="29" t="s">
        <v>1413</v>
      </c>
      <c r="G439" s="26" t="s">
        <v>299</v>
      </c>
    </row>
    <row r="440" spans="1:7" ht="30" customHeight="1">
      <c r="A440" s="24" t="s">
        <v>1414</v>
      </c>
      <c r="B440" s="24" t="s">
        <v>143</v>
      </c>
      <c r="C440" s="24" t="s">
        <v>182</v>
      </c>
      <c r="D440" s="24"/>
      <c r="E440" s="24">
        <v>0</v>
      </c>
      <c r="F440" s="28" t="s">
        <v>1415</v>
      </c>
      <c r="G440" s="24" t="s">
        <v>299</v>
      </c>
    </row>
    <row r="441" spans="1:7" ht="30" customHeight="1">
      <c r="A441" s="26" t="s">
        <v>1416</v>
      </c>
      <c r="B441" s="26" t="s">
        <v>145</v>
      </c>
      <c r="C441" s="26" t="s">
        <v>172</v>
      </c>
      <c r="D441" s="26"/>
      <c r="E441" s="26">
        <v>0</v>
      </c>
      <c r="F441" s="29" t="s">
        <v>1417</v>
      </c>
      <c r="G441" s="26" t="s">
        <v>299</v>
      </c>
    </row>
    <row r="442" spans="1:7" ht="30" customHeight="1">
      <c r="A442" s="24" t="s">
        <v>1418</v>
      </c>
      <c r="B442" s="24" t="s">
        <v>144</v>
      </c>
      <c r="C442" s="24" t="s">
        <v>172</v>
      </c>
      <c r="D442" s="24"/>
      <c r="E442" s="24">
        <v>0</v>
      </c>
      <c r="F442" s="28" t="s">
        <v>1419</v>
      </c>
      <c r="G442" s="24" t="s">
        <v>299</v>
      </c>
    </row>
    <row r="443" spans="1:7" ht="30" customHeight="1">
      <c r="A443" s="26" t="s">
        <v>1420</v>
      </c>
      <c r="B443" s="26" t="s">
        <v>144</v>
      </c>
      <c r="C443" s="26" t="s">
        <v>172</v>
      </c>
      <c r="D443" s="26"/>
      <c r="E443" s="26">
        <v>0</v>
      </c>
      <c r="F443" s="29" t="s">
        <v>1421</v>
      </c>
      <c r="G443" s="26" t="s">
        <v>299</v>
      </c>
    </row>
    <row r="444" spans="1:7" ht="30" customHeight="1">
      <c r="A444" s="24" t="s">
        <v>1422</v>
      </c>
      <c r="B444" s="24" t="s">
        <v>145</v>
      </c>
      <c r="C444" s="24" t="s">
        <v>172</v>
      </c>
      <c r="D444" s="24"/>
      <c r="E444" s="24">
        <v>0</v>
      </c>
      <c r="F444" s="28" t="s">
        <v>1423</v>
      </c>
      <c r="G444" s="24" t="s">
        <v>299</v>
      </c>
    </row>
    <row r="445" spans="1:7" ht="30" customHeight="1">
      <c r="A445" s="26" t="s">
        <v>1424</v>
      </c>
      <c r="B445" s="26" t="s">
        <v>572</v>
      </c>
      <c r="C445" s="26" t="s">
        <v>172</v>
      </c>
      <c r="D445" s="26"/>
      <c r="E445" s="26">
        <v>0</v>
      </c>
      <c r="F445" s="29" t="s">
        <v>1425</v>
      </c>
      <c r="G445" s="26" t="s">
        <v>299</v>
      </c>
    </row>
    <row r="446" spans="1:7" ht="30" customHeight="1">
      <c r="A446" s="24" t="s">
        <v>1426</v>
      </c>
      <c r="B446" s="24" t="s">
        <v>143</v>
      </c>
      <c r="C446" s="24" t="s">
        <v>172</v>
      </c>
      <c r="D446" s="24"/>
      <c r="E446" s="24">
        <v>0</v>
      </c>
      <c r="F446" s="28" t="s">
        <v>1427</v>
      </c>
      <c r="G446" s="24" t="s">
        <v>299</v>
      </c>
    </row>
    <row r="447" spans="1:7" ht="30" customHeight="1">
      <c r="A447" s="26" t="s">
        <v>1428</v>
      </c>
      <c r="B447" s="26" t="s">
        <v>144</v>
      </c>
      <c r="C447" s="26" t="s">
        <v>172</v>
      </c>
      <c r="D447" s="26"/>
      <c r="E447" s="26">
        <v>0</v>
      </c>
      <c r="F447" s="29" t="s">
        <v>1429</v>
      </c>
      <c r="G447" s="26" t="s">
        <v>299</v>
      </c>
    </row>
    <row r="448" spans="1:7" ht="30" customHeight="1">
      <c r="A448" s="24" t="s">
        <v>1430</v>
      </c>
      <c r="B448" s="24" t="s">
        <v>143</v>
      </c>
      <c r="C448" s="24" t="s">
        <v>172</v>
      </c>
      <c r="D448" s="24"/>
      <c r="E448" s="24">
        <v>0</v>
      </c>
      <c r="F448" s="28" t="s">
        <v>1431</v>
      </c>
      <c r="G448" s="24" t="s">
        <v>299</v>
      </c>
    </row>
    <row r="449" spans="1:7" ht="30" customHeight="1">
      <c r="A449" s="26" t="s">
        <v>1432</v>
      </c>
      <c r="B449" s="26" t="s">
        <v>143</v>
      </c>
      <c r="C449" s="26" t="s">
        <v>172</v>
      </c>
      <c r="D449" s="26"/>
      <c r="E449" s="26">
        <v>0</v>
      </c>
      <c r="F449" s="29" t="s">
        <v>1433</v>
      </c>
      <c r="G449" s="26" t="s">
        <v>299</v>
      </c>
    </row>
    <row r="450" spans="1:7" ht="30" customHeight="1">
      <c r="A450" s="24" t="s">
        <v>1434</v>
      </c>
      <c r="B450" s="24" t="s">
        <v>572</v>
      </c>
      <c r="C450" s="24" t="s">
        <v>172</v>
      </c>
      <c r="D450" s="24"/>
      <c r="E450" s="24">
        <v>0</v>
      </c>
      <c r="F450" s="28" t="s">
        <v>1435</v>
      </c>
      <c r="G450" s="24" t="s">
        <v>299</v>
      </c>
    </row>
    <row r="451" spans="1:7" ht="30" customHeight="1">
      <c r="A451" s="26" t="s">
        <v>1436</v>
      </c>
      <c r="B451" s="26" t="s">
        <v>1099</v>
      </c>
      <c r="C451" s="26" t="s">
        <v>172</v>
      </c>
      <c r="D451" s="26"/>
      <c r="E451" s="26">
        <v>0</v>
      </c>
      <c r="F451" s="29" t="s">
        <v>1437</v>
      </c>
      <c r="G451" s="26" t="s">
        <v>299</v>
      </c>
    </row>
    <row r="452" spans="1:7" ht="30" customHeight="1">
      <c r="A452" s="24" t="s">
        <v>1438</v>
      </c>
      <c r="B452" s="24" t="s">
        <v>143</v>
      </c>
      <c r="C452" s="24" t="s">
        <v>172</v>
      </c>
      <c r="D452" s="24"/>
      <c r="E452" s="24">
        <v>0</v>
      </c>
      <c r="F452" s="28" t="s">
        <v>1439</v>
      </c>
      <c r="G452" s="24" t="s">
        <v>299</v>
      </c>
    </row>
    <row r="453" spans="1:7" ht="30" customHeight="1">
      <c r="A453" s="26" t="s">
        <v>1440</v>
      </c>
      <c r="B453" s="26" t="s">
        <v>143</v>
      </c>
      <c r="C453" s="26" t="s">
        <v>172</v>
      </c>
      <c r="D453" s="26"/>
      <c r="E453" s="26">
        <v>0</v>
      </c>
      <c r="F453" s="29" t="s">
        <v>1441</v>
      </c>
      <c r="G453" s="26" t="s">
        <v>299</v>
      </c>
    </row>
    <row r="454" spans="1:7" ht="30" customHeight="1">
      <c r="A454" s="24" t="s">
        <v>1442</v>
      </c>
      <c r="B454" s="24" t="s">
        <v>144</v>
      </c>
      <c r="C454" s="24" t="s">
        <v>172</v>
      </c>
      <c r="D454" s="24"/>
      <c r="E454" s="24">
        <v>0</v>
      </c>
      <c r="F454" s="28" t="s">
        <v>1443</v>
      </c>
      <c r="G454" s="24" t="s">
        <v>299</v>
      </c>
    </row>
    <row r="455" spans="1:7" ht="30" customHeight="1">
      <c r="A455" s="26" t="s">
        <v>1444</v>
      </c>
      <c r="B455" s="26" t="s">
        <v>1445</v>
      </c>
      <c r="C455" s="26" t="s">
        <v>172</v>
      </c>
      <c r="D455" s="26"/>
      <c r="E455" s="26">
        <v>0</v>
      </c>
      <c r="F455" s="29" t="s">
        <v>1446</v>
      </c>
      <c r="G455" s="26" t="s">
        <v>299</v>
      </c>
    </row>
    <row r="456" spans="1:7" ht="30" customHeight="1">
      <c r="A456" s="24" t="s">
        <v>1447</v>
      </c>
      <c r="B456" s="24" t="s">
        <v>145</v>
      </c>
      <c r="C456" s="24" t="s">
        <v>172</v>
      </c>
      <c r="D456" s="24"/>
      <c r="E456" s="24">
        <v>0</v>
      </c>
      <c r="F456" s="28" t="s">
        <v>1448</v>
      </c>
      <c r="G456" s="24" t="s">
        <v>299</v>
      </c>
    </row>
    <row r="457" spans="1:7" ht="30" customHeight="1">
      <c r="A457" s="26" t="s">
        <v>1449</v>
      </c>
      <c r="B457" s="26" t="s">
        <v>544</v>
      </c>
      <c r="C457" s="26" t="s">
        <v>172</v>
      </c>
      <c r="D457" s="26"/>
      <c r="E457" s="26">
        <v>0</v>
      </c>
      <c r="F457" s="29" t="s">
        <v>1450</v>
      </c>
      <c r="G457" s="26" t="s">
        <v>299</v>
      </c>
    </row>
    <row r="458" spans="1:7" ht="30" customHeight="1">
      <c r="A458" s="24" t="s">
        <v>1451</v>
      </c>
      <c r="B458" s="24" t="s">
        <v>539</v>
      </c>
      <c r="C458" s="24" t="s">
        <v>172</v>
      </c>
      <c r="D458" s="24"/>
      <c r="E458" s="24">
        <v>0</v>
      </c>
      <c r="F458" s="28" t="s">
        <v>1452</v>
      </c>
      <c r="G458" s="24" t="s">
        <v>299</v>
      </c>
    </row>
    <row r="459" spans="1:7" ht="30" customHeight="1">
      <c r="A459" s="26" t="s">
        <v>1453</v>
      </c>
      <c r="B459" s="26" t="s">
        <v>143</v>
      </c>
      <c r="C459" s="26" t="s">
        <v>172</v>
      </c>
      <c r="D459" s="26"/>
      <c r="E459" s="26">
        <v>0</v>
      </c>
      <c r="F459" s="29" t="s">
        <v>1454</v>
      </c>
      <c r="G459" s="26" t="s">
        <v>299</v>
      </c>
    </row>
    <row r="460" spans="1:7" ht="30" customHeight="1">
      <c r="A460" s="24" t="s">
        <v>1455</v>
      </c>
      <c r="B460" s="24" t="s">
        <v>143</v>
      </c>
      <c r="C460" s="24" t="s">
        <v>172</v>
      </c>
      <c r="D460" s="24"/>
      <c r="E460" s="24">
        <v>0</v>
      </c>
      <c r="F460" s="28" t="s">
        <v>1456</v>
      </c>
      <c r="G460" s="24" t="s">
        <v>299</v>
      </c>
    </row>
    <row r="461" spans="1:7" ht="30" customHeight="1">
      <c r="A461" s="26" t="s">
        <v>1457</v>
      </c>
      <c r="B461" s="26" t="s">
        <v>539</v>
      </c>
      <c r="C461" s="26" t="s">
        <v>172</v>
      </c>
      <c r="D461" s="26"/>
      <c r="E461" s="26">
        <v>0</v>
      </c>
      <c r="F461" s="29" t="s">
        <v>1458</v>
      </c>
      <c r="G461" s="26" t="s">
        <v>299</v>
      </c>
    </row>
    <row r="462" spans="1:7" ht="30" customHeight="1">
      <c r="A462" s="24" t="s">
        <v>1459</v>
      </c>
      <c r="B462" s="24" t="s">
        <v>143</v>
      </c>
      <c r="C462" s="24" t="s">
        <v>172</v>
      </c>
      <c r="D462" s="24"/>
      <c r="E462" s="24">
        <v>0</v>
      </c>
      <c r="F462" s="28" t="s">
        <v>1460</v>
      </c>
      <c r="G462" s="24" t="s">
        <v>299</v>
      </c>
    </row>
    <row r="463" spans="1:7" ht="30" customHeight="1">
      <c r="A463" s="26" t="s">
        <v>1461</v>
      </c>
      <c r="B463" s="26" t="s">
        <v>539</v>
      </c>
      <c r="C463" s="26" t="s">
        <v>172</v>
      </c>
      <c r="D463" s="26"/>
      <c r="E463" s="26">
        <v>0</v>
      </c>
      <c r="F463" s="29" t="s">
        <v>1462</v>
      </c>
      <c r="G463" s="26" t="s">
        <v>299</v>
      </c>
    </row>
    <row r="464" spans="1:7" ht="30" customHeight="1">
      <c r="A464" s="24" t="s">
        <v>1463</v>
      </c>
      <c r="B464" s="24" t="s">
        <v>143</v>
      </c>
      <c r="C464" s="24" t="s">
        <v>172</v>
      </c>
      <c r="D464" s="24"/>
      <c r="E464" s="24">
        <v>0</v>
      </c>
      <c r="F464" s="28" t="s">
        <v>1464</v>
      </c>
      <c r="G464" s="24" t="s">
        <v>299</v>
      </c>
    </row>
    <row r="465" spans="1:7" ht="30" customHeight="1">
      <c r="A465" s="26" t="s">
        <v>1465</v>
      </c>
      <c r="B465" s="26" t="s">
        <v>572</v>
      </c>
      <c r="C465" s="26" t="s">
        <v>172</v>
      </c>
      <c r="D465" s="26"/>
      <c r="E465" s="26">
        <v>0</v>
      </c>
      <c r="F465" s="29" t="s">
        <v>1466</v>
      </c>
      <c r="G465" s="26" t="s">
        <v>299</v>
      </c>
    </row>
    <row r="466" spans="1:7" ht="30" customHeight="1">
      <c r="A466" s="24" t="s">
        <v>1467</v>
      </c>
      <c r="B466" s="24" t="s">
        <v>1099</v>
      </c>
      <c r="C466" s="24" t="s">
        <v>172</v>
      </c>
      <c r="D466" s="24"/>
      <c r="E466" s="24">
        <v>0</v>
      </c>
      <c r="F466" s="28" t="s">
        <v>1468</v>
      </c>
      <c r="G466" s="24" t="s">
        <v>299</v>
      </c>
    </row>
    <row r="467" spans="1:7" ht="30" customHeight="1">
      <c r="A467" s="26" t="s">
        <v>1469</v>
      </c>
      <c r="B467" s="26" t="s">
        <v>534</v>
      </c>
      <c r="C467" s="26" t="s">
        <v>182</v>
      </c>
      <c r="D467" s="26"/>
      <c r="E467" s="26">
        <v>0</v>
      </c>
      <c r="F467" s="29" t="s">
        <v>1470</v>
      </c>
      <c r="G467" s="26" t="s">
        <v>299</v>
      </c>
    </row>
    <row r="468" spans="1:7" ht="30" customHeight="1">
      <c r="A468" s="24" t="s">
        <v>1471</v>
      </c>
      <c r="B468" s="24" t="s">
        <v>572</v>
      </c>
      <c r="C468" s="24" t="s">
        <v>172</v>
      </c>
      <c r="D468" s="24"/>
      <c r="E468" s="24">
        <v>0</v>
      </c>
      <c r="F468" s="28" t="s">
        <v>1472</v>
      </c>
      <c r="G468" s="24" t="s">
        <v>299</v>
      </c>
    </row>
    <row r="469" spans="1:7" ht="30" customHeight="1">
      <c r="A469" s="26" t="s">
        <v>1473</v>
      </c>
      <c r="B469" s="26" t="s">
        <v>1474</v>
      </c>
      <c r="C469" s="26" t="s">
        <v>172</v>
      </c>
      <c r="D469" s="26"/>
      <c r="E469" s="26">
        <v>0</v>
      </c>
      <c r="F469" s="29" t="s">
        <v>1475</v>
      </c>
      <c r="G469" s="26" t="s">
        <v>299</v>
      </c>
    </row>
    <row r="470" spans="1:7" ht="30" customHeight="1">
      <c r="A470" s="24" t="s">
        <v>1476</v>
      </c>
      <c r="B470" s="24" t="s">
        <v>1099</v>
      </c>
      <c r="C470" s="24" t="s">
        <v>172</v>
      </c>
      <c r="D470" s="24"/>
      <c r="E470" s="24">
        <v>0</v>
      </c>
      <c r="F470" s="28" t="s">
        <v>1477</v>
      </c>
      <c r="G470" s="24" t="s">
        <v>299</v>
      </c>
    </row>
    <row r="471" spans="1:7" ht="30" customHeight="1">
      <c r="A471" s="26" t="s">
        <v>1478</v>
      </c>
      <c r="B471" s="26" t="s">
        <v>143</v>
      </c>
      <c r="C471" s="26" t="s">
        <v>172</v>
      </c>
      <c r="D471" s="26"/>
      <c r="E471" s="26">
        <v>0</v>
      </c>
      <c r="F471" s="29" t="s">
        <v>1479</v>
      </c>
      <c r="G471" s="26" t="s">
        <v>299</v>
      </c>
    </row>
    <row r="472" spans="1:7" ht="30" customHeight="1">
      <c r="A472" s="24" t="s">
        <v>1480</v>
      </c>
      <c r="B472" s="24" t="s">
        <v>143</v>
      </c>
      <c r="C472" s="24" t="s">
        <v>172</v>
      </c>
      <c r="D472" s="24"/>
      <c r="E472" s="24">
        <v>0</v>
      </c>
      <c r="F472" s="28" t="s">
        <v>1481</v>
      </c>
      <c r="G472" s="24" t="s">
        <v>299</v>
      </c>
    </row>
    <row r="473" spans="1:7" ht="30" customHeight="1">
      <c r="A473" s="26" t="s">
        <v>1482</v>
      </c>
      <c r="B473" s="26" t="s">
        <v>143</v>
      </c>
      <c r="C473" s="26" t="s">
        <v>182</v>
      </c>
      <c r="D473" s="26"/>
      <c r="E473" s="26">
        <v>0</v>
      </c>
      <c r="F473" s="29" t="s">
        <v>1483</v>
      </c>
      <c r="G473" s="26" t="s">
        <v>299</v>
      </c>
    </row>
    <row r="474" spans="1:7" ht="30" customHeight="1">
      <c r="A474" s="24" t="s">
        <v>1484</v>
      </c>
      <c r="B474" s="24" t="s">
        <v>143</v>
      </c>
      <c r="C474" s="24" t="s">
        <v>172</v>
      </c>
      <c r="D474" s="24"/>
      <c r="E474" s="24">
        <v>0</v>
      </c>
      <c r="F474" s="28" t="s">
        <v>1485</v>
      </c>
      <c r="G474" s="24" t="s">
        <v>299</v>
      </c>
    </row>
    <row r="475" spans="1:7" ht="30" customHeight="1">
      <c r="A475" s="26" t="s">
        <v>1486</v>
      </c>
      <c r="B475" s="26" t="s">
        <v>572</v>
      </c>
      <c r="C475" s="26" t="s">
        <v>172</v>
      </c>
      <c r="D475" s="26"/>
      <c r="E475" s="26">
        <v>0</v>
      </c>
      <c r="F475" s="29" t="s">
        <v>1487</v>
      </c>
      <c r="G475" s="26" t="s">
        <v>299</v>
      </c>
    </row>
    <row r="476" spans="1:7" ht="30" customHeight="1">
      <c r="A476" s="24" t="s">
        <v>1488</v>
      </c>
      <c r="B476" s="24" t="s">
        <v>144</v>
      </c>
      <c r="C476" s="24" t="s">
        <v>172</v>
      </c>
      <c r="D476" s="24"/>
      <c r="E476" s="24">
        <v>0</v>
      </c>
      <c r="F476" s="28" t="s">
        <v>1489</v>
      </c>
      <c r="G476" s="24" t="s">
        <v>299</v>
      </c>
    </row>
    <row r="477" spans="1:7" ht="30" customHeight="1">
      <c r="A477" s="26" t="s">
        <v>1490</v>
      </c>
      <c r="B477" s="26" t="s">
        <v>143</v>
      </c>
      <c r="C477" s="26" t="s">
        <v>182</v>
      </c>
      <c r="D477" s="26"/>
      <c r="E477" s="26">
        <v>0</v>
      </c>
      <c r="F477" s="29" t="s">
        <v>1491</v>
      </c>
      <c r="G477" s="26" t="s">
        <v>299</v>
      </c>
    </row>
    <row r="478" spans="1:7" ht="30" customHeight="1">
      <c r="A478" s="24" t="s">
        <v>1492</v>
      </c>
      <c r="B478" s="24" t="s">
        <v>572</v>
      </c>
      <c r="C478" s="24" t="s">
        <v>172</v>
      </c>
      <c r="D478" s="24"/>
      <c r="E478" s="24">
        <v>0</v>
      </c>
      <c r="F478" s="28" t="s">
        <v>1493</v>
      </c>
      <c r="G478" s="24" t="s">
        <v>299</v>
      </c>
    </row>
    <row r="479" spans="1:7" ht="30" customHeight="1">
      <c r="A479" s="26" t="s">
        <v>1494</v>
      </c>
      <c r="B479" s="26" t="s">
        <v>144</v>
      </c>
      <c r="C479" s="26" t="s">
        <v>182</v>
      </c>
      <c r="D479" s="26"/>
      <c r="E479" s="26">
        <v>0</v>
      </c>
      <c r="F479" s="29" t="s">
        <v>1495</v>
      </c>
      <c r="G479" s="26" t="s">
        <v>299</v>
      </c>
    </row>
    <row r="480" spans="1:7" ht="30" customHeight="1">
      <c r="A480" s="24" t="s">
        <v>1496</v>
      </c>
      <c r="B480" s="24" t="s">
        <v>143</v>
      </c>
      <c r="C480" s="24" t="s">
        <v>182</v>
      </c>
      <c r="D480" s="24"/>
      <c r="E480" s="24">
        <v>0</v>
      </c>
      <c r="F480" s="28" t="s">
        <v>1497</v>
      </c>
      <c r="G480" s="24" t="s">
        <v>299</v>
      </c>
    </row>
    <row r="481" spans="1:7" ht="30" customHeight="1">
      <c r="A481" s="26" t="s">
        <v>1498</v>
      </c>
      <c r="B481" s="26" t="s">
        <v>544</v>
      </c>
      <c r="C481" s="26" t="s">
        <v>182</v>
      </c>
      <c r="D481" s="26"/>
      <c r="E481" s="26">
        <v>0</v>
      </c>
      <c r="F481" s="29" t="s">
        <v>1499</v>
      </c>
      <c r="G481" s="26" t="s">
        <v>299</v>
      </c>
    </row>
    <row r="482" spans="1:7" ht="30" customHeight="1">
      <c r="A482" s="24" t="s">
        <v>1500</v>
      </c>
      <c r="B482" s="24" t="s">
        <v>555</v>
      </c>
      <c r="C482" s="24" t="s">
        <v>182</v>
      </c>
      <c r="D482" s="24"/>
      <c r="E482" s="24">
        <v>0</v>
      </c>
      <c r="F482" s="28" t="s">
        <v>1501</v>
      </c>
      <c r="G482" s="24" t="s">
        <v>299</v>
      </c>
    </row>
    <row r="483" spans="1:7" ht="30" customHeight="1">
      <c r="A483" s="26" t="s">
        <v>1502</v>
      </c>
      <c r="B483" s="26" t="s">
        <v>1503</v>
      </c>
      <c r="C483" s="26" t="s">
        <v>172</v>
      </c>
      <c r="D483" s="26"/>
      <c r="E483" s="26">
        <v>0</v>
      </c>
      <c r="F483" s="29" t="s">
        <v>1504</v>
      </c>
      <c r="G483" s="26" t="s">
        <v>299</v>
      </c>
    </row>
    <row r="484" spans="1:7" ht="30" customHeight="1">
      <c r="A484" s="24" t="s">
        <v>1505</v>
      </c>
      <c r="B484" s="24" t="s">
        <v>581</v>
      </c>
      <c r="C484" s="24" t="s">
        <v>172</v>
      </c>
      <c r="D484" s="24"/>
      <c r="E484" s="24">
        <v>0</v>
      </c>
      <c r="F484" s="28" t="s">
        <v>1506</v>
      </c>
      <c r="G484" s="24" t="s">
        <v>299</v>
      </c>
    </row>
    <row r="485" spans="1:7" ht="30" customHeight="1">
      <c r="A485" s="26" t="s">
        <v>1507</v>
      </c>
      <c r="B485" s="26" t="s">
        <v>581</v>
      </c>
      <c r="C485" s="26" t="s">
        <v>172</v>
      </c>
      <c r="D485" s="26"/>
      <c r="E485" s="26">
        <v>0</v>
      </c>
      <c r="F485" s="29" t="s">
        <v>1508</v>
      </c>
      <c r="G485" s="26" t="s">
        <v>299</v>
      </c>
    </row>
    <row r="486" spans="1:7" ht="30" customHeight="1">
      <c r="A486" s="24" t="s">
        <v>1509</v>
      </c>
      <c r="B486" s="24" t="s">
        <v>581</v>
      </c>
      <c r="C486" s="24" t="s">
        <v>172</v>
      </c>
      <c r="D486" s="24"/>
      <c r="E486" s="24">
        <v>0</v>
      </c>
      <c r="F486" s="28" t="s">
        <v>1510</v>
      </c>
      <c r="G486" s="24" t="s">
        <v>299</v>
      </c>
    </row>
    <row r="487" spans="1:7" ht="30" customHeight="1">
      <c r="A487" s="26" t="s">
        <v>1511</v>
      </c>
      <c r="B487" s="26" t="s">
        <v>572</v>
      </c>
      <c r="C487" s="26" t="s">
        <v>172</v>
      </c>
      <c r="D487" s="26"/>
      <c r="E487" s="26">
        <v>0</v>
      </c>
      <c r="F487" s="29" t="s">
        <v>1512</v>
      </c>
      <c r="G487" s="26" t="s">
        <v>299</v>
      </c>
    </row>
    <row r="488" spans="1:7" ht="30" customHeight="1">
      <c r="A488" s="24" t="s">
        <v>1513</v>
      </c>
      <c r="B488" s="24" t="s">
        <v>143</v>
      </c>
      <c r="C488" s="24" t="s">
        <v>172</v>
      </c>
      <c r="D488" s="24"/>
      <c r="E488" s="24">
        <v>0</v>
      </c>
      <c r="F488" s="28" t="s">
        <v>1514</v>
      </c>
      <c r="G488" s="24" t="s">
        <v>299</v>
      </c>
    </row>
    <row r="489" spans="1:7" ht="30" customHeight="1">
      <c r="A489" s="26" t="s">
        <v>1515</v>
      </c>
      <c r="B489" s="26" t="s">
        <v>143</v>
      </c>
      <c r="C489" s="26" t="s">
        <v>172</v>
      </c>
      <c r="D489" s="26"/>
      <c r="E489" s="26">
        <v>0</v>
      </c>
      <c r="F489" s="29" t="s">
        <v>1516</v>
      </c>
      <c r="G489" s="26" t="s">
        <v>299</v>
      </c>
    </row>
    <row r="490" spans="1:7" ht="30" customHeight="1">
      <c r="A490" s="24" t="s">
        <v>1517</v>
      </c>
      <c r="B490" s="24" t="s">
        <v>145</v>
      </c>
      <c r="C490" s="24" t="s">
        <v>172</v>
      </c>
      <c r="D490" s="24"/>
      <c r="E490" s="24">
        <v>0</v>
      </c>
      <c r="F490" s="28" t="s">
        <v>1518</v>
      </c>
      <c r="G490" s="24" t="s">
        <v>299</v>
      </c>
    </row>
    <row r="491" spans="1:7" ht="30" customHeight="1">
      <c r="A491" s="26" t="s">
        <v>1519</v>
      </c>
      <c r="B491" s="26" t="s">
        <v>143</v>
      </c>
      <c r="C491" s="26" t="s">
        <v>172</v>
      </c>
      <c r="D491" s="26"/>
      <c r="E491" s="26">
        <v>0</v>
      </c>
      <c r="F491" s="29" t="s">
        <v>1520</v>
      </c>
      <c r="G491" s="26" t="s">
        <v>299</v>
      </c>
    </row>
    <row r="492" spans="1:7" ht="30" customHeight="1">
      <c r="A492" s="24" t="s">
        <v>1521</v>
      </c>
      <c r="B492" s="24" t="s">
        <v>572</v>
      </c>
      <c r="C492" s="24" t="s">
        <v>172</v>
      </c>
      <c r="D492" s="24"/>
      <c r="E492" s="24">
        <v>0</v>
      </c>
      <c r="F492" s="28" t="s">
        <v>1522</v>
      </c>
      <c r="G492" s="24" t="s">
        <v>299</v>
      </c>
    </row>
    <row r="493" spans="1:7" ht="30" customHeight="1">
      <c r="A493" s="26" t="s">
        <v>1523</v>
      </c>
      <c r="B493" s="26" t="s">
        <v>1099</v>
      </c>
      <c r="C493" s="26" t="s">
        <v>172</v>
      </c>
      <c r="D493" s="26"/>
      <c r="E493" s="26">
        <v>0</v>
      </c>
      <c r="F493" s="29" t="s">
        <v>1524</v>
      </c>
      <c r="G493" s="26" t="s">
        <v>299</v>
      </c>
    </row>
    <row r="494" spans="1:7" ht="30" customHeight="1">
      <c r="A494" s="24" t="s">
        <v>1525</v>
      </c>
      <c r="B494" s="24" t="s">
        <v>144</v>
      </c>
      <c r="C494" s="24" t="s">
        <v>172</v>
      </c>
      <c r="D494" s="24"/>
      <c r="E494" s="24">
        <v>0</v>
      </c>
      <c r="F494" s="28" t="s">
        <v>1526</v>
      </c>
      <c r="G494" s="24" t="s">
        <v>299</v>
      </c>
    </row>
    <row r="495" spans="1:7" ht="30" customHeight="1">
      <c r="A495" s="26" t="s">
        <v>1527</v>
      </c>
      <c r="B495" s="26" t="s">
        <v>144</v>
      </c>
      <c r="C495" s="26" t="s">
        <v>172</v>
      </c>
      <c r="D495" s="26"/>
      <c r="E495" s="26">
        <v>0</v>
      </c>
      <c r="F495" s="29" t="s">
        <v>1528</v>
      </c>
      <c r="G495" s="26" t="s">
        <v>299</v>
      </c>
    </row>
    <row r="496" spans="1:7" ht="30" customHeight="1">
      <c r="A496" s="24" t="s">
        <v>1529</v>
      </c>
      <c r="B496" s="24" t="s">
        <v>572</v>
      </c>
      <c r="C496" s="24" t="s">
        <v>172</v>
      </c>
      <c r="D496" s="24"/>
      <c r="E496" s="24">
        <v>0</v>
      </c>
      <c r="F496" s="28" t="s">
        <v>1530</v>
      </c>
      <c r="G496" s="24" t="s">
        <v>299</v>
      </c>
    </row>
    <row r="497" spans="1:7" ht="30" customHeight="1">
      <c r="A497" s="26" t="s">
        <v>1531</v>
      </c>
      <c r="B497" s="26" t="s">
        <v>143</v>
      </c>
      <c r="C497" s="26" t="s">
        <v>172</v>
      </c>
      <c r="D497" s="26"/>
      <c r="E497" s="26">
        <v>0</v>
      </c>
      <c r="F497" s="29" t="s">
        <v>1532</v>
      </c>
      <c r="G497" s="26" t="s">
        <v>299</v>
      </c>
    </row>
    <row r="498" spans="1:7" ht="30" customHeight="1">
      <c r="A498" s="24" t="s">
        <v>1533</v>
      </c>
      <c r="B498" s="24" t="s">
        <v>143</v>
      </c>
      <c r="C498" s="24" t="s">
        <v>172</v>
      </c>
      <c r="D498" s="24"/>
      <c r="E498" s="24">
        <v>0</v>
      </c>
      <c r="F498" s="28" t="s">
        <v>1534</v>
      </c>
      <c r="G498" s="24" t="s">
        <v>299</v>
      </c>
    </row>
    <row r="499" spans="1:7" ht="30" customHeight="1">
      <c r="A499" s="26" t="s">
        <v>1535</v>
      </c>
      <c r="B499" s="26" t="s">
        <v>143</v>
      </c>
      <c r="C499" s="26" t="s">
        <v>172</v>
      </c>
      <c r="D499" s="26"/>
      <c r="E499" s="26">
        <v>0</v>
      </c>
      <c r="F499" s="29" t="s">
        <v>1536</v>
      </c>
      <c r="G499" s="26" t="s">
        <v>299</v>
      </c>
    </row>
    <row r="500" spans="1:7" ht="30" customHeight="1">
      <c r="A500" s="24" t="s">
        <v>1537</v>
      </c>
      <c r="B500" s="24" t="s">
        <v>144</v>
      </c>
      <c r="C500" s="24" t="s">
        <v>172</v>
      </c>
      <c r="D500" s="24"/>
      <c r="E500" s="24">
        <v>0</v>
      </c>
      <c r="F500" s="28" t="s">
        <v>1538</v>
      </c>
      <c r="G500" s="24" t="s">
        <v>299</v>
      </c>
    </row>
    <row r="501" spans="1:7" ht="30" customHeight="1">
      <c r="A501" s="26" t="s">
        <v>1539</v>
      </c>
      <c r="B501" s="26" t="s">
        <v>144</v>
      </c>
      <c r="C501" s="26" t="s">
        <v>182</v>
      </c>
      <c r="D501" s="26"/>
      <c r="E501" s="26">
        <v>0</v>
      </c>
      <c r="F501" s="29" t="s">
        <v>1540</v>
      </c>
      <c r="G501" s="26" t="s">
        <v>299</v>
      </c>
    </row>
    <row r="502" spans="1:7" ht="30" customHeight="1">
      <c r="A502" s="24" t="s">
        <v>1541</v>
      </c>
      <c r="B502" s="24" t="s">
        <v>143</v>
      </c>
      <c r="C502" s="24" t="s">
        <v>172</v>
      </c>
      <c r="D502" s="24"/>
      <c r="E502" s="24">
        <v>0</v>
      </c>
      <c r="F502" s="28" t="s">
        <v>1542</v>
      </c>
      <c r="G502" s="24" t="s">
        <v>299</v>
      </c>
    </row>
    <row r="503" spans="1:7" ht="30" customHeight="1">
      <c r="A503" s="26" t="s">
        <v>1543</v>
      </c>
      <c r="B503" s="26" t="s">
        <v>539</v>
      </c>
      <c r="C503" s="26" t="s">
        <v>172</v>
      </c>
      <c r="D503" s="26"/>
      <c r="E503" s="26">
        <v>0</v>
      </c>
      <c r="F503" s="29" t="s">
        <v>1544</v>
      </c>
      <c r="G503" s="26" t="s">
        <v>299</v>
      </c>
    </row>
    <row r="504" spans="1:7" ht="30" customHeight="1">
      <c r="A504" s="24" t="s">
        <v>1545</v>
      </c>
      <c r="B504" s="24" t="s">
        <v>144</v>
      </c>
      <c r="C504" s="24" t="s">
        <v>172</v>
      </c>
      <c r="D504" s="24"/>
      <c r="E504" s="24">
        <v>0</v>
      </c>
      <c r="F504" s="28" t="s">
        <v>1546</v>
      </c>
      <c r="G504" s="24" t="s">
        <v>299</v>
      </c>
    </row>
    <row r="505" spans="1:7" ht="30" customHeight="1">
      <c r="A505" s="26" t="s">
        <v>1547</v>
      </c>
      <c r="B505" s="26" t="s">
        <v>143</v>
      </c>
      <c r="C505" s="26" t="s">
        <v>172</v>
      </c>
      <c r="D505" s="26"/>
      <c r="E505" s="26">
        <v>0</v>
      </c>
      <c r="F505" s="29" t="s">
        <v>1548</v>
      </c>
      <c r="G505" s="26" t="s">
        <v>299</v>
      </c>
    </row>
    <row r="506" spans="1:7" ht="30" customHeight="1">
      <c r="A506" s="24" t="s">
        <v>1549</v>
      </c>
      <c r="B506" s="24" t="s">
        <v>143</v>
      </c>
      <c r="C506" s="24" t="s">
        <v>172</v>
      </c>
      <c r="D506" s="24"/>
      <c r="E506" s="24">
        <v>0</v>
      </c>
      <c r="F506" s="28" t="s">
        <v>1550</v>
      </c>
      <c r="G506" s="24" t="s">
        <v>299</v>
      </c>
    </row>
    <row r="507" spans="1:7" ht="30" customHeight="1">
      <c r="A507" s="26" t="s">
        <v>1551</v>
      </c>
      <c r="B507" s="26" t="s">
        <v>143</v>
      </c>
      <c r="C507" s="26" t="s">
        <v>182</v>
      </c>
      <c r="D507" s="26"/>
      <c r="E507" s="26">
        <v>0</v>
      </c>
      <c r="F507" s="29" t="s">
        <v>1552</v>
      </c>
      <c r="G507" s="26" t="s">
        <v>299</v>
      </c>
    </row>
    <row r="508" spans="1:7" ht="30" customHeight="1">
      <c r="A508" s="24" t="s">
        <v>1553</v>
      </c>
      <c r="B508" s="24" t="s">
        <v>144</v>
      </c>
      <c r="C508" s="24" t="s">
        <v>182</v>
      </c>
      <c r="D508" s="24"/>
      <c r="E508" s="24">
        <v>0</v>
      </c>
      <c r="F508" s="28" t="s">
        <v>1554</v>
      </c>
      <c r="G508" s="24" t="s">
        <v>299</v>
      </c>
    </row>
    <row r="509" spans="1:7" ht="30" customHeight="1">
      <c r="A509" s="26" t="s">
        <v>1555</v>
      </c>
      <c r="B509" s="26" t="s">
        <v>144</v>
      </c>
      <c r="C509" s="26" t="s">
        <v>172</v>
      </c>
      <c r="D509" s="26"/>
      <c r="E509" s="26">
        <v>0</v>
      </c>
      <c r="F509" s="29" t="s">
        <v>1556</v>
      </c>
      <c r="G509" s="26" t="s">
        <v>299</v>
      </c>
    </row>
    <row r="510" spans="1:7" ht="30" customHeight="1">
      <c r="A510" s="24" t="s">
        <v>1557</v>
      </c>
      <c r="B510" s="24" t="s">
        <v>572</v>
      </c>
      <c r="C510" s="24" t="s">
        <v>172</v>
      </c>
      <c r="D510" s="24"/>
      <c r="E510" s="24">
        <v>0</v>
      </c>
      <c r="F510" s="28" t="s">
        <v>1558</v>
      </c>
      <c r="G510" s="24" t="s">
        <v>299</v>
      </c>
    </row>
    <row r="511" spans="1:7" ht="30" customHeight="1">
      <c r="A511" s="26" t="s">
        <v>1559</v>
      </c>
      <c r="B511" s="26" t="s">
        <v>143</v>
      </c>
      <c r="C511" s="26" t="s">
        <v>172</v>
      </c>
      <c r="D511" s="26"/>
      <c r="E511" s="26">
        <v>0</v>
      </c>
      <c r="F511" s="29" t="s">
        <v>1560</v>
      </c>
      <c r="G511" s="26" t="s">
        <v>299</v>
      </c>
    </row>
    <row r="512" spans="1:7" ht="30" customHeight="1">
      <c r="A512" s="24" t="s">
        <v>1561</v>
      </c>
      <c r="B512" s="24" t="s">
        <v>581</v>
      </c>
      <c r="C512" s="24" t="s">
        <v>172</v>
      </c>
      <c r="D512" s="24"/>
      <c r="E512" s="24">
        <v>0</v>
      </c>
      <c r="F512" s="28" t="s">
        <v>1562</v>
      </c>
      <c r="G512" s="24" t="s">
        <v>299</v>
      </c>
    </row>
    <row r="513" spans="1:7" ht="30" customHeight="1">
      <c r="A513" s="26" t="s">
        <v>1563</v>
      </c>
      <c r="B513" s="26" t="s">
        <v>539</v>
      </c>
      <c r="C513" s="26" t="s">
        <v>172</v>
      </c>
      <c r="D513" s="26"/>
      <c r="E513" s="26">
        <v>0</v>
      </c>
      <c r="F513" s="29" t="s">
        <v>1564</v>
      </c>
      <c r="G513" s="26" t="s">
        <v>299</v>
      </c>
    </row>
    <row r="514" spans="1:7" ht="30" customHeight="1">
      <c r="A514" s="24" t="s">
        <v>1565</v>
      </c>
      <c r="B514" s="24" t="s">
        <v>143</v>
      </c>
      <c r="C514" s="24" t="s">
        <v>172</v>
      </c>
      <c r="D514" s="24"/>
      <c r="E514" s="24">
        <v>0</v>
      </c>
      <c r="F514" s="28" t="s">
        <v>1566</v>
      </c>
      <c r="G514" s="24" t="s">
        <v>299</v>
      </c>
    </row>
    <row r="515" spans="1:7" ht="30" customHeight="1">
      <c r="A515" s="26" t="s">
        <v>1567</v>
      </c>
      <c r="B515" s="26" t="s">
        <v>143</v>
      </c>
      <c r="C515" s="26" t="s">
        <v>172</v>
      </c>
      <c r="D515" s="26"/>
      <c r="E515" s="26">
        <v>0</v>
      </c>
      <c r="F515" s="29" t="s">
        <v>1568</v>
      </c>
      <c r="G515" s="26" t="s">
        <v>299</v>
      </c>
    </row>
    <row r="516" spans="1:7" ht="30" customHeight="1">
      <c r="A516" s="24" t="s">
        <v>1569</v>
      </c>
      <c r="B516" s="24" t="s">
        <v>144</v>
      </c>
      <c r="C516" s="24" t="s">
        <v>172</v>
      </c>
      <c r="D516" s="24"/>
      <c r="E516" s="24">
        <v>0</v>
      </c>
      <c r="F516" s="28" t="s">
        <v>1570</v>
      </c>
      <c r="G516" s="24" t="s">
        <v>299</v>
      </c>
    </row>
    <row r="517" spans="1:7" ht="30" customHeight="1">
      <c r="A517" s="26" t="s">
        <v>1571</v>
      </c>
      <c r="B517" s="26" t="s">
        <v>143</v>
      </c>
      <c r="C517" s="26" t="s">
        <v>172</v>
      </c>
      <c r="D517" s="26"/>
      <c r="E517" s="26">
        <v>0</v>
      </c>
      <c r="F517" s="29" t="s">
        <v>1572</v>
      </c>
      <c r="G517" s="26" t="s">
        <v>299</v>
      </c>
    </row>
    <row r="518" spans="1:7" ht="30" customHeight="1">
      <c r="A518" s="24" t="s">
        <v>1573</v>
      </c>
      <c r="B518" s="24" t="s">
        <v>144</v>
      </c>
      <c r="C518" s="24" t="s">
        <v>172</v>
      </c>
      <c r="D518" s="24"/>
      <c r="E518" s="24">
        <v>0</v>
      </c>
      <c r="F518" s="28" t="s">
        <v>1574</v>
      </c>
      <c r="G518" s="24" t="s">
        <v>299</v>
      </c>
    </row>
    <row r="519" spans="1:7" ht="30" customHeight="1">
      <c r="A519" s="26" t="s">
        <v>1575</v>
      </c>
      <c r="B519" s="26" t="s">
        <v>144</v>
      </c>
      <c r="C519" s="26" t="s">
        <v>172</v>
      </c>
      <c r="D519" s="26"/>
      <c r="E519" s="26">
        <v>0</v>
      </c>
      <c r="F519" s="29" t="s">
        <v>1576</v>
      </c>
      <c r="G519" s="26" t="s">
        <v>299</v>
      </c>
    </row>
    <row r="520" spans="1:7" ht="30" customHeight="1">
      <c r="A520" s="24" t="s">
        <v>1577</v>
      </c>
      <c r="B520" s="24" t="s">
        <v>143</v>
      </c>
      <c r="C520" s="24" t="s">
        <v>172</v>
      </c>
      <c r="D520" s="24"/>
      <c r="E520" s="24">
        <v>0</v>
      </c>
      <c r="F520" s="28" t="s">
        <v>1578</v>
      </c>
      <c r="G520" s="24" t="s">
        <v>299</v>
      </c>
    </row>
    <row r="521" spans="1:7" ht="30" customHeight="1">
      <c r="A521" s="26" t="s">
        <v>1579</v>
      </c>
      <c r="B521" s="26" t="s">
        <v>143</v>
      </c>
      <c r="C521" s="26" t="s">
        <v>172</v>
      </c>
      <c r="D521" s="26"/>
      <c r="E521" s="26">
        <v>0</v>
      </c>
      <c r="F521" s="29" t="s">
        <v>1580</v>
      </c>
      <c r="G521" s="26" t="s">
        <v>299</v>
      </c>
    </row>
    <row r="522" spans="1:7" ht="30" customHeight="1">
      <c r="A522" s="24" t="s">
        <v>1581</v>
      </c>
      <c r="B522" s="24" t="s">
        <v>569</v>
      </c>
      <c r="C522" s="24" t="s">
        <v>172</v>
      </c>
      <c r="D522" s="24"/>
      <c r="E522" s="24">
        <v>0</v>
      </c>
      <c r="F522" s="28" t="s">
        <v>1582</v>
      </c>
      <c r="G522" s="24" t="s">
        <v>299</v>
      </c>
    </row>
    <row r="523" spans="1:7" ht="30" customHeight="1">
      <c r="A523" s="26" t="s">
        <v>1583</v>
      </c>
      <c r="B523" s="26" t="s">
        <v>143</v>
      </c>
      <c r="C523" s="26" t="s">
        <v>182</v>
      </c>
      <c r="D523" s="26"/>
      <c r="E523" s="26">
        <v>0</v>
      </c>
      <c r="F523" s="29" t="s">
        <v>1584</v>
      </c>
      <c r="G523" s="26" t="s">
        <v>299</v>
      </c>
    </row>
    <row r="524" spans="1:7" ht="30" customHeight="1">
      <c r="A524" s="24" t="s">
        <v>1585</v>
      </c>
      <c r="B524" s="24" t="s">
        <v>144</v>
      </c>
      <c r="C524" s="24" t="s">
        <v>172</v>
      </c>
      <c r="D524" s="24"/>
      <c r="E524" s="24">
        <v>0</v>
      </c>
      <c r="F524" s="28" t="s">
        <v>1586</v>
      </c>
      <c r="G524" s="24" t="s">
        <v>299</v>
      </c>
    </row>
    <row r="525" spans="1:7" ht="30" customHeight="1">
      <c r="A525" s="26" t="s">
        <v>1587</v>
      </c>
      <c r="B525" s="26" t="s">
        <v>581</v>
      </c>
      <c r="C525" s="26" t="s">
        <v>172</v>
      </c>
      <c r="D525" s="26"/>
      <c r="E525" s="26">
        <v>0</v>
      </c>
      <c r="F525" s="29" t="s">
        <v>1588</v>
      </c>
      <c r="G525" s="26" t="s">
        <v>299</v>
      </c>
    </row>
    <row r="526" spans="1:7" ht="30" customHeight="1">
      <c r="A526" s="24" t="s">
        <v>1589</v>
      </c>
      <c r="B526" s="24" t="s">
        <v>581</v>
      </c>
      <c r="C526" s="24" t="s">
        <v>172</v>
      </c>
      <c r="D526" s="24"/>
      <c r="E526" s="24">
        <v>0</v>
      </c>
      <c r="F526" s="28" t="s">
        <v>1590</v>
      </c>
      <c r="G526" s="24" t="s">
        <v>299</v>
      </c>
    </row>
    <row r="527" spans="1:7" ht="30" customHeight="1">
      <c r="A527" s="26" t="s">
        <v>1591</v>
      </c>
      <c r="B527" s="26" t="s">
        <v>143</v>
      </c>
      <c r="C527" s="26" t="s">
        <v>182</v>
      </c>
      <c r="D527" s="26"/>
      <c r="E527" s="26">
        <v>0</v>
      </c>
      <c r="F527" s="29" t="s">
        <v>1592</v>
      </c>
      <c r="G527" s="26" t="s">
        <v>299</v>
      </c>
    </row>
    <row r="528" spans="1:7" ht="30" customHeight="1">
      <c r="A528" s="24" t="s">
        <v>1593</v>
      </c>
      <c r="B528" s="24" t="s">
        <v>572</v>
      </c>
      <c r="C528" s="24" t="s">
        <v>172</v>
      </c>
      <c r="D528" s="24"/>
      <c r="E528" s="24">
        <v>0</v>
      </c>
      <c r="F528" s="28" t="s">
        <v>1594</v>
      </c>
      <c r="G528" s="24" t="s">
        <v>299</v>
      </c>
    </row>
    <row r="529" spans="1:7" ht="30" customHeight="1">
      <c r="A529" s="26" t="s">
        <v>1595</v>
      </c>
      <c r="B529" s="26" t="s">
        <v>144</v>
      </c>
      <c r="C529" s="26" t="s">
        <v>182</v>
      </c>
      <c r="D529" s="26"/>
      <c r="E529" s="26">
        <v>0</v>
      </c>
      <c r="F529" s="29" t="s">
        <v>1596</v>
      </c>
      <c r="G529" s="26" t="s">
        <v>299</v>
      </c>
    </row>
    <row r="530" spans="1:7" ht="30" customHeight="1">
      <c r="A530" s="24" t="s">
        <v>1597</v>
      </c>
      <c r="B530" s="24" t="s">
        <v>572</v>
      </c>
      <c r="C530" s="24" t="s">
        <v>172</v>
      </c>
      <c r="D530" s="24"/>
      <c r="E530" s="24">
        <v>0</v>
      </c>
      <c r="F530" s="28" t="s">
        <v>1598</v>
      </c>
      <c r="G530" s="24" t="s">
        <v>299</v>
      </c>
    </row>
    <row r="531" spans="1:7" ht="30" customHeight="1">
      <c r="A531" s="26" t="s">
        <v>1599</v>
      </c>
      <c r="B531" s="26" t="s">
        <v>143</v>
      </c>
      <c r="C531" s="26" t="s">
        <v>172</v>
      </c>
      <c r="D531" s="26"/>
      <c r="E531" s="26">
        <v>0</v>
      </c>
      <c r="F531" s="29" t="s">
        <v>1600</v>
      </c>
      <c r="G531" s="26" t="s">
        <v>299</v>
      </c>
    </row>
    <row r="532" spans="1:7" ht="30" customHeight="1">
      <c r="A532" s="24" t="s">
        <v>1601</v>
      </c>
      <c r="B532" s="24" t="s">
        <v>572</v>
      </c>
      <c r="C532" s="24" t="s">
        <v>172</v>
      </c>
      <c r="D532" s="24"/>
      <c r="E532" s="24">
        <v>0</v>
      </c>
      <c r="F532" s="28" t="s">
        <v>1602</v>
      </c>
      <c r="G532" s="24" t="s">
        <v>299</v>
      </c>
    </row>
    <row r="533" spans="1:7" ht="30" customHeight="1">
      <c r="A533" s="26" t="s">
        <v>1603</v>
      </c>
      <c r="B533" s="26" t="s">
        <v>572</v>
      </c>
      <c r="C533" s="26" t="s">
        <v>172</v>
      </c>
      <c r="D533" s="26"/>
      <c r="E533" s="26">
        <v>0</v>
      </c>
      <c r="F533" s="29" t="s">
        <v>1604</v>
      </c>
      <c r="G533" s="26" t="s">
        <v>299</v>
      </c>
    </row>
    <row r="534" spans="1:7" ht="30" customHeight="1">
      <c r="A534" s="24" t="s">
        <v>1605</v>
      </c>
      <c r="B534" s="24" t="s">
        <v>143</v>
      </c>
      <c r="C534" s="24" t="s">
        <v>172</v>
      </c>
      <c r="D534" s="24"/>
      <c r="E534" s="24">
        <v>0</v>
      </c>
      <c r="F534" s="28" t="s">
        <v>1606</v>
      </c>
      <c r="G534" s="24" t="s">
        <v>299</v>
      </c>
    </row>
    <row r="535" spans="1:7" ht="30" customHeight="1">
      <c r="A535" s="26" t="s">
        <v>1607</v>
      </c>
      <c r="B535" s="26" t="s">
        <v>226</v>
      </c>
      <c r="C535" s="26" t="s">
        <v>182</v>
      </c>
      <c r="D535" s="26"/>
      <c r="E535" s="26">
        <v>0</v>
      </c>
      <c r="F535" s="29" t="s">
        <v>1608</v>
      </c>
      <c r="G535" s="26" t="s">
        <v>299</v>
      </c>
    </row>
    <row r="536" spans="1:7" ht="30" customHeight="1">
      <c r="A536" s="24" t="s">
        <v>1609</v>
      </c>
      <c r="B536" s="24" t="s">
        <v>539</v>
      </c>
      <c r="C536" s="24" t="s">
        <v>172</v>
      </c>
      <c r="D536" s="24"/>
      <c r="E536" s="24">
        <v>0</v>
      </c>
      <c r="F536" s="28" t="s">
        <v>1610</v>
      </c>
      <c r="G536" s="24" t="s">
        <v>299</v>
      </c>
    </row>
    <row r="537" spans="1:7" ht="30" customHeight="1">
      <c r="A537" s="26" t="s">
        <v>1611</v>
      </c>
      <c r="B537" s="26" t="s">
        <v>145</v>
      </c>
      <c r="C537" s="26" t="s">
        <v>172</v>
      </c>
      <c r="D537" s="26"/>
      <c r="E537" s="26">
        <v>0</v>
      </c>
      <c r="F537" s="29" t="s">
        <v>1612</v>
      </c>
      <c r="G537" s="26" t="s">
        <v>299</v>
      </c>
    </row>
    <row r="538" spans="1:7" ht="30" customHeight="1">
      <c r="A538" s="24" t="s">
        <v>1613</v>
      </c>
      <c r="B538" s="24" t="s">
        <v>572</v>
      </c>
      <c r="C538" s="24" t="s">
        <v>172</v>
      </c>
      <c r="D538" s="24"/>
      <c r="E538" s="24">
        <v>0</v>
      </c>
      <c r="F538" s="28" t="s">
        <v>1614</v>
      </c>
      <c r="G538" s="24" t="s">
        <v>299</v>
      </c>
    </row>
    <row r="539" spans="1:7" ht="30" customHeight="1">
      <c r="A539" s="26" t="s">
        <v>1615</v>
      </c>
      <c r="B539" s="26" t="s">
        <v>572</v>
      </c>
      <c r="C539" s="26" t="s">
        <v>172</v>
      </c>
      <c r="D539" s="26"/>
      <c r="E539" s="26">
        <v>0</v>
      </c>
      <c r="F539" s="29" t="s">
        <v>1616</v>
      </c>
      <c r="G539" s="26" t="s">
        <v>299</v>
      </c>
    </row>
    <row r="540" spans="1:7" ht="30" customHeight="1">
      <c r="A540" s="24" t="s">
        <v>1617</v>
      </c>
      <c r="B540" s="24" t="s">
        <v>144</v>
      </c>
      <c r="C540" s="24" t="s">
        <v>172</v>
      </c>
      <c r="D540" s="24"/>
      <c r="E540" s="24">
        <v>0</v>
      </c>
      <c r="F540" s="28" t="s">
        <v>1618</v>
      </c>
      <c r="G540" s="24" t="s">
        <v>299</v>
      </c>
    </row>
    <row r="541" spans="1:7" ht="30" customHeight="1">
      <c r="A541" s="26" t="s">
        <v>1619</v>
      </c>
      <c r="B541" s="26" t="s">
        <v>569</v>
      </c>
      <c r="C541" s="26" t="s">
        <v>172</v>
      </c>
      <c r="D541" s="26"/>
      <c r="E541" s="26">
        <v>0</v>
      </c>
      <c r="F541" s="29" t="s">
        <v>1620</v>
      </c>
      <c r="G541" s="26" t="s">
        <v>299</v>
      </c>
    </row>
    <row r="542" spans="1:7" ht="30" customHeight="1">
      <c r="A542" s="24" t="s">
        <v>1621</v>
      </c>
      <c r="B542" s="24" t="s">
        <v>143</v>
      </c>
      <c r="C542" s="24" t="s">
        <v>182</v>
      </c>
      <c r="D542" s="24"/>
      <c r="E542" s="24">
        <v>0</v>
      </c>
      <c r="F542" s="28" t="s">
        <v>1622</v>
      </c>
      <c r="G542" s="24" t="s">
        <v>299</v>
      </c>
    </row>
    <row r="543" spans="1:7" ht="30" customHeight="1">
      <c r="A543" s="26" t="s">
        <v>1623</v>
      </c>
      <c r="B543" s="26" t="s">
        <v>143</v>
      </c>
      <c r="C543" s="26" t="s">
        <v>182</v>
      </c>
      <c r="D543" s="26"/>
      <c r="E543" s="26">
        <v>0</v>
      </c>
      <c r="F543" s="29" t="s">
        <v>1624</v>
      </c>
      <c r="G543" s="26" t="s">
        <v>299</v>
      </c>
    </row>
    <row r="544" spans="1:7" ht="30" customHeight="1">
      <c r="A544" s="24" t="s">
        <v>1625</v>
      </c>
      <c r="B544" s="24" t="s">
        <v>572</v>
      </c>
      <c r="C544" s="24" t="s">
        <v>172</v>
      </c>
      <c r="D544" s="24"/>
      <c r="E544" s="24">
        <v>0</v>
      </c>
      <c r="F544" s="28" t="s">
        <v>1626</v>
      </c>
      <c r="G544" s="24" t="s">
        <v>299</v>
      </c>
    </row>
    <row r="545" spans="1:7" ht="30" customHeight="1">
      <c r="A545" s="26" t="s">
        <v>1627</v>
      </c>
      <c r="B545" s="26" t="s">
        <v>572</v>
      </c>
      <c r="C545" s="26" t="s">
        <v>172</v>
      </c>
      <c r="D545" s="26"/>
      <c r="E545" s="26">
        <v>0</v>
      </c>
      <c r="F545" s="29" t="s">
        <v>1628</v>
      </c>
      <c r="G545" s="26" t="s">
        <v>299</v>
      </c>
    </row>
    <row r="546" spans="1:7" ht="30" customHeight="1">
      <c r="A546" s="24" t="s">
        <v>1629</v>
      </c>
      <c r="B546" s="24" t="s">
        <v>572</v>
      </c>
      <c r="C546" s="24" t="s">
        <v>172</v>
      </c>
      <c r="D546" s="24"/>
      <c r="E546" s="24">
        <v>0</v>
      </c>
      <c r="F546" s="28" t="s">
        <v>1630</v>
      </c>
      <c r="G546" s="24" t="s">
        <v>299</v>
      </c>
    </row>
    <row r="547" spans="1:7" ht="30" customHeight="1">
      <c r="A547" s="26" t="s">
        <v>1631</v>
      </c>
      <c r="B547" s="26" t="s">
        <v>143</v>
      </c>
      <c r="C547" s="26" t="s">
        <v>172</v>
      </c>
      <c r="D547" s="26"/>
      <c r="E547" s="26">
        <v>0</v>
      </c>
      <c r="F547" s="29" t="s">
        <v>1632</v>
      </c>
      <c r="G547" s="26" t="s">
        <v>299</v>
      </c>
    </row>
    <row r="548" spans="1:7" ht="30" customHeight="1">
      <c r="A548" s="24" t="s">
        <v>170</v>
      </c>
      <c r="B548" s="24" t="s">
        <v>171</v>
      </c>
      <c r="C548" s="24" t="s">
        <v>172</v>
      </c>
      <c r="D548" s="24" t="s">
        <v>174</v>
      </c>
      <c r="E548" s="24">
        <v>1</v>
      </c>
      <c r="F548" s="28" t="s">
        <v>178</v>
      </c>
      <c r="G548" s="24" t="s">
        <v>299</v>
      </c>
    </row>
    <row r="549" spans="1:7" ht="30" customHeight="1">
      <c r="A549" s="26" t="s">
        <v>1633</v>
      </c>
      <c r="B549" s="26" t="s">
        <v>1099</v>
      </c>
      <c r="C549" s="26" t="s">
        <v>172</v>
      </c>
      <c r="D549" s="26"/>
      <c r="E549" s="26">
        <v>0</v>
      </c>
      <c r="F549" s="29" t="s">
        <v>1634</v>
      </c>
      <c r="G549" s="26" t="s">
        <v>299</v>
      </c>
    </row>
    <row r="550" spans="1:7" ht="30" customHeight="1">
      <c r="A550" s="24" t="s">
        <v>1635</v>
      </c>
      <c r="B550" s="24" t="s">
        <v>569</v>
      </c>
      <c r="C550" s="24" t="s">
        <v>172</v>
      </c>
      <c r="D550" s="24"/>
      <c r="E550" s="24">
        <v>0</v>
      </c>
      <c r="F550" s="28" t="s">
        <v>1636</v>
      </c>
      <c r="G550" s="24" t="s">
        <v>299</v>
      </c>
    </row>
    <row r="551" spans="1:7" ht="30" customHeight="1">
      <c r="A551" s="26" t="s">
        <v>1637</v>
      </c>
      <c r="B551" s="26" t="s">
        <v>581</v>
      </c>
      <c r="C551" s="26" t="s">
        <v>172</v>
      </c>
      <c r="D551" s="26"/>
      <c r="E551" s="26">
        <v>0</v>
      </c>
      <c r="F551" s="29" t="s">
        <v>1638</v>
      </c>
      <c r="G551" s="26" t="s">
        <v>299</v>
      </c>
    </row>
    <row r="552" spans="1:7" ht="30" customHeight="1">
      <c r="A552" s="24" t="s">
        <v>1639</v>
      </c>
      <c r="B552" s="24" t="s">
        <v>143</v>
      </c>
      <c r="C552" s="24" t="s">
        <v>182</v>
      </c>
      <c r="D552" s="24"/>
      <c r="E552" s="24">
        <v>0</v>
      </c>
      <c r="F552" s="28" t="s">
        <v>1640</v>
      </c>
      <c r="G552" s="24" t="s">
        <v>299</v>
      </c>
    </row>
    <row r="553" spans="1:7" ht="30" customHeight="1">
      <c r="A553" s="26" t="s">
        <v>1641</v>
      </c>
      <c r="B553" s="26" t="s">
        <v>572</v>
      </c>
      <c r="C553" s="26" t="s">
        <v>172</v>
      </c>
      <c r="D553" s="26"/>
      <c r="E553" s="26">
        <v>0</v>
      </c>
      <c r="F553" s="29" t="s">
        <v>1642</v>
      </c>
      <c r="G553" s="26" t="s">
        <v>299</v>
      </c>
    </row>
    <row r="554" spans="1:7" ht="30" customHeight="1">
      <c r="A554" s="24" t="s">
        <v>1643</v>
      </c>
      <c r="B554" s="24" t="s">
        <v>581</v>
      </c>
      <c r="C554" s="24" t="s">
        <v>172</v>
      </c>
      <c r="D554" s="24"/>
      <c r="E554" s="24">
        <v>0</v>
      </c>
      <c r="F554" s="28" t="s">
        <v>1644</v>
      </c>
      <c r="G554" s="24" t="s">
        <v>299</v>
      </c>
    </row>
    <row r="555" spans="1:7" ht="30" customHeight="1">
      <c r="A555" s="26" t="s">
        <v>1645</v>
      </c>
      <c r="B555" s="26" t="s">
        <v>572</v>
      </c>
      <c r="C555" s="26" t="s">
        <v>172</v>
      </c>
      <c r="D555" s="26"/>
      <c r="E555" s="26">
        <v>0</v>
      </c>
      <c r="F555" s="29" t="s">
        <v>1646</v>
      </c>
      <c r="G555" s="26" t="s">
        <v>299</v>
      </c>
    </row>
    <row r="556" spans="1:7" ht="30" customHeight="1">
      <c r="A556" s="24" t="s">
        <v>1647</v>
      </c>
      <c r="B556" s="24" t="s">
        <v>143</v>
      </c>
      <c r="C556" s="24" t="s">
        <v>172</v>
      </c>
      <c r="D556" s="24"/>
      <c r="E556" s="24">
        <v>0</v>
      </c>
      <c r="F556" s="28" t="s">
        <v>1648</v>
      </c>
      <c r="G556" s="24" t="s">
        <v>299</v>
      </c>
    </row>
    <row r="557" spans="1:7" ht="30" customHeight="1">
      <c r="A557" s="26" t="s">
        <v>1649</v>
      </c>
      <c r="B557" s="26" t="s">
        <v>143</v>
      </c>
      <c r="C557" s="26" t="s">
        <v>182</v>
      </c>
      <c r="D557" s="26"/>
      <c r="E557" s="26">
        <v>0</v>
      </c>
      <c r="F557" s="29" t="s">
        <v>1650</v>
      </c>
      <c r="G557" s="26" t="s">
        <v>299</v>
      </c>
    </row>
    <row r="558" spans="1:7" ht="30" customHeight="1">
      <c r="A558" s="24" t="s">
        <v>1651</v>
      </c>
      <c r="B558" s="24" t="s">
        <v>143</v>
      </c>
      <c r="C558" s="24" t="s">
        <v>172</v>
      </c>
      <c r="D558" s="24"/>
      <c r="E558" s="24">
        <v>0</v>
      </c>
      <c r="F558" s="28" t="s">
        <v>1652</v>
      </c>
      <c r="G558" s="24" t="s">
        <v>299</v>
      </c>
    </row>
    <row r="559" spans="1:7" ht="30" customHeight="1">
      <c r="A559" s="26" t="s">
        <v>1653</v>
      </c>
      <c r="B559" s="26" t="s">
        <v>143</v>
      </c>
      <c r="C559" s="26" t="s">
        <v>172</v>
      </c>
      <c r="D559" s="26"/>
      <c r="E559" s="26">
        <v>0</v>
      </c>
      <c r="F559" s="29" t="s">
        <v>1654</v>
      </c>
      <c r="G559" s="26" t="s">
        <v>299</v>
      </c>
    </row>
    <row r="560" spans="1:7" ht="30" customHeight="1">
      <c r="A560" s="24" t="s">
        <v>1655</v>
      </c>
      <c r="B560" s="24" t="s">
        <v>1099</v>
      </c>
      <c r="C560" s="24" t="s">
        <v>172</v>
      </c>
      <c r="D560" s="24"/>
      <c r="E560" s="24">
        <v>0</v>
      </c>
      <c r="F560" s="28" t="s">
        <v>1656</v>
      </c>
      <c r="G560" s="24" t="s">
        <v>299</v>
      </c>
    </row>
    <row r="561" spans="1:7" ht="30" customHeight="1">
      <c r="A561" s="26" t="s">
        <v>1657</v>
      </c>
      <c r="B561" s="26" t="s">
        <v>143</v>
      </c>
      <c r="C561" s="26" t="s">
        <v>172</v>
      </c>
      <c r="D561" s="26"/>
      <c r="E561" s="26">
        <v>0</v>
      </c>
      <c r="F561" s="29" t="s">
        <v>1658</v>
      </c>
      <c r="G561" s="26" t="s">
        <v>299</v>
      </c>
    </row>
    <row r="562" spans="1:7" ht="30" customHeight="1">
      <c r="A562" s="24" t="s">
        <v>181</v>
      </c>
      <c r="B562" s="24" t="s">
        <v>143</v>
      </c>
      <c r="C562" s="24" t="s">
        <v>182</v>
      </c>
      <c r="D562" s="24" t="s">
        <v>174</v>
      </c>
      <c r="E562" s="24">
        <v>1</v>
      </c>
      <c r="F562" s="28" t="s">
        <v>185</v>
      </c>
      <c r="G562" s="24" t="s">
        <v>299</v>
      </c>
    </row>
    <row r="563" spans="1:7" ht="30" customHeight="1">
      <c r="A563" s="26" t="s">
        <v>1659</v>
      </c>
      <c r="B563" s="26" t="s">
        <v>143</v>
      </c>
      <c r="C563" s="26" t="s">
        <v>172</v>
      </c>
      <c r="D563" s="26"/>
      <c r="E563" s="26">
        <v>0</v>
      </c>
      <c r="F563" s="29" t="s">
        <v>1660</v>
      </c>
      <c r="G563" s="26" t="s">
        <v>299</v>
      </c>
    </row>
    <row r="564" spans="1:7" ht="30" customHeight="1">
      <c r="A564" s="24" t="s">
        <v>1661</v>
      </c>
      <c r="B564" s="24" t="s">
        <v>544</v>
      </c>
      <c r="C564" s="24" t="s">
        <v>172</v>
      </c>
      <c r="D564" s="24"/>
      <c r="E564" s="24">
        <v>0</v>
      </c>
      <c r="F564" s="28" t="s">
        <v>1662</v>
      </c>
      <c r="G564" s="24" t="s">
        <v>299</v>
      </c>
    </row>
    <row r="565" spans="1:7" ht="30" customHeight="1">
      <c r="A565" s="26" t="s">
        <v>1663</v>
      </c>
      <c r="B565" s="26" t="s">
        <v>143</v>
      </c>
      <c r="C565" s="26" t="s">
        <v>172</v>
      </c>
      <c r="D565" s="26"/>
      <c r="E565" s="26">
        <v>0</v>
      </c>
      <c r="F565" s="29" t="s">
        <v>1664</v>
      </c>
      <c r="G565" s="26" t="s">
        <v>299</v>
      </c>
    </row>
    <row r="566" spans="1:7" ht="30" customHeight="1">
      <c r="A566" s="24" t="s">
        <v>1665</v>
      </c>
      <c r="B566" s="24" t="s">
        <v>544</v>
      </c>
      <c r="C566" s="24" t="s">
        <v>172</v>
      </c>
      <c r="D566" s="24"/>
      <c r="E566" s="24">
        <v>0</v>
      </c>
      <c r="F566" s="28" t="s">
        <v>1666</v>
      </c>
      <c r="G566" s="24" t="s">
        <v>299</v>
      </c>
    </row>
    <row r="567" spans="1:7" ht="30" customHeight="1">
      <c r="A567" s="26" t="s">
        <v>1667</v>
      </c>
      <c r="B567" s="26" t="s">
        <v>143</v>
      </c>
      <c r="C567" s="26" t="s">
        <v>182</v>
      </c>
      <c r="D567" s="26"/>
      <c r="E567" s="26">
        <v>0</v>
      </c>
      <c r="F567" s="29" t="s">
        <v>1668</v>
      </c>
      <c r="G567" s="26" t="s">
        <v>299</v>
      </c>
    </row>
    <row r="568" spans="1:7" ht="30" customHeight="1">
      <c r="A568" s="24" t="s">
        <v>1669</v>
      </c>
      <c r="B568" s="24" t="s">
        <v>144</v>
      </c>
      <c r="C568" s="24" t="s">
        <v>172</v>
      </c>
      <c r="D568" s="24"/>
      <c r="E568" s="24">
        <v>0</v>
      </c>
      <c r="F568" s="28" t="s">
        <v>1670</v>
      </c>
      <c r="G568" s="24" t="s">
        <v>299</v>
      </c>
    </row>
    <row r="569" spans="1:7" ht="30" customHeight="1">
      <c r="A569" s="26" t="s">
        <v>1671</v>
      </c>
      <c r="B569" s="26" t="s">
        <v>145</v>
      </c>
      <c r="C569" s="26" t="s">
        <v>172</v>
      </c>
      <c r="D569" s="26"/>
      <c r="E569" s="26">
        <v>0</v>
      </c>
      <c r="F569" s="29" t="s">
        <v>1672</v>
      </c>
      <c r="G569" s="26" t="s">
        <v>299</v>
      </c>
    </row>
    <row r="570" spans="1:7" ht="30" customHeight="1">
      <c r="A570" s="24" t="s">
        <v>1673</v>
      </c>
      <c r="B570" s="24" t="s">
        <v>144</v>
      </c>
      <c r="C570" s="24" t="s">
        <v>172</v>
      </c>
      <c r="D570" s="24"/>
      <c r="E570" s="24">
        <v>0</v>
      </c>
      <c r="F570" s="28" t="s">
        <v>1674</v>
      </c>
      <c r="G570" s="24" t="s">
        <v>299</v>
      </c>
    </row>
    <row r="571" spans="1:7" ht="30" customHeight="1">
      <c r="A571" s="26" t="s">
        <v>1675</v>
      </c>
      <c r="B571" s="26" t="s">
        <v>572</v>
      </c>
      <c r="C571" s="26" t="s">
        <v>172</v>
      </c>
      <c r="D571" s="26"/>
      <c r="E571" s="26">
        <v>0</v>
      </c>
      <c r="F571" s="29" t="s">
        <v>1676</v>
      </c>
      <c r="G571" s="26" t="s">
        <v>299</v>
      </c>
    </row>
    <row r="572" spans="1:7" ht="30" customHeight="1">
      <c r="A572" s="24" t="s">
        <v>1677</v>
      </c>
      <c r="B572" s="24" t="s">
        <v>572</v>
      </c>
      <c r="C572" s="24" t="s">
        <v>172</v>
      </c>
      <c r="D572" s="24"/>
      <c r="E572" s="24">
        <v>0</v>
      </c>
      <c r="F572" s="28" t="s">
        <v>1678</v>
      </c>
      <c r="G572" s="24" t="s">
        <v>299</v>
      </c>
    </row>
    <row r="573" spans="1:7" ht="30" customHeight="1">
      <c r="A573" s="26" t="s">
        <v>1679</v>
      </c>
      <c r="B573" s="26" t="s">
        <v>226</v>
      </c>
      <c r="C573" s="26" t="s">
        <v>182</v>
      </c>
      <c r="D573" s="26"/>
      <c r="E573" s="26">
        <v>0</v>
      </c>
      <c r="F573" s="29" t="s">
        <v>1680</v>
      </c>
      <c r="G573" s="26" t="s">
        <v>299</v>
      </c>
    </row>
    <row r="574" spans="1:7" ht="30" customHeight="1">
      <c r="A574" s="24" t="s">
        <v>1681</v>
      </c>
      <c r="B574" s="24" t="s">
        <v>144</v>
      </c>
      <c r="C574" s="24" t="s">
        <v>172</v>
      </c>
      <c r="D574" s="24"/>
      <c r="E574" s="24">
        <v>0</v>
      </c>
      <c r="F574" s="28" t="s">
        <v>1682</v>
      </c>
      <c r="G574" s="24" t="s">
        <v>299</v>
      </c>
    </row>
    <row r="575" spans="1:7" ht="30" customHeight="1">
      <c r="A575" s="26" t="s">
        <v>1683</v>
      </c>
      <c r="B575" s="26" t="s">
        <v>144</v>
      </c>
      <c r="C575" s="26" t="s">
        <v>172</v>
      </c>
      <c r="D575" s="26"/>
      <c r="E575" s="26">
        <v>0</v>
      </c>
      <c r="F575" s="29" t="s">
        <v>1684</v>
      </c>
      <c r="G575" s="26" t="s">
        <v>299</v>
      </c>
    </row>
    <row r="576" spans="1:7" ht="30" customHeight="1">
      <c r="A576" s="24" t="s">
        <v>1685</v>
      </c>
      <c r="B576" s="24" t="s">
        <v>143</v>
      </c>
      <c r="C576" s="24" t="s">
        <v>182</v>
      </c>
      <c r="D576" s="24"/>
      <c r="E576" s="24">
        <v>0</v>
      </c>
      <c r="F576" s="28" t="s">
        <v>1686</v>
      </c>
      <c r="G576" s="24" t="s">
        <v>299</v>
      </c>
    </row>
    <row r="577" spans="1:7" ht="30" customHeight="1">
      <c r="A577" s="26" t="s">
        <v>1687</v>
      </c>
      <c r="B577" s="26" t="s">
        <v>144</v>
      </c>
      <c r="C577" s="26" t="s">
        <v>172</v>
      </c>
      <c r="D577" s="26"/>
      <c r="E577" s="26">
        <v>0</v>
      </c>
      <c r="F577" s="29" t="s">
        <v>1688</v>
      </c>
      <c r="G577" s="26" t="s">
        <v>299</v>
      </c>
    </row>
    <row r="578" spans="1:7" ht="30" customHeight="1">
      <c r="A578" s="24" t="s">
        <v>1689</v>
      </c>
      <c r="B578" s="24" t="s">
        <v>539</v>
      </c>
      <c r="C578" s="24" t="s">
        <v>182</v>
      </c>
      <c r="D578" s="24"/>
      <c r="E578" s="24">
        <v>0</v>
      </c>
      <c r="F578" s="28" t="s">
        <v>1690</v>
      </c>
      <c r="G578" s="24" t="s">
        <v>299</v>
      </c>
    </row>
    <row r="579" spans="1:7" ht="30" customHeight="1">
      <c r="A579" s="26" t="s">
        <v>1691</v>
      </c>
      <c r="B579" s="26" t="s">
        <v>145</v>
      </c>
      <c r="C579" s="26" t="s">
        <v>172</v>
      </c>
      <c r="D579" s="26"/>
      <c r="E579" s="26">
        <v>0</v>
      </c>
      <c r="F579" s="29" t="s">
        <v>1692</v>
      </c>
      <c r="G579" s="26" t="s">
        <v>299</v>
      </c>
    </row>
    <row r="580" spans="1:7" ht="30" customHeight="1">
      <c r="A580" s="24" t="s">
        <v>1693</v>
      </c>
      <c r="B580" s="24" t="s">
        <v>144</v>
      </c>
      <c r="C580" s="24" t="s">
        <v>172</v>
      </c>
      <c r="D580" s="24"/>
      <c r="E580" s="24">
        <v>0</v>
      </c>
      <c r="F580" s="28" t="s">
        <v>1694</v>
      </c>
      <c r="G580" s="24" t="s">
        <v>299</v>
      </c>
    </row>
    <row r="581" spans="1:7" ht="30" customHeight="1">
      <c r="A581" s="26" t="s">
        <v>1695</v>
      </c>
      <c r="B581" s="26" t="s">
        <v>143</v>
      </c>
      <c r="C581" s="26" t="s">
        <v>182</v>
      </c>
      <c r="D581" s="26"/>
      <c r="E581" s="26">
        <v>0</v>
      </c>
      <c r="F581" s="29" t="s">
        <v>1696</v>
      </c>
      <c r="G581" s="26" t="s">
        <v>299</v>
      </c>
    </row>
    <row r="582" spans="1:7" ht="30" customHeight="1">
      <c r="A582" s="24" t="s">
        <v>1697</v>
      </c>
      <c r="B582" s="24" t="s">
        <v>144</v>
      </c>
      <c r="C582" s="24" t="s">
        <v>172</v>
      </c>
      <c r="D582" s="24"/>
      <c r="E582" s="24">
        <v>0</v>
      </c>
      <c r="F582" s="28" t="s">
        <v>1698</v>
      </c>
      <c r="G582" s="24" t="s">
        <v>299</v>
      </c>
    </row>
    <row r="583" spans="1:7" ht="30" customHeight="1">
      <c r="A583" s="26" t="s">
        <v>1699</v>
      </c>
      <c r="B583" s="26" t="s">
        <v>144</v>
      </c>
      <c r="C583" s="26" t="s">
        <v>182</v>
      </c>
      <c r="D583" s="26"/>
      <c r="E583" s="26">
        <v>0</v>
      </c>
      <c r="F583" s="29" t="s">
        <v>1700</v>
      </c>
      <c r="G583" s="26" t="s">
        <v>299</v>
      </c>
    </row>
    <row r="584" spans="1:7" ht="30" customHeight="1">
      <c r="A584" s="24" t="s">
        <v>1701</v>
      </c>
      <c r="B584" s="24" t="s">
        <v>572</v>
      </c>
      <c r="C584" s="24" t="s">
        <v>172</v>
      </c>
      <c r="D584" s="24"/>
      <c r="E584" s="24">
        <v>0</v>
      </c>
      <c r="F584" s="28" t="s">
        <v>1702</v>
      </c>
      <c r="G584" s="24" t="s">
        <v>299</v>
      </c>
    </row>
    <row r="585" spans="1:7" ht="30" customHeight="1">
      <c r="A585" s="26" t="s">
        <v>1703</v>
      </c>
      <c r="B585" s="26" t="s">
        <v>144</v>
      </c>
      <c r="C585" s="26" t="s">
        <v>172</v>
      </c>
      <c r="D585" s="26"/>
      <c r="E585" s="26">
        <v>0</v>
      </c>
      <c r="F585" s="29" t="s">
        <v>1704</v>
      </c>
      <c r="G585" s="26" t="s">
        <v>299</v>
      </c>
    </row>
    <row r="586" spans="1:7" ht="30" customHeight="1">
      <c r="A586" s="24" t="s">
        <v>1705</v>
      </c>
      <c r="B586" s="24" t="s">
        <v>572</v>
      </c>
      <c r="C586" s="24" t="s">
        <v>172</v>
      </c>
      <c r="D586" s="24"/>
      <c r="E586" s="24">
        <v>0</v>
      </c>
      <c r="F586" s="28" t="s">
        <v>1706</v>
      </c>
      <c r="G586" s="24" t="s">
        <v>299</v>
      </c>
    </row>
    <row r="587" spans="1:7" ht="30" customHeight="1">
      <c r="A587" s="26" t="s">
        <v>1707</v>
      </c>
      <c r="B587" s="26" t="s">
        <v>143</v>
      </c>
      <c r="C587" s="26" t="s">
        <v>172</v>
      </c>
      <c r="D587" s="26"/>
      <c r="E587" s="26">
        <v>0</v>
      </c>
      <c r="F587" s="29" t="s">
        <v>1708</v>
      </c>
      <c r="G587" s="26" t="s">
        <v>299</v>
      </c>
    </row>
    <row r="588" spans="1:7" ht="30" customHeight="1">
      <c r="A588" s="24" t="s">
        <v>1709</v>
      </c>
      <c r="B588" s="24" t="s">
        <v>572</v>
      </c>
      <c r="C588" s="24" t="s">
        <v>172</v>
      </c>
      <c r="D588" s="24"/>
      <c r="E588" s="24">
        <v>0</v>
      </c>
      <c r="F588" s="28" t="s">
        <v>1710</v>
      </c>
      <c r="G588" s="24" t="s">
        <v>299</v>
      </c>
    </row>
    <row r="589" spans="1:7" ht="30" customHeight="1">
      <c r="A589" s="26" t="s">
        <v>1711</v>
      </c>
      <c r="B589" s="26" t="s">
        <v>572</v>
      </c>
      <c r="C589" s="26" t="s">
        <v>172</v>
      </c>
      <c r="D589" s="26"/>
      <c r="E589" s="26">
        <v>0</v>
      </c>
      <c r="F589" s="29" t="s">
        <v>1712</v>
      </c>
      <c r="G589" s="26" t="s">
        <v>299</v>
      </c>
    </row>
    <row r="590" spans="1:7" ht="30" customHeight="1">
      <c r="A590" s="24" t="s">
        <v>1713</v>
      </c>
      <c r="B590" s="24" t="s">
        <v>572</v>
      </c>
      <c r="C590" s="24" t="s">
        <v>172</v>
      </c>
      <c r="D590" s="24"/>
      <c r="E590" s="24">
        <v>0</v>
      </c>
      <c r="F590" s="28" t="s">
        <v>1714</v>
      </c>
      <c r="G590" s="24" t="s">
        <v>299</v>
      </c>
    </row>
    <row r="591" spans="1:7" ht="30" customHeight="1">
      <c r="A591" s="26" t="s">
        <v>1715</v>
      </c>
      <c r="B591" s="26" t="s">
        <v>572</v>
      </c>
      <c r="C591" s="26" t="s">
        <v>172</v>
      </c>
      <c r="D591" s="26"/>
      <c r="E591" s="26">
        <v>0</v>
      </c>
      <c r="F591" s="29" t="s">
        <v>1716</v>
      </c>
      <c r="G591" s="26" t="s">
        <v>299</v>
      </c>
    </row>
    <row r="592" spans="1:7" ht="30" customHeight="1">
      <c r="A592" s="24" t="s">
        <v>1717</v>
      </c>
      <c r="B592" s="24" t="s">
        <v>144</v>
      </c>
      <c r="C592" s="24" t="s">
        <v>172</v>
      </c>
      <c r="D592" s="24"/>
      <c r="E592" s="24">
        <v>0</v>
      </c>
      <c r="F592" s="28" t="s">
        <v>1718</v>
      </c>
      <c r="G592" s="24" t="s">
        <v>299</v>
      </c>
    </row>
    <row r="593" spans="1:7" ht="30" customHeight="1">
      <c r="A593" s="26" t="s">
        <v>1719</v>
      </c>
      <c r="B593" s="26" t="s">
        <v>143</v>
      </c>
      <c r="C593" s="26" t="s">
        <v>172</v>
      </c>
      <c r="D593" s="26"/>
      <c r="E593" s="26">
        <v>0</v>
      </c>
      <c r="F593" s="29" t="s">
        <v>1720</v>
      </c>
      <c r="G593" s="26" t="s">
        <v>299</v>
      </c>
    </row>
    <row r="594" spans="1:7" ht="30" customHeight="1">
      <c r="A594" s="24" t="s">
        <v>1721</v>
      </c>
      <c r="B594" s="24" t="s">
        <v>144</v>
      </c>
      <c r="C594" s="24" t="s">
        <v>172</v>
      </c>
      <c r="D594" s="24"/>
      <c r="E594" s="24">
        <v>0</v>
      </c>
      <c r="F594" s="28" t="s">
        <v>1722</v>
      </c>
      <c r="G594" s="24" t="s">
        <v>299</v>
      </c>
    </row>
    <row r="595" spans="1:7" ht="30" customHeight="1">
      <c r="A595" s="26" t="s">
        <v>1723</v>
      </c>
      <c r="B595" s="26" t="s">
        <v>143</v>
      </c>
      <c r="C595" s="26" t="s">
        <v>172</v>
      </c>
      <c r="D595" s="26"/>
      <c r="E595" s="26">
        <v>0</v>
      </c>
      <c r="F595" s="29" t="s">
        <v>1724</v>
      </c>
      <c r="G595" s="26" t="s">
        <v>299</v>
      </c>
    </row>
    <row r="596" spans="1:7" ht="30" customHeight="1">
      <c r="A596" s="24" t="s">
        <v>1725</v>
      </c>
      <c r="B596" s="24" t="s">
        <v>143</v>
      </c>
      <c r="C596" s="24" t="s">
        <v>172</v>
      </c>
      <c r="D596" s="24"/>
      <c r="E596" s="24">
        <v>0</v>
      </c>
      <c r="F596" s="28" t="s">
        <v>1726</v>
      </c>
      <c r="G596" s="24" t="s">
        <v>299</v>
      </c>
    </row>
    <row r="597" spans="1:7" ht="30" customHeight="1">
      <c r="A597" s="26" t="s">
        <v>1727</v>
      </c>
      <c r="B597" s="26" t="s">
        <v>143</v>
      </c>
      <c r="C597" s="26" t="s">
        <v>172</v>
      </c>
      <c r="D597" s="26"/>
      <c r="E597" s="26">
        <v>0</v>
      </c>
      <c r="F597" s="29" t="s">
        <v>1728</v>
      </c>
      <c r="G597" s="26" t="s">
        <v>299</v>
      </c>
    </row>
    <row r="598" spans="1:7" ht="30" customHeight="1">
      <c r="A598" s="24" t="s">
        <v>1729</v>
      </c>
      <c r="B598" s="24" t="s">
        <v>143</v>
      </c>
      <c r="C598" s="24" t="s">
        <v>172</v>
      </c>
      <c r="D598" s="24"/>
      <c r="E598" s="24">
        <v>0</v>
      </c>
      <c r="F598" s="28" t="s">
        <v>1730</v>
      </c>
      <c r="G598" s="24" t="s">
        <v>299</v>
      </c>
    </row>
    <row r="599" spans="1:7" ht="30" customHeight="1">
      <c r="A599" s="26" t="s">
        <v>1731</v>
      </c>
      <c r="B599" s="26" t="s">
        <v>143</v>
      </c>
      <c r="C599" s="26" t="s">
        <v>172</v>
      </c>
      <c r="D599" s="26"/>
      <c r="E599" s="26">
        <v>0</v>
      </c>
      <c r="F599" s="29" t="s">
        <v>1732</v>
      </c>
      <c r="G599" s="26" t="s">
        <v>299</v>
      </c>
    </row>
    <row r="600" spans="1:7" ht="30" customHeight="1">
      <c r="A600" s="24" t="s">
        <v>1733</v>
      </c>
      <c r="B600" s="24" t="s">
        <v>143</v>
      </c>
      <c r="C600" s="24" t="s">
        <v>172</v>
      </c>
      <c r="D600" s="24"/>
      <c r="E600" s="24">
        <v>0</v>
      </c>
      <c r="F600" s="28" t="s">
        <v>1734</v>
      </c>
      <c r="G600" s="24" t="s">
        <v>299</v>
      </c>
    </row>
    <row r="601" spans="1:7" ht="30" customHeight="1">
      <c r="A601" s="26" t="s">
        <v>1735</v>
      </c>
      <c r="B601" s="26" t="s">
        <v>144</v>
      </c>
      <c r="C601" s="26" t="s">
        <v>182</v>
      </c>
      <c r="D601" s="26"/>
      <c r="E601" s="26">
        <v>0</v>
      </c>
      <c r="F601" s="29" t="s">
        <v>1736</v>
      </c>
      <c r="G601" s="26" t="s">
        <v>299</v>
      </c>
    </row>
    <row r="602" spans="1:7" ht="30" customHeight="1">
      <c r="A602" s="24" t="s">
        <v>1737</v>
      </c>
      <c r="B602" s="24" t="s">
        <v>572</v>
      </c>
      <c r="C602" s="24" t="s">
        <v>172</v>
      </c>
      <c r="D602" s="24"/>
      <c r="E602" s="24">
        <v>0</v>
      </c>
      <c r="F602" s="28" t="s">
        <v>1738</v>
      </c>
      <c r="G602" s="24" t="s">
        <v>299</v>
      </c>
    </row>
    <row r="603" spans="1:7" ht="30" customHeight="1">
      <c r="A603" s="26" t="s">
        <v>1739</v>
      </c>
      <c r="B603" s="26" t="s">
        <v>143</v>
      </c>
      <c r="C603" s="26" t="s">
        <v>172</v>
      </c>
      <c r="D603" s="26"/>
      <c r="E603" s="26">
        <v>0</v>
      </c>
      <c r="F603" s="29" t="s">
        <v>1740</v>
      </c>
      <c r="G603" s="26" t="s">
        <v>299</v>
      </c>
    </row>
    <row r="604" spans="1:7" ht="30" customHeight="1">
      <c r="A604" s="24" t="s">
        <v>1741</v>
      </c>
      <c r="B604" s="24" t="s">
        <v>143</v>
      </c>
      <c r="C604" s="24" t="s">
        <v>172</v>
      </c>
      <c r="D604" s="24"/>
      <c r="E604" s="24">
        <v>0</v>
      </c>
      <c r="F604" s="28" t="s">
        <v>1742</v>
      </c>
      <c r="G604" s="24" t="s">
        <v>299</v>
      </c>
    </row>
    <row r="605" spans="1:7" ht="30" customHeight="1">
      <c r="A605" s="26" t="s">
        <v>1743</v>
      </c>
      <c r="B605" s="26" t="s">
        <v>144</v>
      </c>
      <c r="C605" s="26" t="s">
        <v>172</v>
      </c>
      <c r="D605" s="26"/>
      <c r="E605" s="26">
        <v>0</v>
      </c>
      <c r="F605" s="29" t="s">
        <v>1744</v>
      </c>
      <c r="G605" s="26" t="s">
        <v>299</v>
      </c>
    </row>
    <row r="606" spans="1:7" ht="30" customHeight="1">
      <c r="A606" s="24" t="s">
        <v>1745</v>
      </c>
      <c r="B606" s="24" t="s">
        <v>143</v>
      </c>
      <c r="C606" s="24" t="s">
        <v>172</v>
      </c>
      <c r="D606" s="24"/>
      <c r="E606" s="24">
        <v>0</v>
      </c>
      <c r="F606" s="28" t="s">
        <v>1746</v>
      </c>
      <c r="G606" s="24" t="s">
        <v>299</v>
      </c>
    </row>
    <row r="607" spans="1:7" ht="30" customHeight="1">
      <c r="A607" s="26" t="s">
        <v>1747</v>
      </c>
      <c r="B607" s="26" t="s">
        <v>572</v>
      </c>
      <c r="C607" s="26" t="s">
        <v>172</v>
      </c>
      <c r="D607" s="26"/>
      <c r="E607" s="26">
        <v>0</v>
      </c>
      <c r="F607" s="29" t="s">
        <v>1748</v>
      </c>
      <c r="G607" s="26" t="s">
        <v>299</v>
      </c>
    </row>
    <row r="608" spans="1:7" ht="30" customHeight="1">
      <c r="A608" s="24" t="s">
        <v>1749</v>
      </c>
      <c r="B608" s="24" t="s">
        <v>144</v>
      </c>
      <c r="C608" s="24" t="s">
        <v>172</v>
      </c>
      <c r="D608" s="24"/>
      <c r="E608" s="24">
        <v>0</v>
      </c>
      <c r="F608" s="28" t="s">
        <v>1750</v>
      </c>
      <c r="G608" s="24" t="s">
        <v>299</v>
      </c>
    </row>
    <row r="609" spans="1:7" ht="30" customHeight="1">
      <c r="A609" s="26" t="s">
        <v>1751</v>
      </c>
      <c r="B609" s="26" t="s">
        <v>144</v>
      </c>
      <c r="C609" s="26" t="s">
        <v>172</v>
      </c>
      <c r="D609" s="26"/>
      <c r="E609" s="26">
        <v>0</v>
      </c>
      <c r="F609" s="29" t="s">
        <v>1752</v>
      </c>
      <c r="G609" s="26" t="s">
        <v>299</v>
      </c>
    </row>
    <row r="610" spans="1:7" ht="30" customHeight="1">
      <c r="A610" s="24" t="s">
        <v>1753</v>
      </c>
      <c r="B610" s="24" t="s">
        <v>143</v>
      </c>
      <c r="C610" s="24" t="s">
        <v>182</v>
      </c>
      <c r="D610" s="24"/>
      <c r="E610" s="24">
        <v>0</v>
      </c>
      <c r="F610" s="28" t="s">
        <v>1754</v>
      </c>
      <c r="G610" s="24" t="s">
        <v>299</v>
      </c>
    </row>
    <row r="611" spans="1:7" ht="30" customHeight="1">
      <c r="A611" s="26" t="s">
        <v>1755</v>
      </c>
      <c r="B611" s="26" t="s">
        <v>143</v>
      </c>
      <c r="C611" s="26" t="s">
        <v>182</v>
      </c>
      <c r="D611" s="26"/>
      <c r="E611" s="26">
        <v>0</v>
      </c>
      <c r="F611" s="29" t="s">
        <v>1756</v>
      </c>
      <c r="G611" s="26" t="s">
        <v>299</v>
      </c>
    </row>
    <row r="612" spans="1:7" ht="30" customHeight="1">
      <c r="A612" s="24" t="s">
        <v>1757</v>
      </c>
      <c r="B612" s="24" t="s">
        <v>544</v>
      </c>
      <c r="C612" s="24" t="s">
        <v>172</v>
      </c>
      <c r="D612" s="24"/>
      <c r="E612" s="24">
        <v>0</v>
      </c>
      <c r="F612" s="28" t="s">
        <v>1758</v>
      </c>
      <c r="G612" s="24" t="s">
        <v>299</v>
      </c>
    </row>
    <row r="613" spans="1:7" ht="30" customHeight="1">
      <c r="A613" s="26" t="s">
        <v>1759</v>
      </c>
      <c r="B613" s="26" t="s">
        <v>534</v>
      </c>
      <c r="C613" s="26" t="s">
        <v>172</v>
      </c>
      <c r="D613" s="26"/>
      <c r="E613" s="26">
        <v>0</v>
      </c>
      <c r="F613" s="29" t="s">
        <v>1760</v>
      </c>
      <c r="G613" s="26" t="s">
        <v>299</v>
      </c>
    </row>
    <row r="614" spans="1:7" ht="30" customHeight="1">
      <c r="A614" s="24" t="s">
        <v>1761</v>
      </c>
      <c r="B614" s="24" t="s">
        <v>143</v>
      </c>
      <c r="C614" s="24" t="s">
        <v>172</v>
      </c>
      <c r="D614" s="24"/>
      <c r="E614" s="24">
        <v>0</v>
      </c>
      <c r="F614" s="28" t="s">
        <v>1762</v>
      </c>
      <c r="G614" s="24" t="s">
        <v>299</v>
      </c>
    </row>
    <row r="615" spans="1:7" ht="30" customHeight="1">
      <c r="A615" s="26" t="s">
        <v>1763</v>
      </c>
      <c r="B615" s="26" t="s">
        <v>144</v>
      </c>
      <c r="C615" s="26" t="s">
        <v>172</v>
      </c>
      <c r="D615" s="26"/>
      <c r="E615" s="26">
        <v>0</v>
      </c>
      <c r="F615" s="29" t="s">
        <v>1764</v>
      </c>
      <c r="G615" s="26" t="s">
        <v>299</v>
      </c>
    </row>
    <row r="616" spans="1:7" ht="30" customHeight="1">
      <c r="A616" s="24" t="s">
        <v>1765</v>
      </c>
      <c r="B616" s="24" t="s">
        <v>143</v>
      </c>
      <c r="C616" s="24" t="s">
        <v>172</v>
      </c>
      <c r="D616" s="24"/>
      <c r="E616" s="24">
        <v>0</v>
      </c>
      <c r="F616" s="28" t="s">
        <v>1766</v>
      </c>
      <c r="G616" s="24" t="s">
        <v>299</v>
      </c>
    </row>
    <row r="617" spans="1:7" ht="30" customHeight="1">
      <c r="A617" s="26" t="s">
        <v>1767</v>
      </c>
      <c r="B617" s="26" t="s">
        <v>143</v>
      </c>
      <c r="C617" s="26" t="s">
        <v>172</v>
      </c>
      <c r="D617" s="26"/>
      <c r="E617" s="26">
        <v>0</v>
      </c>
      <c r="F617" s="29" t="s">
        <v>1768</v>
      </c>
      <c r="G617" s="26" t="s">
        <v>299</v>
      </c>
    </row>
    <row r="618" spans="1:7" ht="30" customHeight="1">
      <c r="A618" s="24" t="s">
        <v>1769</v>
      </c>
      <c r="B618" s="24" t="s">
        <v>144</v>
      </c>
      <c r="C618" s="24" t="s">
        <v>172</v>
      </c>
      <c r="D618" s="24"/>
      <c r="E618" s="24">
        <v>0</v>
      </c>
      <c r="F618" s="28" t="s">
        <v>1770</v>
      </c>
      <c r="G618" s="24" t="s">
        <v>299</v>
      </c>
    </row>
    <row r="619" spans="1:7" ht="30" customHeight="1">
      <c r="A619" s="26" t="s">
        <v>1771</v>
      </c>
      <c r="B619" s="26" t="s">
        <v>144</v>
      </c>
      <c r="C619" s="26" t="s">
        <v>182</v>
      </c>
      <c r="D619" s="26"/>
      <c r="E619" s="26">
        <v>0</v>
      </c>
      <c r="F619" s="29" t="s">
        <v>1772</v>
      </c>
      <c r="G619" s="26" t="s">
        <v>299</v>
      </c>
    </row>
    <row r="620" spans="1:7" ht="30" customHeight="1">
      <c r="A620" s="24" t="s">
        <v>1773</v>
      </c>
      <c r="B620" s="24" t="s">
        <v>144</v>
      </c>
      <c r="C620" s="24" t="s">
        <v>172</v>
      </c>
      <c r="D620" s="24"/>
      <c r="E620" s="24">
        <v>0</v>
      </c>
      <c r="F620" s="28" t="s">
        <v>1774</v>
      </c>
      <c r="G620" s="24" t="s">
        <v>299</v>
      </c>
    </row>
    <row r="621" spans="1:7" ht="30" customHeight="1">
      <c r="A621" s="26" t="s">
        <v>1775</v>
      </c>
      <c r="B621" s="26" t="s">
        <v>143</v>
      </c>
      <c r="C621" s="26" t="s">
        <v>172</v>
      </c>
      <c r="D621" s="26"/>
      <c r="E621" s="26">
        <v>0</v>
      </c>
      <c r="F621" s="29" t="s">
        <v>1776</v>
      </c>
      <c r="G621" s="26" t="s">
        <v>299</v>
      </c>
    </row>
    <row r="622" spans="1:7" ht="30" customHeight="1">
      <c r="A622" s="24" t="s">
        <v>1777</v>
      </c>
      <c r="B622" s="24" t="s">
        <v>143</v>
      </c>
      <c r="C622" s="24" t="s">
        <v>172</v>
      </c>
      <c r="D622" s="24"/>
      <c r="E622" s="24">
        <v>0</v>
      </c>
      <c r="F622" s="28" t="s">
        <v>1778</v>
      </c>
      <c r="G622" s="24" t="s">
        <v>299</v>
      </c>
    </row>
    <row r="623" spans="1:7" ht="30" customHeight="1">
      <c r="A623" s="26" t="s">
        <v>1779</v>
      </c>
      <c r="B623" s="26" t="s">
        <v>964</v>
      </c>
      <c r="C623" s="26" t="s">
        <v>172</v>
      </c>
      <c r="D623" s="26"/>
      <c r="E623" s="26">
        <v>0</v>
      </c>
      <c r="F623" s="29" t="s">
        <v>1780</v>
      </c>
      <c r="G623" s="26" t="s">
        <v>299</v>
      </c>
    </row>
    <row r="624" spans="1:7" ht="30" customHeight="1">
      <c r="A624" s="24" t="s">
        <v>1781</v>
      </c>
      <c r="B624" s="24" t="s">
        <v>143</v>
      </c>
      <c r="C624" s="24" t="s">
        <v>182</v>
      </c>
      <c r="D624" s="24"/>
      <c r="E624" s="24">
        <v>0</v>
      </c>
      <c r="F624" s="28" t="s">
        <v>1782</v>
      </c>
      <c r="G624" s="24" t="s">
        <v>299</v>
      </c>
    </row>
    <row r="625" spans="1:7" ht="30" customHeight="1">
      <c r="A625" s="26" t="s">
        <v>1783</v>
      </c>
      <c r="B625" s="26" t="s">
        <v>572</v>
      </c>
      <c r="C625" s="26" t="s">
        <v>172</v>
      </c>
      <c r="D625" s="26"/>
      <c r="E625" s="26">
        <v>0</v>
      </c>
      <c r="F625" s="29" t="s">
        <v>1784</v>
      </c>
      <c r="G625" s="26" t="s">
        <v>299</v>
      </c>
    </row>
    <row r="626" spans="1:7" ht="30" customHeight="1">
      <c r="A626" s="24" t="s">
        <v>1785</v>
      </c>
      <c r="B626" s="24" t="s">
        <v>143</v>
      </c>
      <c r="C626" s="24" t="s">
        <v>182</v>
      </c>
      <c r="D626" s="24"/>
      <c r="E626" s="24">
        <v>0</v>
      </c>
      <c r="F626" s="28" t="s">
        <v>1786</v>
      </c>
      <c r="G626" s="24" t="s">
        <v>299</v>
      </c>
    </row>
    <row r="627" spans="1:7" ht="30" customHeight="1">
      <c r="A627" s="26" t="s">
        <v>1787</v>
      </c>
      <c r="B627" s="26" t="s">
        <v>144</v>
      </c>
      <c r="C627" s="26" t="s">
        <v>172</v>
      </c>
      <c r="D627" s="26"/>
      <c r="E627" s="26">
        <v>0</v>
      </c>
      <c r="F627" s="29" t="s">
        <v>1788</v>
      </c>
      <c r="G627" s="26" t="s">
        <v>299</v>
      </c>
    </row>
    <row r="628" spans="1:7" ht="30" customHeight="1">
      <c r="A628" s="24" t="s">
        <v>1789</v>
      </c>
      <c r="B628" s="24" t="s">
        <v>143</v>
      </c>
      <c r="C628" s="24" t="s">
        <v>172</v>
      </c>
      <c r="D628" s="24"/>
      <c r="E628" s="24">
        <v>0</v>
      </c>
      <c r="F628" s="28" t="s">
        <v>1790</v>
      </c>
      <c r="G628" s="24" t="s">
        <v>299</v>
      </c>
    </row>
    <row r="629" spans="1:7" ht="30" customHeight="1">
      <c r="A629" s="26" t="s">
        <v>1791</v>
      </c>
      <c r="B629" s="26" t="s">
        <v>144</v>
      </c>
      <c r="C629" s="26" t="s">
        <v>172</v>
      </c>
      <c r="D629" s="26"/>
      <c r="E629" s="26">
        <v>0</v>
      </c>
      <c r="F629" s="29" t="s">
        <v>1792</v>
      </c>
      <c r="G629" s="26" t="s">
        <v>299</v>
      </c>
    </row>
    <row r="630" spans="1:7" ht="30" customHeight="1">
      <c r="A630" s="24" t="s">
        <v>1793</v>
      </c>
      <c r="B630" s="24" t="s">
        <v>143</v>
      </c>
      <c r="C630" s="24" t="s">
        <v>172</v>
      </c>
      <c r="D630" s="24"/>
      <c r="E630" s="24">
        <v>0</v>
      </c>
      <c r="F630" s="28" t="s">
        <v>1794</v>
      </c>
      <c r="G630" s="24" t="s">
        <v>299</v>
      </c>
    </row>
    <row r="631" spans="1:7" ht="30" customHeight="1">
      <c r="A631" s="26" t="s">
        <v>1795</v>
      </c>
      <c r="B631" s="26" t="s">
        <v>581</v>
      </c>
      <c r="C631" s="26" t="s">
        <v>172</v>
      </c>
      <c r="D631" s="26"/>
      <c r="E631" s="26">
        <v>0</v>
      </c>
      <c r="F631" s="29" t="s">
        <v>1796</v>
      </c>
      <c r="G631" s="26" t="s">
        <v>299</v>
      </c>
    </row>
    <row r="632" spans="1:7" ht="30" customHeight="1">
      <c r="A632" s="24" t="s">
        <v>1797</v>
      </c>
      <c r="B632" s="24" t="s">
        <v>143</v>
      </c>
      <c r="C632" s="24" t="s">
        <v>172</v>
      </c>
      <c r="D632" s="24"/>
      <c r="E632" s="24">
        <v>0</v>
      </c>
      <c r="F632" s="28" t="s">
        <v>1798</v>
      </c>
      <c r="G632" s="24" t="s">
        <v>299</v>
      </c>
    </row>
    <row r="633" spans="1:7" ht="30" customHeight="1">
      <c r="A633" s="26" t="s">
        <v>1799</v>
      </c>
      <c r="B633" s="26" t="s">
        <v>143</v>
      </c>
      <c r="C633" s="26" t="s">
        <v>172</v>
      </c>
      <c r="D633" s="26"/>
      <c r="E633" s="26">
        <v>0</v>
      </c>
      <c r="F633" s="29" t="s">
        <v>1800</v>
      </c>
      <c r="G633" s="26" t="s">
        <v>299</v>
      </c>
    </row>
    <row r="634" spans="1:7" ht="30" customHeight="1">
      <c r="A634" s="24" t="s">
        <v>1801</v>
      </c>
      <c r="B634" s="24" t="s">
        <v>143</v>
      </c>
      <c r="C634" s="24" t="s">
        <v>172</v>
      </c>
      <c r="D634" s="24"/>
      <c r="E634" s="24">
        <v>0</v>
      </c>
      <c r="F634" s="28" t="s">
        <v>1802</v>
      </c>
      <c r="G634" s="24" t="s">
        <v>299</v>
      </c>
    </row>
    <row r="635" spans="1:7" ht="30" customHeight="1">
      <c r="A635" s="26" t="s">
        <v>1803</v>
      </c>
      <c r="B635" s="26" t="s">
        <v>572</v>
      </c>
      <c r="C635" s="26" t="s">
        <v>172</v>
      </c>
      <c r="D635" s="26"/>
      <c r="E635" s="26">
        <v>0</v>
      </c>
      <c r="F635" s="29" t="s">
        <v>1804</v>
      </c>
      <c r="G635" s="26" t="s">
        <v>299</v>
      </c>
    </row>
    <row r="636" spans="1:7" ht="30" customHeight="1">
      <c r="A636" s="24" t="s">
        <v>1805</v>
      </c>
      <c r="B636" s="24" t="s">
        <v>143</v>
      </c>
      <c r="C636" s="24" t="s">
        <v>172</v>
      </c>
      <c r="D636" s="24"/>
      <c r="E636" s="24">
        <v>0</v>
      </c>
      <c r="F636" s="28" t="s">
        <v>1806</v>
      </c>
      <c r="G636" s="24" t="s">
        <v>299</v>
      </c>
    </row>
    <row r="637" spans="1:7" ht="30" customHeight="1">
      <c r="A637" s="26" t="s">
        <v>1807</v>
      </c>
      <c r="B637" s="26" t="s">
        <v>572</v>
      </c>
      <c r="C637" s="26" t="s">
        <v>172</v>
      </c>
      <c r="D637" s="26"/>
      <c r="E637" s="26">
        <v>0</v>
      </c>
      <c r="F637" s="29" t="s">
        <v>1808</v>
      </c>
      <c r="G637" s="26" t="s">
        <v>299</v>
      </c>
    </row>
    <row r="638" spans="1:7" ht="30" customHeight="1">
      <c r="A638" s="24" t="s">
        <v>1809</v>
      </c>
      <c r="B638" s="24" t="s">
        <v>572</v>
      </c>
      <c r="C638" s="24" t="s">
        <v>172</v>
      </c>
      <c r="D638" s="24"/>
      <c r="E638" s="24">
        <v>0</v>
      </c>
      <c r="F638" s="28" t="s">
        <v>1810</v>
      </c>
      <c r="G638" s="24" t="s">
        <v>299</v>
      </c>
    </row>
    <row r="639" spans="1:7" ht="30" customHeight="1">
      <c r="A639" s="26" t="s">
        <v>1811</v>
      </c>
      <c r="B639" s="26" t="s">
        <v>143</v>
      </c>
      <c r="C639" s="26" t="s">
        <v>172</v>
      </c>
      <c r="D639" s="26"/>
      <c r="E639" s="26">
        <v>0</v>
      </c>
      <c r="F639" s="29" t="s">
        <v>1812</v>
      </c>
      <c r="G639" s="26" t="s">
        <v>299</v>
      </c>
    </row>
    <row r="640" spans="1:7" ht="30" customHeight="1">
      <c r="A640" s="24" t="s">
        <v>1813</v>
      </c>
      <c r="B640" s="24" t="s">
        <v>143</v>
      </c>
      <c r="C640" s="24" t="s">
        <v>182</v>
      </c>
      <c r="D640" s="24"/>
      <c r="E640" s="24">
        <v>0</v>
      </c>
      <c r="F640" s="28" t="s">
        <v>1814</v>
      </c>
      <c r="G640" s="24" t="s">
        <v>299</v>
      </c>
    </row>
    <row r="641" spans="1:7" ht="30" customHeight="1">
      <c r="A641" s="26" t="s">
        <v>1815</v>
      </c>
      <c r="B641" s="26" t="s">
        <v>144</v>
      </c>
      <c r="C641" s="26" t="s">
        <v>172</v>
      </c>
      <c r="D641" s="26"/>
      <c r="E641" s="26">
        <v>0</v>
      </c>
      <c r="F641" s="29" t="s">
        <v>1816</v>
      </c>
      <c r="G641" s="26" t="s">
        <v>299</v>
      </c>
    </row>
    <row r="642" spans="1:7" ht="30" customHeight="1">
      <c r="A642" s="24" t="s">
        <v>1817</v>
      </c>
      <c r="B642" s="24" t="s">
        <v>539</v>
      </c>
      <c r="C642" s="24" t="s">
        <v>172</v>
      </c>
      <c r="D642" s="24"/>
      <c r="E642" s="24">
        <v>0</v>
      </c>
      <c r="F642" s="28" t="s">
        <v>1818</v>
      </c>
      <c r="G642" s="24" t="s">
        <v>299</v>
      </c>
    </row>
    <row r="643" spans="1:7" ht="30" customHeight="1">
      <c r="A643" s="26" t="s">
        <v>1819</v>
      </c>
      <c r="B643" s="26" t="s">
        <v>145</v>
      </c>
      <c r="C643" s="26" t="s">
        <v>172</v>
      </c>
      <c r="D643" s="26"/>
      <c r="E643" s="26">
        <v>0</v>
      </c>
      <c r="F643" s="29" t="s">
        <v>1820</v>
      </c>
      <c r="G643" s="26" t="s">
        <v>299</v>
      </c>
    </row>
    <row r="644" spans="1:7" ht="30" customHeight="1">
      <c r="A644" s="24" t="s">
        <v>1821</v>
      </c>
      <c r="B644" s="24" t="s">
        <v>144</v>
      </c>
      <c r="C644" s="24" t="s">
        <v>172</v>
      </c>
      <c r="D644" s="24"/>
      <c r="E644" s="24">
        <v>0</v>
      </c>
      <c r="F644" s="28" t="s">
        <v>1822</v>
      </c>
      <c r="G644" s="24" t="s">
        <v>299</v>
      </c>
    </row>
    <row r="645" spans="1:7" ht="30" customHeight="1">
      <c r="A645" s="26" t="s">
        <v>1823</v>
      </c>
      <c r="B645" s="26" t="s">
        <v>143</v>
      </c>
      <c r="C645" s="26" t="s">
        <v>172</v>
      </c>
      <c r="D645" s="26"/>
      <c r="E645" s="26">
        <v>0</v>
      </c>
      <c r="F645" s="29" t="s">
        <v>1824</v>
      </c>
      <c r="G645" s="26" t="s">
        <v>299</v>
      </c>
    </row>
    <row r="646" spans="1:7" ht="30" customHeight="1">
      <c r="A646" s="24" t="s">
        <v>1825</v>
      </c>
      <c r="B646" s="24" t="s">
        <v>143</v>
      </c>
      <c r="C646" s="24" t="s">
        <v>182</v>
      </c>
      <c r="D646" s="24"/>
      <c r="E646" s="24">
        <v>0</v>
      </c>
      <c r="F646" s="28" t="s">
        <v>1826</v>
      </c>
      <c r="G646" s="24" t="s">
        <v>299</v>
      </c>
    </row>
    <row r="647" spans="1:7" ht="30" customHeight="1">
      <c r="A647" s="26" t="s">
        <v>1827</v>
      </c>
      <c r="B647" s="26" t="s">
        <v>143</v>
      </c>
      <c r="C647" s="26" t="s">
        <v>172</v>
      </c>
      <c r="D647" s="26"/>
      <c r="E647" s="26">
        <v>0</v>
      </c>
      <c r="F647" s="29" t="s">
        <v>1828</v>
      </c>
      <c r="G647" s="26" t="s">
        <v>299</v>
      </c>
    </row>
    <row r="648" spans="1:7" ht="30" customHeight="1">
      <c r="A648" s="24" t="s">
        <v>1829</v>
      </c>
      <c r="B648" s="24" t="s">
        <v>143</v>
      </c>
      <c r="C648" s="24" t="s">
        <v>172</v>
      </c>
      <c r="D648" s="24"/>
      <c r="E648" s="24">
        <v>0</v>
      </c>
      <c r="F648" s="28" t="s">
        <v>1830</v>
      </c>
      <c r="G648" s="24" t="s">
        <v>299</v>
      </c>
    </row>
    <row r="649" spans="1:7" ht="30" customHeight="1">
      <c r="A649" s="26" t="s">
        <v>1831</v>
      </c>
      <c r="B649" s="26" t="s">
        <v>572</v>
      </c>
      <c r="C649" s="26" t="s">
        <v>172</v>
      </c>
      <c r="D649" s="26"/>
      <c r="E649" s="26">
        <v>0</v>
      </c>
      <c r="F649" s="29" t="s">
        <v>1832</v>
      </c>
      <c r="G649" s="26" t="s">
        <v>299</v>
      </c>
    </row>
    <row r="650" spans="1:7" ht="30" customHeight="1">
      <c r="A650" s="24" t="s">
        <v>1833</v>
      </c>
      <c r="B650" s="24" t="s">
        <v>143</v>
      </c>
      <c r="C650" s="24" t="s">
        <v>182</v>
      </c>
      <c r="D650" s="24"/>
      <c r="E650" s="24">
        <v>0</v>
      </c>
      <c r="F650" s="28" t="s">
        <v>1834</v>
      </c>
      <c r="G650" s="24" t="s">
        <v>299</v>
      </c>
    </row>
    <row r="651" spans="1:7" ht="30" customHeight="1">
      <c r="A651" s="26" t="s">
        <v>1835</v>
      </c>
      <c r="B651" s="26" t="s">
        <v>144</v>
      </c>
      <c r="C651" s="26" t="s">
        <v>172</v>
      </c>
      <c r="D651" s="26"/>
      <c r="E651" s="26">
        <v>0</v>
      </c>
      <c r="F651" s="29" t="s">
        <v>1836</v>
      </c>
      <c r="G651" s="26" t="s">
        <v>299</v>
      </c>
    </row>
    <row r="652" spans="1:7" ht="30" customHeight="1">
      <c r="A652" s="24" t="s">
        <v>1837</v>
      </c>
      <c r="B652" s="24" t="s">
        <v>144</v>
      </c>
      <c r="C652" s="24" t="s">
        <v>172</v>
      </c>
      <c r="D652" s="24"/>
      <c r="E652" s="24">
        <v>0</v>
      </c>
      <c r="F652" s="28" t="s">
        <v>1838</v>
      </c>
      <c r="G652" s="24" t="s">
        <v>299</v>
      </c>
    </row>
    <row r="653" spans="1:7" ht="30" customHeight="1">
      <c r="A653" s="26" t="s">
        <v>1839</v>
      </c>
      <c r="B653" s="26" t="s">
        <v>144</v>
      </c>
      <c r="C653" s="26" t="s">
        <v>182</v>
      </c>
      <c r="D653" s="26"/>
      <c r="E653" s="26">
        <v>0</v>
      </c>
      <c r="F653" s="29" t="s">
        <v>1840</v>
      </c>
      <c r="G653" s="26" t="s">
        <v>299</v>
      </c>
    </row>
    <row r="654" spans="1:7" ht="30" customHeight="1">
      <c r="A654" s="24" t="s">
        <v>1841</v>
      </c>
      <c r="B654" s="24" t="s">
        <v>143</v>
      </c>
      <c r="C654" s="24" t="s">
        <v>182</v>
      </c>
      <c r="D654" s="24"/>
      <c r="E654" s="24">
        <v>0</v>
      </c>
      <c r="F654" s="28" t="s">
        <v>1842</v>
      </c>
      <c r="G654" s="24" t="s">
        <v>299</v>
      </c>
    </row>
    <row r="655" spans="1:7" ht="30" customHeight="1">
      <c r="A655" s="26" t="s">
        <v>1843</v>
      </c>
      <c r="B655" s="26" t="s">
        <v>143</v>
      </c>
      <c r="C655" s="26" t="s">
        <v>172</v>
      </c>
      <c r="D655" s="26"/>
      <c r="E655" s="26">
        <v>0</v>
      </c>
      <c r="F655" s="29" t="s">
        <v>1844</v>
      </c>
      <c r="G655" s="26" t="s">
        <v>299</v>
      </c>
    </row>
    <row r="656" spans="1:7" ht="30" customHeight="1">
      <c r="A656" s="24" t="s">
        <v>1845</v>
      </c>
      <c r="B656" s="24" t="s">
        <v>539</v>
      </c>
      <c r="C656" s="24" t="s">
        <v>172</v>
      </c>
      <c r="D656" s="24"/>
      <c r="E656" s="24">
        <v>0</v>
      </c>
      <c r="F656" s="28" t="s">
        <v>1846</v>
      </c>
      <c r="G656" s="24" t="s">
        <v>299</v>
      </c>
    </row>
    <row r="657" spans="1:7" ht="30" customHeight="1">
      <c r="A657" s="26" t="s">
        <v>1847</v>
      </c>
      <c r="B657" s="26" t="s">
        <v>144</v>
      </c>
      <c r="C657" s="26" t="s">
        <v>172</v>
      </c>
      <c r="D657" s="26"/>
      <c r="E657" s="26">
        <v>0</v>
      </c>
      <c r="F657" s="29" t="s">
        <v>1848</v>
      </c>
      <c r="G657" s="26" t="s">
        <v>299</v>
      </c>
    </row>
    <row r="658" spans="1:7" ht="30" customHeight="1">
      <c r="A658" s="24" t="s">
        <v>1849</v>
      </c>
      <c r="B658" s="24" t="s">
        <v>572</v>
      </c>
      <c r="C658" s="24" t="s">
        <v>172</v>
      </c>
      <c r="D658" s="24"/>
      <c r="E658" s="24">
        <v>0</v>
      </c>
      <c r="F658" s="28" t="s">
        <v>1850</v>
      </c>
      <c r="G658" s="24" t="s">
        <v>299</v>
      </c>
    </row>
    <row r="659" spans="1:7" ht="30" customHeight="1">
      <c r="A659" s="26" t="s">
        <v>1851</v>
      </c>
      <c r="B659" s="26" t="s">
        <v>581</v>
      </c>
      <c r="C659" s="26" t="s">
        <v>172</v>
      </c>
      <c r="D659" s="26"/>
      <c r="E659" s="26">
        <v>0</v>
      </c>
      <c r="F659" s="29" t="s">
        <v>1852</v>
      </c>
      <c r="G659" s="26" t="s">
        <v>299</v>
      </c>
    </row>
    <row r="660" spans="1:7" ht="30" customHeight="1">
      <c r="A660" s="24" t="s">
        <v>1853</v>
      </c>
      <c r="B660" s="24" t="s">
        <v>143</v>
      </c>
      <c r="C660" s="24" t="s">
        <v>172</v>
      </c>
      <c r="D660" s="24"/>
      <c r="E660" s="24">
        <v>0</v>
      </c>
      <c r="F660" s="28" t="s">
        <v>1854</v>
      </c>
      <c r="G660" s="24" t="s">
        <v>299</v>
      </c>
    </row>
    <row r="661" spans="1:7" ht="30" customHeight="1">
      <c r="A661" s="26" t="s">
        <v>1855</v>
      </c>
      <c r="B661" s="26" t="s">
        <v>539</v>
      </c>
      <c r="C661" s="26" t="s">
        <v>172</v>
      </c>
      <c r="D661" s="26"/>
      <c r="E661" s="26">
        <v>0</v>
      </c>
      <c r="F661" s="29" t="s">
        <v>1856</v>
      </c>
      <c r="G661" s="26" t="s">
        <v>299</v>
      </c>
    </row>
    <row r="662" spans="1:7" ht="30" customHeight="1">
      <c r="A662" s="24" t="s">
        <v>1857</v>
      </c>
      <c r="B662" s="24" t="s">
        <v>1099</v>
      </c>
      <c r="C662" s="24" t="s">
        <v>172</v>
      </c>
      <c r="D662" s="24"/>
      <c r="E662" s="24">
        <v>0</v>
      </c>
      <c r="F662" s="28" t="s">
        <v>1858</v>
      </c>
      <c r="G662" s="24" t="s">
        <v>299</v>
      </c>
    </row>
    <row r="663" spans="1:7" ht="30" customHeight="1">
      <c r="A663" s="26" t="s">
        <v>1859</v>
      </c>
      <c r="B663" s="26" t="s">
        <v>143</v>
      </c>
      <c r="C663" s="26" t="s">
        <v>182</v>
      </c>
      <c r="D663" s="26"/>
      <c r="E663" s="26">
        <v>0</v>
      </c>
      <c r="F663" s="29" t="s">
        <v>1860</v>
      </c>
      <c r="G663" s="26" t="s">
        <v>299</v>
      </c>
    </row>
    <row r="664" spans="1:7" ht="30" customHeight="1">
      <c r="A664" s="24" t="s">
        <v>1861</v>
      </c>
      <c r="B664" s="24" t="s">
        <v>145</v>
      </c>
      <c r="C664" s="24" t="s">
        <v>172</v>
      </c>
      <c r="D664" s="24"/>
      <c r="E664" s="24">
        <v>0</v>
      </c>
      <c r="F664" s="28" t="s">
        <v>1862</v>
      </c>
      <c r="G664" s="24" t="s">
        <v>299</v>
      </c>
    </row>
    <row r="665" spans="1:7" ht="30" customHeight="1">
      <c r="A665" s="26" t="s">
        <v>1863</v>
      </c>
      <c r="B665" s="26" t="s">
        <v>143</v>
      </c>
      <c r="C665" s="26" t="s">
        <v>172</v>
      </c>
      <c r="D665" s="26"/>
      <c r="E665" s="26">
        <v>0</v>
      </c>
      <c r="F665" s="29" t="s">
        <v>1864</v>
      </c>
      <c r="G665" s="26" t="s">
        <v>299</v>
      </c>
    </row>
    <row r="666" spans="1:7" ht="30" customHeight="1">
      <c r="A666" s="24" t="s">
        <v>1865</v>
      </c>
      <c r="B666" s="24" t="s">
        <v>143</v>
      </c>
      <c r="C666" s="24" t="s">
        <v>172</v>
      </c>
      <c r="D666" s="24"/>
      <c r="E666" s="24">
        <v>0</v>
      </c>
      <c r="F666" s="28" t="s">
        <v>1866</v>
      </c>
      <c r="G666" s="24" t="s">
        <v>299</v>
      </c>
    </row>
    <row r="667" spans="1:7" ht="30" customHeight="1">
      <c r="A667" s="26" t="s">
        <v>1867</v>
      </c>
      <c r="B667" s="26" t="s">
        <v>572</v>
      </c>
      <c r="C667" s="26" t="s">
        <v>172</v>
      </c>
      <c r="D667" s="26"/>
      <c r="E667" s="26">
        <v>0</v>
      </c>
      <c r="F667" s="29" t="s">
        <v>1868</v>
      </c>
      <c r="G667" s="26" t="s">
        <v>299</v>
      </c>
    </row>
    <row r="668" spans="1:7" ht="30" customHeight="1">
      <c r="A668" s="24" t="s">
        <v>1869</v>
      </c>
      <c r="B668" s="24" t="s">
        <v>144</v>
      </c>
      <c r="C668" s="24" t="s">
        <v>182</v>
      </c>
      <c r="D668" s="24"/>
      <c r="E668" s="24">
        <v>0</v>
      </c>
      <c r="F668" s="28" t="s">
        <v>1870</v>
      </c>
      <c r="G668" s="24" t="s">
        <v>299</v>
      </c>
    </row>
    <row r="669" spans="1:7" ht="30" customHeight="1">
      <c r="A669" s="26" t="s">
        <v>1871</v>
      </c>
      <c r="B669" s="26" t="s">
        <v>539</v>
      </c>
      <c r="C669" s="26" t="s">
        <v>172</v>
      </c>
      <c r="D669" s="26"/>
      <c r="E669" s="26">
        <v>0</v>
      </c>
      <c r="F669" s="29" t="s">
        <v>1872</v>
      </c>
      <c r="G669" s="26" t="s">
        <v>299</v>
      </c>
    </row>
    <row r="670" spans="1:7" ht="30" customHeight="1">
      <c r="A670" s="24" t="s">
        <v>1873</v>
      </c>
      <c r="B670" s="24" t="s">
        <v>544</v>
      </c>
      <c r="C670" s="24" t="s">
        <v>172</v>
      </c>
      <c r="D670" s="24"/>
      <c r="E670" s="24">
        <v>0</v>
      </c>
      <c r="F670" s="28" t="s">
        <v>1874</v>
      </c>
      <c r="G670" s="24" t="s">
        <v>299</v>
      </c>
    </row>
    <row r="671" spans="1:7" ht="30" customHeight="1">
      <c r="A671" s="26" t="s">
        <v>1875</v>
      </c>
      <c r="B671" s="26" t="s">
        <v>572</v>
      </c>
      <c r="C671" s="26" t="s">
        <v>172</v>
      </c>
      <c r="D671" s="26"/>
      <c r="E671" s="26">
        <v>0</v>
      </c>
      <c r="F671" s="29" t="s">
        <v>1876</v>
      </c>
      <c r="G671" s="26" t="s">
        <v>299</v>
      </c>
    </row>
    <row r="672" spans="1:7" ht="30" customHeight="1">
      <c r="A672" s="24" t="s">
        <v>1877</v>
      </c>
      <c r="B672" s="24" t="s">
        <v>143</v>
      </c>
      <c r="C672" s="24" t="s">
        <v>172</v>
      </c>
      <c r="D672" s="24"/>
      <c r="E672" s="24">
        <v>0</v>
      </c>
      <c r="F672" s="28" t="s">
        <v>1878</v>
      </c>
      <c r="G672" s="24" t="s">
        <v>299</v>
      </c>
    </row>
    <row r="673" spans="1:7" ht="30" customHeight="1">
      <c r="A673" s="26" t="s">
        <v>1879</v>
      </c>
      <c r="B673" s="26" t="s">
        <v>572</v>
      </c>
      <c r="C673" s="26" t="s">
        <v>172</v>
      </c>
      <c r="D673" s="26"/>
      <c r="E673" s="26">
        <v>0</v>
      </c>
      <c r="F673" s="29" t="s">
        <v>1880</v>
      </c>
      <c r="G673" s="26" t="s">
        <v>299</v>
      </c>
    </row>
    <row r="674" spans="1:7" ht="30" customHeight="1">
      <c r="A674" s="24" t="s">
        <v>1881</v>
      </c>
      <c r="B674" s="24" t="s">
        <v>544</v>
      </c>
      <c r="C674" s="24" t="s">
        <v>172</v>
      </c>
      <c r="D674" s="24"/>
      <c r="E674" s="24">
        <v>0</v>
      </c>
      <c r="F674" s="28" t="s">
        <v>1882</v>
      </c>
      <c r="G674" s="24" t="s">
        <v>299</v>
      </c>
    </row>
    <row r="675" spans="1:7" ht="30" customHeight="1">
      <c r="A675" s="26" t="s">
        <v>1883</v>
      </c>
      <c r="B675" s="26" t="s">
        <v>581</v>
      </c>
      <c r="C675" s="26" t="s">
        <v>172</v>
      </c>
      <c r="D675" s="26"/>
      <c r="E675" s="26">
        <v>0</v>
      </c>
      <c r="F675" s="29" t="s">
        <v>1884</v>
      </c>
      <c r="G675" s="26" t="s">
        <v>299</v>
      </c>
    </row>
    <row r="676" spans="1:7" ht="30" customHeight="1">
      <c r="A676" s="24" t="s">
        <v>1885</v>
      </c>
      <c r="B676" s="24" t="s">
        <v>1886</v>
      </c>
      <c r="C676" s="24" t="s">
        <v>172</v>
      </c>
      <c r="D676" s="24"/>
      <c r="E676" s="24">
        <v>0</v>
      </c>
      <c r="F676" s="28" t="s">
        <v>1887</v>
      </c>
      <c r="G676" s="24" t="s">
        <v>299</v>
      </c>
    </row>
    <row r="677" spans="1:7" ht="30" customHeight="1">
      <c r="A677" s="26" t="s">
        <v>1888</v>
      </c>
      <c r="B677" s="26" t="s">
        <v>572</v>
      </c>
      <c r="C677" s="26" t="s">
        <v>172</v>
      </c>
      <c r="D677" s="26"/>
      <c r="E677" s="26">
        <v>0</v>
      </c>
      <c r="F677" s="29" t="s">
        <v>1889</v>
      </c>
      <c r="G677" s="26" t="s">
        <v>299</v>
      </c>
    </row>
    <row r="678" spans="1:7" ht="30" customHeight="1">
      <c r="A678" s="24" t="s">
        <v>1890</v>
      </c>
      <c r="B678" s="24" t="s">
        <v>144</v>
      </c>
      <c r="C678" s="24" t="s">
        <v>172</v>
      </c>
      <c r="D678" s="24"/>
      <c r="E678" s="24">
        <v>0</v>
      </c>
      <c r="F678" s="28" t="s">
        <v>1891</v>
      </c>
      <c r="G678" s="24" t="s">
        <v>299</v>
      </c>
    </row>
    <row r="679" spans="1:7" ht="30" customHeight="1">
      <c r="A679" s="26" t="s">
        <v>1892</v>
      </c>
      <c r="B679" s="26" t="s">
        <v>143</v>
      </c>
      <c r="C679" s="26" t="s">
        <v>182</v>
      </c>
      <c r="D679" s="26"/>
      <c r="E679" s="26">
        <v>0</v>
      </c>
      <c r="F679" s="29" t="s">
        <v>1893</v>
      </c>
      <c r="G679" s="26" t="s">
        <v>299</v>
      </c>
    </row>
    <row r="680" spans="1:7" ht="30" customHeight="1">
      <c r="A680" s="24" t="s">
        <v>1894</v>
      </c>
      <c r="B680" s="24" t="s">
        <v>144</v>
      </c>
      <c r="C680" s="24" t="s">
        <v>172</v>
      </c>
      <c r="D680" s="24"/>
      <c r="E680" s="24">
        <v>0</v>
      </c>
      <c r="F680" s="28" t="s">
        <v>1895</v>
      </c>
      <c r="G680" s="24" t="s">
        <v>299</v>
      </c>
    </row>
    <row r="681" spans="1:7" ht="30" customHeight="1">
      <c r="A681" s="26" t="s">
        <v>1896</v>
      </c>
      <c r="B681" s="26" t="s">
        <v>144</v>
      </c>
      <c r="C681" s="26" t="s">
        <v>172</v>
      </c>
      <c r="D681" s="26"/>
      <c r="E681" s="26">
        <v>0</v>
      </c>
      <c r="F681" s="29" t="s">
        <v>1897</v>
      </c>
      <c r="G681" s="26" t="s">
        <v>299</v>
      </c>
    </row>
    <row r="682" spans="1:7" ht="30" customHeight="1">
      <c r="A682" s="24" t="s">
        <v>1898</v>
      </c>
      <c r="B682" s="24" t="s">
        <v>144</v>
      </c>
      <c r="C682" s="24" t="s">
        <v>172</v>
      </c>
      <c r="D682" s="24"/>
      <c r="E682" s="24">
        <v>0</v>
      </c>
      <c r="F682" s="28" t="s">
        <v>1899</v>
      </c>
      <c r="G682" s="24" t="s">
        <v>299</v>
      </c>
    </row>
    <row r="683" spans="1:7" ht="30" customHeight="1">
      <c r="A683" s="26" t="s">
        <v>1900</v>
      </c>
      <c r="B683" s="26" t="s">
        <v>539</v>
      </c>
      <c r="C683" s="26" t="s">
        <v>172</v>
      </c>
      <c r="D683" s="26"/>
      <c r="E683" s="26">
        <v>0</v>
      </c>
      <c r="F683" s="29" t="s">
        <v>1901</v>
      </c>
      <c r="G683" s="26" t="s">
        <v>299</v>
      </c>
    </row>
    <row r="684" spans="1:7" ht="30" customHeight="1">
      <c r="A684" s="24" t="s">
        <v>1902</v>
      </c>
      <c r="B684" s="24" t="s">
        <v>144</v>
      </c>
      <c r="C684" s="24" t="s">
        <v>172</v>
      </c>
      <c r="D684" s="24"/>
      <c r="E684" s="24">
        <v>0</v>
      </c>
      <c r="F684" s="28" t="s">
        <v>1903</v>
      </c>
      <c r="G684" s="24" t="s">
        <v>299</v>
      </c>
    </row>
    <row r="685" spans="1:7" ht="30" customHeight="1">
      <c r="A685" s="26" t="s">
        <v>1904</v>
      </c>
      <c r="B685" s="26" t="s">
        <v>143</v>
      </c>
      <c r="C685" s="26" t="s">
        <v>172</v>
      </c>
      <c r="D685" s="26"/>
      <c r="E685" s="26">
        <v>0</v>
      </c>
      <c r="F685" s="29" t="s">
        <v>1905</v>
      </c>
      <c r="G685" s="26" t="s">
        <v>299</v>
      </c>
    </row>
    <row r="686" spans="1:7" ht="30" customHeight="1">
      <c r="A686" s="24" t="s">
        <v>1906</v>
      </c>
      <c r="B686" s="24" t="s">
        <v>143</v>
      </c>
      <c r="C686" s="24" t="s">
        <v>182</v>
      </c>
      <c r="D686" s="24"/>
      <c r="E686" s="24">
        <v>0</v>
      </c>
      <c r="F686" s="28" t="s">
        <v>1907</v>
      </c>
      <c r="G686" s="24" t="s">
        <v>299</v>
      </c>
    </row>
    <row r="687" spans="1:7" ht="30" customHeight="1">
      <c r="A687" s="26" t="s">
        <v>1908</v>
      </c>
      <c r="B687" s="26" t="s">
        <v>143</v>
      </c>
      <c r="C687" s="26" t="s">
        <v>172</v>
      </c>
      <c r="D687" s="26"/>
      <c r="E687" s="26">
        <v>0</v>
      </c>
      <c r="F687" s="29" t="s">
        <v>1909</v>
      </c>
      <c r="G687" s="26" t="s">
        <v>299</v>
      </c>
    </row>
    <row r="688" spans="1:7" ht="30" customHeight="1">
      <c r="A688" s="24" t="s">
        <v>1910</v>
      </c>
      <c r="B688" s="24" t="s">
        <v>143</v>
      </c>
      <c r="C688" s="24" t="s">
        <v>172</v>
      </c>
      <c r="D688" s="24"/>
      <c r="E688" s="24">
        <v>0</v>
      </c>
      <c r="F688" s="28" t="s">
        <v>1911</v>
      </c>
      <c r="G688" s="24" t="s">
        <v>299</v>
      </c>
    </row>
    <row r="689" spans="1:7" ht="30" customHeight="1">
      <c r="A689" s="26" t="s">
        <v>1912</v>
      </c>
      <c r="B689" s="26" t="s">
        <v>143</v>
      </c>
      <c r="C689" s="26" t="s">
        <v>172</v>
      </c>
      <c r="D689" s="26"/>
      <c r="E689" s="26">
        <v>0</v>
      </c>
      <c r="F689" s="29" t="s">
        <v>1913</v>
      </c>
      <c r="G689" s="26" t="s">
        <v>299</v>
      </c>
    </row>
    <row r="690" spans="1:7" ht="30" customHeight="1">
      <c r="A690" s="24" t="s">
        <v>1914</v>
      </c>
      <c r="B690" s="24" t="s">
        <v>544</v>
      </c>
      <c r="C690" s="24" t="s">
        <v>172</v>
      </c>
      <c r="D690" s="24"/>
      <c r="E690" s="24">
        <v>0</v>
      </c>
      <c r="F690" s="28" t="s">
        <v>1915</v>
      </c>
      <c r="G690" s="24" t="s">
        <v>299</v>
      </c>
    </row>
    <row r="691" spans="1:7" ht="30" customHeight="1">
      <c r="A691" s="26" t="s">
        <v>1916</v>
      </c>
      <c r="B691" s="26" t="s">
        <v>1099</v>
      </c>
      <c r="C691" s="26" t="s">
        <v>172</v>
      </c>
      <c r="D691" s="26"/>
      <c r="E691" s="26">
        <v>0</v>
      </c>
      <c r="F691" s="29" t="s">
        <v>1917</v>
      </c>
      <c r="G691" s="26" t="s">
        <v>299</v>
      </c>
    </row>
    <row r="692" spans="1:7" ht="30" customHeight="1">
      <c r="A692" s="24" t="s">
        <v>1918</v>
      </c>
      <c r="B692" s="24" t="s">
        <v>539</v>
      </c>
      <c r="C692" s="24" t="s">
        <v>172</v>
      </c>
      <c r="D692" s="24"/>
      <c r="E692" s="24">
        <v>0</v>
      </c>
      <c r="F692" s="28" t="s">
        <v>1919</v>
      </c>
      <c r="G692" s="24" t="s">
        <v>299</v>
      </c>
    </row>
    <row r="693" spans="1:7" ht="30" customHeight="1">
      <c r="A693" s="26" t="s">
        <v>1920</v>
      </c>
      <c r="B693" s="26" t="s">
        <v>143</v>
      </c>
      <c r="C693" s="26" t="s">
        <v>172</v>
      </c>
      <c r="D693" s="26"/>
      <c r="E693" s="26">
        <v>0</v>
      </c>
      <c r="F693" s="29" t="s">
        <v>1921</v>
      </c>
      <c r="G693" s="26" t="s">
        <v>299</v>
      </c>
    </row>
    <row r="694" spans="1:7" ht="30" customHeight="1">
      <c r="A694" s="24" t="s">
        <v>1922</v>
      </c>
      <c r="B694" s="24" t="s">
        <v>143</v>
      </c>
      <c r="C694" s="24" t="s">
        <v>182</v>
      </c>
      <c r="D694" s="24"/>
      <c r="E694" s="24">
        <v>0</v>
      </c>
      <c r="F694" s="28" t="s">
        <v>1923</v>
      </c>
      <c r="G694" s="24" t="s">
        <v>299</v>
      </c>
    </row>
    <row r="695" spans="1:7" ht="30" customHeight="1">
      <c r="A695" s="26" t="s">
        <v>1924</v>
      </c>
      <c r="B695" s="26" t="s">
        <v>143</v>
      </c>
      <c r="C695" s="26" t="s">
        <v>172</v>
      </c>
      <c r="D695" s="26"/>
      <c r="E695" s="26">
        <v>0</v>
      </c>
      <c r="F695" s="29" t="s">
        <v>1925</v>
      </c>
      <c r="G695" s="26" t="s">
        <v>299</v>
      </c>
    </row>
    <row r="696" spans="1:7" ht="30" customHeight="1">
      <c r="A696" s="24" t="s">
        <v>1926</v>
      </c>
      <c r="B696" s="24" t="s">
        <v>144</v>
      </c>
      <c r="C696" s="24" t="s">
        <v>172</v>
      </c>
      <c r="D696" s="24"/>
      <c r="E696" s="24">
        <v>0</v>
      </c>
      <c r="F696" s="28" t="s">
        <v>1927</v>
      </c>
      <c r="G696" s="24" t="s">
        <v>299</v>
      </c>
    </row>
    <row r="697" spans="1:7" ht="30" customHeight="1">
      <c r="A697" s="26" t="s">
        <v>1928</v>
      </c>
      <c r="B697" s="26" t="s">
        <v>226</v>
      </c>
      <c r="C697" s="26" t="s">
        <v>172</v>
      </c>
      <c r="D697" s="26"/>
      <c r="E697" s="26">
        <v>0</v>
      </c>
      <c r="F697" s="29" t="s">
        <v>1929</v>
      </c>
      <c r="G697" s="26" t="s">
        <v>299</v>
      </c>
    </row>
    <row r="698" spans="1:7" ht="30" customHeight="1">
      <c r="A698" s="24" t="s">
        <v>1930</v>
      </c>
      <c r="B698" s="24" t="s">
        <v>144</v>
      </c>
      <c r="C698" s="24" t="s">
        <v>172</v>
      </c>
      <c r="D698" s="24"/>
      <c r="E698" s="24">
        <v>0</v>
      </c>
      <c r="F698" s="28" t="s">
        <v>1931</v>
      </c>
      <c r="G698" s="24" t="s">
        <v>299</v>
      </c>
    </row>
    <row r="699" spans="1:7" ht="30" customHeight="1">
      <c r="A699" s="26" t="s">
        <v>1932</v>
      </c>
      <c r="B699" s="26" t="s">
        <v>144</v>
      </c>
      <c r="C699" s="26" t="s">
        <v>172</v>
      </c>
      <c r="D699" s="26"/>
      <c r="E699" s="26">
        <v>0</v>
      </c>
      <c r="F699" s="29" t="s">
        <v>1933</v>
      </c>
      <c r="G699" s="26" t="s">
        <v>299</v>
      </c>
    </row>
    <row r="700" spans="1:7" ht="30" customHeight="1">
      <c r="A700" s="24" t="s">
        <v>1934</v>
      </c>
      <c r="B700" s="24" t="s">
        <v>544</v>
      </c>
      <c r="C700" s="24" t="s">
        <v>172</v>
      </c>
      <c r="D700" s="24"/>
      <c r="E700" s="24">
        <v>0</v>
      </c>
      <c r="F700" s="28" t="s">
        <v>1935</v>
      </c>
      <c r="G700" s="24" t="s">
        <v>299</v>
      </c>
    </row>
    <row r="701" spans="1:7" ht="30" customHeight="1">
      <c r="A701" s="26" t="s">
        <v>1936</v>
      </c>
      <c r="B701" s="26" t="s">
        <v>572</v>
      </c>
      <c r="C701" s="26" t="s">
        <v>172</v>
      </c>
      <c r="D701" s="26"/>
      <c r="E701" s="26">
        <v>0</v>
      </c>
      <c r="F701" s="29" t="s">
        <v>1937</v>
      </c>
      <c r="G701" s="26" t="s">
        <v>299</v>
      </c>
    </row>
    <row r="702" spans="1:7" ht="30" customHeight="1">
      <c r="A702" s="24" t="s">
        <v>1938</v>
      </c>
      <c r="B702" s="24" t="s">
        <v>581</v>
      </c>
      <c r="C702" s="24" t="s">
        <v>172</v>
      </c>
      <c r="D702" s="24"/>
      <c r="E702" s="24">
        <v>0</v>
      </c>
      <c r="F702" s="28" t="s">
        <v>1939</v>
      </c>
      <c r="G702" s="24" t="s">
        <v>299</v>
      </c>
    </row>
    <row r="703" spans="1:7" ht="30" customHeight="1">
      <c r="A703" s="26" t="s">
        <v>1940</v>
      </c>
      <c r="B703" s="26" t="s">
        <v>226</v>
      </c>
      <c r="C703" s="26" t="s">
        <v>182</v>
      </c>
      <c r="D703" s="26"/>
      <c r="E703" s="26">
        <v>0</v>
      </c>
      <c r="F703" s="29" t="s">
        <v>1941</v>
      </c>
      <c r="G703" s="26" t="s">
        <v>299</v>
      </c>
    </row>
    <row r="704" spans="1:7" ht="30" customHeight="1">
      <c r="A704" s="24" t="s">
        <v>1942</v>
      </c>
      <c r="B704" s="24" t="s">
        <v>143</v>
      </c>
      <c r="C704" s="24" t="s">
        <v>182</v>
      </c>
      <c r="D704" s="24"/>
      <c r="E704" s="24">
        <v>0</v>
      </c>
      <c r="F704" s="28" t="s">
        <v>1943</v>
      </c>
      <c r="G704" s="24" t="s">
        <v>299</v>
      </c>
    </row>
    <row r="705" spans="1:7" ht="30" customHeight="1">
      <c r="A705" s="26" t="s">
        <v>1944</v>
      </c>
      <c r="B705" s="26" t="s">
        <v>572</v>
      </c>
      <c r="C705" s="26" t="s">
        <v>172</v>
      </c>
      <c r="D705" s="26"/>
      <c r="E705" s="26">
        <v>0</v>
      </c>
      <c r="F705" s="29" t="s">
        <v>1945</v>
      </c>
      <c r="G705" s="26" t="s">
        <v>299</v>
      </c>
    </row>
    <row r="706" spans="1:7" ht="30" customHeight="1">
      <c r="A706" s="24" t="s">
        <v>1946</v>
      </c>
      <c r="B706" s="24" t="s">
        <v>143</v>
      </c>
      <c r="C706" s="24" t="s">
        <v>182</v>
      </c>
      <c r="D706" s="24"/>
      <c r="E706" s="24">
        <v>0</v>
      </c>
      <c r="F706" s="28" t="s">
        <v>1947</v>
      </c>
      <c r="G706" s="24" t="s">
        <v>299</v>
      </c>
    </row>
    <row r="707" spans="1:7" ht="30" customHeight="1">
      <c r="A707" s="26" t="s">
        <v>1948</v>
      </c>
      <c r="B707" s="26" t="s">
        <v>539</v>
      </c>
      <c r="C707" s="26" t="s">
        <v>172</v>
      </c>
      <c r="D707" s="26"/>
      <c r="E707" s="26">
        <v>0</v>
      </c>
      <c r="F707" s="29" t="s">
        <v>1949</v>
      </c>
      <c r="G707" s="26" t="s">
        <v>299</v>
      </c>
    </row>
    <row r="708" spans="1:7" ht="30" customHeight="1">
      <c r="A708" s="24" t="s">
        <v>1950</v>
      </c>
      <c r="B708" s="24" t="s">
        <v>144</v>
      </c>
      <c r="C708" s="24" t="s">
        <v>172</v>
      </c>
      <c r="D708" s="24"/>
      <c r="E708" s="24">
        <v>0</v>
      </c>
      <c r="F708" s="28" t="s">
        <v>1951</v>
      </c>
      <c r="G708" s="24" t="s">
        <v>299</v>
      </c>
    </row>
    <row r="709" spans="1:7" ht="30" customHeight="1">
      <c r="A709" s="26" t="s">
        <v>1952</v>
      </c>
      <c r="B709" s="26" t="s">
        <v>1099</v>
      </c>
      <c r="C709" s="26" t="s">
        <v>172</v>
      </c>
      <c r="D709" s="26"/>
      <c r="E709" s="26">
        <v>0</v>
      </c>
      <c r="F709" s="29" t="s">
        <v>1953</v>
      </c>
      <c r="G709" s="26" t="s">
        <v>299</v>
      </c>
    </row>
    <row r="710" spans="1:7" ht="30" customHeight="1">
      <c r="A710" s="24" t="s">
        <v>1954</v>
      </c>
      <c r="B710" s="24" t="s">
        <v>143</v>
      </c>
      <c r="C710" s="24" t="s">
        <v>172</v>
      </c>
      <c r="D710" s="24"/>
      <c r="E710" s="24">
        <v>0</v>
      </c>
      <c r="F710" s="28" t="s">
        <v>1955</v>
      </c>
      <c r="G710" s="24" t="s">
        <v>299</v>
      </c>
    </row>
    <row r="711" spans="1:7" ht="30" customHeight="1">
      <c r="A711" s="26" t="s">
        <v>1956</v>
      </c>
      <c r="B711" s="26" t="s">
        <v>226</v>
      </c>
      <c r="C711" s="26" t="s">
        <v>172</v>
      </c>
      <c r="D711" s="26"/>
      <c r="E711" s="26">
        <v>0</v>
      </c>
      <c r="F711" s="29" t="s">
        <v>1957</v>
      </c>
      <c r="G711" s="26" t="s">
        <v>299</v>
      </c>
    </row>
    <row r="712" spans="1:7" ht="30" customHeight="1">
      <c r="A712" s="24" t="s">
        <v>1958</v>
      </c>
      <c r="B712" s="24" t="s">
        <v>143</v>
      </c>
      <c r="C712" s="24" t="s">
        <v>172</v>
      </c>
      <c r="D712" s="24"/>
      <c r="E712" s="24">
        <v>0</v>
      </c>
      <c r="F712" s="28" t="s">
        <v>1959</v>
      </c>
      <c r="G712" s="24" t="s">
        <v>299</v>
      </c>
    </row>
    <row r="713" spans="1:7" ht="30" customHeight="1">
      <c r="A713" s="26" t="s">
        <v>1960</v>
      </c>
      <c r="B713" s="26" t="s">
        <v>144</v>
      </c>
      <c r="C713" s="26" t="s">
        <v>172</v>
      </c>
      <c r="D713" s="26"/>
      <c r="E713" s="26">
        <v>0</v>
      </c>
      <c r="F713" s="29" t="s">
        <v>1961</v>
      </c>
      <c r="G713" s="26" t="s">
        <v>299</v>
      </c>
    </row>
    <row r="714" spans="1:7" ht="30" customHeight="1">
      <c r="A714" s="24" t="s">
        <v>1962</v>
      </c>
      <c r="B714" s="24" t="s">
        <v>572</v>
      </c>
      <c r="C714" s="24" t="s">
        <v>172</v>
      </c>
      <c r="D714" s="24"/>
      <c r="E714" s="24">
        <v>0</v>
      </c>
      <c r="F714" s="28" t="s">
        <v>1963</v>
      </c>
      <c r="G714" s="24" t="s">
        <v>299</v>
      </c>
    </row>
    <row r="715" spans="1:7" ht="30" customHeight="1">
      <c r="A715" s="26" t="s">
        <v>1964</v>
      </c>
      <c r="B715" s="26" t="s">
        <v>572</v>
      </c>
      <c r="C715" s="26" t="s">
        <v>172</v>
      </c>
      <c r="D715" s="26"/>
      <c r="E715" s="26">
        <v>0</v>
      </c>
      <c r="F715" s="29" t="s">
        <v>1965</v>
      </c>
      <c r="G715" s="26" t="s">
        <v>299</v>
      </c>
    </row>
    <row r="716" spans="1:7" ht="30" customHeight="1">
      <c r="A716" s="24" t="s">
        <v>1966</v>
      </c>
      <c r="B716" s="24" t="s">
        <v>143</v>
      </c>
      <c r="C716" s="24" t="s">
        <v>172</v>
      </c>
      <c r="D716" s="24"/>
      <c r="E716" s="24">
        <v>0</v>
      </c>
      <c r="F716" s="28" t="s">
        <v>1967</v>
      </c>
      <c r="G716" s="24" t="s">
        <v>299</v>
      </c>
    </row>
    <row r="717" spans="1:7" ht="30" customHeight="1">
      <c r="A717" s="26" t="s">
        <v>1968</v>
      </c>
      <c r="B717" s="26" t="s">
        <v>143</v>
      </c>
      <c r="C717" s="26" t="s">
        <v>172</v>
      </c>
      <c r="D717" s="26"/>
      <c r="E717" s="26">
        <v>0</v>
      </c>
      <c r="F717" s="29" t="s">
        <v>1969</v>
      </c>
      <c r="G717" s="26" t="s">
        <v>299</v>
      </c>
    </row>
    <row r="718" spans="1:7" ht="30" customHeight="1">
      <c r="A718" s="24" t="s">
        <v>1970</v>
      </c>
      <c r="B718" s="24" t="s">
        <v>143</v>
      </c>
      <c r="C718" s="24" t="s">
        <v>172</v>
      </c>
      <c r="D718" s="24"/>
      <c r="E718" s="24">
        <v>0</v>
      </c>
      <c r="F718" s="28" t="s">
        <v>1971</v>
      </c>
      <c r="G718" s="24" t="s">
        <v>299</v>
      </c>
    </row>
    <row r="719" spans="1:7" ht="30" customHeight="1">
      <c r="A719" s="26" t="s">
        <v>1972</v>
      </c>
      <c r="B719" s="26" t="s">
        <v>143</v>
      </c>
      <c r="C719" s="26" t="s">
        <v>182</v>
      </c>
      <c r="D719" s="26"/>
      <c r="E719" s="26">
        <v>0</v>
      </c>
      <c r="F719" s="29" t="s">
        <v>1973</v>
      </c>
      <c r="G719" s="26" t="s">
        <v>299</v>
      </c>
    </row>
    <row r="720" spans="1:7" ht="30" customHeight="1">
      <c r="A720" s="24" t="s">
        <v>1974</v>
      </c>
      <c r="B720" s="24" t="s">
        <v>572</v>
      </c>
      <c r="C720" s="24" t="s">
        <v>172</v>
      </c>
      <c r="D720" s="24"/>
      <c r="E720" s="24">
        <v>0</v>
      </c>
      <c r="F720" s="28" t="s">
        <v>1975</v>
      </c>
      <c r="G720" s="24" t="s">
        <v>299</v>
      </c>
    </row>
    <row r="721" spans="1:7" ht="30" customHeight="1">
      <c r="A721" s="26" t="s">
        <v>1976</v>
      </c>
      <c r="B721" s="26" t="s">
        <v>144</v>
      </c>
      <c r="C721" s="26" t="s">
        <v>172</v>
      </c>
      <c r="D721" s="26"/>
      <c r="E721" s="26">
        <v>0</v>
      </c>
      <c r="F721" s="29" t="s">
        <v>1977</v>
      </c>
      <c r="G721" s="26" t="s">
        <v>299</v>
      </c>
    </row>
    <row r="722" spans="1:7" ht="30" customHeight="1">
      <c r="A722" s="24" t="s">
        <v>1978</v>
      </c>
      <c r="B722" s="24" t="s">
        <v>572</v>
      </c>
      <c r="C722" s="24" t="s">
        <v>172</v>
      </c>
      <c r="D722" s="24"/>
      <c r="E722" s="24">
        <v>0</v>
      </c>
      <c r="F722" s="28" t="s">
        <v>1979</v>
      </c>
      <c r="G722" s="24" t="s">
        <v>299</v>
      </c>
    </row>
    <row r="723" spans="1:7" ht="30" customHeight="1">
      <c r="A723" s="26" t="s">
        <v>1980</v>
      </c>
      <c r="B723" s="26" t="s">
        <v>572</v>
      </c>
      <c r="C723" s="26" t="s">
        <v>172</v>
      </c>
      <c r="D723" s="26"/>
      <c r="E723" s="26">
        <v>0</v>
      </c>
      <c r="F723" s="29" t="s">
        <v>1981</v>
      </c>
      <c r="G723" s="26" t="s">
        <v>299</v>
      </c>
    </row>
    <row r="724" spans="1:7" ht="30" customHeight="1">
      <c r="A724" s="24" t="s">
        <v>1982</v>
      </c>
      <c r="B724" s="24" t="s">
        <v>144</v>
      </c>
      <c r="C724" s="24" t="s">
        <v>172</v>
      </c>
      <c r="D724" s="24"/>
      <c r="E724" s="24">
        <v>0</v>
      </c>
      <c r="F724" s="28" t="s">
        <v>1983</v>
      </c>
      <c r="G724" s="24" t="s">
        <v>299</v>
      </c>
    </row>
    <row r="725" spans="1:7" ht="30" customHeight="1">
      <c r="A725" s="26" t="s">
        <v>1984</v>
      </c>
      <c r="B725" s="26" t="s">
        <v>144</v>
      </c>
      <c r="C725" s="26" t="s">
        <v>172</v>
      </c>
      <c r="D725" s="26"/>
      <c r="E725" s="26">
        <v>0</v>
      </c>
      <c r="F725" s="29" t="s">
        <v>1985</v>
      </c>
      <c r="G725" s="26" t="s">
        <v>299</v>
      </c>
    </row>
    <row r="726" spans="1:7" ht="30" customHeight="1">
      <c r="A726" s="24" t="s">
        <v>1986</v>
      </c>
      <c r="B726" s="24" t="s">
        <v>143</v>
      </c>
      <c r="C726" s="24" t="s">
        <v>172</v>
      </c>
      <c r="D726" s="24"/>
      <c r="E726" s="24">
        <v>0</v>
      </c>
      <c r="F726" s="28" t="s">
        <v>1987</v>
      </c>
      <c r="G726" s="24" t="s">
        <v>299</v>
      </c>
    </row>
    <row r="727" spans="1:7" ht="30" customHeight="1">
      <c r="A727" s="26" t="s">
        <v>1988</v>
      </c>
      <c r="B727" s="26" t="s">
        <v>143</v>
      </c>
      <c r="C727" s="26" t="s">
        <v>182</v>
      </c>
      <c r="D727" s="26"/>
      <c r="E727" s="26">
        <v>0</v>
      </c>
      <c r="F727" s="29" t="s">
        <v>1989</v>
      </c>
      <c r="G727" s="26" t="s">
        <v>299</v>
      </c>
    </row>
    <row r="728" spans="1:7" ht="30" customHeight="1">
      <c r="A728" s="24" t="s">
        <v>1990</v>
      </c>
      <c r="B728" s="24" t="s">
        <v>1099</v>
      </c>
      <c r="C728" s="24" t="s">
        <v>172</v>
      </c>
      <c r="D728" s="24"/>
      <c r="E728" s="24">
        <v>0</v>
      </c>
      <c r="F728" s="28" t="s">
        <v>1991</v>
      </c>
      <c r="G728" s="24" t="s">
        <v>299</v>
      </c>
    </row>
    <row r="729" spans="1:7" ht="30" customHeight="1">
      <c r="A729" s="26" t="s">
        <v>1992</v>
      </c>
      <c r="B729" s="26" t="s">
        <v>572</v>
      </c>
      <c r="C729" s="26" t="s">
        <v>172</v>
      </c>
      <c r="D729" s="26"/>
      <c r="E729" s="26">
        <v>0</v>
      </c>
      <c r="F729" s="29" t="s">
        <v>1993</v>
      </c>
      <c r="G729" s="26" t="s">
        <v>299</v>
      </c>
    </row>
    <row r="730" spans="1:7" ht="30" customHeight="1">
      <c r="A730" s="24" t="s">
        <v>1994</v>
      </c>
      <c r="B730" s="24" t="s">
        <v>572</v>
      </c>
      <c r="C730" s="24" t="s">
        <v>172</v>
      </c>
      <c r="D730" s="24"/>
      <c r="E730" s="24">
        <v>0</v>
      </c>
      <c r="F730" s="28" t="s">
        <v>1995</v>
      </c>
      <c r="G730" s="24" t="s">
        <v>299</v>
      </c>
    </row>
    <row r="731" spans="1:7" ht="30" customHeight="1">
      <c r="A731" s="26" t="s">
        <v>1996</v>
      </c>
      <c r="B731" s="26" t="s">
        <v>572</v>
      </c>
      <c r="C731" s="26" t="s">
        <v>172</v>
      </c>
      <c r="D731" s="26"/>
      <c r="E731" s="26">
        <v>0</v>
      </c>
      <c r="F731" s="29" t="s">
        <v>1997</v>
      </c>
      <c r="G731" s="26" t="s">
        <v>299</v>
      </c>
    </row>
    <row r="732" spans="1:7" ht="30" customHeight="1">
      <c r="A732" s="24" t="s">
        <v>1998</v>
      </c>
      <c r="B732" s="24" t="s">
        <v>143</v>
      </c>
      <c r="C732" s="24" t="s">
        <v>182</v>
      </c>
      <c r="D732" s="24"/>
      <c r="E732" s="24">
        <v>0</v>
      </c>
      <c r="F732" s="28" t="s">
        <v>1999</v>
      </c>
      <c r="G732" s="24" t="s">
        <v>299</v>
      </c>
    </row>
    <row r="733" spans="1:7" ht="30" customHeight="1">
      <c r="A733" s="26" t="s">
        <v>2000</v>
      </c>
      <c r="B733" s="26" t="s">
        <v>143</v>
      </c>
      <c r="C733" s="26" t="s">
        <v>172</v>
      </c>
      <c r="D733" s="26"/>
      <c r="E733" s="26">
        <v>0</v>
      </c>
      <c r="F733" s="29" t="s">
        <v>2001</v>
      </c>
      <c r="G733" s="26" t="s">
        <v>299</v>
      </c>
    </row>
    <row r="734" spans="1:7" ht="30" customHeight="1">
      <c r="A734" s="24" t="s">
        <v>2002</v>
      </c>
      <c r="B734" s="24" t="s">
        <v>143</v>
      </c>
      <c r="C734" s="24" t="s">
        <v>172</v>
      </c>
      <c r="D734" s="24"/>
      <c r="E734" s="24">
        <v>0</v>
      </c>
      <c r="F734" s="28" t="s">
        <v>2003</v>
      </c>
      <c r="G734" s="24" t="s">
        <v>299</v>
      </c>
    </row>
    <row r="735" spans="1:7" ht="30" customHeight="1">
      <c r="A735" s="26" t="s">
        <v>2004</v>
      </c>
      <c r="B735" s="26" t="s">
        <v>143</v>
      </c>
      <c r="C735" s="26" t="s">
        <v>172</v>
      </c>
      <c r="D735" s="26"/>
      <c r="E735" s="26">
        <v>0</v>
      </c>
      <c r="F735" s="29" t="s">
        <v>2005</v>
      </c>
      <c r="G735" s="26" t="s">
        <v>299</v>
      </c>
    </row>
    <row r="736" spans="1:7" ht="30" customHeight="1">
      <c r="A736" s="24" t="s">
        <v>2006</v>
      </c>
      <c r="B736" s="24" t="s">
        <v>143</v>
      </c>
      <c r="C736" s="24" t="s">
        <v>172</v>
      </c>
      <c r="D736" s="24"/>
      <c r="E736" s="24">
        <v>0</v>
      </c>
      <c r="F736" s="28" t="s">
        <v>2007</v>
      </c>
      <c r="G736" s="24" t="s">
        <v>299</v>
      </c>
    </row>
    <row r="737" spans="1:7" ht="30" customHeight="1">
      <c r="A737" s="26" t="s">
        <v>2008</v>
      </c>
      <c r="B737" s="26" t="s">
        <v>143</v>
      </c>
      <c r="C737" s="26" t="s">
        <v>172</v>
      </c>
      <c r="D737" s="26"/>
      <c r="E737" s="26">
        <v>0</v>
      </c>
      <c r="F737" s="29" t="s">
        <v>2009</v>
      </c>
      <c r="G737" s="26" t="s">
        <v>299</v>
      </c>
    </row>
    <row r="738" spans="1:7" ht="30" customHeight="1">
      <c r="A738" s="24" t="s">
        <v>2010</v>
      </c>
      <c r="B738" s="24" t="s">
        <v>145</v>
      </c>
      <c r="C738" s="24" t="s">
        <v>172</v>
      </c>
      <c r="D738" s="24"/>
      <c r="E738" s="24">
        <v>0</v>
      </c>
      <c r="F738" s="28" t="s">
        <v>2011</v>
      </c>
      <c r="G738" s="24" t="s">
        <v>299</v>
      </c>
    </row>
    <row r="739" spans="1:7" ht="30" customHeight="1">
      <c r="A739" s="26" t="s">
        <v>2012</v>
      </c>
      <c r="B739" s="26" t="s">
        <v>144</v>
      </c>
      <c r="C739" s="26" t="s">
        <v>172</v>
      </c>
      <c r="D739" s="26"/>
      <c r="E739" s="26">
        <v>0</v>
      </c>
      <c r="F739" s="29" t="s">
        <v>2013</v>
      </c>
      <c r="G739" s="26" t="s">
        <v>299</v>
      </c>
    </row>
    <row r="740" spans="1:7" ht="30" customHeight="1">
      <c r="A740" s="24" t="s">
        <v>2014</v>
      </c>
      <c r="B740" s="24" t="s">
        <v>143</v>
      </c>
      <c r="C740" s="24" t="s">
        <v>172</v>
      </c>
      <c r="D740" s="24"/>
      <c r="E740" s="24">
        <v>0</v>
      </c>
      <c r="F740" s="28" t="s">
        <v>2015</v>
      </c>
      <c r="G740" s="24" t="s">
        <v>299</v>
      </c>
    </row>
    <row r="741" spans="1:7" ht="30" customHeight="1">
      <c r="A741" s="26" t="s">
        <v>2016</v>
      </c>
      <c r="B741" s="26" t="s">
        <v>143</v>
      </c>
      <c r="C741" s="26" t="s">
        <v>172</v>
      </c>
      <c r="D741" s="26"/>
      <c r="E741" s="26">
        <v>0</v>
      </c>
      <c r="F741" s="29" t="s">
        <v>2017</v>
      </c>
      <c r="G741" s="26" t="s">
        <v>299</v>
      </c>
    </row>
    <row r="742" spans="1:7" ht="30" customHeight="1">
      <c r="A742" s="24" t="s">
        <v>2018</v>
      </c>
      <c r="B742" s="24" t="s">
        <v>143</v>
      </c>
      <c r="C742" s="24" t="s">
        <v>182</v>
      </c>
      <c r="D742" s="24"/>
      <c r="E742" s="24">
        <v>0</v>
      </c>
      <c r="F742" s="28" t="s">
        <v>2019</v>
      </c>
      <c r="G742" s="24" t="s">
        <v>299</v>
      </c>
    </row>
    <row r="743" spans="1:7" ht="30" customHeight="1">
      <c r="A743" s="26" t="s">
        <v>2020</v>
      </c>
      <c r="B743" s="26" t="s">
        <v>572</v>
      </c>
      <c r="C743" s="26" t="s">
        <v>172</v>
      </c>
      <c r="D743" s="26"/>
      <c r="E743" s="26">
        <v>0</v>
      </c>
      <c r="F743" s="29" t="s">
        <v>2021</v>
      </c>
      <c r="G743" s="26" t="s">
        <v>299</v>
      </c>
    </row>
    <row r="744" spans="1:7" ht="30" customHeight="1">
      <c r="A744" s="24" t="s">
        <v>2022</v>
      </c>
      <c r="B744" s="24" t="s">
        <v>144</v>
      </c>
      <c r="C744" s="24" t="s">
        <v>172</v>
      </c>
      <c r="D744" s="24"/>
      <c r="E744" s="24">
        <v>0</v>
      </c>
      <c r="F744" s="28" t="s">
        <v>2023</v>
      </c>
      <c r="G744" s="24" t="s">
        <v>299</v>
      </c>
    </row>
    <row r="745" spans="1:7" ht="30" customHeight="1">
      <c r="A745" s="26" t="s">
        <v>2024</v>
      </c>
      <c r="B745" s="26" t="s">
        <v>143</v>
      </c>
      <c r="C745" s="26" t="s">
        <v>172</v>
      </c>
      <c r="D745" s="26"/>
      <c r="E745" s="26">
        <v>0</v>
      </c>
      <c r="F745" s="29" t="s">
        <v>2025</v>
      </c>
      <c r="G745" s="26" t="s">
        <v>299</v>
      </c>
    </row>
    <row r="746" spans="1:7" ht="30" customHeight="1">
      <c r="A746" s="24" t="s">
        <v>2026</v>
      </c>
      <c r="B746" s="24" t="s">
        <v>581</v>
      </c>
      <c r="C746" s="24" t="s">
        <v>172</v>
      </c>
      <c r="D746" s="24"/>
      <c r="E746" s="24">
        <v>0</v>
      </c>
      <c r="F746" s="28" t="s">
        <v>2027</v>
      </c>
      <c r="G746" s="24" t="s">
        <v>299</v>
      </c>
    </row>
    <row r="747" spans="1:7" ht="30" customHeight="1">
      <c r="A747" s="26" t="s">
        <v>2028</v>
      </c>
      <c r="B747" s="26" t="s">
        <v>143</v>
      </c>
      <c r="C747" s="26" t="s">
        <v>172</v>
      </c>
      <c r="D747" s="26"/>
      <c r="E747" s="26">
        <v>0</v>
      </c>
      <c r="F747" s="29" t="s">
        <v>2029</v>
      </c>
      <c r="G747" s="26" t="s">
        <v>299</v>
      </c>
    </row>
    <row r="748" spans="1:7" ht="30" customHeight="1">
      <c r="A748" s="24" t="s">
        <v>2030</v>
      </c>
      <c r="B748" s="24" t="s">
        <v>1099</v>
      </c>
      <c r="C748" s="24" t="s">
        <v>172</v>
      </c>
      <c r="D748" s="24"/>
      <c r="E748" s="24">
        <v>0</v>
      </c>
      <c r="F748" s="28" t="s">
        <v>2031</v>
      </c>
      <c r="G748" s="24" t="s">
        <v>299</v>
      </c>
    </row>
    <row r="749" spans="1:7" ht="30" customHeight="1">
      <c r="A749" s="26" t="s">
        <v>2032</v>
      </c>
      <c r="B749" s="26" t="s">
        <v>143</v>
      </c>
      <c r="C749" s="26" t="s">
        <v>172</v>
      </c>
      <c r="D749" s="26"/>
      <c r="E749" s="26">
        <v>0</v>
      </c>
      <c r="F749" s="29" t="s">
        <v>2033</v>
      </c>
      <c r="G749" s="26" t="s">
        <v>299</v>
      </c>
    </row>
    <row r="750" spans="1:7" ht="30" customHeight="1">
      <c r="A750" s="24" t="s">
        <v>2034</v>
      </c>
      <c r="B750" s="24" t="s">
        <v>572</v>
      </c>
      <c r="C750" s="24" t="s">
        <v>172</v>
      </c>
      <c r="D750" s="24"/>
      <c r="E750" s="24">
        <v>0</v>
      </c>
      <c r="F750" s="28" t="s">
        <v>2035</v>
      </c>
      <c r="G750" s="24" t="s">
        <v>299</v>
      </c>
    </row>
    <row r="751" spans="1:7" ht="30" customHeight="1">
      <c r="A751" s="26" t="s">
        <v>2036</v>
      </c>
      <c r="B751" s="26" t="s">
        <v>569</v>
      </c>
      <c r="C751" s="26" t="s">
        <v>172</v>
      </c>
      <c r="D751" s="26"/>
      <c r="E751" s="26">
        <v>0</v>
      </c>
      <c r="F751" s="29" t="s">
        <v>2037</v>
      </c>
      <c r="G751" s="26" t="s">
        <v>299</v>
      </c>
    </row>
    <row r="752" spans="1:7" ht="30" customHeight="1">
      <c r="A752" s="24" t="s">
        <v>2038</v>
      </c>
      <c r="B752" s="24" t="s">
        <v>144</v>
      </c>
      <c r="C752" s="24" t="s">
        <v>182</v>
      </c>
      <c r="D752" s="24"/>
      <c r="E752" s="24">
        <v>0</v>
      </c>
      <c r="F752" s="28" t="s">
        <v>2039</v>
      </c>
      <c r="G752" s="24" t="s">
        <v>299</v>
      </c>
    </row>
    <row r="753" spans="1:7" ht="30" customHeight="1">
      <c r="A753" s="26" t="s">
        <v>2040</v>
      </c>
      <c r="B753" s="26" t="s">
        <v>143</v>
      </c>
      <c r="C753" s="26" t="s">
        <v>182</v>
      </c>
      <c r="D753" s="26"/>
      <c r="E753" s="26">
        <v>0</v>
      </c>
      <c r="F753" s="29" t="s">
        <v>2041</v>
      </c>
      <c r="G753" s="26" t="s">
        <v>299</v>
      </c>
    </row>
    <row r="754" spans="1:7" ht="30" customHeight="1">
      <c r="A754" s="24" t="s">
        <v>2042</v>
      </c>
      <c r="B754" s="24" t="s">
        <v>143</v>
      </c>
      <c r="C754" s="24" t="s">
        <v>182</v>
      </c>
      <c r="D754" s="24"/>
      <c r="E754" s="24">
        <v>0</v>
      </c>
      <c r="F754" s="28" t="s">
        <v>2043</v>
      </c>
      <c r="G754" s="24" t="s">
        <v>299</v>
      </c>
    </row>
    <row r="755" spans="1:7" ht="30" customHeight="1">
      <c r="A755" s="26" t="s">
        <v>2044</v>
      </c>
      <c r="B755" s="26" t="s">
        <v>143</v>
      </c>
      <c r="C755" s="26" t="s">
        <v>182</v>
      </c>
      <c r="D755" s="26"/>
      <c r="E755" s="26">
        <v>0</v>
      </c>
      <c r="F755" s="29" t="s">
        <v>2045</v>
      </c>
      <c r="G755" s="26" t="s">
        <v>299</v>
      </c>
    </row>
    <row r="756" spans="1:7" ht="30" customHeight="1">
      <c r="A756" s="24" t="s">
        <v>2046</v>
      </c>
      <c r="B756" s="24" t="s">
        <v>143</v>
      </c>
      <c r="C756" s="24" t="s">
        <v>182</v>
      </c>
      <c r="D756" s="24"/>
      <c r="E756" s="24">
        <v>0</v>
      </c>
      <c r="F756" s="28" t="s">
        <v>2047</v>
      </c>
      <c r="G756" s="24" t="s">
        <v>299</v>
      </c>
    </row>
    <row r="757" spans="1:7" ht="30" customHeight="1">
      <c r="A757" s="26" t="s">
        <v>2048</v>
      </c>
      <c r="B757" s="26" t="s">
        <v>143</v>
      </c>
      <c r="C757" s="26" t="s">
        <v>172</v>
      </c>
      <c r="D757" s="26"/>
      <c r="E757" s="26">
        <v>0</v>
      </c>
      <c r="F757" s="29" t="s">
        <v>2049</v>
      </c>
      <c r="G757" s="26" t="s">
        <v>299</v>
      </c>
    </row>
    <row r="758" spans="1:7" ht="30" customHeight="1">
      <c r="A758" s="24" t="s">
        <v>2050</v>
      </c>
      <c r="B758" s="24" t="s">
        <v>143</v>
      </c>
      <c r="C758" s="24" t="s">
        <v>172</v>
      </c>
      <c r="D758" s="24"/>
      <c r="E758" s="24">
        <v>0</v>
      </c>
      <c r="F758" s="28" t="s">
        <v>2051</v>
      </c>
      <c r="G758" s="24" t="s">
        <v>299</v>
      </c>
    </row>
    <row r="759" spans="1:7" ht="30" customHeight="1">
      <c r="A759" s="26" t="s">
        <v>2052</v>
      </c>
      <c r="B759" s="26" t="s">
        <v>143</v>
      </c>
      <c r="C759" s="26" t="s">
        <v>172</v>
      </c>
      <c r="D759" s="26"/>
      <c r="E759" s="26">
        <v>0</v>
      </c>
      <c r="F759" s="29" t="s">
        <v>2053</v>
      </c>
      <c r="G759" s="26" t="s">
        <v>299</v>
      </c>
    </row>
    <row r="760" spans="1:7" ht="30" customHeight="1">
      <c r="A760" s="24" t="s">
        <v>2054</v>
      </c>
      <c r="B760" s="24" t="s">
        <v>143</v>
      </c>
      <c r="C760" s="24" t="s">
        <v>172</v>
      </c>
      <c r="D760" s="24"/>
      <c r="E760" s="24">
        <v>0</v>
      </c>
      <c r="F760" s="28" t="s">
        <v>2055</v>
      </c>
      <c r="G760" s="24" t="s">
        <v>299</v>
      </c>
    </row>
    <row r="761" spans="1:7" ht="30" customHeight="1">
      <c r="A761" s="26" t="s">
        <v>2056</v>
      </c>
      <c r="B761" s="26" t="s">
        <v>143</v>
      </c>
      <c r="C761" s="26" t="s">
        <v>172</v>
      </c>
      <c r="D761" s="26"/>
      <c r="E761" s="26">
        <v>0</v>
      </c>
      <c r="F761" s="29" t="s">
        <v>2057</v>
      </c>
      <c r="G761" s="26" t="s">
        <v>299</v>
      </c>
    </row>
    <row r="762" spans="1:7" ht="30" customHeight="1">
      <c r="A762" s="24" t="s">
        <v>2058</v>
      </c>
      <c r="B762" s="24" t="s">
        <v>572</v>
      </c>
      <c r="C762" s="24" t="s">
        <v>172</v>
      </c>
      <c r="D762" s="24"/>
      <c r="E762" s="24">
        <v>0</v>
      </c>
      <c r="F762" s="28" t="s">
        <v>2059</v>
      </c>
      <c r="G762" s="24" t="s">
        <v>299</v>
      </c>
    </row>
    <row r="763" spans="1:7" ht="30" customHeight="1">
      <c r="A763" s="26" t="s">
        <v>2060</v>
      </c>
      <c r="B763" s="26" t="s">
        <v>143</v>
      </c>
      <c r="C763" s="26" t="s">
        <v>172</v>
      </c>
      <c r="D763" s="26"/>
      <c r="E763" s="26">
        <v>0</v>
      </c>
      <c r="F763" s="29" t="s">
        <v>2061</v>
      </c>
      <c r="G763" s="26" t="s">
        <v>299</v>
      </c>
    </row>
    <row r="764" spans="1:7" ht="30" customHeight="1">
      <c r="A764" s="24" t="s">
        <v>2062</v>
      </c>
      <c r="B764" s="24" t="s">
        <v>143</v>
      </c>
      <c r="C764" s="24" t="s">
        <v>172</v>
      </c>
      <c r="D764" s="24"/>
      <c r="E764" s="24">
        <v>0</v>
      </c>
      <c r="F764" s="28" t="s">
        <v>2063</v>
      </c>
      <c r="G764" s="24" t="s">
        <v>299</v>
      </c>
    </row>
    <row r="765" spans="1:7" ht="30" customHeight="1">
      <c r="A765" s="26" t="s">
        <v>2064</v>
      </c>
      <c r="B765" s="26" t="s">
        <v>143</v>
      </c>
      <c r="C765" s="26" t="s">
        <v>172</v>
      </c>
      <c r="D765" s="26"/>
      <c r="E765" s="26">
        <v>0</v>
      </c>
      <c r="F765" s="29" t="s">
        <v>2065</v>
      </c>
      <c r="G765" s="26" t="s">
        <v>299</v>
      </c>
    </row>
    <row r="766" spans="1:7" ht="30" customHeight="1">
      <c r="A766" s="24" t="s">
        <v>2066</v>
      </c>
      <c r="B766" s="24" t="s">
        <v>144</v>
      </c>
      <c r="C766" s="24" t="s">
        <v>172</v>
      </c>
      <c r="D766" s="24"/>
      <c r="E766" s="24">
        <v>0</v>
      </c>
      <c r="F766" s="28" t="s">
        <v>2067</v>
      </c>
      <c r="G766" s="24" t="s">
        <v>299</v>
      </c>
    </row>
    <row r="767" spans="1:7" ht="30" customHeight="1">
      <c r="A767" s="26" t="s">
        <v>2068</v>
      </c>
      <c r="B767" s="26" t="s">
        <v>539</v>
      </c>
      <c r="C767" s="26" t="s">
        <v>182</v>
      </c>
      <c r="D767" s="26"/>
      <c r="E767" s="26">
        <v>0</v>
      </c>
      <c r="F767" s="29" t="s">
        <v>2069</v>
      </c>
      <c r="G767" s="26" t="s">
        <v>299</v>
      </c>
    </row>
    <row r="768" spans="1:7" ht="30" customHeight="1">
      <c r="A768" s="24" t="s">
        <v>2070</v>
      </c>
      <c r="B768" s="24" t="s">
        <v>572</v>
      </c>
      <c r="C768" s="24" t="s">
        <v>172</v>
      </c>
      <c r="D768" s="24"/>
      <c r="E768" s="24">
        <v>0</v>
      </c>
      <c r="F768" s="28" t="s">
        <v>2071</v>
      </c>
      <c r="G768" s="24" t="s">
        <v>299</v>
      </c>
    </row>
    <row r="769" spans="1:7" ht="30" customHeight="1">
      <c r="A769" s="26" t="s">
        <v>2072</v>
      </c>
      <c r="B769" s="26" t="s">
        <v>143</v>
      </c>
      <c r="C769" s="26" t="s">
        <v>172</v>
      </c>
      <c r="D769" s="26"/>
      <c r="E769" s="26">
        <v>0</v>
      </c>
      <c r="F769" s="29" t="s">
        <v>2073</v>
      </c>
      <c r="G769" s="26" t="s">
        <v>299</v>
      </c>
    </row>
    <row r="770" spans="1:7" ht="30" customHeight="1">
      <c r="A770" s="24" t="s">
        <v>2074</v>
      </c>
      <c r="B770" s="24" t="s">
        <v>143</v>
      </c>
      <c r="C770" s="24" t="s">
        <v>172</v>
      </c>
      <c r="D770" s="24"/>
      <c r="E770" s="24">
        <v>0</v>
      </c>
      <c r="F770" s="28" t="s">
        <v>2075</v>
      </c>
      <c r="G770" s="24" t="s">
        <v>299</v>
      </c>
    </row>
    <row r="771" spans="1:7" ht="30" customHeight="1">
      <c r="A771" s="26" t="s">
        <v>2076</v>
      </c>
      <c r="B771" s="26" t="s">
        <v>572</v>
      </c>
      <c r="C771" s="26" t="s">
        <v>172</v>
      </c>
      <c r="D771" s="26"/>
      <c r="E771" s="26">
        <v>0</v>
      </c>
      <c r="F771" s="29" t="s">
        <v>2077</v>
      </c>
      <c r="G771" s="26" t="s">
        <v>299</v>
      </c>
    </row>
    <row r="772" spans="1:7" ht="30" customHeight="1">
      <c r="A772" s="24" t="s">
        <v>2078</v>
      </c>
      <c r="B772" s="24" t="s">
        <v>143</v>
      </c>
      <c r="C772" s="24" t="s">
        <v>172</v>
      </c>
      <c r="D772" s="24"/>
      <c r="E772" s="24">
        <v>0</v>
      </c>
      <c r="F772" s="28" t="s">
        <v>2079</v>
      </c>
      <c r="G772" s="24" t="s">
        <v>299</v>
      </c>
    </row>
    <row r="773" spans="1:7" ht="30" customHeight="1">
      <c r="A773" s="26" t="s">
        <v>2080</v>
      </c>
      <c r="B773" s="26" t="s">
        <v>143</v>
      </c>
      <c r="C773" s="26" t="s">
        <v>172</v>
      </c>
      <c r="D773" s="26"/>
      <c r="E773" s="26">
        <v>0</v>
      </c>
      <c r="F773" s="29" t="s">
        <v>2081</v>
      </c>
      <c r="G773" s="26" t="s">
        <v>299</v>
      </c>
    </row>
    <row r="774" spans="1:7" ht="30" customHeight="1">
      <c r="A774" s="24" t="s">
        <v>2082</v>
      </c>
      <c r="B774" s="24" t="s">
        <v>581</v>
      </c>
      <c r="C774" s="24" t="s">
        <v>172</v>
      </c>
      <c r="D774" s="24"/>
      <c r="E774" s="24">
        <v>0</v>
      </c>
      <c r="F774" s="28" t="s">
        <v>2083</v>
      </c>
      <c r="G774" s="24" t="s">
        <v>299</v>
      </c>
    </row>
    <row r="775" spans="1:7" ht="30" customHeight="1">
      <c r="A775" s="26" t="s">
        <v>2084</v>
      </c>
      <c r="B775" s="26" t="s">
        <v>143</v>
      </c>
      <c r="C775" s="26" t="s">
        <v>172</v>
      </c>
      <c r="D775" s="26"/>
      <c r="E775" s="26">
        <v>0</v>
      </c>
      <c r="F775" s="29" t="s">
        <v>2085</v>
      </c>
      <c r="G775" s="26" t="s">
        <v>299</v>
      </c>
    </row>
    <row r="776" spans="1:7" ht="30" customHeight="1">
      <c r="A776" s="24" t="s">
        <v>2086</v>
      </c>
      <c r="B776" s="24" t="s">
        <v>572</v>
      </c>
      <c r="C776" s="24" t="s">
        <v>182</v>
      </c>
      <c r="D776" s="24"/>
      <c r="E776" s="24">
        <v>0</v>
      </c>
      <c r="F776" s="28" t="s">
        <v>2087</v>
      </c>
      <c r="G776" s="24" t="s">
        <v>299</v>
      </c>
    </row>
    <row r="777" spans="1:7" ht="30" customHeight="1">
      <c r="A777" s="26" t="s">
        <v>2088</v>
      </c>
      <c r="B777" s="26" t="s">
        <v>539</v>
      </c>
      <c r="C777" s="26" t="s">
        <v>172</v>
      </c>
      <c r="D777" s="26"/>
      <c r="E777" s="26">
        <v>0</v>
      </c>
      <c r="F777" s="29" t="s">
        <v>2089</v>
      </c>
      <c r="G777" s="26" t="s">
        <v>299</v>
      </c>
    </row>
    <row r="778" spans="1:7" ht="30" customHeight="1">
      <c r="A778" s="24" t="s">
        <v>2090</v>
      </c>
      <c r="B778" s="24" t="s">
        <v>143</v>
      </c>
      <c r="C778" s="24" t="s">
        <v>172</v>
      </c>
      <c r="D778" s="24"/>
      <c r="E778" s="24">
        <v>0</v>
      </c>
      <c r="F778" s="28" t="s">
        <v>2091</v>
      </c>
      <c r="G778" s="24" t="s">
        <v>299</v>
      </c>
    </row>
    <row r="779" spans="1:7" ht="30" customHeight="1">
      <c r="A779" s="26" t="s">
        <v>2092</v>
      </c>
      <c r="B779" s="26" t="s">
        <v>539</v>
      </c>
      <c r="C779" s="26" t="s">
        <v>172</v>
      </c>
      <c r="D779" s="26"/>
      <c r="E779" s="26">
        <v>0</v>
      </c>
      <c r="F779" s="29" t="s">
        <v>2093</v>
      </c>
      <c r="G779" s="26" t="s">
        <v>299</v>
      </c>
    </row>
    <row r="780" spans="1:7" ht="30" customHeight="1">
      <c r="A780" s="24" t="s">
        <v>2094</v>
      </c>
      <c r="B780" s="24" t="s">
        <v>143</v>
      </c>
      <c r="C780" s="24" t="s">
        <v>172</v>
      </c>
      <c r="D780" s="24"/>
      <c r="E780" s="24">
        <v>0</v>
      </c>
      <c r="F780" s="28" t="s">
        <v>2095</v>
      </c>
      <c r="G780" s="24" t="s">
        <v>299</v>
      </c>
    </row>
    <row r="781" spans="1:7" ht="30" customHeight="1">
      <c r="A781" s="26" t="s">
        <v>2096</v>
      </c>
      <c r="B781" s="26" t="s">
        <v>572</v>
      </c>
      <c r="C781" s="26" t="s">
        <v>172</v>
      </c>
      <c r="D781" s="26"/>
      <c r="E781" s="26">
        <v>0</v>
      </c>
      <c r="F781" s="29" t="s">
        <v>2097</v>
      </c>
      <c r="G781" s="26" t="s">
        <v>299</v>
      </c>
    </row>
    <row r="782" spans="1:7" ht="30" customHeight="1">
      <c r="A782" s="24" t="s">
        <v>2098</v>
      </c>
      <c r="B782" s="24" t="s">
        <v>572</v>
      </c>
      <c r="C782" s="24" t="s">
        <v>172</v>
      </c>
      <c r="D782" s="24"/>
      <c r="E782" s="24">
        <v>0</v>
      </c>
      <c r="F782" s="28" t="s">
        <v>2099</v>
      </c>
      <c r="G782" s="24" t="s">
        <v>299</v>
      </c>
    </row>
    <row r="783" spans="1:7" ht="30" customHeight="1">
      <c r="A783" s="26" t="s">
        <v>2100</v>
      </c>
      <c r="B783" s="26" t="s">
        <v>144</v>
      </c>
      <c r="C783" s="26" t="s">
        <v>172</v>
      </c>
      <c r="D783" s="26"/>
      <c r="E783" s="26">
        <v>0</v>
      </c>
      <c r="F783" s="29" t="s">
        <v>2101</v>
      </c>
      <c r="G783" s="26" t="s">
        <v>299</v>
      </c>
    </row>
    <row r="784" spans="1:7" ht="30" customHeight="1">
      <c r="A784" s="24" t="s">
        <v>2102</v>
      </c>
      <c r="B784" s="24" t="s">
        <v>572</v>
      </c>
      <c r="C784" s="24" t="s">
        <v>172</v>
      </c>
      <c r="D784" s="24"/>
      <c r="E784" s="24">
        <v>0</v>
      </c>
      <c r="F784" s="28" t="s">
        <v>2103</v>
      </c>
      <c r="G784" s="24" t="s">
        <v>299</v>
      </c>
    </row>
    <row r="785" spans="1:7" ht="30" customHeight="1">
      <c r="A785" s="26" t="s">
        <v>2104</v>
      </c>
      <c r="B785" s="26" t="s">
        <v>539</v>
      </c>
      <c r="C785" s="26" t="s">
        <v>172</v>
      </c>
      <c r="D785" s="26"/>
      <c r="E785" s="26">
        <v>0</v>
      </c>
      <c r="F785" s="29" t="s">
        <v>2105</v>
      </c>
      <c r="G785" s="26" t="s">
        <v>299</v>
      </c>
    </row>
    <row r="786" spans="1:7" ht="30" customHeight="1">
      <c r="A786" s="24" t="s">
        <v>2106</v>
      </c>
      <c r="B786" s="24" t="s">
        <v>1099</v>
      </c>
      <c r="C786" s="24" t="s">
        <v>172</v>
      </c>
      <c r="D786" s="24"/>
      <c r="E786" s="24">
        <v>0</v>
      </c>
      <c r="F786" s="28" t="s">
        <v>2107</v>
      </c>
      <c r="G786" s="24" t="s">
        <v>299</v>
      </c>
    </row>
    <row r="787" spans="1:7" ht="30" customHeight="1">
      <c r="A787" s="26" t="s">
        <v>187</v>
      </c>
      <c r="B787" s="26" t="s">
        <v>188</v>
      </c>
      <c r="C787" s="26" t="s">
        <v>182</v>
      </c>
      <c r="D787" s="26" t="s">
        <v>174</v>
      </c>
      <c r="E787" s="26">
        <v>1</v>
      </c>
      <c r="F787" s="29" t="s">
        <v>190</v>
      </c>
      <c r="G787" s="26" t="s">
        <v>299</v>
      </c>
    </row>
    <row r="788" spans="1:7" ht="30" customHeight="1">
      <c r="A788" s="24" t="s">
        <v>2108</v>
      </c>
      <c r="B788" s="24" t="s">
        <v>143</v>
      </c>
      <c r="C788" s="24" t="s">
        <v>172</v>
      </c>
      <c r="D788" s="24"/>
      <c r="E788" s="24">
        <v>0</v>
      </c>
      <c r="F788" s="28" t="s">
        <v>2109</v>
      </c>
      <c r="G788" s="24" t="s">
        <v>299</v>
      </c>
    </row>
    <row r="789" spans="1:7" ht="30" customHeight="1">
      <c r="A789" s="26" t="s">
        <v>2110</v>
      </c>
      <c r="B789" s="26" t="s">
        <v>144</v>
      </c>
      <c r="C789" s="26" t="s">
        <v>172</v>
      </c>
      <c r="D789" s="26"/>
      <c r="E789" s="26">
        <v>0</v>
      </c>
      <c r="F789" s="29" t="s">
        <v>2111</v>
      </c>
      <c r="G789" s="26" t="s">
        <v>299</v>
      </c>
    </row>
    <row r="790" spans="1:7" ht="30" customHeight="1">
      <c r="A790" s="24" t="s">
        <v>2112</v>
      </c>
      <c r="B790" s="24" t="s">
        <v>539</v>
      </c>
      <c r="C790" s="24" t="s">
        <v>182</v>
      </c>
      <c r="D790" s="24"/>
      <c r="E790" s="24">
        <v>0</v>
      </c>
      <c r="F790" s="28" t="s">
        <v>2113</v>
      </c>
      <c r="G790" s="24" t="s">
        <v>299</v>
      </c>
    </row>
    <row r="791" spans="1:7" ht="30" customHeight="1">
      <c r="A791" s="26" t="s">
        <v>2114</v>
      </c>
      <c r="B791" s="26" t="s">
        <v>143</v>
      </c>
      <c r="C791" s="26" t="s">
        <v>172</v>
      </c>
      <c r="D791" s="26"/>
      <c r="E791" s="26">
        <v>0</v>
      </c>
      <c r="F791" s="29" t="s">
        <v>2115</v>
      </c>
      <c r="G791" s="26" t="s">
        <v>299</v>
      </c>
    </row>
    <row r="792" spans="1:7" ht="30" customHeight="1">
      <c r="A792" s="24" t="s">
        <v>2116</v>
      </c>
      <c r="B792" s="24" t="s">
        <v>572</v>
      </c>
      <c r="C792" s="24" t="s">
        <v>172</v>
      </c>
      <c r="D792" s="24"/>
      <c r="E792" s="24">
        <v>0</v>
      </c>
      <c r="F792" s="28" t="s">
        <v>2117</v>
      </c>
      <c r="G792" s="24" t="s">
        <v>299</v>
      </c>
    </row>
    <row r="793" spans="1:7" ht="30" customHeight="1">
      <c r="A793" s="26" t="s">
        <v>2118</v>
      </c>
      <c r="B793" s="26" t="s">
        <v>143</v>
      </c>
      <c r="C793" s="26" t="s">
        <v>172</v>
      </c>
      <c r="D793" s="26"/>
      <c r="E793" s="26">
        <v>0</v>
      </c>
      <c r="F793" s="29" t="s">
        <v>2119</v>
      </c>
      <c r="G793" s="26" t="s">
        <v>299</v>
      </c>
    </row>
    <row r="794" spans="1:7" ht="30" customHeight="1">
      <c r="A794" s="24" t="s">
        <v>2120</v>
      </c>
      <c r="B794" s="24" t="s">
        <v>572</v>
      </c>
      <c r="C794" s="24" t="s">
        <v>172</v>
      </c>
      <c r="D794" s="24"/>
      <c r="E794" s="24">
        <v>0</v>
      </c>
      <c r="F794" s="28" t="s">
        <v>2121</v>
      </c>
      <c r="G794" s="24" t="s">
        <v>299</v>
      </c>
    </row>
    <row r="795" spans="1:7" ht="30" customHeight="1">
      <c r="A795" s="26" t="s">
        <v>2122</v>
      </c>
      <c r="B795" s="26" t="s">
        <v>143</v>
      </c>
      <c r="C795" s="26" t="s">
        <v>172</v>
      </c>
      <c r="D795" s="26"/>
      <c r="E795" s="26">
        <v>0</v>
      </c>
      <c r="F795" s="29" t="s">
        <v>2123</v>
      </c>
      <c r="G795" s="26" t="s">
        <v>299</v>
      </c>
    </row>
    <row r="796" spans="1:7" ht="30" customHeight="1">
      <c r="A796" s="24" t="s">
        <v>2124</v>
      </c>
      <c r="B796" s="24" t="s">
        <v>145</v>
      </c>
      <c r="C796" s="24" t="s">
        <v>172</v>
      </c>
      <c r="D796" s="24"/>
      <c r="E796" s="24">
        <v>0</v>
      </c>
      <c r="F796" s="28" t="s">
        <v>2125</v>
      </c>
      <c r="G796" s="24" t="s">
        <v>299</v>
      </c>
    </row>
    <row r="797" spans="1:7" ht="30" customHeight="1">
      <c r="A797" s="26" t="s">
        <v>2126</v>
      </c>
      <c r="B797" s="26" t="s">
        <v>144</v>
      </c>
      <c r="C797" s="26" t="s">
        <v>172</v>
      </c>
      <c r="D797" s="26"/>
      <c r="E797" s="26">
        <v>0</v>
      </c>
      <c r="F797" s="29" t="s">
        <v>2127</v>
      </c>
      <c r="G797" s="26" t="s">
        <v>299</v>
      </c>
    </row>
    <row r="798" spans="1:7" ht="30" customHeight="1">
      <c r="A798" s="24" t="s">
        <v>2128</v>
      </c>
      <c r="B798" s="24" t="s">
        <v>143</v>
      </c>
      <c r="C798" s="24" t="s">
        <v>172</v>
      </c>
      <c r="D798" s="24"/>
      <c r="E798" s="24">
        <v>0</v>
      </c>
      <c r="F798" s="28" t="s">
        <v>2129</v>
      </c>
      <c r="G798" s="24" t="s">
        <v>299</v>
      </c>
    </row>
    <row r="799" spans="1:7" ht="30" customHeight="1">
      <c r="A799" s="26" t="s">
        <v>2130</v>
      </c>
      <c r="B799" s="26" t="s">
        <v>572</v>
      </c>
      <c r="C799" s="26" t="s">
        <v>172</v>
      </c>
      <c r="D799" s="26"/>
      <c r="E799" s="26">
        <v>0</v>
      </c>
      <c r="F799" s="29" t="s">
        <v>2131</v>
      </c>
      <c r="G799" s="26" t="s">
        <v>299</v>
      </c>
    </row>
    <row r="800" spans="1:7" ht="30" customHeight="1">
      <c r="A800" s="24" t="s">
        <v>2132</v>
      </c>
      <c r="B800" s="24" t="s">
        <v>143</v>
      </c>
      <c r="C800" s="24" t="s">
        <v>182</v>
      </c>
      <c r="D800" s="24"/>
      <c r="E800" s="24">
        <v>0</v>
      </c>
      <c r="F800" s="28" t="s">
        <v>2133</v>
      </c>
      <c r="G800" s="24" t="s">
        <v>299</v>
      </c>
    </row>
    <row r="801" spans="1:7" ht="30" customHeight="1">
      <c r="A801" s="26" t="s">
        <v>2134</v>
      </c>
      <c r="B801" s="26" t="s">
        <v>544</v>
      </c>
      <c r="C801" s="26" t="s">
        <v>172</v>
      </c>
      <c r="D801" s="26"/>
      <c r="E801" s="26">
        <v>0</v>
      </c>
      <c r="F801" s="29" t="s">
        <v>2135</v>
      </c>
      <c r="G801" s="26" t="s">
        <v>299</v>
      </c>
    </row>
    <row r="802" spans="1:7" ht="30" customHeight="1">
      <c r="A802" s="24" t="s">
        <v>2136</v>
      </c>
      <c r="B802" s="24" t="s">
        <v>143</v>
      </c>
      <c r="C802" s="24" t="s">
        <v>172</v>
      </c>
      <c r="D802" s="24"/>
      <c r="E802" s="24">
        <v>0</v>
      </c>
      <c r="F802" s="28" t="s">
        <v>2137</v>
      </c>
      <c r="G802" s="24" t="s">
        <v>299</v>
      </c>
    </row>
    <row r="803" spans="1:7" ht="30" customHeight="1">
      <c r="A803" s="26" t="s">
        <v>2138</v>
      </c>
      <c r="B803" s="26" t="s">
        <v>143</v>
      </c>
      <c r="C803" s="26" t="s">
        <v>182</v>
      </c>
      <c r="D803" s="26"/>
      <c r="E803" s="26">
        <v>0</v>
      </c>
      <c r="F803" s="29" t="s">
        <v>2139</v>
      </c>
      <c r="G803" s="26" t="s">
        <v>299</v>
      </c>
    </row>
    <row r="804" spans="1:7" ht="30" customHeight="1">
      <c r="A804" s="24" t="s">
        <v>2140</v>
      </c>
      <c r="B804" s="24" t="s">
        <v>1099</v>
      </c>
      <c r="C804" s="24" t="s">
        <v>172</v>
      </c>
      <c r="D804" s="24"/>
      <c r="E804" s="24">
        <v>0</v>
      </c>
      <c r="F804" s="28" t="s">
        <v>2141</v>
      </c>
      <c r="G804" s="24" t="s">
        <v>299</v>
      </c>
    </row>
    <row r="805" spans="1:7" ht="30" customHeight="1">
      <c r="A805" s="26" t="s">
        <v>2142</v>
      </c>
      <c r="B805" s="26" t="s">
        <v>143</v>
      </c>
      <c r="C805" s="26" t="s">
        <v>182</v>
      </c>
      <c r="D805" s="26"/>
      <c r="E805" s="26">
        <v>0</v>
      </c>
      <c r="F805" s="29" t="s">
        <v>2143</v>
      </c>
      <c r="G805" s="26" t="s">
        <v>299</v>
      </c>
    </row>
    <row r="806" spans="1:7" ht="30" customHeight="1">
      <c r="A806" s="24" t="s">
        <v>2144</v>
      </c>
      <c r="B806" s="24" t="s">
        <v>143</v>
      </c>
      <c r="C806" s="24" t="s">
        <v>172</v>
      </c>
      <c r="D806" s="24"/>
      <c r="E806" s="24">
        <v>0</v>
      </c>
      <c r="F806" s="28" t="s">
        <v>2145</v>
      </c>
      <c r="G806" s="24" t="s">
        <v>299</v>
      </c>
    </row>
    <row r="807" spans="1:7" ht="30" customHeight="1">
      <c r="A807" s="26" t="s">
        <v>2146</v>
      </c>
      <c r="B807" s="26" t="s">
        <v>143</v>
      </c>
      <c r="C807" s="26" t="s">
        <v>172</v>
      </c>
      <c r="D807" s="26"/>
      <c r="E807" s="26">
        <v>0</v>
      </c>
      <c r="F807" s="29" t="s">
        <v>2147</v>
      </c>
      <c r="G807" s="26" t="s">
        <v>299</v>
      </c>
    </row>
    <row r="808" spans="1:7" ht="30" customHeight="1">
      <c r="A808" s="24" t="s">
        <v>2148</v>
      </c>
      <c r="B808" s="24" t="s">
        <v>572</v>
      </c>
      <c r="C808" s="24" t="s">
        <v>172</v>
      </c>
      <c r="D808" s="24"/>
      <c r="E808" s="24">
        <v>0</v>
      </c>
      <c r="F808" s="28" t="s">
        <v>2149</v>
      </c>
      <c r="G808" s="24" t="s">
        <v>299</v>
      </c>
    </row>
    <row r="809" spans="1:7" ht="30" customHeight="1">
      <c r="A809" s="26" t="s">
        <v>2150</v>
      </c>
      <c r="B809" s="26" t="s">
        <v>539</v>
      </c>
      <c r="C809" s="26" t="s">
        <v>172</v>
      </c>
      <c r="D809" s="26"/>
      <c r="E809" s="26">
        <v>0</v>
      </c>
      <c r="F809" s="29" t="s">
        <v>2151</v>
      </c>
      <c r="G809" s="26" t="s">
        <v>299</v>
      </c>
    </row>
    <row r="810" spans="1:7" ht="30" customHeight="1">
      <c r="A810" s="24" t="s">
        <v>2152</v>
      </c>
      <c r="B810" s="24" t="s">
        <v>1099</v>
      </c>
      <c r="C810" s="24" t="s">
        <v>172</v>
      </c>
      <c r="D810" s="24"/>
      <c r="E810" s="24">
        <v>0</v>
      </c>
      <c r="F810" s="28" t="s">
        <v>2153</v>
      </c>
      <c r="G810" s="24" t="s">
        <v>299</v>
      </c>
    </row>
    <row r="811" spans="1:7" ht="30" customHeight="1">
      <c r="A811" s="26" t="s">
        <v>2154</v>
      </c>
      <c r="B811" s="26" t="s">
        <v>143</v>
      </c>
      <c r="C811" s="26" t="s">
        <v>172</v>
      </c>
      <c r="D811" s="26"/>
      <c r="E811" s="26">
        <v>0</v>
      </c>
      <c r="F811" s="29" t="s">
        <v>2155</v>
      </c>
      <c r="G811" s="26" t="s">
        <v>299</v>
      </c>
    </row>
    <row r="812" spans="1:7" ht="30" customHeight="1">
      <c r="A812" s="24" t="s">
        <v>2156</v>
      </c>
      <c r="B812" s="24" t="s">
        <v>143</v>
      </c>
      <c r="C812" s="24" t="s">
        <v>172</v>
      </c>
      <c r="D812" s="24"/>
      <c r="E812" s="24">
        <v>0</v>
      </c>
      <c r="F812" s="28" t="s">
        <v>2157</v>
      </c>
      <c r="G812" s="24" t="s">
        <v>299</v>
      </c>
    </row>
    <row r="813" spans="1:7" ht="30" customHeight="1">
      <c r="A813" s="26" t="s">
        <v>2158</v>
      </c>
      <c r="B813" s="26" t="s">
        <v>572</v>
      </c>
      <c r="C813" s="26" t="s">
        <v>172</v>
      </c>
      <c r="D813" s="26"/>
      <c r="E813" s="26">
        <v>0</v>
      </c>
      <c r="F813" s="29" t="s">
        <v>2159</v>
      </c>
      <c r="G813" s="26" t="s">
        <v>299</v>
      </c>
    </row>
    <row r="814" spans="1:7" ht="30" customHeight="1">
      <c r="A814" s="24" t="s">
        <v>2160</v>
      </c>
      <c r="B814" s="24" t="s">
        <v>143</v>
      </c>
      <c r="C814" s="24" t="s">
        <v>182</v>
      </c>
      <c r="D814" s="24"/>
      <c r="E814" s="24">
        <v>0</v>
      </c>
      <c r="F814" s="28" t="s">
        <v>2161</v>
      </c>
      <c r="G814" s="24" t="s">
        <v>299</v>
      </c>
    </row>
    <row r="815" spans="1:7" ht="30" customHeight="1">
      <c r="A815" s="26" t="s">
        <v>2162</v>
      </c>
      <c r="B815" s="26" t="s">
        <v>1099</v>
      </c>
      <c r="C815" s="26" t="s">
        <v>172</v>
      </c>
      <c r="D815" s="26"/>
      <c r="E815" s="26">
        <v>0</v>
      </c>
      <c r="F815" s="29" t="s">
        <v>2163</v>
      </c>
      <c r="G815" s="26" t="s">
        <v>299</v>
      </c>
    </row>
    <row r="816" spans="1:7" ht="30" customHeight="1">
      <c r="A816" s="24" t="s">
        <v>2164</v>
      </c>
      <c r="B816" s="24" t="s">
        <v>143</v>
      </c>
      <c r="C816" s="24" t="s">
        <v>182</v>
      </c>
      <c r="D816" s="24"/>
      <c r="E816" s="24">
        <v>0</v>
      </c>
      <c r="F816" s="28" t="s">
        <v>2165</v>
      </c>
      <c r="G816" s="24" t="s">
        <v>299</v>
      </c>
    </row>
    <row r="817" spans="1:7" ht="30" customHeight="1">
      <c r="A817" s="26" t="s">
        <v>2166</v>
      </c>
      <c r="B817" s="26" t="s">
        <v>572</v>
      </c>
      <c r="C817" s="26" t="s">
        <v>172</v>
      </c>
      <c r="D817" s="26"/>
      <c r="E817" s="26">
        <v>0</v>
      </c>
      <c r="F817" s="29" t="s">
        <v>2167</v>
      </c>
      <c r="G817" s="26" t="s">
        <v>299</v>
      </c>
    </row>
    <row r="818" spans="1:7" ht="30" customHeight="1">
      <c r="A818" s="24" t="s">
        <v>2168</v>
      </c>
      <c r="B818" s="24" t="s">
        <v>143</v>
      </c>
      <c r="C818" s="24" t="s">
        <v>172</v>
      </c>
      <c r="D818" s="24"/>
      <c r="E818" s="24">
        <v>0</v>
      </c>
      <c r="F818" s="28" t="s">
        <v>2169</v>
      </c>
      <c r="G818" s="24" t="s">
        <v>299</v>
      </c>
    </row>
    <row r="819" spans="1:7" ht="30" customHeight="1">
      <c r="A819" s="26" t="s">
        <v>2170</v>
      </c>
      <c r="B819" s="26" t="s">
        <v>143</v>
      </c>
      <c r="C819" s="26" t="s">
        <v>172</v>
      </c>
      <c r="D819" s="26"/>
      <c r="E819" s="26">
        <v>0</v>
      </c>
      <c r="F819" s="29" t="s">
        <v>2171</v>
      </c>
      <c r="G819" s="26" t="s">
        <v>299</v>
      </c>
    </row>
    <row r="820" spans="1:7" ht="30" customHeight="1">
      <c r="A820" s="24" t="s">
        <v>2172</v>
      </c>
      <c r="B820" s="24" t="s">
        <v>572</v>
      </c>
      <c r="C820" s="24" t="s">
        <v>172</v>
      </c>
      <c r="D820" s="24"/>
      <c r="E820" s="24">
        <v>0</v>
      </c>
      <c r="F820" s="28" t="s">
        <v>2173</v>
      </c>
      <c r="G820" s="24" t="s">
        <v>299</v>
      </c>
    </row>
    <row r="821" spans="1:7" ht="30" customHeight="1">
      <c r="A821" s="26" t="s">
        <v>2174</v>
      </c>
      <c r="B821" s="26" t="s">
        <v>572</v>
      </c>
      <c r="C821" s="26" t="s">
        <v>172</v>
      </c>
      <c r="D821" s="26"/>
      <c r="E821" s="26">
        <v>0</v>
      </c>
      <c r="F821" s="29" t="s">
        <v>2175</v>
      </c>
      <c r="G821" s="26" t="s">
        <v>299</v>
      </c>
    </row>
    <row r="822" spans="1:7" ht="30" customHeight="1">
      <c r="A822" s="24" t="s">
        <v>2176</v>
      </c>
      <c r="B822" s="24" t="s">
        <v>143</v>
      </c>
      <c r="C822" s="24" t="s">
        <v>172</v>
      </c>
      <c r="D822" s="24"/>
      <c r="E822" s="24">
        <v>0</v>
      </c>
      <c r="F822" s="28" t="s">
        <v>2177</v>
      </c>
      <c r="G822" s="24" t="s">
        <v>299</v>
      </c>
    </row>
    <row r="823" spans="1:7" ht="30" customHeight="1">
      <c r="A823" s="26" t="s">
        <v>2178</v>
      </c>
      <c r="B823" s="26" t="s">
        <v>143</v>
      </c>
      <c r="C823" s="26" t="s">
        <v>172</v>
      </c>
      <c r="D823" s="26"/>
      <c r="E823" s="26">
        <v>0</v>
      </c>
      <c r="F823" s="29" t="s">
        <v>2179</v>
      </c>
      <c r="G823" s="26" t="s">
        <v>299</v>
      </c>
    </row>
    <row r="824" spans="1:7" ht="30" customHeight="1">
      <c r="A824" s="24" t="s">
        <v>2180</v>
      </c>
      <c r="B824" s="24" t="s">
        <v>572</v>
      </c>
      <c r="C824" s="24" t="s">
        <v>172</v>
      </c>
      <c r="D824" s="24"/>
      <c r="E824" s="24">
        <v>0</v>
      </c>
      <c r="F824" s="28" t="s">
        <v>2181</v>
      </c>
      <c r="G824" s="24" t="s">
        <v>299</v>
      </c>
    </row>
    <row r="825" spans="1:7" ht="30" customHeight="1">
      <c r="A825" s="26" t="s">
        <v>2182</v>
      </c>
      <c r="B825" s="26" t="s">
        <v>539</v>
      </c>
      <c r="C825" s="26" t="s">
        <v>172</v>
      </c>
      <c r="D825" s="26"/>
      <c r="E825" s="26">
        <v>0</v>
      </c>
      <c r="F825" s="29" t="s">
        <v>2183</v>
      </c>
      <c r="G825" s="26" t="s">
        <v>299</v>
      </c>
    </row>
    <row r="826" spans="1:7" ht="30" customHeight="1">
      <c r="A826" s="24" t="s">
        <v>2184</v>
      </c>
      <c r="B826" s="24" t="s">
        <v>143</v>
      </c>
      <c r="C826" s="24" t="s">
        <v>172</v>
      </c>
      <c r="D826" s="24"/>
      <c r="E826" s="24">
        <v>0</v>
      </c>
      <c r="F826" s="28" t="s">
        <v>2185</v>
      </c>
      <c r="G826" s="24" t="s">
        <v>299</v>
      </c>
    </row>
    <row r="827" spans="1:7" ht="30" customHeight="1">
      <c r="A827" s="26" t="s">
        <v>2186</v>
      </c>
      <c r="B827" s="26" t="s">
        <v>143</v>
      </c>
      <c r="C827" s="26" t="s">
        <v>172</v>
      </c>
      <c r="D827" s="26"/>
      <c r="E827" s="26">
        <v>0</v>
      </c>
      <c r="F827" s="29" t="s">
        <v>2187</v>
      </c>
      <c r="G827" s="26" t="s">
        <v>299</v>
      </c>
    </row>
    <row r="828" spans="1:7" ht="30" customHeight="1">
      <c r="A828" s="24" t="s">
        <v>2188</v>
      </c>
      <c r="B828" s="24" t="s">
        <v>572</v>
      </c>
      <c r="C828" s="24" t="s">
        <v>172</v>
      </c>
      <c r="D828" s="24"/>
      <c r="E828" s="24">
        <v>0</v>
      </c>
      <c r="F828" s="28" t="s">
        <v>2189</v>
      </c>
      <c r="G828" s="24" t="s">
        <v>299</v>
      </c>
    </row>
    <row r="829" spans="1:7" ht="30" customHeight="1">
      <c r="A829" s="26" t="s">
        <v>2190</v>
      </c>
      <c r="B829" s="26" t="s">
        <v>144</v>
      </c>
      <c r="C829" s="26" t="s">
        <v>182</v>
      </c>
      <c r="D829" s="26"/>
      <c r="E829" s="26">
        <v>0</v>
      </c>
      <c r="F829" s="29" t="s">
        <v>2191</v>
      </c>
      <c r="G829" s="26" t="s">
        <v>299</v>
      </c>
    </row>
    <row r="830" spans="1:7" ht="30" customHeight="1">
      <c r="A830" s="24" t="s">
        <v>2192</v>
      </c>
      <c r="B830" s="24" t="s">
        <v>539</v>
      </c>
      <c r="C830" s="24" t="s">
        <v>172</v>
      </c>
      <c r="D830" s="24"/>
      <c r="E830" s="24">
        <v>0</v>
      </c>
      <c r="F830" s="28" t="s">
        <v>2193</v>
      </c>
      <c r="G830" s="24" t="s">
        <v>299</v>
      </c>
    </row>
    <row r="831" spans="1:7" ht="30" customHeight="1">
      <c r="A831" s="26" t="s">
        <v>2194</v>
      </c>
      <c r="B831" s="26" t="s">
        <v>572</v>
      </c>
      <c r="C831" s="26" t="s">
        <v>172</v>
      </c>
      <c r="D831" s="26"/>
      <c r="E831" s="26">
        <v>0</v>
      </c>
      <c r="F831" s="29" t="s">
        <v>2195</v>
      </c>
      <c r="G831" s="26" t="s">
        <v>299</v>
      </c>
    </row>
    <row r="832" spans="1:7" ht="30" customHeight="1">
      <c r="A832" s="24" t="s">
        <v>2196</v>
      </c>
      <c r="B832" s="24" t="s">
        <v>143</v>
      </c>
      <c r="C832" s="24" t="s">
        <v>172</v>
      </c>
      <c r="D832" s="24"/>
      <c r="E832" s="24">
        <v>0</v>
      </c>
      <c r="F832" s="28" t="s">
        <v>2197</v>
      </c>
      <c r="G832" s="24" t="s">
        <v>299</v>
      </c>
    </row>
    <row r="833" spans="1:7" ht="30" customHeight="1">
      <c r="A833" s="26" t="s">
        <v>2198</v>
      </c>
      <c r="B833" s="26" t="s">
        <v>143</v>
      </c>
      <c r="C833" s="26" t="s">
        <v>172</v>
      </c>
      <c r="D833" s="26"/>
      <c r="E833" s="26">
        <v>0</v>
      </c>
      <c r="F833" s="29" t="s">
        <v>2199</v>
      </c>
      <c r="G833" s="26" t="s">
        <v>299</v>
      </c>
    </row>
    <row r="834" spans="1:7" ht="30" customHeight="1">
      <c r="A834" s="24" t="s">
        <v>2200</v>
      </c>
      <c r="B834" s="24" t="s">
        <v>572</v>
      </c>
      <c r="C834" s="24" t="s">
        <v>172</v>
      </c>
      <c r="D834" s="24"/>
      <c r="E834" s="24">
        <v>0</v>
      </c>
      <c r="F834" s="28" t="s">
        <v>2201</v>
      </c>
      <c r="G834" s="24" t="s">
        <v>299</v>
      </c>
    </row>
    <row r="835" spans="1:7" ht="30" customHeight="1">
      <c r="A835" s="26" t="s">
        <v>2202</v>
      </c>
      <c r="B835" s="26" t="s">
        <v>143</v>
      </c>
      <c r="C835" s="26" t="s">
        <v>172</v>
      </c>
      <c r="D835" s="26"/>
      <c r="E835" s="26">
        <v>0</v>
      </c>
      <c r="F835" s="29" t="s">
        <v>2203</v>
      </c>
      <c r="G835" s="26" t="s">
        <v>299</v>
      </c>
    </row>
    <row r="836" spans="1:7" ht="30" customHeight="1">
      <c r="A836" s="24" t="s">
        <v>2204</v>
      </c>
      <c r="B836" s="24" t="s">
        <v>144</v>
      </c>
      <c r="C836" s="24" t="s">
        <v>172</v>
      </c>
      <c r="D836" s="24"/>
      <c r="E836" s="24">
        <v>0</v>
      </c>
      <c r="F836" s="28" t="s">
        <v>2205</v>
      </c>
      <c r="G836" s="24" t="s">
        <v>299</v>
      </c>
    </row>
    <row r="837" spans="1:7" ht="30" customHeight="1">
      <c r="A837" s="26" t="s">
        <v>2206</v>
      </c>
      <c r="B837" s="26" t="s">
        <v>143</v>
      </c>
      <c r="C837" s="26" t="s">
        <v>172</v>
      </c>
      <c r="D837" s="26"/>
      <c r="E837" s="26">
        <v>0</v>
      </c>
      <c r="F837" s="29" t="s">
        <v>2207</v>
      </c>
      <c r="G837" s="26" t="s">
        <v>299</v>
      </c>
    </row>
    <row r="838" spans="1:7" ht="30" customHeight="1">
      <c r="A838" s="24" t="s">
        <v>2208</v>
      </c>
      <c r="B838" s="24" t="s">
        <v>143</v>
      </c>
      <c r="C838" s="24" t="s">
        <v>172</v>
      </c>
      <c r="D838" s="24"/>
      <c r="E838" s="24">
        <v>0</v>
      </c>
      <c r="F838" s="28" t="s">
        <v>2209</v>
      </c>
      <c r="G838" s="24" t="s">
        <v>299</v>
      </c>
    </row>
    <row r="839" spans="1:7" ht="30" customHeight="1">
      <c r="A839" s="26" t="s">
        <v>2210</v>
      </c>
      <c r="B839" s="26" t="s">
        <v>572</v>
      </c>
      <c r="C839" s="26" t="s">
        <v>172</v>
      </c>
      <c r="D839" s="26"/>
      <c r="E839" s="26">
        <v>0</v>
      </c>
      <c r="F839" s="29" t="s">
        <v>2211</v>
      </c>
      <c r="G839" s="26" t="s">
        <v>299</v>
      </c>
    </row>
    <row r="840" spans="1:7" ht="30" customHeight="1">
      <c r="A840" s="24" t="s">
        <v>2212</v>
      </c>
      <c r="B840" s="24" t="s">
        <v>572</v>
      </c>
      <c r="C840" s="24" t="s">
        <v>172</v>
      </c>
      <c r="D840" s="24"/>
      <c r="E840" s="24">
        <v>0</v>
      </c>
      <c r="F840" s="28" t="s">
        <v>2213</v>
      </c>
      <c r="G840" s="24" t="s">
        <v>299</v>
      </c>
    </row>
    <row r="841" spans="1:7" ht="30" customHeight="1">
      <c r="A841" s="26" t="s">
        <v>2214</v>
      </c>
      <c r="B841" s="26" t="s">
        <v>144</v>
      </c>
      <c r="C841" s="26" t="s">
        <v>182</v>
      </c>
      <c r="D841" s="26"/>
      <c r="E841" s="26">
        <v>0</v>
      </c>
      <c r="F841" s="29" t="s">
        <v>2215</v>
      </c>
      <c r="G841" s="26" t="s">
        <v>299</v>
      </c>
    </row>
    <row r="842" spans="1:7" ht="30" customHeight="1">
      <c r="A842" s="24" t="s">
        <v>2216</v>
      </c>
      <c r="B842" s="24" t="s">
        <v>572</v>
      </c>
      <c r="C842" s="24" t="s">
        <v>172</v>
      </c>
      <c r="D842" s="24"/>
      <c r="E842" s="24">
        <v>0</v>
      </c>
      <c r="F842" s="28" t="s">
        <v>2217</v>
      </c>
      <c r="G842" s="24" t="s">
        <v>299</v>
      </c>
    </row>
    <row r="843" spans="1:7" ht="30" customHeight="1">
      <c r="A843" s="26" t="s">
        <v>2218</v>
      </c>
      <c r="B843" s="26" t="s">
        <v>143</v>
      </c>
      <c r="C843" s="26" t="s">
        <v>172</v>
      </c>
      <c r="D843" s="26"/>
      <c r="E843" s="26">
        <v>0</v>
      </c>
      <c r="F843" s="29" t="s">
        <v>2219</v>
      </c>
      <c r="G843" s="26" t="s">
        <v>299</v>
      </c>
    </row>
    <row r="844" spans="1:7" ht="30" customHeight="1">
      <c r="A844" s="24" t="s">
        <v>2220</v>
      </c>
      <c r="B844" s="24" t="s">
        <v>143</v>
      </c>
      <c r="C844" s="24" t="s">
        <v>172</v>
      </c>
      <c r="D844" s="24"/>
      <c r="E844" s="24">
        <v>0</v>
      </c>
      <c r="F844" s="28" t="s">
        <v>2221</v>
      </c>
      <c r="G844" s="24" t="s">
        <v>299</v>
      </c>
    </row>
    <row r="845" spans="1:7" ht="30" customHeight="1">
      <c r="A845" s="26" t="s">
        <v>2222</v>
      </c>
      <c r="B845" s="26" t="s">
        <v>143</v>
      </c>
      <c r="C845" s="26" t="s">
        <v>172</v>
      </c>
      <c r="D845" s="26"/>
      <c r="E845" s="26">
        <v>0</v>
      </c>
      <c r="F845" s="29" t="s">
        <v>2223</v>
      </c>
      <c r="G845" s="26" t="s">
        <v>299</v>
      </c>
    </row>
    <row r="846" spans="1:7" ht="30" customHeight="1">
      <c r="A846" s="24" t="s">
        <v>2224</v>
      </c>
      <c r="B846" s="24" t="s">
        <v>145</v>
      </c>
      <c r="C846" s="24" t="s">
        <v>172</v>
      </c>
      <c r="D846" s="24"/>
      <c r="E846" s="24">
        <v>0</v>
      </c>
      <c r="F846" s="28" t="s">
        <v>2225</v>
      </c>
      <c r="G846" s="24" t="s">
        <v>299</v>
      </c>
    </row>
    <row r="847" spans="1:7" ht="30" customHeight="1">
      <c r="A847" s="26" t="s">
        <v>2226</v>
      </c>
      <c r="B847" s="26" t="s">
        <v>143</v>
      </c>
      <c r="C847" s="26" t="s">
        <v>182</v>
      </c>
      <c r="D847" s="26"/>
      <c r="E847" s="26">
        <v>0</v>
      </c>
      <c r="F847" s="29" t="s">
        <v>2227</v>
      </c>
      <c r="G847" s="26" t="s">
        <v>299</v>
      </c>
    </row>
    <row r="848" spans="1:7" ht="30" customHeight="1">
      <c r="A848" s="24" t="s">
        <v>2228</v>
      </c>
      <c r="B848" s="24" t="s">
        <v>539</v>
      </c>
      <c r="C848" s="24" t="s">
        <v>172</v>
      </c>
      <c r="D848" s="24"/>
      <c r="E848" s="24">
        <v>0</v>
      </c>
      <c r="F848" s="28" t="s">
        <v>2229</v>
      </c>
      <c r="G848" s="24" t="s">
        <v>299</v>
      </c>
    </row>
    <row r="849" spans="1:7" ht="30" customHeight="1">
      <c r="A849" s="26" t="s">
        <v>2230</v>
      </c>
      <c r="B849" s="26" t="s">
        <v>143</v>
      </c>
      <c r="C849" s="26" t="s">
        <v>172</v>
      </c>
      <c r="D849" s="26"/>
      <c r="E849" s="26">
        <v>0</v>
      </c>
      <c r="F849" s="29" t="s">
        <v>2231</v>
      </c>
      <c r="G849" s="26" t="s">
        <v>299</v>
      </c>
    </row>
    <row r="850" spans="1:7" ht="30" customHeight="1">
      <c r="A850" s="24" t="s">
        <v>2232</v>
      </c>
      <c r="B850" s="24" t="s">
        <v>143</v>
      </c>
      <c r="C850" s="24" t="s">
        <v>182</v>
      </c>
      <c r="D850" s="24"/>
      <c r="E850" s="24">
        <v>0</v>
      </c>
      <c r="F850" s="28" t="s">
        <v>2233</v>
      </c>
      <c r="G850" s="24" t="s">
        <v>299</v>
      </c>
    </row>
    <row r="851" spans="1:7" ht="30" customHeight="1">
      <c r="A851" s="26" t="s">
        <v>2234</v>
      </c>
      <c r="B851" s="26" t="s">
        <v>143</v>
      </c>
      <c r="C851" s="26" t="s">
        <v>172</v>
      </c>
      <c r="D851" s="26"/>
      <c r="E851" s="26">
        <v>0</v>
      </c>
      <c r="F851" s="29" t="s">
        <v>2235</v>
      </c>
      <c r="G851" s="26" t="s">
        <v>299</v>
      </c>
    </row>
    <row r="852" spans="1:7" ht="30" customHeight="1">
      <c r="A852" s="24" t="s">
        <v>2236</v>
      </c>
      <c r="B852" s="24" t="s">
        <v>143</v>
      </c>
      <c r="C852" s="24" t="s">
        <v>182</v>
      </c>
      <c r="D852" s="24"/>
      <c r="E852" s="24">
        <v>0</v>
      </c>
      <c r="F852" s="28" t="s">
        <v>2237</v>
      </c>
      <c r="G852" s="24" t="s">
        <v>299</v>
      </c>
    </row>
    <row r="853" spans="1:7" ht="30" customHeight="1">
      <c r="A853" s="26" t="s">
        <v>2238</v>
      </c>
      <c r="B853" s="26" t="s">
        <v>144</v>
      </c>
      <c r="C853" s="26" t="s">
        <v>172</v>
      </c>
      <c r="D853" s="26"/>
      <c r="E853" s="26">
        <v>0</v>
      </c>
      <c r="F853" s="29" t="s">
        <v>2239</v>
      </c>
      <c r="G853" s="26" t="s">
        <v>299</v>
      </c>
    </row>
    <row r="854" spans="1:7" ht="30" customHeight="1">
      <c r="A854" s="24" t="s">
        <v>2240</v>
      </c>
      <c r="B854" s="24" t="s">
        <v>569</v>
      </c>
      <c r="C854" s="24" t="s">
        <v>172</v>
      </c>
      <c r="D854" s="24"/>
      <c r="E854" s="24">
        <v>0</v>
      </c>
      <c r="F854" s="28" t="s">
        <v>2241</v>
      </c>
      <c r="G854" s="24" t="s">
        <v>299</v>
      </c>
    </row>
    <row r="855" spans="1:7" ht="30" customHeight="1">
      <c r="A855" s="26" t="s">
        <v>2242</v>
      </c>
      <c r="B855" s="26" t="s">
        <v>143</v>
      </c>
      <c r="C855" s="26" t="s">
        <v>172</v>
      </c>
      <c r="D855" s="26"/>
      <c r="E855" s="26">
        <v>0</v>
      </c>
      <c r="F855" s="29" t="s">
        <v>2243</v>
      </c>
      <c r="G855" s="26" t="s">
        <v>299</v>
      </c>
    </row>
    <row r="856" spans="1:7" ht="30" customHeight="1">
      <c r="A856" s="24" t="s">
        <v>2244</v>
      </c>
      <c r="B856" s="24" t="s">
        <v>572</v>
      </c>
      <c r="C856" s="24" t="s">
        <v>172</v>
      </c>
      <c r="D856" s="24"/>
      <c r="E856" s="24">
        <v>0</v>
      </c>
      <c r="F856" s="28" t="s">
        <v>2245</v>
      </c>
      <c r="G856" s="24" t="s">
        <v>299</v>
      </c>
    </row>
    <row r="857" spans="1:7" ht="30" customHeight="1">
      <c r="A857" s="26" t="s">
        <v>2246</v>
      </c>
      <c r="B857" s="26" t="s">
        <v>539</v>
      </c>
      <c r="C857" s="26" t="s">
        <v>172</v>
      </c>
      <c r="D857" s="26"/>
      <c r="E857" s="26">
        <v>0</v>
      </c>
      <c r="F857" s="29" t="s">
        <v>2247</v>
      </c>
      <c r="G857" s="26" t="s">
        <v>299</v>
      </c>
    </row>
    <row r="858" spans="1:7" ht="30" customHeight="1">
      <c r="A858" s="24" t="s">
        <v>2248</v>
      </c>
      <c r="B858" s="24" t="s">
        <v>143</v>
      </c>
      <c r="C858" s="24" t="s">
        <v>172</v>
      </c>
      <c r="D858" s="24"/>
      <c r="E858" s="24">
        <v>0</v>
      </c>
      <c r="F858" s="28" t="s">
        <v>2249</v>
      </c>
      <c r="G858" s="24" t="s">
        <v>299</v>
      </c>
    </row>
    <row r="859" spans="1:7" ht="30" customHeight="1">
      <c r="A859" s="26" t="s">
        <v>2250</v>
      </c>
      <c r="B859" s="26" t="s">
        <v>143</v>
      </c>
      <c r="C859" s="26" t="s">
        <v>172</v>
      </c>
      <c r="D859" s="26"/>
      <c r="E859" s="26">
        <v>0</v>
      </c>
      <c r="F859" s="29" t="s">
        <v>2251</v>
      </c>
      <c r="G859" s="26" t="s">
        <v>299</v>
      </c>
    </row>
    <row r="860" spans="1:7" ht="30" customHeight="1">
      <c r="A860" s="24" t="s">
        <v>2252</v>
      </c>
      <c r="B860" s="24" t="s">
        <v>226</v>
      </c>
      <c r="C860" s="24" t="s">
        <v>182</v>
      </c>
      <c r="D860" s="24"/>
      <c r="E860" s="24">
        <v>0</v>
      </c>
      <c r="F860" s="28" t="s">
        <v>2253</v>
      </c>
      <c r="G860" s="24" t="s">
        <v>299</v>
      </c>
    </row>
    <row r="861" spans="1:7" ht="30" customHeight="1">
      <c r="A861" s="26" t="s">
        <v>2254</v>
      </c>
      <c r="B861" s="26" t="s">
        <v>143</v>
      </c>
      <c r="C861" s="26" t="s">
        <v>172</v>
      </c>
      <c r="D861" s="26"/>
      <c r="E861" s="26">
        <v>0</v>
      </c>
      <c r="F861" s="29" t="s">
        <v>2255</v>
      </c>
      <c r="G861" s="26" t="s">
        <v>299</v>
      </c>
    </row>
    <row r="862" spans="1:7" ht="30" customHeight="1">
      <c r="A862" s="24" t="s">
        <v>2256</v>
      </c>
      <c r="B862" s="24" t="s">
        <v>143</v>
      </c>
      <c r="C862" s="24" t="s">
        <v>182</v>
      </c>
      <c r="D862" s="24"/>
      <c r="E862" s="24">
        <v>0</v>
      </c>
      <c r="F862" s="28" t="s">
        <v>2257</v>
      </c>
      <c r="G862" s="24" t="s">
        <v>299</v>
      </c>
    </row>
    <row r="863" spans="1:7" ht="30" customHeight="1">
      <c r="A863" s="26" t="s">
        <v>2258</v>
      </c>
      <c r="B863" s="26" t="s">
        <v>143</v>
      </c>
      <c r="C863" s="26" t="s">
        <v>182</v>
      </c>
      <c r="D863" s="26"/>
      <c r="E863" s="26">
        <v>0</v>
      </c>
      <c r="F863" s="29" t="s">
        <v>2259</v>
      </c>
      <c r="G863" s="26" t="s">
        <v>299</v>
      </c>
    </row>
    <row r="864" spans="1:7" ht="30" customHeight="1">
      <c r="A864" s="24" t="s">
        <v>2260</v>
      </c>
      <c r="B864" s="24" t="s">
        <v>143</v>
      </c>
      <c r="C864" s="24" t="s">
        <v>172</v>
      </c>
      <c r="D864" s="24"/>
      <c r="E864" s="24">
        <v>0</v>
      </c>
      <c r="F864" s="28" t="s">
        <v>2261</v>
      </c>
      <c r="G864" s="24" t="s">
        <v>299</v>
      </c>
    </row>
    <row r="865" spans="1:7" ht="30" customHeight="1">
      <c r="A865" s="26" t="s">
        <v>2262</v>
      </c>
      <c r="B865" s="26" t="s">
        <v>143</v>
      </c>
      <c r="C865" s="26" t="s">
        <v>172</v>
      </c>
      <c r="D865" s="26"/>
      <c r="E865" s="26">
        <v>0</v>
      </c>
      <c r="F865" s="29" t="s">
        <v>2263</v>
      </c>
      <c r="G865" s="26" t="s">
        <v>299</v>
      </c>
    </row>
    <row r="866" spans="1:7" ht="30" customHeight="1">
      <c r="A866" s="24" t="s">
        <v>2264</v>
      </c>
      <c r="B866" s="24" t="s">
        <v>144</v>
      </c>
      <c r="C866" s="24" t="s">
        <v>172</v>
      </c>
      <c r="D866" s="24"/>
      <c r="E866" s="24">
        <v>0</v>
      </c>
      <c r="F866" s="28" t="s">
        <v>2265</v>
      </c>
      <c r="G866" s="24" t="s">
        <v>299</v>
      </c>
    </row>
    <row r="867" spans="1:7" ht="30" customHeight="1">
      <c r="A867" s="26" t="s">
        <v>2266</v>
      </c>
      <c r="B867" s="26" t="s">
        <v>143</v>
      </c>
      <c r="C867" s="26" t="s">
        <v>182</v>
      </c>
      <c r="D867" s="26"/>
      <c r="E867" s="26">
        <v>0</v>
      </c>
      <c r="F867" s="29" t="s">
        <v>2267</v>
      </c>
      <c r="G867" s="26" t="s">
        <v>299</v>
      </c>
    </row>
    <row r="868" spans="1:7" ht="30" customHeight="1">
      <c r="A868" s="24" t="s">
        <v>2268</v>
      </c>
      <c r="B868" s="24" t="s">
        <v>572</v>
      </c>
      <c r="C868" s="24" t="s">
        <v>172</v>
      </c>
      <c r="D868" s="24"/>
      <c r="E868" s="24">
        <v>0</v>
      </c>
      <c r="F868" s="28" t="s">
        <v>2269</v>
      </c>
      <c r="G868" s="24" t="s">
        <v>299</v>
      </c>
    </row>
    <row r="869" spans="1:7" ht="30" customHeight="1">
      <c r="A869" s="26" t="s">
        <v>2270</v>
      </c>
      <c r="B869" s="26" t="s">
        <v>1287</v>
      </c>
      <c r="C869" s="26" t="s">
        <v>172</v>
      </c>
      <c r="D869" s="26"/>
      <c r="E869" s="26">
        <v>0</v>
      </c>
      <c r="F869" s="29" t="s">
        <v>2271</v>
      </c>
      <c r="G869" s="26" t="s">
        <v>299</v>
      </c>
    </row>
    <row r="870" spans="1:7" ht="30" customHeight="1">
      <c r="A870" s="24" t="s">
        <v>2272</v>
      </c>
      <c r="B870" s="24" t="s">
        <v>572</v>
      </c>
      <c r="C870" s="24" t="s">
        <v>172</v>
      </c>
      <c r="D870" s="24"/>
      <c r="E870" s="24">
        <v>0</v>
      </c>
      <c r="F870" s="28" t="s">
        <v>2273</v>
      </c>
      <c r="G870" s="24" t="s">
        <v>299</v>
      </c>
    </row>
    <row r="871" spans="1:7" ht="30" customHeight="1">
      <c r="A871" s="26" t="s">
        <v>2274</v>
      </c>
      <c r="B871" s="26" t="s">
        <v>539</v>
      </c>
      <c r="C871" s="26" t="s">
        <v>172</v>
      </c>
      <c r="D871" s="26"/>
      <c r="E871" s="26">
        <v>0</v>
      </c>
      <c r="F871" s="29" t="s">
        <v>2275</v>
      </c>
      <c r="G871" s="26" t="s">
        <v>299</v>
      </c>
    </row>
    <row r="872" spans="1:7" ht="30" customHeight="1">
      <c r="A872" s="24" t="s">
        <v>2276</v>
      </c>
      <c r="B872" s="24" t="s">
        <v>143</v>
      </c>
      <c r="C872" s="24" t="s">
        <v>182</v>
      </c>
      <c r="D872" s="24"/>
      <c r="E872" s="24">
        <v>0</v>
      </c>
      <c r="F872" s="28" t="s">
        <v>2277</v>
      </c>
      <c r="G872" s="24" t="s">
        <v>299</v>
      </c>
    </row>
    <row r="873" spans="1:7" ht="30" customHeight="1">
      <c r="A873" s="26" t="s">
        <v>2278</v>
      </c>
      <c r="B873" s="26" t="s">
        <v>143</v>
      </c>
      <c r="C873" s="26" t="s">
        <v>182</v>
      </c>
      <c r="D873" s="26"/>
      <c r="E873" s="26">
        <v>0</v>
      </c>
      <c r="F873" s="29" t="s">
        <v>2279</v>
      </c>
      <c r="G873" s="26" t="s">
        <v>299</v>
      </c>
    </row>
    <row r="874" spans="1:7" ht="30" customHeight="1">
      <c r="A874" s="24" t="s">
        <v>2280</v>
      </c>
      <c r="B874" s="24" t="s">
        <v>144</v>
      </c>
      <c r="C874" s="24" t="s">
        <v>172</v>
      </c>
      <c r="D874" s="24"/>
      <c r="E874" s="24">
        <v>0</v>
      </c>
      <c r="F874" s="28" t="s">
        <v>2281</v>
      </c>
      <c r="G874" s="24" t="s">
        <v>299</v>
      </c>
    </row>
    <row r="875" spans="1:7" ht="30" customHeight="1">
      <c r="A875" s="26" t="s">
        <v>2282</v>
      </c>
      <c r="B875" s="26" t="s">
        <v>1099</v>
      </c>
      <c r="C875" s="26" t="s">
        <v>182</v>
      </c>
      <c r="D875" s="26"/>
      <c r="E875" s="26">
        <v>0</v>
      </c>
      <c r="F875" s="29" t="s">
        <v>2283</v>
      </c>
      <c r="G875" s="26" t="s">
        <v>299</v>
      </c>
    </row>
    <row r="876" spans="1:7" ht="30" customHeight="1">
      <c r="A876" s="24" t="s">
        <v>2284</v>
      </c>
      <c r="B876" s="24" t="s">
        <v>569</v>
      </c>
      <c r="C876" s="24" t="s">
        <v>172</v>
      </c>
      <c r="D876" s="24"/>
      <c r="E876" s="24">
        <v>0</v>
      </c>
      <c r="F876" s="28" t="s">
        <v>2285</v>
      </c>
      <c r="G876" s="24" t="s">
        <v>299</v>
      </c>
    </row>
    <row r="877" spans="1:7" ht="30" customHeight="1">
      <c r="A877" s="26" t="s">
        <v>2286</v>
      </c>
      <c r="B877" s="26" t="s">
        <v>1099</v>
      </c>
      <c r="C877" s="26" t="s">
        <v>172</v>
      </c>
      <c r="D877" s="26"/>
      <c r="E877" s="26">
        <v>0</v>
      </c>
      <c r="F877" s="29" t="s">
        <v>2287</v>
      </c>
      <c r="G877" s="26" t="s">
        <v>299</v>
      </c>
    </row>
    <row r="878" spans="1:7" ht="30" customHeight="1">
      <c r="A878" s="24" t="s">
        <v>2288</v>
      </c>
      <c r="B878" s="24" t="s">
        <v>569</v>
      </c>
      <c r="C878" s="24" t="s">
        <v>172</v>
      </c>
      <c r="D878" s="24"/>
      <c r="E878" s="24">
        <v>0</v>
      </c>
      <c r="F878" s="28" t="s">
        <v>2289</v>
      </c>
      <c r="G878" s="24" t="s">
        <v>299</v>
      </c>
    </row>
    <row r="879" spans="1:7" ht="30" customHeight="1">
      <c r="A879" s="26" t="s">
        <v>2290</v>
      </c>
      <c r="B879" s="26" t="s">
        <v>144</v>
      </c>
      <c r="C879" s="26" t="s">
        <v>172</v>
      </c>
      <c r="D879" s="26"/>
      <c r="E879" s="26">
        <v>0</v>
      </c>
      <c r="F879" s="29" t="s">
        <v>2291</v>
      </c>
      <c r="G879" s="26" t="s">
        <v>299</v>
      </c>
    </row>
    <row r="880" spans="1:7" ht="30" customHeight="1">
      <c r="A880" s="24" t="s">
        <v>2292</v>
      </c>
      <c r="B880" s="24" t="s">
        <v>144</v>
      </c>
      <c r="C880" s="24" t="s">
        <v>182</v>
      </c>
      <c r="D880" s="24"/>
      <c r="E880" s="24">
        <v>0</v>
      </c>
      <c r="F880" s="28" t="s">
        <v>2293</v>
      </c>
      <c r="G880" s="24" t="s">
        <v>299</v>
      </c>
    </row>
    <row r="881" spans="1:7" ht="30" customHeight="1">
      <c r="A881" s="26" t="s">
        <v>2294</v>
      </c>
      <c r="B881" s="26" t="s">
        <v>544</v>
      </c>
      <c r="C881" s="26" t="s">
        <v>172</v>
      </c>
      <c r="D881" s="26"/>
      <c r="E881" s="26">
        <v>0</v>
      </c>
      <c r="F881" s="29" t="s">
        <v>2295</v>
      </c>
      <c r="G881" s="26" t="s">
        <v>299</v>
      </c>
    </row>
    <row r="882" spans="1:7" ht="30" customHeight="1">
      <c r="A882" s="24" t="s">
        <v>2296</v>
      </c>
      <c r="B882" s="24" t="s">
        <v>539</v>
      </c>
      <c r="C882" s="24" t="s">
        <v>172</v>
      </c>
      <c r="D882" s="24"/>
      <c r="E882" s="24">
        <v>0</v>
      </c>
      <c r="F882" s="28" t="s">
        <v>2297</v>
      </c>
      <c r="G882" s="24" t="s">
        <v>299</v>
      </c>
    </row>
    <row r="883" spans="1:7" ht="30" customHeight="1">
      <c r="A883" s="26" t="s">
        <v>2298</v>
      </c>
      <c r="B883" s="26" t="s">
        <v>143</v>
      </c>
      <c r="C883" s="26" t="s">
        <v>172</v>
      </c>
      <c r="D883" s="26"/>
      <c r="E883" s="26">
        <v>0</v>
      </c>
      <c r="F883" s="29" t="s">
        <v>2299</v>
      </c>
      <c r="G883" s="26" t="s">
        <v>299</v>
      </c>
    </row>
    <row r="884" spans="1:7" ht="30" customHeight="1">
      <c r="A884" s="24" t="s">
        <v>2300</v>
      </c>
      <c r="B884" s="24" t="s">
        <v>143</v>
      </c>
      <c r="C884" s="24" t="s">
        <v>182</v>
      </c>
      <c r="D884" s="24"/>
      <c r="E884" s="24">
        <v>0</v>
      </c>
      <c r="F884" s="28" t="s">
        <v>2301</v>
      </c>
      <c r="G884" s="24" t="s">
        <v>299</v>
      </c>
    </row>
    <row r="885" spans="1:7" ht="30" customHeight="1">
      <c r="A885" s="26" t="s">
        <v>2302</v>
      </c>
      <c r="B885" s="26" t="s">
        <v>572</v>
      </c>
      <c r="C885" s="26" t="s">
        <v>172</v>
      </c>
      <c r="D885" s="26"/>
      <c r="E885" s="26">
        <v>0</v>
      </c>
      <c r="F885" s="29" t="s">
        <v>2303</v>
      </c>
      <c r="G885" s="26" t="s">
        <v>299</v>
      </c>
    </row>
    <row r="886" spans="1:7" ht="30" customHeight="1">
      <c r="A886" s="24" t="s">
        <v>2304</v>
      </c>
      <c r="B886" s="24" t="s">
        <v>143</v>
      </c>
      <c r="C886" s="24" t="s">
        <v>172</v>
      </c>
      <c r="D886" s="24"/>
      <c r="E886" s="24">
        <v>0</v>
      </c>
      <c r="F886" s="28" t="s">
        <v>2305</v>
      </c>
      <c r="G886" s="24" t="s">
        <v>299</v>
      </c>
    </row>
    <row r="887" spans="1:7" ht="30" customHeight="1">
      <c r="A887" s="26" t="s">
        <v>2306</v>
      </c>
      <c r="B887" s="26" t="s">
        <v>144</v>
      </c>
      <c r="C887" s="26" t="s">
        <v>172</v>
      </c>
      <c r="D887" s="26"/>
      <c r="E887" s="26">
        <v>0</v>
      </c>
      <c r="F887" s="29" t="s">
        <v>2307</v>
      </c>
      <c r="G887" s="26" t="s">
        <v>299</v>
      </c>
    </row>
    <row r="888" spans="1:7" ht="30" customHeight="1">
      <c r="A888" s="24" t="s">
        <v>2308</v>
      </c>
      <c r="B888" s="24" t="s">
        <v>144</v>
      </c>
      <c r="C888" s="24" t="s">
        <v>172</v>
      </c>
      <c r="D888" s="24"/>
      <c r="E888" s="24">
        <v>0</v>
      </c>
      <c r="F888" s="28" t="s">
        <v>2309</v>
      </c>
      <c r="G888" s="24" t="s">
        <v>299</v>
      </c>
    </row>
    <row r="889" spans="1:7" ht="30" customHeight="1">
      <c r="A889" s="26" t="s">
        <v>2310</v>
      </c>
      <c r="B889" s="26" t="s">
        <v>144</v>
      </c>
      <c r="C889" s="26" t="s">
        <v>172</v>
      </c>
      <c r="D889" s="26"/>
      <c r="E889" s="26">
        <v>0</v>
      </c>
      <c r="F889" s="29" t="s">
        <v>2311</v>
      </c>
      <c r="G889" s="26" t="s">
        <v>299</v>
      </c>
    </row>
    <row r="890" spans="1:7" ht="30" customHeight="1">
      <c r="A890" s="24" t="s">
        <v>2312</v>
      </c>
      <c r="B890" s="24" t="s">
        <v>143</v>
      </c>
      <c r="C890" s="24" t="s">
        <v>182</v>
      </c>
      <c r="D890" s="24"/>
      <c r="E890" s="24">
        <v>0</v>
      </c>
      <c r="F890" s="28" t="s">
        <v>2313</v>
      </c>
      <c r="G890" s="24" t="s">
        <v>299</v>
      </c>
    </row>
    <row r="891" spans="1:7" ht="30" customHeight="1">
      <c r="A891" s="26" t="s">
        <v>2314</v>
      </c>
      <c r="B891" s="26" t="s">
        <v>143</v>
      </c>
      <c r="C891" s="26" t="s">
        <v>172</v>
      </c>
      <c r="D891" s="26"/>
      <c r="E891" s="26">
        <v>0</v>
      </c>
      <c r="F891" s="29" t="s">
        <v>2315</v>
      </c>
      <c r="G891" s="26" t="s">
        <v>299</v>
      </c>
    </row>
    <row r="892" spans="1:7" ht="30" customHeight="1">
      <c r="A892" s="24" t="s">
        <v>2316</v>
      </c>
      <c r="B892" s="24" t="s">
        <v>572</v>
      </c>
      <c r="C892" s="24" t="s">
        <v>172</v>
      </c>
      <c r="D892" s="24"/>
      <c r="E892" s="24">
        <v>0</v>
      </c>
      <c r="F892" s="28" t="s">
        <v>2317</v>
      </c>
      <c r="G892" s="24" t="s">
        <v>299</v>
      </c>
    </row>
    <row r="893" spans="1:7" ht="30" customHeight="1">
      <c r="A893" s="26" t="s">
        <v>2318</v>
      </c>
      <c r="B893" s="26" t="s">
        <v>143</v>
      </c>
      <c r="C893" s="26" t="s">
        <v>172</v>
      </c>
      <c r="D893" s="26"/>
      <c r="E893" s="26">
        <v>0</v>
      </c>
      <c r="F893" s="29" t="s">
        <v>2319</v>
      </c>
      <c r="G893" s="26" t="s">
        <v>299</v>
      </c>
    </row>
    <row r="894" spans="1:7" ht="30" customHeight="1">
      <c r="A894" s="24" t="s">
        <v>2320</v>
      </c>
      <c r="B894" s="24" t="s">
        <v>572</v>
      </c>
      <c r="C894" s="24" t="s">
        <v>172</v>
      </c>
      <c r="D894" s="24"/>
      <c r="E894" s="24">
        <v>0</v>
      </c>
      <c r="F894" s="28" t="s">
        <v>2321</v>
      </c>
      <c r="G894" s="24" t="s">
        <v>299</v>
      </c>
    </row>
    <row r="895" spans="1:7" ht="30" customHeight="1">
      <c r="A895" s="26" t="s">
        <v>2322</v>
      </c>
      <c r="B895" s="26" t="s">
        <v>539</v>
      </c>
      <c r="C895" s="26" t="s">
        <v>172</v>
      </c>
      <c r="D895" s="26"/>
      <c r="E895" s="26">
        <v>0</v>
      </c>
      <c r="F895" s="29" t="s">
        <v>2323</v>
      </c>
      <c r="G895" s="26" t="s">
        <v>299</v>
      </c>
    </row>
    <row r="896" spans="1:7" ht="30" customHeight="1">
      <c r="A896" s="24" t="s">
        <v>2324</v>
      </c>
      <c r="B896" s="24" t="s">
        <v>581</v>
      </c>
      <c r="C896" s="24" t="s">
        <v>172</v>
      </c>
      <c r="D896" s="24"/>
      <c r="E896" s="24">
        <v>0</v>
      </c>
      <c r="F896" s="28" t="s">
        <v>2325</v>
      </c>
      <c r="G896" s="24" t="s">
        <v>299</v>
      </c>
    </row>
    <row r="897" spans="1:7" ht="30" customHeight="1">
      <c r="A897" s="26" t="s">
        <v>2326</v>
      </c>
      <c r="B897" s="26" t="s">
        <v>143</v>
      </c>
      <c r="C897" s="26" t="s">
        <v>172</v>
      </c>
      <c r="D897" s="26"/>
      <c r="E897" s="26">
        <v>0</v>
      </c>
      <c r="F897" s="29" t="s">
        <v>2327</v>
      </c>
      <c r="G897" s="26" t="s">
        <v>299</v>
      </c>
    </row>
    <row r="898" spans="1:7" ht="30" customHeight="1">
      <c r="A898" s="24" t="s">
        <v>2328</v>
      </c>
      <c r="B898" s="24" t="s">
        <v>144</v>
      </c>
      <c r="C898" s="24" t="s">
        <v>172</v>
      </c>
      <c r="D898" s="24"/>
      <c r="E898" s="24">
        <v>0</v>
      </c>
      <c r="F898" s="28" t="s">
        <v>2329</v>
      </c>
      <c r="G898" s="24" t="s">
        <v>299</v>
      </c>
    </row>
    <row r="899" spans="1:7" ht="30" customHeight="1">
      <c r="A899" s="26" t="s">
        <v>2330</v>
      </c>
      <c r="B899" s="26" t="s">
        <v>143</v>
      </c>
      <c r="C899" s="26" t="s">
        <v>172</v>
      </c>
      <c r="D899" s="26"/>
      <c r="E899" s="26">
        <v>0</v>
      </c>
      <c r="F899" s="29" t="s">
        <v>2331</v>
      </c>
      <c r="G899" s="26" t="s">
        <v>299</v>
      </c>
    </row>
    <row r="900" spans="1:7" ht="30" customHeight="1">
      <c r="A900" s="24" t="s">
        <v>2332</v>
      </c>
      <c r="B900" s="24" t="s">
        <v>143</v>
      </c>
      <c r="C900" s="24" t="s">
        <v>172</v>
      </c>
      <c r="D900" s="24"/>
      <c r="E900" s="24">
        <v>0</v>
      </c>
      <c r="F900" s="28" t="s">
        <v>2333</v>
      </c>
      <c r="G900" s="24" t="s">
        <v>299</v>
      </c>
    </row>
    <row r="901" spans="1:7" ht="30" customHeight="1">
      <c r="A901" s="26" t="s">
        <v>2334</v>
      </c>
      <c r="B901" s="26" t="s">
        <v>143</v>
      </c>
      <c r="C901" s="26" t="s">
        <v>172</v>
      </c>
      <c r="D901" s="26"/>
      <c r="E901" s="26">
        <v>0</v>
      </c>
      <c r="F901" s="29" t="s">
        <v>2335</v>
      </c>
      <c r="G901" s="26" t="s">
        <v>299</v>
      </c>
    </row>
    <row r="902" spans="1:7" ht="30" customHeight="1">
      <c r="A902" s="24" t="s">
        <v>2336</v>
      </c>
      <c r="B902" s="24" t="s">
        <v>144</v>
      </c>
      <c r="C902" s="24" t="s">
        <v>172</v>
      </c>
      <c r="D902" s="24"/>
      <c r="E902" s="24">
        <v>0</v>
      </c>
      <c r="F902" s="28" t="s">
        <v>2337</v>
      </c>
      <c r="G902" s="24" t="s">
        <v>299</v>
      </c>
    </row>
    <row r="903" spans="1:7" ht="30" customHeight="1">
      <c r="A903" s="26" t="s">
        <v>2338</v>
      </c>
      <c r="B903" s="26" t="s">
        <v>144</v>
      </c>
      <c r="C903" s="26" t="s">
        <v>172</v>
      </c>
      <c r="D903" s="26"/>
      <c r="E903" s="26">
        <v>0</v>
      </c>
      <c r="F903" s="29" t="s">
        <v>2339</v>
      </c>
      <c r="G903" s="26" t="s">
        <v>299</v>
      </c>
    </row>
    <row r="904" spans="1:7" ht="30" customHeight="1">
      <c r="A904" s="24" t="s">
        <v>2340</v>
      </c>
      <c r="B904" s="24" t="s">
        <v>143</v>
      </c>
      <c r="C904" s="24" t="s">
        <v>182</v>
      </c>
      <c r="D904" s="24"/>
      <c r="E904" s="24">
        <v>0</v>
      </c>
      <c r="F904" s="28" t="s">
        <v>2341</v>
      </c>
      <c r="G904" s="24" t="s">
        <v>299</v>
      </c>
    </row>
    <row r="905" spans="1:7" ht="30" customHeight="1">
      <c r="A905" s="26" t="s">
        <v>2342</v>
      </c>
      <c r="B905" s="26" t="s">
        <v>1099</v>
      </c>
      <c r="C905" s="26" t="s">
        <v>172</v>
      </c>
      <c r="D905" s="26"/>
      <c r="E905" s="26">
        <v>0</v>
      </c>
      <c r="F905" s="29" t="s">
        <v>2343</v>
      </c>
      <c r="G905" s="26" t="s">
        <v>299</v>
      </c>
    </row>
    <row r="906" spans="1:7" ht="30" customHeight="1">
      <c r="A906" s="24" t="s">
        <v>2344</v>
      </c>
      <c r="B906" s="24" t="s">
        <v>143</v>
      </c>
      <c r="C906" s="24" t="s">
        <v>172</v>
      </c>
      <c r="D906" s="24"/>
      <c r="E906" s="24">
        <v>0</v>
      </c>
      <c r="F906" s="28" t="s">
        <v>2345</v>
      </c>
      <c r="G906" s="24" t="s">
        <v>299</v>
      </c>
    </row>
    <row r="907" spans="1:7" ht="30" customHeight="1">
      <c r="A907" s="26" t="s">
        <v>2346</v>
      </c>
      <c r="B907" s="26" t="s">
        <v>143</v>
      </c>
      <c r="C907" s="26" t="s">
        <v>182</v>
      </c>
      <c r="D907" s="26"/>
      <c r="E907" s="26">
        <v>0</v>
      </c>
      <c r="F907" s="29" t="s">
        <v>2347</v>
      </c>
      <c r="G907" s="26" t="s">
        <v>299</v>
      </c>
    </row>
    <row r="908" spans="1:7" ht="30" customHeight="1">
      <c r="A908" s="24" t="s">
        <v>2348</v>
      </c>
      <c r="B908" s="24" t="s">
        <v>143</v>
      </c>
      <c r="C908" s="24" t="s">
        <v>182</v>
      </c>
      <c r="D908" s="24"/>
      <c r="E908" s="24">
        <v>0</v>
      </c>
      <c r="F908" s="28" t="s">
        <v>2349</v>
      </c>
      <c r="G908" s="24" t="s">
        <v>299</v>
      </c>
    </row>
    <row r="909" spans="1:7" ht="30" customHeight="1">
      <c r="A909" s="26" t="s">
        <v>2350</v>
      </c>
      <c r="B909" s="26" t="s">
        <v>143</v>
      </c>
      <c r="C909" s="26" t="s">
        <v>182</v>
      </c>
      <c r="D909" s="26"/>
      <c r="E909" s="26">
        <v>0</v>
      </c>
      <c r="F909" s="29" t="s">
        <v>2351</v>
      </c>
      <c r="G909" s="26" t="s">
        <v>299</v>
      </c>
    </row>
    <row r="910" spans="1:7" ht="30" customHeight="1">
      <c r="A910" s="24" t="s">
        <v>2352</v>
      </c>
      <c r="B910" s="24" t="s">
        <v>144</v>
      </c>
      <c r="C910" s="24" t="s">
        <v>172</v>
      </c>
      <c r="D910" s="24"/>
      <c r="E910" s="24">
        <v>0</v>
      </c>
      <c r="F910" s="28" t="s">
        <v>2353</v>
      </c>
      <c r="G910" s="24" t="s">
        <v>299</v>
      </c>
    </row>
    <row r="911" spans="1:7" ht="30" customHeight="1">
      <c r="A911" s="26" t="s">
        <v>2354</v>
      </c>
      <c r="B911" s="26" t="s">
        <v>144</v>
      </c>
      <c r="C911" s="26" t="s">
        <v>172</v>
      </c>
      <c r="D911" s="26"/>
      <c r="E911" s="26">
        <v>0</v>
      </c>
      <c r="F911" s="29" t="s">
        <v>2355</v>
      </c>
      <c r="G911" s="26" t="s">
        <v>299</v>
      </c>
    </row>
    <row r="912" spans="1:7" ht="30" customHeight="1">
      <c r="A912" s="24" t="s">
        <v>2356</v>
      </c>
      <c r="B912" s="24" t="s">
        <v>143</v>
      </c>
      <c r="C912" s="24" t="s">
        <v>182</v>
      </c>
      <c r="D912" s="24"/>
      <c r="E912" s="24">
        <v>0</v>
      </c>
      <c r="F912" s="28" t="s">
        <v>2357</v>
      </c>
      <c r="G912" s="24" t="s">
        <v>299</v>
      </c>
    </row>
    <row r="913" spans="1:7" ht="30" customHeight="1">
      <c r="A913" s="26" t="s">
        <v>2358</v>
      </c>
      <c r="B913" s="26" t="s">
        <v>143</v>
      </c>
      <c r="C913" s="26" t="s">
        <v>172</v>
      </c>
      <c r="D913" s="26"/>
      <c r="E913" s="26">
        <v>0</v>
      </c>
      <c r="F913" s="29" t="s">
        <v>2359</v>
      </c>
      <c r="G913" s="26" t="s">
        <v>299</v>
      </c>
    </row>
    <row r="914" spans="1:7" ht="30" customHeight="1">
      <c r="A914" s="24" t="s">
        <v>2360</v>
      </c>
      <c r="B914" s="24" t="s">
        <v>572</v>
      </c>
      <c r="C914" s="24" t="s">
        <v>172</v>
      </c>
      <c r="D914" s="24"/>
      <c r="E914" s="24">
        <v>0</v>
      </c>
      <c r="F914" s="28" t="s">
        <v>2361</v>
      </c>
      <c r="G914" s="24" t="s">
        <v>299</v>
      </c>
    </row>
    <row r="915" spans="1:7" ht="30" customHeight="1">
      <c r="A915" s="26" t="s">
        <v>2362</v>
      </c>
      <c r="B915" s="26" t="s">
        <v>144</v>
      </c>
      <c r="C915" s="26" t="s">
        <v>172</v>
      </c>
      <c r="D915" s="26"/>
      <c r="E915" s="26">
        <v>0</v>
      </c>
      <c r="F915" s="29" t="s">
        <v>2363</v>
      </c>
      <c r="G915" s="26" t="s">
        <v>299</v>
      </c>
    </row>
    <row r="916" spans="1:7" ht="30" customHeight="1">
      <c r="A916" s="24" t="s">
        <v>2364</v>
      </c>
      <c r="B916" s="24" t="s">
        <v>558</v>
      </c>
      <c r="C916" s="24" t="s">
        <v>172</v>
      </c>
      <c r="D916" s="24"/>
      <c r="E916" s="24">
        <v>0</v>
      </c>
      <c r="F916" s="28" t="s">
        <v>2365</v>
      </c>
      <c r="G916" s="24" t="s">
        <v>299</v>
      </c>
    </row>
    <row r="917" spans="1:7" ht="30" customHeight="1">
      <c r="A917" s="26" t="s">
        <v>2366</v>
      </c>
      <c r="B917" s="26" t="s">
        <v>143</v>
      </c>
      <c r="C917" s="26" t="s">
        <v>172</v>
      </c>
      <c r="D917" s="26"/>
      <c r="E917" s="26">
        <v>0</v>
      </c>
      <c r="F917" s="29" t="s">
        <v>2367</v>
      </c>
      <c r="G917" s="26" t="s">
        <v>299</v>
      </c>
    </row>
    <row r="918" spans="1:7" ht="30" customHeight="1">
      <c r="A918" s="24" t="s">
        <v>2368</v>
      </c>
      <c r="B918" s="24" t="s">
        <v>569</v>
      </c>
      <c r="C918" s="24" t="s">
        <v>172</v>
      </c>
      <c r="D918" s="24"/>
      <c r="E918" s="24">
        <v>0</v>
      </c>
      <c r="F918" s="28" t="s">
        <v>2369</v>
      </c>
      <c r="G918" s="24" t="s">
        <v>299</v>
      </c>
    </row>
    <row r="919" spans="1:7" ht="30" customHeight="1">
      <c r="A919" s="26" t="s">
        <v>2370</v>
      </c>
      <c r="B919" s="26" t="s">
        <v>572</v>
      </c>
      <c r="C919" s="26" t="s">
        <v>172</v>
      </c>
      <c r="D919" s="26"/>
      <c r="E919" s="26">
        <v>0</v>
      </c>
      <c r="F919" s="29" t="s">
        <v>2371</v>
      </c>
      <c r="G919" s="26" t="s">
        <v>299</v>
      </c>
    </row>
    <row r="920" spans="1:7" ht="30" customHeight="1">
      <c r="A920" s="24" t="s">
        <v>2372</v>
      </c>
      <c r="B920" s="24" t="s">
        <v>143</v>
      </c>
      <c r="C920" s="24" t="s">
        <v>172</v>
      </c>
      <c r="D920" s="24"/>
      <c r="E920" s="24">
        <v>0</v>
      </c>
      <c r="F920" s="28" t="s">
        <v>2373</v>
      </c>
      <c r="G920" s="24" t="s">
        <v>299</v>
      </c>
    </row>
    <row r="921" spans="1:7" ht="30" customHeight="1">
      <c r="A921" s="26" t="s">
        <v>2374</v>
      </c>
      <c r="B921" s="26" t="s">
        <v>143</v>
      </c>
      <c r="C921" s="26" t="s">
        <v>182</v>
      </c>
      <c r="D921" s="26"/>
      <c r="E921" s="26">
        <v>0</v>
      </c>
      <c r="F921" s="29" t="s">
        <v>2375</v>
      </c>
      <c r="G921" s="26" t="s">
        <v>299</v>
      </c>
    </row>
    <row r="922" spans="1:7" ht="30" customHeight="1">
      <c r="A922" s="24" t="s">
        <v>2376</v>
      </c>
      <c r="B922" s="24" t="s">
        <v>143</v>
      </c>
      <c r="C922" s="24" t="s">
        <v>182</v>
      </c>
      <c r="D922" s="24"/>
      <c r="E922" s="24">
        <v>0</v>
      </c>
      <c r="F922" s="28" t="s">
        <v>2377</v>
      </c>
      <c r="G922" s="24" t="s">
        <v>299</v>
      </c>
    </row>
    <row r="923" spans="1:7" ht="30" customHeight="1">
      <c r="A923" s="26" t="s">
        <v>2378</v>
      </c>
      <c r="B923" s="26" t="s">
        <v>143</v>
      </c>
      <c r="C923" s="26" t="s">
        <v>182</v>
      </c>
      <c r="D923" s="26"/>
      <c r="E923" s="26">
        <v>0</v>
      </c>
      <c r="F923" s="29" t="s">
        <v>2379</v>
      </c>
      <c r="G923" s="26" t="s">
        <v>299</v>
      </c>
    </row>
    <row r="924" spans="1:7" ht="30" customHeight="1">
      <c r="A924" s="24" t="s">
        <v>2380</v>
      </c>
      <c r="B924" s="24" t="s">
        <v>544</v>
      </c>
      <c r="C924" s="24" t="s">
        <v>172</v>
      </c>
      <c r="D924" s="24"/>
      <c r="E924" s="24">
        <v>0</v>
      </c>
      <c r="F924" s="28" t="s">
        <v>2381</v>
      </c>
      <c r="G924" s="24" t="s">
        <v>299</v>
      </c>
    </row>
    <row r="925" spans="1:7" ht="30" customHeight="1">
      <c r="A925" s="26" t="s">
        <v>2382</v>
      </c>
      <c r="B925" s="26" t="s">
        <v>544</v>
      </c>
      <c r="C925" s="26" t="s">
        <v>172</v>
      </c>
      <c r="D925" s="26"/>
      <c r="E925" s="26">
        <v>0</v>
      </c>
      <c r="F925" s="29" t="s">
        <v>2383</v>
      </c>
      <c r="G925" s="26" t="s">
        <v>299</v>
      </c>
    </row>
    <row r="926" spans="1:7" ht="30" customHeight="1">
      <c r="A926" s="24" t="s">
        <v>2384</v>
      </c>
      <c r="B926" s="24" t="s">
        <v>143</v>
      </c>
      <c r="C926" s="24" t="s">
        <v>172</v>
      </c>
      <c r="D926" s="24"/>
      <c r="E926" s="24">
        <v>0</v>
      </c>
      <c r="F926" s="28" t="s">
        <v>2385</v>
      </c>
      <c r="G926" s="24" t="s">
        <v>299</v>
      </c>
    </row>
    <row r="927" spans="1:7" ht="30" customHeight="1">
      <c r="A927" s="26" t="s">
        <v>2386</v>
      </c>
      <c r="B927" s="26" t="s">
        <v>572</v>
      </c>
      <c r="C927" s="26" t="s">
        <v>172</v>
      </c>
      <c r="D927" s="26"/>
      <c r="E927" s="26">
        <v>0</v>
      </c>
      <c r="F927" s="29" t="s">
        <v>2387</v>
      </c>
      <c r="G927" s="26" t="s">
        <v>299</v>
      </c>
    </row>
    <row r="928" spans="1:7" ht="30" customHeight="1">
      <c r="A928" s="24" t="s">
        <v>2388</v>
      </c>
      <c r="B928" s="24" t="s">
        <v>143</v>
      </c>
      <c r="C928" s="24" t="s">
        <v>172</v>
      </c>
      <c r="D928" s="24"/>
      <c r="E928" s="24">
        <v>0</v>
      </c>
      <c r="F928" s="28" t="s">
        <v>2389</v>
      </c>
      <c r="G928" s="24" t="s">
        <v>299</v>
      </c>
    </row>
    <row r="929" spans="1:7" ht="30" customHeight="1">
      <c r="A929" s="26" t="s">
        <v>2390</v>
      </c>
      <c r="B929" s="26" t="s">
        <v>572</v>
      </c>
      <c r="C929" s="26" t="s">
        <v>172</v>
      </c>
      <c r="D929" s="26"/>
      <c r="E929" s="26">
        <v>0</v>
      </c>
      <c r="F929" s="29" t="s">
        <v>2391</v>
      </c>
      <c r="G929" s="26" t="s">
        <v>299</v>
      </c>
    </row>
    <row r="930" spans="1:7" ht="30" customHeight="1">
      <c r="A930" s="24" t="s">
        <v>2392</v>
      </c>
      <c r="B930" s="24" t="s">
        <v>143</v>
      </c>
      <c r="C930" s="24" t="s">
        <v>172</v>
      </c>
      <c r="D930" s="24"/>
      <c r="E930" s="24">
        <v>0</v>
      </c>
      <c r="F930" s="28" t="s">
        <v>2393</v>
      </c>
      <c r="G930" s="24" t="s">
        <v>299</v>
      </c>
    </row>
    <row r="931" spans="1:7" ht="30" customHeight="1">
      <c r="A931" s="26" t="s">
        <v>2394</v>
      </c>
      <c r="B931" s="26" t="s">
        <v>143</v>
      </c>
      <c r="C931" s="26" t="s">
        <v>182</v>
      </c>
      <c r="D931" s="26"/>
      <c r="E931" s="26">
        <v>0</v>
      </c>
      <c r="F931" s="29" t="s">
        <v>2395</v>
      </c>
      <c r="G931" s="26" t="s">
        <v>299</v>
      </c>
    </row>
    <row r="932" spans="1:7" ht="30" customHeight="1">
      <c r="A932" s="24" t="s">
        <v>2396</v>
      </c>
      <c r="B932" s="24" t="s">
        <v>534</v>
      </c>
      <c r="C932" s="24" t="s">
        <v>182</v>
      </c>
      <c r="D932" s="24"/>
      <c r="E932" s="24">
        <v>0</v>
      </c>
      <c r="F932" s="28" t="s">
        <v>2397</v>
      </c>
      <c r="G932" s="24" t="s">
        <v>299</v>
      </c>
    </row>
    <row r="933" spans="1:7" ht="30" customHeight="1">
      <c r="A933" s="26" t="s">
        <v>2398</v>
      </c>
      <c r="B933" s="26" t="s">
        <v>143</v>
      </c>
      <c r="C933" s="26" t="s">
        <v>182</v>
      </c>
      <c r="D933" s="26"/>
      <c r="E933" s="26">
        <v>0</v>
      </c>
      <c r="F933" s="29" t="s">
        <v>2399</v>
      </c>
      <c r="G933" s="26" t="s">
        <v>299</v>
      </c>
    </row>
    <row r="934" spans="1:7" ht="30" customHeight="1">
      <c r="A934" s="24" t="s">
        <v>2400</v>
      </c>
      <c r="B934" s="24" t="s">
        <v>143</v>
      </c>
      <c r="C934" s="24" t="s">
        <v>182</v>
      </c>
      <c r="D934" s="24"/>
      <c r="E934" s="24">
        <v>0</v>
      </c>
      <c r="F934" s="28" t="s">
        <v>2401</v>
      </c>
      <c r="G934" s="24" t="s">
        <v>299</v>
      </c>
    </row>
    <row r="935" spans="1:7" ht="30" customHeight="1">
      <c r="A935" s="26" t="s">
        <v>2402</v>
      </c>
      <c r="B935" s="26" t="s">
        <v>569</v>
      </c>
      <c r="C935" s="26" t="s">
        <v>172</v>
      </c>
      <c r="D935" s="26"/>
      <c r="E935" s="26">
        <v>0</v>
      </c>
      <c r="F935" s="29" t="s">
        <v>2403</v>
      </c>
      <c r="G935" s="26" t="s">
        <v>299</v>
      </c>
    </row>
    <row r="936" spans="1:7" ht="30" customHeight="1">
      <c r="A936" s="24" t="s">
        <v>2404</v>
      </c>
      <c r="B936" s="24" t="s">
        <v>143</v>
      </c>
      <c r="C936" s="24" t="s">
        <v>172</v>
      </c>
      <c r="D936" s="24"/>
      <c r="E936" s="24">
        <v>0</v>
      </c>
      <c r="F936" s="28" t="s">
        <v>2405</v>
      </c>
      <c r="G936" s="24" t="s">
        <v>299</v>
      </c>
    </row>
    <row r="937" spans="1:7" ht="30" customHeight="1">
      <c r="A937" s="26" t="s">
        <v>2406</v>
      </c>
      <c r="B937" s="26" t="s">
        <v>144</v>
      </c>
      <c r="C937" s="26" t="s">
        <v>172</v>
      </c>
      <c r="D937" s="26"/>
      <c r="E937" s="26">
        <v>0</v>
      </c>
      <c r="F937" s="29" t="s">
        <v>2407</v>
      </c>
      <c r="G937" s="26" t="s">
        <v>299</v>
      </c>
    </row>
    <row r="938" spans="1:7" ht="30" customHeight="1">
      <c r="A938" s="24" t="s">
        <v>2408</v>
      </c>
      <c r="B938" s="24" t="s">
        <v>144</v>
      </c>
      <c r="C938" s="24" t="s">
        <v>172</v>
      </c>
      <c r="D938" s="24"/>
      <c r="E938" s="24">
        <v>0</v>
      </c>
      <c r="F938" s="28" t="s">
        <v>2409</v>
      </c>
      <c r="G938" s="24" t="s">
        <v>299</v>
      </c>
    </row>
    <row r="939" spans="1:7" ht="30" customHeight="1">
      <c r="A939" s="26" t="s">
        <v>2410</v>
      </c>
      <c r="B939" s="26" t="s">
        <v>143</v>
      </c>
      <c r="C939" s="26" t="s">
        <v>172</v>
      </c>
      <c r="D939" s="26"/>
      <c r="E939" s="26">
        <v>0</v>
      </c>
      <c r="F939" s="29" t="s">
        <v>2411</v>
      </c>
      <c r="G939" s="26" t="s">
        <v>299</v>
      </c>
    </row>
    <row r="940" spans="1:7" ht="30" customHeight="1">
      <c r="A940" s="24" t="s">
        <v>2412</v>
      </c>
      <c r="B940" s="24" t="s">
        <v>539</v>
      </c>
      <c r="C940" s="24" t="s">
        <v>172</v>
      </c>
      <c r="D940" s="24"/>
      <c r="E940" s="24">
        <v>0</v>
      </c>
      <c r="F940" s="28" t="s">
        <v>2413</v>
      </c>
      <c r="G940" s="24" t="s">
        <v>299</v>
      </c>
    </row>
    <row r="941" spans="1:7" ht="30" customHeight="1">
      <c r="A941" s="26" t="s">
        <v>2414</v>
      </c>
      <c r="B941" s="26" t="s">
        <v>143</v>
      </c>
      <c r="C941" s="26" t="s">
        <v>172</v>
      </c>
      <c r="D941" s="26"/>
      <c r="E941" s="26">
        <v>0</v>
      </c>
      <c r="F941" s="29" t="s">
        <v>2415</v>
      </c>
      <c r="G941" s="26" t="s">
        <v>299</v>
      </c>
    </row>
    <row r="942" spans="1:7" ht="30" customHeight="1">
      <c r="A942" s="24" t="s">
        <v>2416</v>
      </c>
      <c r="B942" s="24" t="s">
        <v>144</v>
      </c>
      <c r="C942" s="24" t="s">
        <v>172</v>
      </c>
      <c r="D942" s="24"/>
      <c r="E942" s="24">
        <v>0</v>
      </c>
      <c r="F942" s="28" t="s">
        <v>2417</v>
      </c>
      <c r="G942" s="24" t="s">
        <v>299</v>
      </c>
    </row>
    <row r="943" spans="1:7" ht="30" customHeight="1">
      <c r="A943" s="26" t="s">
        <v>2418</v>
      </c>
      <c r="B943" s="26" t="s">
        <v>143</v>
      </c>
      <c r="C943" s="26" t="s">
        <v>182</v>
      </c>
      <c r="D943" s="26"/>
      <c r="E943" s="26">
        <v>0</v>
      </c>
      <c r="F943" s="29" t="s">
        <v>2419</v>
      </c>
      <c r="G943" s="26" t="s">
        <v>299</v>
      </c>
    </row>
    <row r="944" spans="1:7" ht="30" customHeight="1">
      <c r="A944" s="24" t="s">
        <v>2420</v>
      </c>
      <c r="B944" s="24" t="s">
        <v>572</v>
      </c>
      <c r="C944" s="24" t="s">
        <v>172</v>
      </c>
      <c r="D944" s="24"/>
      <c r="E944" s="24">
        <v>0</v>
      </c>
      <c r="F944" s="28" t="s">
        <v>2421</v>
      </c>
      <c r="G944" s="24" t="s">
        <v>299</v>
      </c>
    </row>
    <row r="945" spans="1:7" ht="30" customHeight="1">
      <c r="A945" s="26" t="s">
        <v>2422</v>
      </c>
      <c r="B945" s="26" t="s">
        <v>143</v>
      </c>
      <c r="C945" s="26" t="s">
        <v>172</v>
      </c>
      <c r="D945" s="26"/>
      <c r="E945" s="26">
        <v>0</v>
      </c>
      <c r="F945" s="29" t="s">
        <v>2423</v>
      </c>
      <c r="G945" s="26" t="s">
        <v>299</v>
      </c>
    </row>
    <row r="946" spans="1:7" ht="30" customHeight="1">
      <c r="A946" s="24" t="s">
        <v>2424</v>
      </c>
      <c r="B946" s="24" t="s">
        <v>569</v>
      </c>
      <c r="C946" s="24" t="s">
        <v>172</v>
      </c>
      <c r="D946" s="24"/>
      <c r="E946" s="24">
        <v>0</v>
      </c>
      <c r="F946" s="28" t="s">
        <v>2425</v>
      </c>
      <c r="G946" s="24" t="s">
        <v>299</v>
      </c>
    </row>
    <row r="947" spans="1:7" ht="30" customHeight="1">
      <c r="A947" s="26" t="s">
        <v>2426</v>
      </c>
      <c r="B947" s="26" t="s">
        <v>572</v>
      </c>
      <c r="C947" s="26" t="s">
        <v>172</v>
      </c>
      <c r="D947" s="26"/>
      <c r="E947" s="26">
        <v>0</v>
      </c>
      <c r="F947" s="29" t="s">
        <v>2427</v>
      </c>
      <c r="G947" s="26" t="s">
        <v>299</v>
      </c>
    </row>
    <row r="948" spans="1:7" ht="30" customHeight="1">
      <c r="A948" s="24" t="s">
        <v>2428</v>
      </c>
      <c r="B948" s="24" t="s">
        <v>143</v>
      </c>
      <c r="C948" s="24" t="s">
        <v>172</v>
      </c>
      <c r="D948" s="24"/>
      <c r="E948" s="24">
        <v>0</v>
      </c>
      <c r="F948" s="28" t="s">
        <v>2429</v>
      </c>
      <c r="G948" s="24" t="s">
        <v>299</v>
      </c>
    </row>
    <row r="949" spans="1:7" ht="30" customHeight="1">
      <c r="A949" s="26" t="s">
        <v>2430</v>
      </c>
      <c r="B949" s="26" t="s">
        <v>143</v>
      </c>
      <c r="C949" s="26" t="s">
        <v>172</v>
      </c>
      <c r="D949" s="26"/>
      <c r="E949" s="26">
        <v>0</v>
      </c>
      <c r="F949" s="29" t="s">
        <v>2431</v>
      </c>
      <c r="G949" s="26" t="s">
        <v>299</v>
      </c>
    </row>
    <row r="950" spans="1:7" ht="30" customHeight="1">
      <c r="A950" s="24" t="s">
        <v>2432</v>
      </c>
      <c r="B950" s="24" t="s">
        <v>143</v>
      </c>
      <c r="C950" s="24" t="s">
        <v>172</v>
      </c>
      <c r="D950" s="24"/>
      <c r="E950" s="24">
        <v>0</v>
      </c>
      <c r="F950" s="28" t="s">
        <v>2433</v>
      </c>
      <c r="G950" s="24" t="s">
        <v>299</v>
      </c>
    </row>
    <row r="951" spans="1:7" ht="30" customHeight="1">
      <c r="A951" s="26" t="s">
        <v>2434</v>
      </c>
      <c r="B951" s="26" t="s">
        <v>544</v>
      </c>
      <c r="C951" s="26" t="s">
        <v>182</v>
      </c>
      <c r="D951" s="26"/>
      <c r="E951" s="26">
        <v>0</v>
      </c>
      <c r="F951" s="29" t="s">
        <v>2435</v>
      </c>
      <c r="G951" s="26" t="s">
        <v>299</v>
      </c>
    </row>
    <row r="952" spans="1:7" ht="30" customHeight="1">
      <c r="A952" s="24" t="s">
        <v>2436</v>
      </c>
      <c r="B952" s="24" t="s">
        <v>143</v>
      </c>
      <c r="C952" s="24" t="s">
        <v>172</v>
      </c>
      <c r="D952" s="24"/>
      <c r="E952" s="24">
        <v>0</v>
      </c>
      <c r="F952" s="28" t="s">
        <v>2437</v>
      </c>
      <c r="G952" s="24" t="s">
        <v>299</v>
      </c>
    </row>
    <row r="953" spans="1:7" ht="30" customHeight="1">
      <c r="A953" s="26" t="s">
        <v>2438</v>
      </c>
      <c r="B953" s="26" t="s">
        <v>569</v>
      </c>
      <c r="C953" s="26" t="s">
        <v>172</v>
      </c>
      <c r="D953" s="26"/>
      <c r="E953" s="26">
        <v>0</v>
      </c>
      <c r="F953" s="29" t="s">
        <v>2439</v>
      </c>
      <c r="G953" s="26" t="s">
        <v>299</v>
      </c>
    </row>
    <row r="954" spans="1:7" ht="30" customHeight="1">
      <c r="A954" s="24" t="s">
        <v>2440</v>
      </c>
      <c r="B954" s="24" t="s">
        <v>143</v>
      </c>
      <c r="C954" s="24" t="s">
        <v>172</v>
      </c>
      <c r="D954" s="24"/>
      <c r="E954" s="24">
        <v>0</v>
      </c>
      <c r="F954" s="28" t="s">
        <v>2441</v>
      </c>
      <c r="G954" s="24" t="s">
        <v>299</v>
      </c>
    </row>
    <row r="955" spans="1:7" ht="30" customHeight="1">
      <c r="A955" s="26" t="s">
        <v>2442</v>
      </c>
      <c r="B955" s="26" t="s">
        <v>143</v>
      </c>
      <c r="C955" s="26" t="s">
        <v>172</v>
      </c>
      <c r="D955" s="26"/>
      <c r="E955" s="26">
        <v>0</v>
      </c>
      <c r="F955" s="29" t="s">
        <v>2443</v>
      </c>
      <c r="G955" s="26" t="s">
        <v>299</v>
      </c>
    </row>
    <row r="956" spans="1:7" ht="30" customHeight="1">
      <c r="A956" s="24" t="s">
        <v>2444</v>
      </c>
      <c r="B956" s="24" t="s">
        <v>143</v>
      </c>
      <c r="C956" s="24" t="s">
        <v>182</v>
      </c>
      <c r="D956" s="24"/>
      <c r="E956" s="24">
        <v>0</v>
      </c>
      <c r="F956" s="28" t="s">
        <v>2445</v>
      </c>
      <c r="G956" s="24" t="s">
        <v>299</v>
      </c>
    </row>
    <row r="957" spans="1:7" ht="30" customHeight="1">
      <c r="A957" s="26" t="s">
        <v>2446</v>
      </c>
      <c r="B957" s="26" t="s">
        <v>143</v>
      </c>
      <c r="C957" s="26" t="s">
        <v>172</v>
      </c>
      <c r="D957" s="26"/>
      <c r="E957" s="26">
        <v>0</v>
      </c>
      <c r="F957" s="29" t="s">
        <v>2447</v>
      </c>
      <c r="G957" s="26" t="s">
        <v>299</v>
      </c>
    </row>
    <row r="958" spans="1:7" ht="30" customHeight="1">
      <c r="A958" s="24" t="s">
        <v>2448</v>
      </c>
      <c r="B958" s="24" t="s">
        <v>558</v>
      </c>
      <c r="C958" s="24" t="s">
        <v>172</v>
      </c>
      <c r="D958" s="24"/>
      <c r="E958" s="24">
        <v>0</v>
      </c>
      <c r="F958" s="28" t="s">
        <v>2449</v>
      </c>
      <c r="G958" s="24" t="s">
        <v>299</v>
      </c>
    </row>
    <row r="959" spans="1:7" ht="30" customHeight="1">
      <c r="A959" s="26" t="s">
        <v>2450</v>
      </c>
      <c r="B959" s="26" t="s">
        <v>143</v>
      </c>
      <c r="C959" s="26" t="s">
        <v>172</v>
      </c>
      <c r="D959" s="26"/>
      <c r="E959" s="26">
        <v>0</v>
      </c>
      <c r="F959" s="29" t="s">
        <v>2451</v>
      </c>
      <c r="G959" s="26" t="s">
        <v>299</v>
      </c>
    </row>
    <row r="960" spans="1:7" ht="30" customHeight="1">
      <c r="A960" s="24" t="s">
        <v>2452</v>
      </c>
      <c r="B960" s="24" t="s">
        <v>144</v>
      </c>
      <c r="C960" s="24" t="s">
        <v>172</v>
      </c>
      <c r="D960" s="24"/>
      <c r="E960" s="24">
        <v>0</v>
      </c>
      <c r="F960" s="28" t="s">
        <v>2453</v>
      </c>
      <c r="G960" s="24" t="s">
        <v>299</v>
      </c>
    </row>
    <row r="961" spans="1:7" ht="30" customHeight="1">
      <c r="A961" s="26" t="s">
        <v>2454</v>
      </c>
      <c r="B961" s="26" t="s">
        <v>143</v>
      </c>
      <c r="C961" s="26" t="s">
        <v>172</v>
      </c>
      <c r="D961" s="26"/>
      <c r="E961" s="26">
        <v>0</v>
      </c>
      <c r="F961" s="29" t="s">
        <v>2455</v>
      </c>
      <c r="G961" s="26" t="s">
        <v>299</v>
      </c>
    </row>
    <row r="962" spans="1:7" ht="30" customHeight="1">
      <c r="A962" s="24" t="s">
        <v>2456</v>
      </c>
      <c r="B962" s="24" t="s">
        <v>143</v>
      </c>
      <c r="C962" s="24" t="s">
        <v>182</v>
      </c>
      <c r="D962" s="24"/>
      <c r="E962" s="24">
        <v>0</v>
      </c>
      <c r="F962" s="28" t="s">
        <v>2457</v>
      </c>
      <c r="G962" s="24" t="s">
        <v>299</v>
      </c>
    </row>
    <row r="963" spans="1:7" ht="30" customHeight="1">
      <c r="A963" s="26" t="s">
        <v>2458</v>
      </c>
      <c r="B963" s="26" t="s">
        <v>143</v>
      </c>
      <c r="C963" s="26" t="s">
        <v>172</v>
      </c>
      <c r="D963" s="26"/>
      <c r="E963" s="26">
        <v>0</v>
      </c>
      <c r="F963" s="29" t="s">
        <v>2459</v>
      </c>
      <c r="G963" s="26" t="s">
        <v>299</v>
      </c>
    </row>
    <row r="964" spans="1:7" ht="30" customHeight="1">
      <c r="A964" s="24" t="s">
        <v>2460</v>
      </c>
      <c r="B964" s="24" t="s">
        <v>143</v>
      </c>
      <c r="C964" s="24" t="s">
        <v>172</v>
      </c>
      <c r="D964" s="24"/>
      <c r="E964" s="24">
        <v>0</v>
      </c>
      <c r="F964" s="28" t="s">
        <v>2461</v>
      </c>
      <c r="G964" s="24" t="s">
        <v>299</v>
      </c>
    </row>
    <row r="965" spans="1:7" ht="30" customHeight="1">
      <c r="A965" s="26" t="s">
        <v>2462</v>
      </c>
      <c r="B965" s="26" t="s">
        <v>1099</v>
      </c>
      <c r="C965" s="26" t="s">
        <v>172</v>
      </c>
      <c r="D965" s="26"/>
      <c r="E965" s="26">
        <v>0</v>
      </c>
      <c r="F965" s="29" t="s">
        <v>2463</v>
      </c>
      <c r="G965" s="26" t="s">
        <v>299</v>
      </c>
    </row>
    <row r="966" spans="1:7" ht="30" customHeight="1">
      <c r="A966" s="24" t="s">
        <v>2464</v>
      </c>
      <c r="B966" s="24" t="s">
        <v>544</v>
      </c>
      <c r="C966" s="24" t="s">
        <v>172</v>
      </c>
      <c r="D966" s="24"/>
      <c r="E966" s="24">
        <v>0</v>
      </c>
      <c r="F966" s="28" t="s">
        <v>2465</v>
      </c>
      <c r="G966" s="24" t="s">
        <v>299</v>
      </c>
    </row>
    <row r="967" spans="1:7" ht="30" customHeight="1">
      <c r="A967" s="26" t="s">
        <v>2466</v>
      </c>
      <c r="B967" s="26" t="s">
        <v>143</v>
      </c>
      <c r="C967" s="26" t="s">
        <v>172</v>
      </c>
      <c r="D967" s="26"/>
      <c r="E967" s="26">
        <v>0</v>
      </c>
      <c r="F967" s="29" t="s">
        <v>2467</v>
      </c>
      <c r="G967" s="26" t="s">
        <v>299</v>
      </c>
    </row>
    <row r="968" spans="1:7" ht="30" customHeight="1">
      <c r="A968" s="24" t="s">
        <v>2468</v>
      </c>
      <c r="B968" s="24" t="s">
        <v>143</v>
      </c>
      <c r="C968" s="24" t="s">
        <v>172</v>
      </c>
      <c r="D968" s="24"/>
      <c r="E968" s="24">
        <v>0</v>
      </c>
      <c r="F968" s="28" t="s">
        <v>2469</v>
      </c>
      <c r="G968" s="24" t="s">
        <v>299</v>
      </c>
    </row>
    <row r="969" spans="1:7" ht="30" customHeight="1">
      <c r="A969" s="26" t="s">
        <v>2470</v>
      </c>
      <c r="B969" s="26" t="s">
        <v>143</v>
      </c>
      <c r="C969" s="26" t="s">
        <v>182</v>
      </c>
      <c r="D969" s="26"/>
      <c r="E969" s="26">
        <v>0</v>
      </c>
      <c r="F969" s="29" t="s">
        <v>2471</v>
      </c>
      <c r="G969" s="26" t="s">
        <v>299</v>
      </c>
    </row>
    <row r="970" spans="1:7" ht="30" customHeight="1">
      <c r="A970" s="24" t="s">
        <v>2472</v>
      </c>
      <c r="B970" s="24" t="s">
        <v>572</v>
      </c>
      <c r="C970" s="24" t="s">
        <v>172</v>
      </c>
      <c r="D970" s="24"/>
      <c r="E970" s="24">
        <v>0</v>
      </c>
      <c r="F970" s="28" t="s">
        <v>2473</v>
      </c>
      <c r="G970" s="24" t="s">
        <v>299</v>
      </c>
    </row>
    <row r="971" spans="1:7" ht="30" customHeight="1">
      <c r="A971" s="26" t="s">
        <v>2474</v>
      </c>
      <c r="B971" s="26" t="s">
        <v>144</v>
      </c>
      <c r="C971" s="26" t="s">
        <v>172</v>
      </c>
      <c r="D971" s="26"/>
      <c r="E971" s="26">
        <v>0</v>
      </c>
      <c r="F971" s="29" t="s">
        <v>2475</v>
      </c>
      <c r="G971" s="26" t="s">
        <v>299</v>
      </c>
    </row>
    <row r="972" spans="1:7" ht="30" customHeight="1">
      <c r="A972" s="24" t="s">
        <v>2476</v>
      </c>
      <c r="B972" s="24" t="s">
        <v>144</v>
      </c>
      <c r="C972" s="24" t="s">
        <v>172</v>
      </c>
      <c r="D972" s="24"/>
      <c r="E972" s="24">
        <v>0</v>
      </c>
      <c r="F972" s="28" t="s">
        <v>2477</v>
      </c>
      <c r="G972" s="24" t="s">
        <v>299</v>
      </c>
    </row>
    <row r="973" spans="1:7" ht="30" customHeight="1">
      <c r="A973" s="26" t="s">
        <v>2478</v>
      </c>
      <c r="B973" s="26" t="s">
        <v>143</v>
      </c>
      <c r="C973" s="26" t="s">
        <v>172</v>
      </c>
      <c r="D973" s="26"/>
      <c r="E973" s="26">
        <v>0</v>
      </c>
      <c r="F973" s="29" t="s">
        <v>2479</v>
      </c>
      <c r="G973" s="26" t="s">
        <v>299</v>
      </c>
    </row>
    <row r="974" spans="1:7" ht="30" customHeight="1">
      <c r="A974" s="24" t="s">
        <v>2480</v>
      </c>
      <c r="B974" s="24" t="s">
        <v>558</v>
      </c>
      <c r="C974" s="24" t="s">
        <v>172</v>
      </c>
      <c r="D974" s="24"/>
      <c r="E974" s="24">
        <v>0</v>
      </c>
      <c r="F974" s="28" t="s">
        <v>2481</v>
      </c>
      <c r="G974" s="24" t="s">
        <v>299</v>
      </c>
    </row>
    <row r="975" spans="1:7" ht="30" customHeight="1">
      <c r="A975" s="26" t="s">
        <v>2482</v>
      </c>
      <c r="B975" s="26" t="s">
        <v>143</v>
      </c>
      <c r="C975" s="26" t="s">
        <v>172</v>
      </c>
      <c r="D975" s="26"/>
      <c r="E975" s="26">
        <v>0</v>
      </c>
      <c r="F975" s="29" t="s">
        <v>2483</v>
      </c>
      <c r="G975" s="26" t="s">
        <v>299</v>
      </c>
    </row>
    <row r="976" spans="1:7" ht="30" customHeight="1">
      <c r="A976" s="24" t="s">
        <v>2484</v>
      </c>
      <c r="B976" s="24" t="s">
        <v>143</v>
      </c>
      <c r="C976" s="24" t="s">
        <v>172</v>
      </c>
      <c r="D976" s="24"/>
      <c r="E976" s="24">
        <v>0</v>
      </c>
      <c r="F976" s="28" t="s">
        <v>2485</v>
      </c>
      <c r="G976" s="24" t="s">
        <v>299</v>
      </c>
    </row>
    <row r="977" spans="1:7" ht="30" customHeight="1">
      <c r="A977" s="26" t="s">
        <v>2486</v>
      </c>
      <c r="B977" s="26" t="s">
        <v>144</v>
      </c>
      <c r="C977" s="26" t="s">
        <v>172</v>
      </c>
      <c r="D977" s="26"/>
      <c r="E977" s="26">
        <v>0</v>
      </c>
      <c r="F977" s="29" t="s">
        <v>2487</v>
      </c>
      <c r="G977" s="26" t="s">
        <v>299</v>
      </c>
    </row>
    <row r="978" spans="1:7" ht="30" customHeight="1">
      <c r="A978" s="24" t="s">
        <v>2488</v>
      </c>
      <c r="B978" s="24" t="s">
        <v>144</v>
      </c>
      <c r="C978" s="24" t="s">
        <v>172</v>
      </c>
      <c r="D978" s="24"/>
      <c r="E978" s="24">
        <v>0</v>
      </c>
      <c r="F978" s="28" t="s">
        <v>2489</v>
      </c>
      <c r="G978" s="24" t="s">
        <v>299</v>
      </c>
    </row>
    <row r="979" spans="1:7" ht="30" customHeight="1">
      <c r="A979" s="26" t="s">
        <v>2490</v>
      </c>
      <c r="B979" s="26" t="s">
        <v>143</v>
      </c>
      <c r="C979" s="26" t="s">
        <v>172</v>
      </c>
      <c r="D979" s="26"/>
      <c r="E979" s="26">
        <v>0</v>
      </c>
      <c r="F979" s="29" t="s">
        <v>2491</v>
      </c>
      <c r="G979" s="26" t="s">
        <v>299</v>
      </c>
    </row>
    <row r="980" spans="1:7" ht="30" customHeight="1">
      <c r="A980" s="24" t="s">
        <v>2492</v>
      </c>
      <c r="B980" s="24" t="s">
        <v>581</v>
      </c>
      <c r="C980" s="24" t="s">
        <v>172</v>
      </c>
      <c r="D980" s="24"/>
      <c r="E980" s="24">
        <v>0</v>
      </c>
      <c r="F980" s="28" t="s">
        <v>2493</v>
      </c>
      <c r="G980" s="24" t="s">
        <v>299</v>
      </c>
    </row>
    <row r="981" spans="1:7" ht="30" customHeight="1">
      <c r="A981" s="26" t="s">
        <v>2494</v>
      </c>
      <c r="B981" s="26" t="s">
        <v>143</v>
      </c>
      <c r="C981" s="26" t="s">
        <v>172</v>
      </c>
      <c r="D981" s="26"/>
      <c r="E981" s="26">
        <v>0</v>
      </c>
      <c r="F981" s="29" t="s">
        <v>2495</v>
      </c>
      <c r="G981" s="26" t="s">
        <v>299</v>
      </c>
    </row>
    <row r="982" spans="1:7" ht="30" customHeight="1">
      <c r="A982" s="24" t="s">
        <v>2496</v>
      </c>
      <c r="B982" s="24" t="s">
        <v>539</v>
      </c>
      <c r="C982" s="24" t="s">
        <v>172</v>
      </c>
      <c r="D982" s="24"/>
      <c r="E982" s="24">
        <v>0</v>
      </c>
      <c r="F982" s="28" t="s">
        <v>2497</v>
      </c>
      <c r="G982" s="24" t="s">
        <v>299</v>
      </c>
    </row>
    <row r="983" spans="1:7" ht="30" customHeight="1">
      <c r="A983" s="26" t="s">
        <v>2498</v>
      </c>
      <c r="B983" s="26" t="s">
        <v>143</v>
      </c>
      <c r="C983" s="26" t="s">
        <v>172</v>
      </c>
      <c r="D983" s="26"/>
      <c r="E983" s="26">
        <v>0</v>
      </c>
      <c r="F983" s="29" t="s">
        <v>2499</v>
      </c>
      <c r="G983" s="26" t="s">
        <v>299</v>
      </c>
    </row>
    <row r="984" spans="1:7" ht="30" customHeight="1">
      <c r="A984" s="24" t="s">
        <v>2500</v>
      </c>
      <c r="B984" s="24" t="s">
        <v>144</v>
      </c>
      <c r="C984" s="24" t="s">
        <v>172</v>
      </c>
      <c r="D984" s="24"/>
      <c r="E984" s="24">
        <v>0</v>
      </c>
      <c r="F984" s="28" t="s">
        <v>2501</v>
      </c>
      <c r="G984" s="24" t="s">
        <v>299</v>
      </c>
    </row>
    <row r="985" spans="1:7" ht="30" customHeight="1">
      <c r="A985" s="26" t="s">
        <v>2502</v>
      </c>
      <c r="B985" s="26" t="s">
        <v>143</v>
      </c>
      <c r="C985" s="26" t="s">
        <v>182</v>
      </c>
      <c r="D985" s="26"/>
      <c r="E985" s="26">
        <v>0</v>
      </c>
      <c r="F985" s="29" t="s">
        <v>2503</v>
      </c>
      <c r="G985" s="26" t="s">
        <v>299</v>
      </c>
    </row>
    <row r="986" spans="1:7" ht="30" customHeight="1">
      <c r="A986" s="24" t="s">
        <v>2504</v>
      </c>
      <c r="B986" s="24" t="s">
        <v>143</v>
      </c>
      <c r="C986" s="24" t="s">
        <v>172</v>
      </c>
      <c r="D986" s="24"/>
      <c r="E986" s="24">
        <v>0</v>
      </c>
      <c r="F986" s="28" t="s">
        <v>2505</v>
      </c>
      <c r="G986" s="24" t="s">
        <v>299</v>
      </c>
    </row>
    <row r="987" spans="1:7" ht="30" customHeight="1">
      <c r="A987" s="26" t="s">
        <v>2506</v>
      </c>
      <c r="B987" s="26" t="s">
        <v>144</v>
      </c>
      <c r="C987" s="26" t="s">
        <v>172</v>
      </c>
      <c r="D987" s="26"/>
      <c r="E987" s="26">
        <v>0</v>
      </c>
      <c r="F987" s="29" t="s">
        <v>2507</v>
      </c>
      <c r="G987" s="26" t="s">
        <v>299</v>
      </c>
    </row>
    <row r="988" spans="1:7" ht="30" customHeight="1">
      <c r="A988" s="24" t="s">
        <v>2508</v>
      </c>
      <c r="B988" s="24" t="s">
        <v>143</v>
      </c>
      <c r="C988" s="24" t="s">
        <v>172</v>
      </c>
      <c r="D988" s="24"/>
      <c r="E988" s="24">
        <v>0</v>
      </c>
      <c r="F988" s="28" t="s">
        <v>2509</v>
      </c>
      <c r="G988" s="24" t="s">
        <v>299</v>
      </c>
    </row>
    <row r="989" spans="1:7" ht="30" customHeight="1">
      <c r="A989" s="26" t="s">
        <v>2510</v>
      </c>
      <c r="B989" s="26" t="s">
        <v>143</v>
      </c>
      <c r="C989" s="26" t="s">
        <v>172</v>
      </c>
      <c r="D989" s="26"/>
      <c r="E989" s="26">
        <v>0</v>
      </c>
      <c r="F989" s="29" t="s">
        <v>2511</v>
      </c>
      <c r="G989" s="26" t="s">
        <v>299</v>
      </c>
    </row>
    <row r="990" spans="1:7" ht="30" customHeight="1">
      <c r="A990" s="24" t="s">
        <v>2512</v>
      </c>
      <c r="B990" s="24" t="s">
        <v>143</v>
      </c>
      <c r="C990" s="24" t="s">
        <v>182</v>
      </c>
      <c r="D990" s="24"/>
      <c r="E990" s="24">
        <v>0</v>
      </c>
      <c r="F990" s="28" t="s">
        <v>2513</v>
      </c>
      <c r="G990" s="24" t="s">
        <v>299</v>
      </c>
    </row>
    <row r="991" spans="1:7" ht="30" customHeight="1">
      <c r="A991" s="26" t="s">
        <v>2514</v>
      </c>
      <c r="B991" s="26" t="s">
        <v>143</v>
      </c>
      <c r="C991" s="26" t="s">
        <v>182</v>
      </c>
      <c r="D991" s="26"/>
      <c r="E991" s="26">
        <v>0</v>
      </c>
      <c r="F991" s="29" t="s">
        <v>2515</v>
      </c>
      <c r="G991" s="26" t="s">
        <v>299</v>
      </c>
    </row>
    <row r="992" spans="1:7" ht="30" customHeight="1">
      <c r="A992" s="24" t="s">
        <v>2516</v>
      </c>
      <c r="B992" s="24" t="s">
        <v>558</v>
      </c>
      <c r="C992" s="24" t="s">
        <v>172</v>
      </c>
      <c r="D992" s="24"/>
      <c r="E992" s="24">
        <v>0</v>
      </c>
      <c r="F992" s="28" t="s">
        <v>2517</v>
      </c>
      <c r="G992" s="24" t="s">
        <v>299</v>
      </c>
    </row>
    <row r="993" spans="1:7" ht="30" customHeight="1">
      <c r="A993" s="26" t="s">
        <v>2518</v>
      </c>
      <c r="B993" s="26" t="s">
        <v>539</v>
      </c>
      <c r="C993" s="26" t="s">
        <v>172</v>
      </c>
      <c r="D993" s="26"/>
      <c r="E993" s="26">
        <v>0</v>
      </c>
      <c r="F993" s="29" t="s">
        <v>2519</v>
      </c>
      <c r="G993" s="26" t="s">
        <v>299</v>
      </c>
    </row>
    <row r="994" spans="1:7" ht="30" customHeight="1">
      <c r="A994" s="24" t="s">
        <v>2520</v>
      </c>
      <c r="B994" s="24" t="s">
        <v>144</v>
      </c>
      <c r="C994" s="24" t="s">
        <v>172</v>
      </c>
      <c r="D994" s="24"/>
      <c r="E994" s="24">
        <v>0</v>
      </c>
      <c r="F994" s="28" t="s">
        <v>2521</v>
      </c>
      <c r="G994" s="24" t="s">
        <v>299</v>
      </c>
    </row>
    <row r="995" spans="1:7" ht="30" customHeight="1">
      <c r="A995" s="26" t="s">
        <v>2522</v>
      </c>
      <c r="B995" s="26" t="s">
        <v>1099</v>
      </c>
      <c r="C995" s="26" t="s">
        <v>172</v>
      </c>
      <c r="D995" s="26"/>
      <c r="E995" s="26">
        <v>0</v>
      </c>
      <c r="F995" s="29" t="s">
        <v>2523</v>
      </c>
      <c r="G995" s="26" t="s">
        <v>299</v>
      </c>
    </row>
    <row r="996" spans="1:7" ht="30" customHeight="1">
      <c r="A996" s="24" t="s">
        <v>2524</v>
      </c>
      <c r="B996" s="24" t="s">
        <v>144</v>
      </c>
      <c r="C996" s="24" t="s">
        <v>172</v>
      </c>
      <c r="D996" s="24"/>
      <c r="E996" s="24">
        <v>0</v>
      </c>
      <c r="F996" s="28" t="s">
        <v>2525</v>
      </c>
      <c r="G996" s="24" t="s">
        <v>299</v>
      </c>
    </row>
    <row r="997" spans="1:7" ht="30" customHeight="1">
      <c r="A997" s="26" t="s">
        <v>2526</v>
      </c>
      <c r="B997" s="26" t="s">
        <v>143</v>
      </c>
      <c r="C997" s="26" t="s">
        <v>172</v>
      </c>
      <c r="D997" s="26"/>
      <c r="E997" s="26">
        <v>0</v>
      </c>
      <c r="F997" s="29" t="s">
        <v>2527</v>
      </c>
      <c r="G997" s="26" t="s">
        <v>299</v>
      </c>
    </row>
    <row r="998" spans="1:7" ht="30" customHeight="1">
      <c r="A998" s="24" t="s">
        <v>2528</v>
      </c>
      <c r="B998" s="24" t="s">
        <v>143</v>
      </c>
      <c r="C998" s="24" t="s">
        <v>172</v>
      </c>
      <c r="D998" s="24"/>
      <c r="E998" s="24">
        <v>0</v>
      </c>
      <c r="F998" s="28" t="s">
        <v>2529</v>
      </c>
      <c r="G998" s="24" t="s">
        <v>299</v>
      </c>
    </row>
    <row r="999" spans="1:7" ht="30" customHeight="1">
      <c r="A999" s="26" t="s">
        <v>2530</v>
      </c>
      <c r="B999" s="26" t="s">
        <v>144</v>
      </c>
      <c r="C999" s="26" t="s">
        <v>172</v>
      </c>
      <c r="D999" s="26"/>
      <c r="E999" s="26">
        <v>0</v>
      </c>
      <c r="F999" s="29" t="s">
        <v>2531</v>
      </c>
      <c r="G999" s="26" t="s">
        <v>299</v>
      </c>
    </row>
    <row r="1000" spans="1:7" ht="30" customHeight="1">
      <c r="A1000" s="24" t="s">
        <v>2532</v>
      </c>
      <c r="B1000" s="24" t="s">
        <v>544</v>
      </c>
      <c r="C1000" s="24" t="s">
        <v>172</v>
      </c>
      <c r="D1000" s="24"/>
      <c r="E1000" s="24">
        <v>0</v>
      </c>
      <c r="F1000" s="28" t="s">
        <v>2533</v>
      </c>
      <c r="G1000" s="24" t="s">
        <v>299</v>
      </c>
    </row>
    <row r="1001" spans="1:7" ht="30" customHeight="1">
      <c r="A1001" s="26" t="s">
        <v>2534</v>
      </c>
      <c r="B1001" s="26" t="s">
        <v>143</v>
      </c>
      <c r="C1001" s="26" t="s">
        <v>172</v>
      </c>
      <c r="D1001" s="26"/>
      <c r="E1001" s="26">
        <v>0</v>
      </c>
      <c r="F1001" s="29" t="s">
        <v>2535</v>
      </c>
      <c r="G1001" s="26" t="s">
        <v>299</v>
      </c>
    </row>
    <row r="1002" spans="1:7" ht="30" customHeight="1">
      <c r="A1002" s="24" t="s">
        <v>2536</v>
      </c>
      <c r="B1002" s="24" t="s">
        <v>581</v>
      </c>
      <c r="C1002" s="24" t="s">
        <v>172</v>
      </c>
      <c r="D1002" s="24"/>
      <c r="E1002" s="24">
        <v>0</v>
      </c>
      <c r="F1002" s="28" t="s">
        <v>2537</v>
      </c>
      <c r="G1002" s="24" t="s">
        <v>299</v>
      </c>
    </row>
    <row r="1003" spans="1:7" ht="30" customHeight="1">
      <c r="A1003" s="26" t="s">
        <v>2538</v>
      </c>
      <c r="B1003" s="26" t="s">
        <v>539</v>
      </c>
      <c r="C1003" s="26" t="s">
        <v>172</v>
      </c>
      <c r="D1003" s="26"/>
      <c r="E1003" s="26">
        <v>0</v>
      </c>
      <c r="F1003" s="29" t="s">
        <v>2539</v>
      </c>
      <c r="G1003" s="26" t="s">
        <v>299</v>
      </c>
    </row>
    <row r="1004" spans="1:7" ht="30" customHeight="1">
      <c r="A1004" s="24" t="s">
        <v>2540</v>
      </c>
      <c r="B1004" s="24" t="s">
        <v>1099</v>
      </c>
      <c r="C1004" s="24" t="s">
        <v>172</v>
      </c>
      <c r="D1004" s="24"/>
      <c r="E1004" s="24">
        <v>0</v>
      </c>
      <c r="F1004" s="28" t="s">
        <v>2541</v>
      </c>
      <c r="G1004" s="24" t="s">
        <v>299</v>
      </c>
    </row>
    <row r="1005" spans="1:7" ht="30" customHeight="1">
      <c r="A1005" s="26" t="s">
        <v>2542</v>
      </c>
      <c r="B1005" s="26" t="s">
        <v>539</v>
      </c>
      <c r="C1005" s="26" t="s">
        <v>172</v>
      </c>
      <c r="D1005" s="26"/>
      <c r="E1005" s="26">
        <v>0</v>
      </c>
      <c r="F1005" s="29" t="s">
        <v>2543</v>
      </c>
      <c r="G1005" s="26" t="s">
        <v>299</v>
      </c>
    </row>
    <row r="1006" spans="1:7" ht="30" customHeight="1">
      <c r="A1006" s="24" t="s">
        <v>2544</v>
      </c>
      <c r="B1006" s="24" t="s">
        <v>539</v>
      </c>
      <c r="C1006" s="24" t="s">
        <v>172</v>
      </c>
      <c r="D1006" s="24"/>
      <c r="E1006" s="24">
        <v>0</v>
      </c>
      <c r="F1006" s="28" t="s">
        <v>2545</v>
      </c>
      <c r="G1006" s="24" t="s">
        <v>299</v>
      </c>
    </row>
    <row r="1007" spans="1:7" ht="30" customHeight="1">
      <c r="A1007" s="26" t="s">
        <v>2546</v>
      </c>
      <c r="B1007" s="26" t="s">
        <v>143</v>
      </c>
      <c r="C1007" s="26" t="s">
        <v>172</v>
      </c>
      <c r="D1007" s="26"/>
      <c r="E1007" s="26">
        <v>0</v>
      </c>
      <c r="F1007" s="29" t="s">
        <v>2547</v>
      </c>
      <c r="G1007" s="26" t="s">
        <v>299</v>
      </c>
    </row>
    <row r="1008" spans="1:7" ht="30" customHeight="1">
      <c r="A1008" s="24" t="s">
        <v>2548</v>
      </c>
      <c r="B1008" s="24" t="s">
        <v>143</v>
      </c>
      <c r="C1008" s="24" t="s">
        <v>172</v>
      </c>
      <c r="D1008" s="24"/>
      <c r="E1008" s="24">
        <v>0</v>
      </c>
      <c r="F1008" s="28" t="s">
        <v>2549</v>
      </c>
      <c r="G1008" s="24" t="s">
        <v>299</v>
      </c>
    </row>
    <row r="1009" spans="1:7" ht="30" customHeight="1">
      <c r="A1009" s="26" t="s">
        <v>2550</v>
      </c>
      <c r="B1009" s="26" t="s">
        <v>539</v>
      </c>
      <c r="C1009" s="26" t="s">
        <v>182</v>
      </c>
      <c r="D1009" s="26"/>
      <c r="E1009" s="26">
        <v>0</v>
      </c>
      <c r="F1009" s="29" t="s">
        <v>2551</v>
      </c>
      <c r="G1009" s="26" t="s">
        <v>299</v>
      </c>
    </row>
    <row r="1010" spans="1:7" ht="30" customHeight="1">
      <c r="A1010" s="24" t="s">
        <v>2552</v>
      </c>
      <c r="B1010" s="24" t="s">
        <v>143</v>
      </c>
      <c r="C1010" s="24" t="s">
        <v>172</v>
      </c>
      <c r="D1010" s="24"/>
      <c r="E1010" s="24">
        <v>0</v>
      </c>
      <c r="F1010" s="28" t="s">
        <v>2553</v>
      </c>
      <c r="G1010" s="24" t="s">
        <v>299</v>
      </c>
    </row>
    <row r="1011" spans="1:7" ht="30" customHeight="1">
      <c r="A1011" s="26" t="s">
        <v>2554</v>
      </c>
      <c r="B1011" s="26" t="s">
        <v>143</v>
      </c>
      <c r="C1011" s="26" t="s">
        <v>182</v>
      </c>
      <c r="D1011" s="26"/>
      <c r="E1011" s="26">
        <v>0</v>
      </c>
      <c r="F1011" s="29" t="s">
        <v>2555</v>
      </c>
      <c r="G1011" s="26" t="s">
        <v>299</v>
      </c>
    </row>
    <row r="1012" spans="1:7" ht="30" customHeight="1">
      <c r="A1012" s="24" t="s">
        <v>2556</v>
      </c>
      <c r="B1012" s="24" t="s">
        <v>143</v>
      </c>
      <c r="C1012" s="24" t="s">
        <v>182</v>
      </c>
      <c r="D1012" s="24"/>
      <c r="E1012" s="24">
        <v>0</v>
      </c>
      <c r="F1012" s="28" t="s">
        <v>2557</v>
      </c>
      <c r="G1012" s="24" t="s">
        <v>299</v>
      </c>
    </row>
    <row r="1013" spans="1:7" ht="30" customHeight="1">
      <c r="A1013" s="26" t="s">
        <v>2558</v>
      </c>
      <c r="B1013" s="26" t="s">
        <v>581</v>
      </c>
      <c r="C1013" s="26" t="s">
        <v>172</v>
      </c>
      <c r="D1013" s="26"/>
      <c r="E1013" s="26">
        <v>0</v>
      </c>
      <c r="F1013" s="29" t="s">
        <v>2559</v>
      </c>
      <c r="G1013" s="26" t="s">
        <v>299</v>
      </c>
    </row>
    <row r="1014" spans="1:7" ht="30" customHeight="1">
      <c r="A1014" s="24" t="s">
        <v>2560</v>
      </c>
      <c r="B1014" s="24" t="s">
        <v>143</v>
      </c>
      <c r="C1014" s="24" t="s">
        <v>172</v>
      </c>
      <c r="D1014" s="24"/>
      <c r="E1014" s="24">
        <v>0</v>
      </c>
      <c r="F1014" s="28" t="s">
        <v>2561</v>
      </c>
      <c r="G1014" s="24" t="s">
        <v>299</v>
      </c>
    </row>
    <row r="1015" spans="1:7" ht="30" customHeight="1">
      <c r="A1015" s="26" t="s">
        <v>2562</v>
      </c>
      <c r="B1015" s="26" t="s">
        <v>143</v>
      </c>
      <c r="C1015" s="26" t="s">
        <v>172</v>
      </c>
      <c r="D1015" s="26"/>
      <c r="E1015" s="26">
        <v>0</v>
      </c>
      <c r="F1015" s="29" t="s">
        <v>2563</v>
      </c>
      <c r="G1015" s="26" t="s">
        <v>299</v>
      </c>
    </row>
    <row r="1016" spans="1:7" ht="30" customHeight="1">
      <c r="A1016" s="24" t="s">
        <v>2564</v>
      </c>
      <c r="B1016" s="24" t="s">
        <v>572</v>
      </c>
      <c r="C1016" s="24" t="s">
        <v>172</v>
      </c>
      <c r="D1016" s="24"/>
      <c r="E1016" s="24">
        <v>0</v>
      </c>
      <c r="F1016" s="28" t="s">
        <v>2565</v>
      </c>
      <c r="G1016" s="24" t="s">
        <v>299</v>
      </c>
    </row>
    <row r="1017" spans="1:7" ht="30" customHeight="1">
      <c r="A1017" s="26" t="s">
        <v>2566</v>
      </c>
      <c r="B1017" s="26" t="s">
        <v>1099</v>
      </c>
      <c r="C1017" s="26" t="s">
        <v>172</v>
      </c>
      <c r="D1017" s="26"/>
      <c r="E1017" s="26">
        <v>0</v>
      </c>
      <c r="F1017" s="29" t="s">
        <v>2567</v>
      </c>
      <c r="G1017" s="26" t="s">
        <v>299</v>
      </c>
    </row>
    <row r="1018" spans="1:7" ht="30" customHeight="1">
      <c r="A1018" s="24" t="s">
        <v>2568</v>
      </c>
      <c r="B1018" s="24" t="s">
        <v>581</v>
      </c>
      <c r="C1018" s="24" t="s">
        <v>172</v>
      </c>
      <c r="D1018" s="24"/>
      <c r="E1018" s="24">
        <v>0</v>
      </c>
      <c r="F1018" s="28" t="s">
        <v>2569</v>
      </c>
      <c r="G1018" s="24" t="s">
        <v>299</v>
      </c>
    </row>
    <row r="1019" spans="1:7" ht="30" customHeight="1">
      <c r="A1019" s="26" t="s">
        <v>2570</v>
      </c>
      <c r="B1019" s="26" t="s">
        <v>143</v>
      </c>
      <c r="C1019" s="26" t="s">
        <v>172</v>
      </c>
      <c r="D1019" s="26"/>
      <c r="E1019" s="26">
        <v>0</v>
      </c>
      <c r="F1019" s="29" t="s">
        <v>2571</v>
      </c>
      <c r="G1019" s="26" t="s">
        <v>299</v>
      </c>
    </row>
    <row r="1020" spans="1:7" ht="30" customHeight="1">
      <c r="A1020" s="24" t="s">
        <v>2572</v>
      </c>
      <c r="B1020" s="24" t="s">
        <v>143</v>
      </c>
      <c r="C1020" s="24" t="s">
        <v>172</v>
      </c>
      <c r="D1020" s="24"/>
      <c r="E1020" s="24">
        <v>0</v>
      </c>
      <c r="F1020" s="28" t="s">
        <v>2573</v>
      </c>
      <c r="G1020" s="24" t="s">
        <v>299</v>
      </c>
    </row>
    <row r="1021" spans="1:7" ht="30" customHeight="1">
      <c r="A1021" s="26" t="s">
        <v>2574</v>
      </c>
      <c r="B1021" s="26" t="s">
        <v>572</v>
      </c>
      <c r="C1021" s="26" t="s">
        <v>172</v>
      </c>
      <c r="D1021" s="26"/>
      <c r="E1021" s="26">
        <v>0</v>
      </c>
      <c r="F1021" s="29" t="s">
        <v>2575</v>
      </c>
      <c r="G1021" s="26" t="s">
        <v>299</v>
      </c>
    </row>
    <row r="1022" spans="1:7" ht="30" customHeight="1">
      <c r="A1022" s="24" t="s">
        <v>2576</v>
      </c>
      <c r="B1022" s="24" t="s">
        <v>143</v>
      </c>
      <c r="C1022" s="24" t="s">
        <v>172</v>
      </c>
      <c r="D1022" s="24"/>
      <c r="E1022" s="24">
        <v>0</v>
      </c>
      <c r="F1022" s="28" t="s">
        <v>2577</v>
      </c>
      <c r="G1022" s="24" t="s">
        <v>299</v>
      </c>
    </row>
    <row r="1023" spans="1:7" ht="30" customHeight="1">
      <c r="A1023" s="26" t="s">
        <v>2578</v>
      </c>
      <c r="B1023" s="26" t="s">
        <v>143</v>
      </c>
      <c r="C1023" s="26" t="s">
        <v>172</v>
      </c>
      <c r="D1023" s="26"/>
      <c r="E1023" s="26">
        <v>0</v>
      </c>
      <c r="F1023" s="29" t="s">
        <v>2579</v>
      </c>
      <c r="G1023" s="26" t="s">
        <v>299</v>
      </c>
    </row>
    <row r="1024" spans="1:7" ht="30" customHeight="1">
      <c r="A1024" s="24" t="s">
        <v>2580</v>
      </c>
      <c r="B1024" s="24" t="s">
        <v>144</v>
      </c>
      <c r="C1024" s="24" t="s">
        <v>182</v>
      </c>
      <c r="D1024" s="24"/>
      <c r="E1024" s="24">
        <v>0</v>
      </c>
      <c r="F1024" s="28" t="s">
        <v>2581</v>
      </c>
      <c r="G1024" s="24" t="s">
        <v>299</v>
      </c>
    </row>
    <row r="1025" spans="1:7" ht="30" customHeight="1">
      <c r="A1025" s="26" t="s">
        <v>2582</v>
      </c>
      <c r="B1025" s="26" t="s">
        <v>143</v>
      </c>
      <c r="C1025" s="26" t="s">
        <v>172</v>
      </c>
      <c r="D1025" s="26"/>
      <c r="E1025" s="26">
        <v>0</v>
      </c>
      <c r="F1025" s="29" t="s">
        <v>2583</v>
      </c>
      <c r="G1025" s="26" t="s">
        <v>299</v>
      </c>
    </row>
    <row r="1026" spans="1:7" ht="30" customHeight="1">
      <c r="A1026" s="24" t="s">
        <v>2584</v>
      </c>
      <c r="B1026" s="24" t="s">
        <v>143</v>
      </c>
      <c r="C1026" s="24" t="s">
        <v>172</v>
      </c>
      <c r="D1026" s="24"/>
      <c r="E1026" s="24">
        <v>0</v>
      </c>
      <c r="F1026" s="28" t="s">
        <v>2585</v>
      </c>
      <c r="G1026" s="24" t="s">
        <v>299</v>
      </c>
    </row>
    <row r="1027" spans="1:7" ht="30" customHeight="1">
      <c r="A1027" s="26" t="s">
        <v>2586</v>
      </c>
      <c r="B1027" s="26" t="s">
        <v>144</v>
      </c>
      <c r="C1027" s="26" t="s">
        <v>172</v>
      </c>
      <c r="D1027" s="26"/>
      <c r="E1027" s="26">
        <v>0</v>
      </c>
      <c r="F1027" s="29" t="s">
        <v>2587</v>
      </c>
      <c r="G1027" s="26" t="s">
        <v>299</v>
      </c>
    </row>
    <row r="1028" spans="1:7" ht="30" customHeight="1">
      <c r="A1028" s="24" t="s">
        <v>2588</v>
      </c>
      <c r="B1028" s="24" t="s">
        <v>1099</v>
      </c>
      <c r="C1028" s="24" t="s">
        <v>172</v>
      </c>
      <c r="D1028" s="24"/>
      <c r="E1028" s="24">
        <v>0</v>
      </c>
      <c r="F1028" s="28" t="s">
        <v>2589</v>
      </c>
      <c r="G1028" s="24" t="s">
        <v>299</v>
      </c>
    </row>
    <row r="1029" spans="1:7" ht="30" customHeight="1">
      <c r="A1029" s="26" t="s">
        <v>2590</v>
      </c>
      <c r="B1029" s="26" t="s">
        <v>230</v>
      </c>
      <c r="C1029" s="26" t="s">
        <v>172</v>
      </c>
      <c r="D1029" s="26"/>
      <c r="E1029" s="26">
        <v>0</v>
      </c>
      <c r="F1029" s="29" t="s">
        <v>2591</v>
      </c>
      <c r="G1029" s="26" t="s">
        <v>299</v>
      </c>
    </row>
    <row r="1030" spans="1:7" ht="30" customHeight="1">
      <c r="A1030" s="24" t="s">
        <v>2592</v>
      </c>
      <c r="B1030" s="24" t="s">
        <v>143</v>
      </c>
      <c r="C1030" s="24" t="s">
        <v>182</v>
      </c>
      <c r="D1030" s="24"/>
      <c r="E1030" s="24">
        <v>0</v>
      </c>
      <c r="F1030" s="28" t="s">
        <v>2593</v>
      </c>
      <c r="G1030" s="24" t="s">
        <v>299</v>
      </c>
    </row>
    <row r="1031" spans="1:7" ht="30" customHeight="1">
      <c r="A1031" s="26" t="s">
        <v>2594</v>
      </c>
      <c r="B1031" s="26" t="s">
        <v>143</v>
      </c>
      <c r="C1031" s="26" t="s">
        <v>172</v>
      </c>
      <c r="D1031" s="26"/>
      <c r="E1031" s="26">
        <v>0</v>
      </c>
      <c r="F1031" s="29" t="s">
        <v>2595</v>
      </c>
      <c r="G1031" s="26" t="s">
        <v>299</v>
      </c>
    </row>
    <row r="1032" spans="1:7" ht="30" customHeight="1">
      <c r="A1032" s="24" t="s">
        <v>2596</v>
      </c>
      <c r="B1032" s="24" t="s">
        <v>143</v>
      </c>
      <c r="C1032" s="24" t="s">
        <v>172</v>
      </c>
      <c r="D1032" s="24"/>
      <c r="E1032" s="24">
        <v>0</v>
      </c>
      <c r="F1032" s="28" t="s">
        <v>2597</v>
      </c>
      <c r="G1032" s="24" t="s">
        <v>299</v>
      </c>
    </row>
    <row r="1033" spans="1:7" ht="30" customHeight="1">
      <c r="A1033" s="26" t="s">
        <v>2598</v>
      </c>
      <c r="B1033" s="26" t="s">
        <v>572</v>
      </c>
      <c r="C1033" s="26" t="s">
        <v>172</v>
      </c>
      <c r="D1033" s="26"/>
      <c r="E1033" s="26">
        <v>0</v>
      </c>
      <c r="F1033" s="29" t="s">
        <v>2599</v>
      </c>
      <c r="G1033" s="26" t="s">
        <v>299</v>
      </c>
    </row>
    <row r="1034" spans="1:7" ht="30" customHeight="1">
      <c r="A1034" s="24" t="s">
        <v>2600</v>
      </c>
      <c r="B1034" s="24" t="s">
        <v>143</v>
      </c>
      <c r="C1034" s="24" t="s">
        <v>182</v>
      </c>
      <c r="D1034" s="24"/>
      <c r="E1034" s="24">
        <v>0</v>
      </c>
      <c r="F1034" s="28" t="s">
        <v>2601</v>
      </c>
      <c r="G1034" s="24" t="s">
        <v>299</v>
      </c>
    </row>
    <row r="1035" spans="1:7" ht="30" customHeight="1">
      <c r="A1035" s="26" t="s">
        <v>2602</v>
      </c>
      <c r="B1035" s="26" t="s">
        <v>143</v>
      </c>
      <c r="C1035" s="26" t="s">
        <v>172</v>
      </c>
      <c r="D1035" s="26"/>
      <c r="E1035" s="26">
        <v>0</v>
      </c>
      <c r="F1035" s="29" t="s">
        <v>2603</v>
      </c>
      <c r="G1035" s="26" t="s">
        <v>299</v>
      </c>
    </row>
    <row r="1036" spans="1:7" ht="30" customHeight="1">
      <c r="A1036" s="24" t="s">
        <v>2604</v>
      </c>
      <c r="B1036" s="24" t="s">
        <v>544</v>
      </c>
      <c r="C1036" s="24" t="s">
        <v>182</v>
      </c>
      <c r="D1036" s="24"/>
      <c r="E1036" s="24">
        <v>0</v>
      </c>
      <c r="F1036" s="28" t="s">
        <v>2605</v>
      </c>
      <c r="G1036" s="24" t="s">
        <v>299</v>
      </c>
    </row>
    <row r="1037" spans="1:7" ht="30" customHeight="1">
      <c r="A1037" s="26" t="s">
        <v>2606</v>
      </c>
      <c r="B1037" s="26" t="s">
        <v>1099</v>
      </c>
      <c r="C1037" s="26" t="s">
        <v>172</v>
      </c>
      <c r="D1037" s="26"/>
      <c r="E1037" s="26">
        <v>0</v>
      </c>
      <c r="F1037" s="29" t="s">
        <v>2607</v>
      </c>
      <c r="G1037" s="26" t="s">
        <v>299</v>
      </c>
    </row>
    <row r="1038" spans="1:7" ht="30" customHeight="1">
      <c r="A1038" s="24" t="s">
        <v>2608</v>
      </c>
      <c r="B1038" s="24" t="s">
        <v>143</v>
      </c>
      <c r="C1038" s="24" t="s">
        <v>172</v>
      </c>
      <c r="D1038" s="24"/>
      <c r="E1038" s="24">
        <v>0</v>
      </c>
      <c r="F1038" s="28" t="s">
        <v>2609</v>
      </c>
      <c r="G1038" s="24" t="s">
        <v>299</v>
      </c>
    </row>
    <row r="1039" spans="1:7" ht="30" customHeight="1">
      <c r="A1039" s="26" t="s">
        <v>2610</v>
      </c>
      <c r="B1039" s="26" t="s">
        <v>143</v>
      </c>
      <c r="C1039" s="26" t="s">
        <v>172</v>
      </c>
      <c r="D1039" s="26"/>
      <c r="E1039" s="26">
        <v>0</v>
      </c>
      <c r="F1039" s="29" t="s">
        <v>2611</v>
      </c>
      <c r="G1039" s="26" t="s">
        <v>299</v>
      </c>
    </row>
    <row r="1040" spans="1:7" ht="30" customHeight="1">
      <c r="A1040" s="24" t="s">
        <v>2612</v>
      </c>
      <c r="B1040" s="24" t="s">
        <v>572</v>
      </c>
      <c r="C1040" s="24" t="s">
        <v>172</v>
      </c>
      <c r="D1040" s="24"/>
      <c r="E1040" s="24">
        <v>0</v>
      </c>
      <c r="F1040" s="28" t="s">
        <v>2613</v>
      </c>
      <c r="G1040" s="24" t="s">
        <v>299</v>
      </c>
    </row>
    <row r="1041" spans="1:7" ht="30" customHeight="1">
      <c r="A1041" s="26" t="s">
        <v>2614</v>
      </c>
      <c r="B1041" s="26" t="s">
        <v>143</v>
      </c>
      <c r="C1041" s="26" t="s">
        <v>172</v>
      </c>
      <c r="D1041" s="26"/>
      <c r="E1041" s="26">
        <v>0</v>
      </c>
      <c r="F1041" s="29" t="s">
        <v>2615</v>
      </c>
      <c r="G1041" s="26" t="s">
        <v>299</v>
      </c>
    </row>
    <row r="1042" spans="1:7" ht="30" customHeight="1">
      <c r="A1042" s="24" t="s">
        <v>2616</v>
      </c>
      <c r="B1042" s="24" t="s">
        <v>558</v>
      </c>
      <c r="C1042" s="24" t="s">
        <v>172</v>
      </c>
      <c r="D1042" s="24"/>
      <c r="E1042" s="24">
        <v>0</v>
      </c>
      <c r="F1042" s="28" t="s">
        <v>2617</v>
      </c>
      <c r="G1042" s="24" t="s">
        <v>299</v>
      </c>
    </row>
    <row r="1043" spans="1:7" ht="30" customHeight="1">
      <c r="A1043" s="26" t="s">
        <v>2618</v>
      </c>
      <c r="B1043" s="26" t="s">
        <v>143</v>
      </c>
      <c r="C1043" s="26" t="s">
        <v>172</v>
      </c>
      <c r="D1043" s="26"/>
      <c r="E1043" s="26">
        <v>0</v>
      </c>
      <c r="F1043" s="29" t="s">
        <v>2619</v>
      </c>
      <c r="G1043" s="26" t="s">
        <v>299</v>
      </c>
    </row>
    <row r="1044" spans="1:7" ht="30" customHeight="1">
      <c r="A1044" s="24" t="s">
        <v>2620</v>
      </c>
      <c r="B1044" s="24" t="s">
        <v>143</v>
      </c>
      <c r="C1044" s="24" t="s">
        <v>182</v>
      </c>
      <c r="D1044" s="24"/>
      <c r="E1044" s="24">
        <v>0</v>
      </c>
      <c r="F1044" s="28" t="s">
        <v>2621</v>
      </c>
      <c r="G1044" s="24" t="s">
        <v>299</v>
      </c>
    </row>
    <row r="1045" spans="1:7" ht="30" customHeight="1">
      <c r="A1045" s="26" t="s">
        <v>2622</v>
      </c>
      <c r="B1045" s="26" t="s">
        <v>144</v>
      </c>
      <c r="C1045" s="26" t="s">
        <v>172</v>
      </c>
      <c r="D1045" s="26"/>
      <c r="E1045" s="26">
        <v>0</v>
      </c>
      <c r="F1045" s="29" t="s">
        <v>2623</v>
      </c>
      <c r="G1045" s="26" t="s">
        <v>299</v>
      </c>
    </row>
    <row r="1046" spans="1:7" ht="30" customHeight="1">
      <c r="A1046" s="24" t="s">
        <v>2624</v>
      </c>
      <c r="B1046" s="24" t="s">
        <v>143</v>
      </c>
      <c r="C1046" s="24" t="s">
        <v>182</v>
      </c>
      <c r="D1046" s="24"/>
      <c r="E1046" s="24">
        <v>0</v>
      </c>
      <c r="F1046" s="28" t="s">
        <v>2625</v>
      </c>
      <c r="G1046" s="24" t="s">
        <v>299</v>
      </c>
    </row>
    <row r="1047" spans="1:7" ht="30" customHeight="1">
      <c r="A1047" s="26" t="s">
        <v>2626</v>
      </c>
      <c r="B1047" s="26" t="s">
        <v>1099</v>
      </c>
      <c r="C1047" s="26" t="s">
        <v>172</v>
      </c>
      <c r="D1047" s="26"/>
      <c r="E1047" s="26">
        <v>0</v>
      </c>
      <c r="F1047" s="29" t="s">
        <v>2627</v>
      </c>
      <c r="G1047" s="26" t="s">
        <v>299</v>
      </c>
    </row>
    <row r="1048" spans="1:7" ht="30" customHeight="1">
      <c r="A1048" s="24" t="s">
        <v>2628</v>
      </c>
      <c r="B1048" s="24" t="s">
        <v>143</v>
      </c>
      <c r="C1048" s="24" t="s">
        <v>172</v>
      </c>
      <c r="D1048" s="24"/>
      <c r="E1048" s="24">
        <v>0</v>
      </c>
      <c r="F1048" s="28" t="s">
        <v>2629</v>
      </c>
      <c r="G1048" s="24" t="s">
        <v>299</v>
      </c>
    </row>
    <row r="1049" spans="1:7" ht="30" customHeight="1">
      <c r="A1049" s="26" t="s">
        <v>2630</v>
      </c>
      <c r="B1049" s="26" t="s">
        <v>143</v>
      </c>
      <c r="C1049" s="26" t="s">
        <v>172</v>
      </c>
      <c r="D1049" s="26"/>
      <c r="E1049" s="26">
        <v>0</v>
      </c>
      <c r="F1049" s="29" t="s">
        <v>2631</v>
      </c>
      <c r="G1049" s="26" t="s">
        <v>299</v>
      </c>
    </row>
    <row r="1050" spans="1:7" ht="30" customHeight="1">
      <c r="A1050" s="24" t="s">
        <v>2632</v>
      </c>
      <c r="B1050" s="24" t="s">
        <v>572</v>
      </c>
      <c r="C1050" s="24" t="s">
        <v>172</v>
      </c>
      <c r="D1050" s="24"/>
      <c r="E1050" s="24">
        <v>0</v>
      </c>
      <c r="F1050" s="28" t="s">
        <v>2633</v>
      </c>
      <c r="G1050" s="24" t="s">
        <v>299</v>
      </c>
    </row>
    <row r="1051" spans="1:7" ht="30" customHeight="1">
      <c r="A1051" s="26" t="s">
        <v>2634</v>
      </c>
      <c r="B1051" s="26" t="s">
        <v>143</v>
      </c>
      <c r="C1051" s="26" t="s">
        <v>172</v>
      </c>
      <c r="D1051" s="26"/>
      <c r="E1051" s="26">
        <v>0</v>
      </c>
      <c r="F1051" s="29" t="s">
        <v>2635</v>
      </c>
      <c r="G1051" s="26" t="s">
        <v>299</v>
      </c>
    </row>
    <row r="1052" spans="1:7" ht="30" customHeight="1">
      <c r="A1052" s="24" t="s">
        <v>2636</v>
      </c>
      <c r="B1052" s="24" t="s">
        <v>143</v>
      </c>
      <c r="C1052" s="24" t="s">
        <v>172</v>
      </c>
      <c r="D1052" s="24"/>
      <c r="E1052" s="24">
        <v>0</v>
      </c>
      <c r="F1052" s="28" t="s">
        <v>2637</v>
      </c>
      <c r="G1052" s="24" t="s">
        <v>299</v>
      </c>
    </row>
    <row r="1053" spans="1:7" ht="30" customHeight="1">
      <c r="A1053" s="26" t="s">
        <v>2638</v>
      </c>
      <c r="B1053" s="26" t="s">
        <v>572</v>
      </c>
      <c r="C1053" s="26" t="s">
        <v>172</v>
      </c>
      <c r="D1053" s="26"/>
      <c r="E1053" s="26">
        <v>0</v>
      </c>
      <c r="F1053" s="29" t="s">
        <v>2639</v>
      </c>
      <c r="G1053" s="26" t="s">
        <v>299</v>
      </c>
    </row>
    <row r="1054" spans="1:7" ht="30" customHeight="1">
      <c r="A1054" s="24" t="s">
        <v>2640</v>
      </c>
      <c r="B1054" s="24" t="s">
        <v>143</v>
      </c>
      <c r="C1054" s="24" t="s">
        <v>172</v>
      </c>
      <c r="D1054" s="24"/>
      <c r="E1054" s="24">
        <v>0</v>
      </c>
      <c r="F1054" s="28" t="s">
        <v>2641</v>
      </c>
      <c r="G1054" s="24" t="s">
        <v>299</v>
      </c>
    </row>
    <row r="1055" spans="1:7" ht="30" customHeight="1">
      <c r="A1055" s="26" t="s">
        <v>2642</v>
      </c>
      <c r="B1055" s="26" t="s">
        <v>143</v>
      </c>
      <c r="C1055" s="26" t="s">
        <v>172</v>
      </c>
      <c r="D1055" s="26"/>
      <c r="E1055" s="26">
        <v>0</v>
      </c>
      <c r="F1055" s="29" t="s">
        <v>2643</v>
      </c>
      <c r="G1055" s="26" t="s">
        <v>299</v>
      </c>
    </row>
    <row r="1056" spans="1:7" ht="30" customHeight="1">
      <c r="A1056" s="24" t="s">
        <v>2644</v>
      </c>
      <c r="B1056" s="24" t="s">
        <v>144</v>
      </c>
      <c r="C1056" s="24" t="s">
        <v>172</v>
      </c>
      <c r="D1056" s="24"/>
      <c r="E1056" s="24">
        <v>0</v>
      </c>
      <c r="F1056" s="28" t="s">
        <v>2645</v>
      </c>
      <c r="G1056" s="24" t="s">
        <v>299</v>
      </c>
    </row>
    <row r="1057" spans="1:7" ht="30" customHeight="1">
      <c r="A1057" s="26" t="s">
        <v>2646</v>
      </c>
      <c r="B1057" s="26" t="s">
        <v>171</v>
      </c>
      <c r="C1057" s="26" t="s">
        <v>172</v>
      </c>
      <c r="D1057" s="26"/>
      <c r="E1057" s="26">
        <v>0</v>
      </c>
      <c r="F1057" s="29" t="s">
        <v>2647</v>
      </c>
      <c r="G1057" s="26" t="s">
        <v>299</v>
      </c>
    </row>
    <row r="1058" spans="1:7" ht="30" customHeight="1">
      <c r="A1058" s="24" t="s">
        <v>2648</v>
      </c>
      <c r="B1058" s="24" t="s">
        <v>143</v>
      </c>
      <c r="C1058" s="24" t="s">
        <v>172</v>
      </c>
      <c r="D1058" s="24"/>
      <c r="E1058" s="24">
        <v>0</v>
      </c>
      <c r="F1058" s="28" t="s">
        <v>2649</v>
      </c>
      <c r="G1058" s="24" t="s">
        <v>299</v>
      </c>
    </row>
    <row r="1059" spans="1:7" ht="30" customHeight="1">
      <c r="A1059" s="26" t="s">
        <v>2650</v>
      </c>
      <c r="B1059" s="26" t="s">
        <v>539</v>
      </c>
      <c r="C1059" s="26" t="s">
        <v>172</v>
      </c>
      <c r="D1059" s="26"/>
      <c r="E1059" s="26">
        <v>0</v>
      </c>
      <c r="F1059" s="29" t="s">
        <v>2651</v>
      </c>
      <c r="G1059" s="26" t="s">
        <v>299</v>
      </c>
    </row>
    <row r="1060" spans="1:7" ht="30" customHeight="1">
      <c r="A1060" s="24" t="s">
        <v>2652</v>
      </c>
      <c r="B1060" s="24" t="s">
        <v>143</v>
      </c>
      <c r="C1060" s="24" t="s">
        <v>182</v>
      </c>
      <c r="D1060" s="24"/>
      <c r="E1060" s="24">
        <v>0</v>
      </c>
      <c r="F1060" s="28" t="s">
        <v>2653</v>
      </c>
      <c r="G1060" s="24" t="s">
        <v>299</v>
      </c>
    </row>
    <row r="1061" spans="1:7" ht="30" customHeight="1">
      <c r="A1061" s="26" t="s">
        <v>2654</v>
      </c>
      <c r="B1061" s="26" t="s">
        <v>544</v>
      </c>
      <c r="C1061" s="26" t="s">
        <v>172</v>
      </c>
      <c r="D1061" s="26"/>
      <c r="E1061" s="26">
        <v>0</v>
      </c>
      <c r="F1061" s="29" t="s">
        <v>2655</v>
      </c>
      <c r="G1061" s="26" t="s">
        <v>299</v>
      </c>
    </row>
    <row r="1062" spans="1:7" ht="30" customHeight="1">
      <c r="A1062" s="24" t="s">
        <v>2656</v>
      </c>
      <c r="B1062" s="24" t="s">
        <v>143</v>
      </c>
      <c r="C1062" s="24" t="s">
        <v>172</v>
      </c>
      <c r="D1062" s="24"/>
      <c r="E1062" s="24">
        <v>0</v>
      </c>
      <c r="F1062" s="28" t="s">
        <v>2657</v>
      </c>
      <c r="G1062" s="24" t="s">
        <v>299</v>
      </c>
    </row>
    <row r="1063" spans="1:7" ht="30" customHeight="1">
      <c r="A1063" s="26" t="s">
        <v>2658</v>
      </c>
      <c r="B1063" s="26" t="s">
        <v>143</v>
      </c>
      <c r="C1063" s="26" t="s">
        <v>172</v>
      </c>
      <c r="D1063" s="26"/>
      <c r="E1063" s="26">
        <v>0</v>
      </c>
      <c r="F1063" s="29" t="s">
        <v>2659</v>
      </c>
      <c r="G1063" s="26" t="s">
        <v>299</v>
      </c>
    </row>
    <row r="1064" spans="1:7" ht="30" customHeight="1">
      <c r="A1064" s="24" t="s">
        <v>2660</v>
      </c>
      <c r="B1064" s="24" t="s">
        <v>1099</v>
      </c>
      <c r="C1064" s="24" t="s">
        <v>172</v>
      </c>
      <c r="D1064" s="24"/>
      <c r="E1064" s="24">
        <v>0</v>
      </c>
      <c r="F1064" s="28" t="s">
        <v>2661</v>
      </c>
      <c r="G1064" s="24" t="s">
        <v>299</v>
      </c>
    </row>
    <row r="1065" spans="1:7" ht="30" customHeight="1">
      <c r="A1065" s="26" t="s">
        <v>2662</v>
      </c>
      <c r="B1065" s="26" t="s">
        <v>143</v>
      </c>
      <c r="C1065" s="26" t="s">
        <v>172</v>
      </c>
      <c r="D1065" s="26"/>
      <c r="E1065" s="26">
        <v>0</v>
      </c>
      <c r="F1065" s="29" t="s">
        <v>2663</v>
      </c>
      <c r="G1065" s="26" t="s">
        <v>299</v>
      </c>
    </row>
    <row r="1066" spans="1:7" ht="30" customHeight="1">
      <c r="A1066" s="24" t="s">
        <v>2664</v>
      </c>
      <c r="B1066" s="24" t="s">
        <v>572</v>
      </c>
      <c r="C1066" s="24" t="s">
        <v>172</v>
      </c>
      <c r="D1066" s="24"/>
      <c r="E1066" s="24">
        <v>0</v>
      </c>
      <c r="F1066" s="28" t="s">
        <v>2665</v>
      </c>
      <c r="G1066" s="24" t="s">
        <v>299</v>
      </c>
    </row>
    <row r="1067" spans="1:7" ht="30" customHeight="1">
      <c r="A1067" s="26" t="s">
        <v>2666</v>
      </c>
      <c r="B1067" s="26" t="s">
        <v>144</v>
      </c>
      <c r="C1067" s="26" t="s">
        <v>172</v>
      </c>
      <c r="D1067" s="26"/>
      <c r="E1067" s="26">
        <v>0</v>
      </c>
      <c r="F1067" s="29" t="s">
        <v>2667</v>
      </c>
      <c r="G1067" s="26" t="s">
        <v>299</v>
      </c>
    </row>
    <row r="1068" spans="1:7" ht="30" customHeight="1">
      <c r="A1068" s="24" t="s">
        <v>2668</v>
      </c>
      <c r="B1068" s="24" t="s">
        <v>143</v>
      </c>
      <c r="C1068" s="24" t="s">
        <v>172</v>
      </c>
      <c r="D1068" s="24"/>
      <c r="E1068" s="24">
        <v>0</v>
      </c>
      <c r="F1068" s="28" t="s">
        <v>2669</v>
      </c>
      <c r="G1068" s="24" t="s">
        <v>299</v>
      </c>
    </row>
    <row r="1069" spans="1:7" ht="30" customHeight="1">
      <c r="A1069" s="26" t="s">
        <v>2670</v>
      </c>
      <c r="B1069" s="26" t="s">
        <v>143</v>
      </c>
      <c r="C1069" s="26" t="s">
        <v>172</v>
      </c>
      <c r="D1069" s="26"/>
      <c r="E1069" s="26">
        <v>0</v>
      </c>
      <c r="F1069" s="29" t="s">
        <v>2671</v>
      </c>
      <c r="G1069" s="26" t="s">
        <v>299</v>
      </c>
    </row>
    <row r="1070" spans="1:7" ht="30" customHeight="1">
      <c r="A1070" s="24" t="s">
        <v>2672</v>
      </c>
      <c r="B1070" s="24" t="s">
        <v>144</v>
      </c>
      <c r="C1070" s="24" t="s">
        <v>182</v>
      </c>
      <c r="D1070" s="24"/>
      <c r="E1070" s="24">
        <v>0</v>
      </c>
      <c r="F1070" s="28" t="s">
        <v>2673</v>
      </c>
      <c r="G1070" s="24" t="s">
        <v>299</v>
      </c>
    </row>
    <row r="1071" spans="1:7" ht="30" customHeight="1">
      <c r="A1071" s="26" t="s">
        <v>2674</v>
      </c>
      <c r="B1071" s="26" t="s">
        <v>143</v>
      </c>
      <c r="C1071" s="26" t="s">
        <v>172</v>
      </c>
      <c r="D1071" s="26"/>
      <c r="E1071" s="26">
        <v>0</v>
      </c>
      <c r="F1071" s="29" t="s">
        <v>2675</v>
      </c>
      <c r="G1071" s="26" t="s">
        <v>299</v>
      </c>
    </row>
    <row r="1072" spans="1:7" ht="30" customHeight="1">
      <c r="A1072" s="24" t="s">
        <v>2676</v>
      </c>
      <c r="B1072" s="24" t="s">
        <v>144</v>
      </c>
      <c r="C1072" s="24" t="s">
        <v>172</v>
      </c>
      <c r="D1072" s="24"/>
      <c r="E1072" s="24">
        <v>0</v>
      </c>
      <c r="F1072" s="28" t="s">
        <v>2677</v>
      </c>
      <c r="G1072" s="24" t="s">
        <v>299</v>
      </c>
    </row>
    <row r="1073" spans="1:7" ht="30" customHeight="1">
      <c r="A1073" s="26" t="s">
        <v>2678</v>
      </c>
      <c r="B1073" s="26" t="s">
        <v>143</v>
      </c>
      <c r="C1073" s="26" t="s">
        <v>172</v>
      </c>
      <c r="D1073" s="26"/>
      <c r="E1073" s="26">
        <v>0</v>
      </c>
      <c r="F1073" s="29" t="s">
        <v>2679</v>
      </c>
      <c r="G1073" s="26" t="s">
        <v>299</v>
      </c>
    </row>
    <row r="1074" spans="1:7" ht="30" customHeight="1">
      <c r="A1074" s="24" t="s">
        <v>2680</v>
      </c>
      <c r="B1074" s="24" t="s">
        <v>144</v>
      </c>
      <c r="C1074" s="24" t="s">
        <v>172</v>
      </c>
      <c r="D1074" s="24"/>
      <c r="E1074" s="24">
        <v>0</v>
      </c>
      <c r="F1074" s="28" t="s">
        <v>2681</v>
      </c>
      <c r="G1074" s="24" t="s">
        <v>299</v>
      </c>
    </row>
    <row r="1075" spans="1:7" ht="30" customHeight="1">
      <c r="A1075" s="26" t="s">
        <v>2682</v>
      </c>
      <c r="B1075" s="26" t="s">
        <v>143</v>
      </c>
      <c r="C1075" s="26" t="s">
        <v>172</v>
      </c>
      <c r="D1075" s="26"/>
      <c r="E1075" s="26">
        <v>0</v>
      </c>
      <c r="F1075" s="29" t="s">
        <v>2683</v>
      </c>
      <c r="G1075" s="26" t="s">
        <v>299</v>
      </c>
    </row>
    <row r="1076" spans="1:7" ht="30" customHeight="1">
      <c r="A1076" s="24" t="s">
        <v>2684</v>
      </c>
      <c r="B1076" s="24" t="s">
        <v>955</v>
      </c>
      <c r="C1076" s="24" t="s">
        <v>172</v>
      </c>
      <c r="D1076" s="24"/>
      <c r="E1076" s="24">
        <v>0</v>
      </c>
      <c r="F1076" s="28" t="s">
        <v>2685</v>
      </c>
      <c r="G1076" s="24" t="s">
        <v>299</v>
      </c>
    </row>
    <row r="1077" spans="1:7" ht="30" customHeight="1">
      <c r="A1077" s="26" t="s">
        <v>2686</v>
      </c>
      <c r="B1077" s="26" t="s">
        <v>955</v>
      </c>
      <c r="C1077" s="26" t="s">
        <v>172</v>
      </c>
      <c r="D1077" s="26"/>
      <c r="E1077" s="26">
        <v>0</v>
      </c>
      <c r="F1077" s="29" t="s">
        <v>2687</v>
      </c>
      <c r="G1077" s="26" t="s">
        <v>299</v>
      </c>
    </row>
    <row r="1078" spans="1:7" ht="30" customHeight="1">
      <c r="A1078" s="24" t="s">
        <v>2688</v>
      </c>
      <c r="B1078" s="24" t="s">
        <v>544</v>
      </c>
      <c r="C1078" s="24" t="s">
        <v>172</v>
      </c>
      <c r="D1078" s="24"/>
      <c r="E1078" s="24">
        <v>0</v>
      </c>
      <c r="F1078" s="28" t="s">
        <v>2689</v>
      </c>
      <c r="G1078" s="24" t="s">
        <v>299</v>
      </c>
    </row>
    <row r="1079" spans="1:7" ht="30" customHeight="1">
      <c r="A1079" s="26" t="s">
        <v>2690</v>
      </c>
      <c r="B1079" s="26" t="s">
        <v>143</v>
      </c>
      <c r="C1079" s="26" t="s">
        <v>172</v>
      </c>
      <c r="D1079" s="26"/>
      <c r="E1079" s="26">
        <v>0</v>
      </c>
      <c r="F1079" s="29" t="s">
        <v>2691</v>
      </c>
      <c r="G1079" s="26" t="s">
        <v>299</v>
      </c>
    </row>
    <row r="1080" spans="1:7" ht="30" customHeight="1">
      <c r="A1080" s="24" t="s">
        <v>2692</v>
      </c>
      <c r="B1080" s="24" t="s">
        <v>143</v>
      </c>
      <c r="C1080" s="24" t="s">
        <v>172</v>
      </c>
      <c r="D1080" s="24"/>
      <c r="E1080" s="24">
        <v>0</v>
      </c>
      <c r="F1080" s="28" t="s">
        <v>2693</v>
      </c>
      <c r="G1080" s="24" t="s">
        <v>299</v>
      </c>
    </row>
    <row r="1081" spans="1:7" ht="30" customHeight="1">
      <c r="A1081" s="26" t="s">
        <v>2694</v>
      </c>
      <c r="B1081" s="26" t="s">
        <v>144</v>
      </c>
      <c r="C1081" s="26" t="s">
        <v>172</v>
      </c>
      <c r="D1081" s="26"/>
      <c r="E1081" s="26">
        <v>0</v>
      </c>
      <c r="F1081" s="29" t="s">
        <v>2695</v>
      </c>
      <c r="G1081" s="26" t="s">
        <v>299</v>
      </c>
    </row>
    <row r="1082" spans="1:7" ht="30" customHeight="1">
      <c r="A1082" s="24" t="s">
        <v>2696</v>
      </c>
      <c r="B1082" s="24" t="s">
        <v>144</v>
      </c>
      <c r="C1082" s="24" t="s">
        <v>172</v>
      </c>
      <c r="D1082" s="24"/>
      <c r="E1082" s="24">
        <v>0</v>
      </c>
      <c r="F1082" s="28" t="s">
        <v>2697</v>
      </c>
      <c r="G1082" s="24" t="s">
        <v>299</v>
      </c>
    </row>
    <row r="1083" spans="1:7" ht="30" customHeight="1">
      <c r="A1083" s="26" t="s">
        <v>2698</v>
      </c>
      <c r="B1083" s="26" t="s">
        <v>144</v>
      </c>
      <c r="C1083" s="26" t="s">
        <v>172</v>
      </c>
      <c r="D1083" s="26"/>
      <c r="E1083" s="26">
        <v>0</v>
      </c>
      <c r="F1083" s="29" t="s">
        <v>2699</v>
      </c>
      <c r="G1083" s="26" t="s">
        <v>299</v>
      </c>
    </row>
    <row r="1084" spans="1:7" ht="30" customHeight="1">
      <c r="A1084" s="24" t="s">
        <v>2700</v>
      </c>
      <c r="B1084" s="24" t="s">
        <v>144</v>
      </c>
      <c r="C1084" s="24" t="s">
        <v>172</v>
      </c>
      <c r="D1084" s="24"/>
      <c r="E1084" s="24">
        <v>0</v>
      </c>
      <c r="F1084" s="28" t="s">
        <v>2701</v>
      </c>
      <c r="G1084" s="24" t="s">
        <v>299</v>
      </c>
    </row>
    <row r="1085" spans="1:7" ht="30" customHeight="1">
      <c r="A1085" s="26" t="s">
        <v>2702</v>
      </c>
      <c r="B1085" s="26" t="s">
        <v>143</v>
      </c>
      <c r="C1085" s="26" t="s">
        <v>172</v>
      </c>
      <c r="D1085" s="26"/>
      <c r="E1085" s="26">
        <v>0</v>
      </c>
      <c r="F1085" s="29" t="s">
        <v>2703</v>
      </c>
      <c r="G1085" s="26" t="s">
        <v>299</v>
      </c>
    </row>
    <row r="1086" spans="1:7" ht="30" customHeight="1">
      <c r="A1086" s="24" t="s">
        <v>2704</v>
      </c>
      <c r="B1086" s="24" t="s">
        <v>143</v>
      </c>
      <c r="C1086" s="24" t="s">
        <v>172</v>
      </c>
      <c r="D1086" s="24"/>
      <c r="E1086" s="24">
        <v>0</v>
      </c>
      <c r="F1086" s="28" t="s">
        <v>2705</v>
      </c>
      <c r="G1086" s="24" t="s">
        <v>299</v>
      </c>
    </row>
    <row r="1087" spans="1:7" ht="30" customHeight="1">
      <c r="A1087" s="26" t="s">
        <v>2706</v>
      </c>
      <c r="B1087" s="26" t="s">
        <v>143</v>
      </c>
      <c r="C1087" s="26" t="s">
        <v>172</v>
      </c>
      <c r="D1087" s="26"/>
      <c r="E1087" s="26">
        <v>0</v>
      </c>
      <c r="F1087" s="29" t="s">
        <v>2707</v>
      </c>
      <c r="G1087" s="26" t="s">
        <v>299</v>
      </c>
    </row>
    <row r="1088" spans="1:7" ht="30" customHeight="1">
      <c r="A1088" s="24" t="s">
        <v>2708</v>
      </c>
      <c r="B1088" s="24" t="s">
        <v>143</v>
      </c>
      <c r="C1088" s="24" t="s">
        <v>172</v>
      </c>
      <c r="D1088" s="24"/>
      <c r="E1088" s="24">
        <v>0</v>
      </c>
      <c r="F1088" s="28" t="s">
        <v>2709</v>
      </c>
      <c r="G1088" s="24" t="s">
        <v>299</v>
      </c>
    </row>
    <row r="1089" spans="1:7" ht="30" customHeight="1">
      <c r="A1089" s="26" t="s">
        <v>2710</v>
      </c>
      <c r="B1089" s="26" t="s">
        <v>143</v>
      </c>
      <c r="C1089" s="26" t="s">
        <v>172</v>
      </c>
      <c r="D1089" s="26"/>
      <c r="E1089" s="26">
        <v>0</v>
      </c>
      <c r="F1089" s="29" t="s">
        <v>2711</v>
      </c>
      <c r="G1089" s="26" t="s">
        <v>299</v>
      </c>
    </row>
    <row r="1090" spans="1:7" ht="30" customHeight="1">
      <c r="A1090" s="24" t="s">
        <v>2712</v>
      </c>
      <c r="B1090" s="24" t="s">
        <v>143</v>
      </c>
      <c r="C1090" s="24" t="s">
        <v>172</v>
      </c>
      <c r="D1090" s="24"/>
      <c r="E1090" s="24">
        <v>0</v>
      </c>
      <c r="F1090" s="28" t="s">
        <v>2713</v>
      </c>
      <c r="G1090" s="24" t="s">
        <v>299</v>
      </c>
    </row>
    <row r="1091" spans="1:7" ht="30" customHeight="1">
      <c r="A1091" s="26" t="s">
        <v>2714</v>
      </c>
      <c r="B1091" s="26" t="s">
        <v>143</v>
      </c>
      <c r="C1091" s="26" t="s">
        <v>172</v>
      </c>
      <c r="D1091" s="26"/>
      <c r="E1091" s="26">
        <v>0</v>
      </c>
      <c r="F1091" s="29" t="s">
        <v>2715</v>
      </c>
      <c r="G1091" s="26" t="s">
        <v>299</v>
      </c>
    </row>
    <row r="1092" spans="1:7" ht="30" customHeight="1">
      <c r="A1092" s="24" t="s">
        <v>2716</v>
      </c>
      <c r="B1092" s="24" t="s">
        <v>143</v>
      </c>
      <c r="C1092" s="24" t="s">
        <v>172</v>
      </c>
      <c r="D1092" s="24"/>
      <c r="E1092" s="24">
        <v>0</v>
      </c>
      <c r="F1092" s="28" t="s">
        <v>2717</v>
      </c>
      <c r="G1092" s="24" t="s">
        <v>299</v>
      </c>
    </row>
    <row r="1093" spans="1:7" ht="30" customHeight="1">
      <c r="A1093" s="26" t="s">
        <v>2718</v>
      </c>
      <c r="B1093" s="26" t="s">
        <v>143</v>
      </c>
      <c r="C1093" s="26" t="s">
        <v>172</v>
      </c>
      <c r="D1093" s="26"/>
      <c r="E1093" s="26">
        <v>0</v>
      </c>
      <c r="F1093" s="29" t="s">
        <v>2719</v>
      </c>
      <c r="G1093" s="26" t="s">
        <v>299</v>
      </c>
    </row>
    <row r="1094" spans="1:7" ht="30" customHeight="1">
      <c r="A1094" s="24" t="s">
        <v>2720</v>
      </c>
      <c r="B1094" s="24" t="s">
        <v>143</v>
      </c>
      <c r="C1094" s="24" t="s">
        <v>172</v>
      </c>
      <c r="D1094" s="24"/>
      <c r="E1094" s="24">
        <v>0</v>
      </c>
      <c r="F1094" s="28" t="s">
        <v>2721</v>
      </c>
      <c r="G1094" s="24" t="s">
        <v>299</v>
      </c>
    </row>
    <row r="1095" spans="1:7" ht="30" customHeight="1">
      <c r="A1095" s="26" t="s">
        <v>2722</v>
      </c>
      <c r="B1095" s="26" t="s">
        <v>143</v>
      </c>
      <c r="C1095" s="26" t="s">
        <v>172</v>
      </c>
      <c r="D1095" s="26"/>
      <c r="E1095" s="26">
        <v>0</v>
      </c>
      <c r="F1095" s="29" t="s">
        <v>2723</v>
      </c>
      <c r="G1095" s="26" t="s">
        <v>299</v>
      </c>
    </row>
    <row r="1096" spans="1:7" ht="30" customHeight="1">
      <c r="A1096" s="24" t="s">
        <v>2724</v>
      </c>
      <c r="B1096" s="24" t="s">
        <v>143</v>
      </c>
      <c r="C1096" s="24" t="s">
        <v>172</v>
      </c>
      <c r="D1096" s="24"/>
      <c r="E1096" s="24">
        <v>0</v>
      </c>
      <c r="F1096" s="28" t="s">
        <v>2725</v>
      </c>
      <c r="G1096" s="24" t="s">
        <v>299</v>
      </c>
    </row>
    <row r="1097" spans="1:7" ht="30" customHeight="1">
      <c r="A1097" s="26" t="s">
        <v>2726</v>
      </c>
      <c r="B1097" s="26" t="s">
        <v>144</v>
      </c>
      <c r="C1097" s="26" t="s">
        <v>172</v>
      </c>
      <c r="D1097" s="26"/>
      <c r="E1097" s="26">
        <v>0</v>
      </c>
      <c r="F1097" s="29" t="s">
        <v>2727</v>
      </c>
      <c r="G1097" s="26" t="s">
        <v>299</v>
      </c>
    </row>
    <row r="1098" spans="1:7" ht="30" customHeight="1">
      <c r="A1098" s="24" t="s">
        <v>2728</v>
      </c>
      <c r="B1098" s="24" t="s">
        <v>143</v>
      </c>
      <c r="C1098" s="24" t="s">
        <v>172</v>
      </c>
      <c r="D1098" s="24"/>
      <c r="E1098" s="24">
        <v>0</v>
      </c>
      <c r="F1098" s="28" t="s">
        <v>2729</v>
      </c>
      <c r="G1098" s="24" t="s">
        <v>299</v>
      </c>
    </row>
    <row r="1099" spans="1:7" ht="30" customHeight="1">
      <c r="A1099" s="26" t="s">
        <v>2730</v>
      </c>
      <c r="B1099" s="26" t="s">
        <v>581</v>
      </c>
      <c r="C1099" s="26" t="s">
        <v>172</v>
      </c>
      <c r="D1099" s="26"/>
      <c r="E1099" s="26">
        <v>0</v>
      </c>
      <c r="F1099" s="29" t="s">
        <v>2731</v>
      </c>
      <c r="G1099" s="26" t="s">
        <v>299</v>
      </c>
    </row>
    <row r="1100" spans="1:7" ht="30" customHeight="1">
      <c r="A1100" s="24" t="s">
        <v>2732</v>
      </c>
      <c r="B1100" s="24" t="s">
        <v>143</v>
      </c>
      <c r="C1100" s="24" t="s">
        <v>172</v>
      </c>
      <c r="D1100" s="24"/>
      <c r="E1100" s="24">
        <v>0</v>
      </c>
      <c r="F1100" s="28" t="s">
        <v>2733</v>
      </c>
      <c r="G1100" s="24" t="s">
        <v>299</v>
      </c>
    </row>
    <row r="1101" spans="1:7" ht="30" customHeight="1">
      <c r="A1101" s="26" t="s">
        <v>2734</v>
      </c>
      <c r="B1101" s="26" t="s">
        <v>143</v>
      </c>
      <c r="C1101" s="26" t="s">
        <v>172</v>
      </c>
      <c r="D1101" s="26"/>
      <c r="E1101" s="26">
        <v>0</v>
      </c>
      <c r="F1101" s="29" t="s">
        <v>2735</v>
      </c>
      <c r="G1101" s="26" t="s">
        <v>299</v>
      </c>
    </row>
    <row r="1102" spans="1:7" ht="30" customHeight="1">
      <c r="A1102" s="24" t="s">
        <v>2736</v>
      </c>
      <c r="B1102" s="24" t="s">
        <v>143</v>
      </c>
      <c r="C1102" s="24" t="s">
        <v>172</v>
      </c>
      <c r="D1102" s="24"/>
      <c r="E1102" s="24">
        <v>0</v>
      </c>
      <c r="F1102" s="28" t="s">
        <v>2737</v>
      </c>
      <c r="G1102" s="24" t="s">
        <v>299</v>
      </c>
    </row>
    <row r="1103" spans="1:7" ht="30" customHeight="1">
      <c r="A1103" s="26" t="s">
        <v>2738</v>
      </c>
      <c r="B1103" s="26" t="s">
        <v>143</v>
      </c>
      <c r="C1103" s="26" t="s">
        <v>182</v>
      </c>
      <c r="D1103" s="26"/>
      <c r="E1103" s="26">
        <v>0</v>
      </c>
      <c r="F1103" s="29" t="s">
        <v>2739</v>
      </c>
      <c r="G1103" s="26" t="s">
        <v>299</v>
      </c>
    </row>
    <row r="1104" spans="1:7" ht="30" customHeight="1">
      <c r="A1104" s="24" t="s">
        <v>2740</v>
      </c>
      <c r="B1104" s="24" t="s">
        <v>143</v>
      </c>
      <c r="C1104" s="24" t="s">
        <v>172</v>
      </c>
      <c r="D1104" s="24"/>
      <c r="E1104" s="24">
        <v>0</v>
      </c>
      <c r="F1104" s="28" t="s">
        <v>2741</v>
      </c>
      <c r="G1104" s="24" t="s">
        <v>299</v>
      </c>
    </row>
    <row r="1105" spans="1:7" ht="30" customHeight="1">
      <c r="A1105" s="26" t="s">
        <v>2742</v>
      </c>
      <c r="B1105" s="26" t="s">
        <v>539</v>
      </c>
      <c r="C1105" s="26" t="s">
        <v>172</v>
      </c>
      <c r="D1105" s="26"/>
      <c r="E1105" s="26">
        <v>0</v>
      </c>
      <c r="F1105" s="29" t="s">
        <v>2743</v>
      </c>
      <c r="G1105" s="26" t="s">
        <v>299</v>
      </c>
    </row>
    <row r="1106" spans="1:7" ht="30" customHeight="1">
      <c r="A1106" s="24" t="s">
        <v>192</v>
      </c>
      <c r="B1106" s="24" t="s">
        <v>143</v>
      </c>
      <c r="C1106" s="24" t="s">
        <v>172</v>
      </c>
      <c r="D1106" s="24" t="s">
        <v>174</v>
      </c>
      <c r="E1106" s="24">
        <v>1</v>
      </c>
      <c r="F1106" s="28" t="s">
        <v>195</v>
      </c>
      <c r="G1106" s="24" t="s">
        <v>299</v>
      </c>
    </row>
    <row r="1107" spans="1:7" ht="30" customHeight="1">
      <c r="A1107" s="26" t="s">
        <v>2744</v>
      </c>
      <c r="B1107" s="26" t="s">
        <v>1099</v>
      </c>
      <c r="C1107" s="26" t="s">
        <v>172</v>
      </c>
      <c r="D1107" s="26"/>
      <c r="E1107" s="26">
        <v>0</v>
      </c>
      <c r="F1107" s="29" t="s">
        <v>2745</v>
      </c>
      <c r="G1107" s="26" t="s">
        <v>299</v>
      </c>
    </row>
    <row r="1108" spans="1:7" ht="30" customHeight="1">
      <c r="A1108" s="24" t="s">
        <v>2746</v>
      </c>
      <c r="B1108" s="24" t="s">
        <v>143</v>
      </c>
      <c r="C1108" s="24" t="s">
        <v>172</v>
      </c>
      <c r="D1108" s="24"/>
      <c r="E1108" s="24">
        <v>0</v>
      </c>
      <c r="F1108" s="28" t="s">
        <v>2747</v>
      </c>
      <c r="G1108" s="24" t="s">
        <v>299</v>
      </c>
    </row>
    <row r="1109" spans="1:7" ht="30" customHeight="1">
      <c r="A1109" s="26" t="s">
        <v>2748</v>
      </c>
      <c r="B1109" s="26" t="s">
        <v>143</v>
      </c>
      <c r="C1109" s="26" t="s">
        <v>172</v>
      </c>
      <c r="D1109" s="26"/>
      <c r="E1109" s="26">
        <v>0</v>
      </c>
      <c r="F1109" s="29" t="s">
        <v>2749</v>
      </c>
      <c r="G1109" s="26" t="s">
        <v>299</v>
      </c>
    </row>
    <row r="1110" spans="1:7" ht="30" customHeight="1">
      <c r="A1110" s="24" t="s">
        <v>2750</v>
      </c>
      <c r="B1110" s="24" t="s">
        <v>144</v>
      </c>
      <c r="C1110" s="24" t="s">
        <v>172</v>
      </c>
      <c r="D1110" s="24"/>
      <c r="E1110" s="24">
        <v>0</v>
      </c>
      <c r="F1110" s="28" t="s">
        <v>2751</v>
      </c>
      <c r="G1110" s="24" t="s">
        <v>299</v>
      </c>
    </row>
    <row r="1111" spans="1:7" ht="30" customHeight="1">
      <c r="A1111" s="26" t="s">
        <v>2752</v>
      </c>
      <c r="B1111" s="26" t="s">
        <v>143</v>
      </c>
      <c r="C1111" s="26" t="s">
        <v>172</v>
      </c>
      <c r="D1111" s="26"/>
      <c r="E1111" s="26">
        <v>0</v>
      </c>
      <c r="F1111" s="29" t="s">
        <v>2753</v>
      </c>
      <c r="G1111" s="26" t="s">
        <v>299</v>
      </c>
    </row>
    <row r="1112" spans="1:7" ht="30" customHeight="1">
      <c r="A1112" s="24" t="s">
        <v>2754</v>
      </c>
      <c r="B1112" s="24" t="s">
        <v>143</v>
      </c>
      <c r="C1112" s="24" t="s">
        <v>182</v>
      </c>
      <c r="D1112" s="24"/>
      <c r="E1112" s="24">
        <v>0</v>
      </c>
      <c r="F1112" s="28" t="s">
        <v>2755</v>
      </c>
      <c r="G1112" s="24" t="s">
        <v>299</v>
      </c>
    </row>
    <row r="1113" spans="1:7" ht="30" customHeight="1">
      <c r="A1113" s="26" t="s">
        <v>2756</v>
      </c>
      <c r="B1113" s="26" t="s">
        <v>572</v>
      </c>
      <c r="C1113" s="26" t="s">
        <v>172</v>
      </c>
      <c r="D1113" s="26"/>
      <c r="E1113" s="26">
        <v>0</v>
      </c>
      <c r="F1113" s="29" t="s">
        <v>2757</v>
      </c>
      <c r="G1113" s="26" t="s">
        <v>299</v>
      </c>
    </row>
    <row r="1114" spans="1:7" ht="30" customHeight="1">
      <c r="A1114" s="24" t="s">
        <v>2758</v>
      </c>
      <c r="B1114" s="24" t="s">
        <v>539</v>
      </c>
      <c r="C1114" s="24" t="s">
        <v>172</v>
      </c>
      <c r="D1114" s="24"/>
      <c r="E1114" s="24">
        <v>0</v>
      </c>
      <c r="F1114" s="28" t="s">
        <v>2759</v>
      </c>
      <c r="G1114" s="24" t="s">
        <v>299</v>
      </c>
    </row>
    <row r="1115" spans="1:7" ht="30" customHeight="1">
      <c r="A1115" s="26" t="s">
        <v>2760</v>
      </c>
      <c r="B1115" s="26" t="s">
        <v>143</v>
      </c>
      <c r="C1115" s="26" t="s">
        <v>172</v>
      </c>
      <c r="D1115" s="26"/>
      <c r="E1115" s="26">
        <v>0</v>
      </c>
      <c r="F1115" s="29" t="s">
        <v>2761</v>
      </c>
      <c r="G1115" s="26" t="s">
        <v>299</v>
      </c>
    </row>
    <row r="1116" spans="1:7" ht="30" customHeight="1">
      <c r="A1116" s="24" t="s">
        <v>2762</v>
      </c>
      <c r="B1116" s="24" t="s">
        <v>144</v>
      </c>
      <c r="C1116" s="24" t="s">
        <v>172</v>
      </c>
      <c r="D1116" s="24"/>
      <c r="E1116" s="24">
        <v>0</v>
      </c>
      <c r="F1116" s="28" t="s">
        <v>2763</v>
      </c>
      <c r="G1116" s="24" t="s">
        <v>299</v>
      </c>
    </row>
    <row r="1117" spans="1:7" ht="30" customHeight="1">
      <c r="A1117" s="26" t="s">
        <v>2764</v>
      </c>
      <c r="B1117" s="26" t="s">
        <v>143</v>
      </c>
      <c r="C1117" s="26" t="s">
        <v>172</v>
      </c>
      <c r="D1117" s="26"/>
      <c r="E1117" s="26">
        <v>0</v>
      </c>
      <c r="F1117" s="29" t="s">
        <v>2765</v>
      </c>
      <c r="G1117" s="26" t="s">
        <v>299</v>
      </c>
    </row>
    <row r="1118" spans="1:7" ht="30" customHeight="1">
      <c r="A1118" s="24" t="s">
        <v>2766</v>
      </c>
      <c r="B1118" s="24" t="s">
        <v>144</v>
      </c>
      <c r="C1118" s="24" t="s">
        <v>182</v>
      </c>
      <c r="D1118" s="24"/>
      <c r="E1118" s="24">
        <v>0</v>
      </c>
      <c r="F1118" s="28" t="s">
        <v>2767</v>
      </c>
      <c r="G1118" s="24" t="s">
        <v>299</v>
      </c>
    </row>
    <row r="1119" spans="1:7" ht="30" customHeight="1">
      <c r="A1119" s="26" t="s">
        <v>2768</v>
      </c>
      <c r="B1119" s="26" t="s">
        <v>143</v>
      </c>
      <c r="C1119" s="26" t="s">
        <v>172</v>
      </c>
      <c r="D1119" s="26"/>
      <c r="E1119" s="26">
        <v>0</v>
      </c>
      <c r="F1119" s="29" t="s">
        <v>2769</v>
      </c>
      <c r="G1119" s="26" t="s">
        <v>299</v>
      </c>
    </row>
    <row r="1120" spans="1:7" ht="30" customHeight="1">
      <c r="A1120" s="24" t="s">
        <v>2770</v>
      </c>
      <c r="B1120" s="24" t="s">
        <v>143</v>
      </c>
      <c r="C1120" s="24" t="s">
        <v>172</v>
      </c>
      <c r="D1120" s="24"/>
      <c r="E1120" s="24">
        <v>0</v>
      </c>
      <c r="F1120" s="28" t="s">
        <v>2771</v>
      </c>
      <c r="G1120" s="24" t="s">
        <v>299</v>
      </c>
    </row>
    <row r="1121" spans="1:7" ht="30" customHeight="1">
      <c r="A1121" s="26" t="s">
        <v>2772</v>
      </c>
      <c r="B1121" s="26" t="s">
        <v>144</v>
      </c>
      <c r="C1121" s="26" t="s">
        <v>172</v>
      </c>
      <c r="D1121" s="26"/>
      <c r="E1121" s="26">
        <v>0</v>
      </c>
      <c r="F1121" s="29" t="s">
        <v>2773</v>
      </c>
      <c r="G1121" s="26" t="s">
        <v>299</v>
      </c>
    </row>
    <row r="1122" spans="1:7" ht="30" customHeight="1">
      <c r="A1122" s="24" t="s">
        <v>2774</v>
      </c>
      <c r="B1122" s="24" t="s">
        <v>569</v>
      </c>
      <c r="C1122" s="24" t="s">
        <v>172</v>
      </c>
      <c r="D1122" s="24"/>
      <c r="E1122" s="24">
        <v>0</v>
      </c>
      <c r="F1122" s="28" t="s">
        <v>2775</v>
      </c>
      <c r="G1122" s="24" t="s">
        <v>299</v>
      </c>
    </row>
    <row r="1123" spans="1:7" ht="30" customHeight="1">
      <c r="A1123" s="26" t="s">
        <v>2776</v>
      </c>
      <c r="B1123" s="26" t="s">
        <v>143</v>
      </c>
      <c r="C1123" s="26" t="s">
        <v>172</v>
      </c>
      <c r="D1123" s="26"/>
      <c r="E1123" s="26">
        <v>0</v>
      </c>
      <c r="F1123" s="29" t="s">
        <v>2777</v>
      </c>
      <c r="G1123" s="26" t="s">
        <v>299</v>
      </c>
    </row>
    <row r="1124" spans="1:7" ht="30" customHeight="1">
      <c r="A1124" s="24" t="s">
        <v>2778</v>
      </c>
      <c r="B1124" s="24" t="s">
        <v>144</v>
      </c>
      <c r="C1124" s="24" t="s">
        <v>172</v>
      </c>
      <c r="D1124" s="24"/>
      <c r="E1124" s="24">
        <v>0</v>
      </c>
      <c r="F1124" s="28" t="s">
        <v>2779</v>
      </c>
      <c r="G1124" s="24" t="s">
        <v>299</v>
      </c>
    </row>
    <row r="1125" spans="1:7" ht="30" customHeight="1">
      <c r="A1125" s="26" t="s">
        <v>2780</v>
      </c>
      <c r="B1125" s="26" t="s">
        <v>143</v>
      </c>
      <c r="C1125" s="26" t="s">
        <v>172</v>
      </c>
      <c r="D1125" s="26"/>
      <c r="E1125" s="26">
        <v>0</v>
      </c>
      <c r="F1125" s="29" t="s">
        <v>2781</v>
      </c>
      <c r="G1125" s="26" t="s">
        <v>299</v>
      </c>
    </row>
    <row r="1126" spans="1:7" ht="30" customHeight="1">
      <c r="A1126" s="24" t="s">
        <v>2782</v>
      </c>
      <c r="B1126" s="24" t="s">
        <v>143</v>
      </c>
      <c r="C1126" s="24" t="s">
        <v>172</v>
      </c>
      <c r="D1126" s="24"/>
      <c r="E1126" s="24">
        <v>0</v>
      </c>
      <c r="F1126" s="28" t="s">
        <v>2783</v>
      </c>
      <c r="G1126" s="24" t="s">
        <v>299</v>
      </c>
    </row>
    <row r="1127" spans="1:7" ht="30" customHeight="1">
      <c r="A1127" s="26" t="s">
        <v>2784</v>
      </c>
      <c r="B1127" s="26" t="s">
        <v>955</v>
      </c>
      <c r="C1127" s="26" t="s">
        <v>172</v>
      </c>
      <c r="D1127" s="26"/>
      <c r="E1127" s="26">
        <v>0</v>
      </c>
      <c r="F1127" s="29" t="s">
        <v>2785</v>
      </c>
      <c r="G1127" s="26" t="s">
        <v>299</v>
      </c>
    </row>
    <row r="1128" spans="1:7" ht="30" customHeight="1">
      <c r="A1128" s="24" t="s">
        <v>2786</v>
      </c>
      <c r="B1128" s="24" t="s">
        <v>558</v>
      </c>
      <c r="C1128" s="24" t="s">
        <v>172</v>
      </c>
      <c r="D1128" s="24"/>
      <c r="E1128" s="24">
        <v>0</v>
      </c>
      <c r="F1128" s="28" t="s">
        <v>2787</v>
      </c>
      <c r="G1128" s="24" t="s">
        <v>299</v>
      </c>
    </row>
    <row r="1129" spans="1:7" ht="30" customHeight="1">
      <c r="A1129" s="26" t="s">
        <v>2788</v>
      </c>
      <c r="B1129" s="26" t="s">
        <v>171</v>
      </c>
      <c r="C1129" s="26" t="s">
        <v>172</v>
      </c>
      <c r="D1129" s="26"/>
      <c r="E1129" s="26">
        <v>0</v>
      </c>
      <c r="F1129" s="29" t="s">
        <v>2789</v>
      </c>
      <c r="G1129" s="26" t="s">
        <v>299</v>
      </c>
    </row>
    <row r="1130" spans="1:7" ht="30" customHeight="1">
      <c r="A1130" s="24" t="s">
        <v>2790</v>
      </c>
      <c r="B1130" s="24" t="s">
        <v>230</v>
      </c>
      <c r="C1130" s="24" t="s">
        <v>172</v>
      </c>
      <c r="D1130" s="24"/>
      <c r="E1130" s="24">
        <v>0</v>
      </c>
      <c r="F1130" s="28" t="s">
        <v>2791</v>
      </c>
      <c r="G1130" s="24" t="s">
        <v>299</v>
      </c>
    </row>
    <row r="1131" spans="1:7" ht="30" customHeight="1">
      <c r="A1131" s="26" t="s">
        <v>2792</v>
      </c>
      <c r="B1131" s="26" t="s">
        <v>143</v>
      </c>
      <c r="C1131" s="26" t="s">
        <v>172</v>
      </c>
      <c r="D1131" s="26"/>
      <c r="E1131" s="26">
        <v>0</v>
      </c>
      <c r="F1131" s="29" t="s">
        <v>2793</v>
      </c>
      <c r="G1131" s="26" t="s">
        <v>299</v>
      </c>
    </row>
    <row r="1132" spans="1:7" ht="30" customHeight="1">
      <c r="A1132" s="24" t="s">
        <v>2794</v>
      </c>
      <c r="B1132" s="24" t="s">
        <v>569</v>
      </c>
      <c r="C1132" s="24" t="s">
        <v>172</v>
      </c>
      <c r="D1132" s="24"/>
      <c r="E1132" s="24">
        <v>0</v>
      </c>
      <c r="F1132" s="28" t="s">
        <v>2795</v>
      </c>
      <c r="G1132" s="24" t="s">
        <v>299</v>
      </c>
    </row>
    <row r="1133" spans="1:7" ht="30" customHeight="1">
      <c r="A1133" s="26" t="s">
        <v>2796</v>
      </c>
      <c r="B1133" s="26" t="s">
        <v>143</v>
      </c>
      <c r="C1133" s="26" t="s">
        <v>172</v>
      </c>
      <c r="D1133" s="26"/>
      <c r="E1133" s="26">
        <v>0</v>
      </c>
      <c r="F1133" s="29" t="s">
        <v>2797</v>
      </c>
      <c r="G1133" s="26" t="s">
        <v>299</v>
      </c>
    </row>
    <row r="1134" spans="1:7" ht="30" customHeight="1">
      <c r="A1134" s="24" t="s">
        <v>2798</v>
      </c>
      <c r="B1134" s="24" t="s">
        <v>143</v>
      </c>
      <c r="C1134" s="24" t="s">
        <v>172</v>
      </c>
      <c r="D1134" s="24"/>
      <c r="E1134" s="24">
        <v>0</v>
      </c>
      <c r="F1134" s="28" t="s">
        <v>2799</v>
      </c>
      <c r="G1134" s="24" t="s">
        <v>299</v>
      </c>
    </row>
    <row r="1135" spans="1:7" ht="30" customHeight="1">
      <c r="A1135" s="26" t="s">
        <v>2800</v>
      </c>
      <c r="B1135" s="26" t="s">
        <v>1099</v>
      </c>
      <c r="C1135" s="26" t="s">
        <v>172</v>
      </c>
      <c r="D1135" s="26"/>
      <c r="E1135" s="26">
        <v>0</v>
      </c>
      <c r="F1135" s="29" t="s">
        <v>2801</v>
      </c>
      <c r="G1135" s="26" t="s">
        <v>299</v>
      </c>
    </row>
    <row r="1136" spans="1:7" ht="30" customHeight="1">
      <c r="A1136" s="24" t="s">
        <v>2802</v>
      </c>
      <c r="B1136" s="24" t="s">
        <v>143</v>
      </c>
      <c r="C1136" s="24" t="s">
        <v>182</v>
      </c>
      <c r="D1136" s="24"/>
      <c r="E1136" s="24">
        <v>0</v>
      </c>
      <c r="F1136" s="28" t="s">
        <v>2803</v>
      </c>
      <c r="G1136" s="24" t="s">
        <v>299</v>
      </c>
    </row>
    <row r="1137" spans="1:7" ht="30" customHeight="1">
      <c r="A1137" s="26" t="s">
        <v>2804</v>
      </c>
      <c r="B1137" s="26" t="s">
        <v>143</v>
      </c>
      <c r="C1137" s="26" t="s">
        <v>182</v>
      </c>
      <c r="D1137" s="26"/>
      <c r="E1137" s="26">
        <v>0</v>
      </c>
      <c r="F1137" s="29" t="s">
        <v>2805</v>
      </c>
      <c r="G1137" s="26" t="s">
        <v>299</v>
      </c>
    </row>
    <row r="1138" spans="1:7" ht="30" customHeight="1">
      <c r="A1138" s="24" t="s">
        <v>2806</v>
      </c>
      <c r="B1138" s="24" t="s">
        <v>572</v>
      </c>
      <c r="C1138" s="24" t="s">
        <v>172</v>
      </c>
      <c r="D1138" s="24"/>
      <c r="E1138" s="24">
        <v>0</v>
      </c>
      <c r="F1138" s="28" t="s">
        <v>2807</v>
      </c>
      <c r="G1138" s="24" t="s">
        <v>299</v>
      </c>
    </row>
    <row r="1139" spans="1:7" ht="30" customHeight="1">
      <c r="A1139" s="26" t="s">
        <v>2808</v>
      </c>
      <c r="B1139" s="26" t="s">
        <v>1099</v>
      </c>
      <c r="C1139" s="26" t="s">
        <v>172</v>
      </c>
      <c r="D1139" s="26"/>
      <c r="E1139" s="26">
        <v>0</v>
      </c>
      <c r="F1139" s="29" t="s">
        <v>2809</v>
      </c>
      <c r="G1139" s="26" t="s">
        <v>299</v>
      </c>
    </row>
    <row r="1140" spans="1:7" ht="30" customHeight="1">
      <c r="A1140" s="24" t="s">
        <v>2810</v>
      </c>
      <c r="B1140" s="24" t="s">
        <v>144</v>
      </c>
      <c r="C1140" s="24" t="s">
        <v>182</v>
      </c>
      <c r="D1140" s="24"/>
      <c r="E1140" s="24">
        <v>0</v>
      </c>
      <c r="F1140" s="28" t="s">
        <v>2811</v>
      </c>
      <c r="G1140" s="24" t="s">
        <v>299</v>
      </c>
    </row>
    <row r="1141" spans="1:7" ht="30" customHeight="1">
      <c r="A1141" s="26" t="s">
        <v>197</v>
      </c>
      <c r="B1141" s="26" t="s">
        <v>143</v>
      </c>
      <c r="C1141" s="26" t="s">
        <v>172</v>
      </c>
      <c r="D1141" s="26" t="s">
        <v>174</v>
      </c>
      <c r="E1141" s="26">
        <v>1</v>
      </c>
      <c r="F1141" s="29" t="s">
        <v>199</v>
      </c>
      <c r="G1141" s="26" t="s">
        <v>299</v>
      </c>
    </row>
    <row r="1142" spans="1:7" ht="30" customHeight="1">
      <c r="A1142" s="24" t="s">
        <v>2812</v>
      </c>
      <c r="B1142" s="24" t="s">
        <v>144</v>
      </c>
      <c r="C1142" s="24" t="s">
        <v>172</v>
      </c>
      <c r="D1142" s="24"/>
      <c r="E1142" s="24">
        <v>0</v>
      </c>
      <c r="F1142" s="28" t="s">
        <v>2813</v>
      </c>
      <c r="G1142" s="24" t="s">
        <v>299</v>
      </c>
    </row>
    <row r="1143" spans="1:7" ht="30" customHeight="1">
      <c r="A1143" s="26" t="s">
        <v>2814</v>
      </c>
      <c r="B1143" s="26" t="s">
        <v>144</v>
      </c>
      <c r="C1143" s="26" t="s">
        <v>172</v>
      </c>
      <c r="D1143" s="26"/>
      <c r="E1143" s="26">
        <v>0</v>
      </c>
      <c r="F1143" s="29" t="s">
        <v>2815</v>
      </c>
      <c r="G1143" s="26" t="s">
        <v>299</v>
      </c>
    </row>
    <row r="1144" spans="1:7" ht="30" customHeight="1">
      <c r="A1144" s="24" t="s">
        <v>2816</v>
      </c>
      <c r="B1144" s="24" t="s">
        <v>143</v>
      </c>
      <c r="C1144" s="24" t="s">
        <v>172</v>
      </c>
      <c r="D1144" s="24"/>
      <c r="E1144" s="24">
        <v>0</v>
      </c>
      <c r="F1144" s="28" t="s">
        <v>2817</v>
      </c>
      <c r="G1144" s="24" t="s">
        <v>299</v>
      </c>
    </row>
    <row r="1145" spans="1:7" ht="30" customHeight="1">
      <c r="A1145" s="26" t="s">
        <v>2818</v>
      </c>
      <c r="B1145" s="26" t="s">
        <v>1099</v>
      </c>
      <c r="C1145" s="26" t="s">
        <v>172</v>
      </c>
      <c r="D1145" s="26"/>
      <c r="E1145" s="26">
        <v>0</v>
      </c>
      <c r="F1145" s="29" t="s">
        <v>2819</v>
      </c>
      <c r="G1145" s="26" t="s">
        <v>299</v>
      </c>
    </row>
    <row r="1146" spans="1:7" ht="30" customHeight="1">
      <c r="A1146" s="24" t="s">
        <v>2820</v>
      </c>
      <c r="B1146" s="24" t="s">
        <v>143</v>
      </c>
      <c r="C1146" s="24" t="s">
        <v>172</v>
      </c>
      <c r="D1146" s="24"/>
      <c r="E1146" s="24">
        <v>0</v>
      </c>
      <c r="F1146" s="28" t="s">
        <v>2821</v>
      </c>
      <c r="G1146" s="24" t="s">
        <v>299</v>
      </c>
    </row>
    <row r="1147" spans="1:7" ht="30" customHeight="1">
      <c r="A1147" s="26" t="s">
        <v>2822</v>
      </c>
      <c r="B1147" s="26" t="s">
        <v>539</v>
      </c>
      <c r="C1147" s="26" t="s">
        <v>172</v>
      </c>
      <c r="D1147" s="26"/>
      <c r="E1147" s="26">
        <v>0</v>
      </c>
      <c r="F1147" s="29" t="s">
        <v>2823</v>
      </c>
      <c r="G1147" s="26" t="s">
        <v>299</v>
      </c>
    </row>
    <row r="1148" spans="1:7" ht="30" customHeight="1">
      <c r="A1148" s="24" t="s">
        <v>2824</v>
      </c>
      <c r="B1148" s="24" t="s">
        <v>569</v>
      </c>
      <c r="C1148" s="24" t="s">
        <v>172</v>
      </c>
      <c r="D1148" s="24"/>
      <c r="E1148" s="24">
        <v>0</v>
      </c>
      <c r="F1148" s="28" t="s">
        <v>2825</v>
      </c>
      <c r="G1148" s="24" t="s">
        <v>299</v>
      </c>
    </row>
    <row r="1149" spans="1:7" ht="30" customHeight="1">
      <c r="A1149" s="26" t="s">
        <v>2826</v>
      </c>
      <c r="B1149" s="26" t="s">
        <v>143</v>
      </c>
      <c r="C1149" s="26" t="s">
        <v>182</v>
      </c>
      <c r="D1149" s="26"/>
      <c r="E1149" s="26">
        <v>0</v>
      </c>
      <c r="F1149" s="29" t="s">
        <v>2827</v>
      </c>
      <c r="G1149" s="26" t="s">
        <v>299</v>
      </c>
    </row>
    <row r="1150" spans="1:7" ht="30" customHeight="1">
      <c r="A1150" s="24" t="s">
        <v>2828</v>
      </c>
      <c r="B1150" s="24" t="s">
        <v>171</v>
      </c>
      <c r="C1150" s="24" t="s">
        <v>172</v>
      </c>
      <c r="D1150" s="24"/>
      <c r="E1150" s="24">
        <v>0</v>
      </c>
      <c r="F1150" s="28" t="s">
        <v>2829</v>
      </c>
      <c r="G1150" s="24" t="s">
        <v>299</v>
      </c>
    </row>
    <row r="1151" spans="1:7" ht="30" customHeight="1">
      <c r="A1151" s="26" t="s">
        <v>2830</v>
      </c>
      <c r="B1151" s="26" t="s">
        <v>581</v>
      </c>
      <c r="C1151" s="26" t="s">
        <v>172</v>
      </c>
      <c r="D1151" s="26"/>
      <c r="E1151" s="26">
        <v>0</v>
      </c>
      <c r="F1151" s="29" t="s">
        <v>2831</v>
      </c>
      <c r="G1151" s="26" t="s">
        <v>299</v>
      </c>
    </row>
    <row r="1152" spans="1:7" ht="30" customHeight="1">
      <c r="A1152" s="24" t="s">
        <v>2832</v>
      </c>
      <c r="B1152" s="24" t="s">
        <v>143</v>
      </c>
      <c r="C1152" s="24" t="s">
        <v>172</v>
      </c>
      <c r="D1152" s="24"/>
      <c r="E1152" s="24">
        <v>0</v>
      </c>
      <c r="F1152" s="28" t="s">
        <v>2833</v>
      </c>
      <c r="G1152" s="24" t="s">
        <v>299</v>
      </c>
    </row>
    <row r="1153" spans="1:7" ht="30" customHeight="1">
      <c r="A1153" s="26" t="s">
        <v>2834</v>
      </c>
      <c r="B1153" s="26" t="s">
        <v>143</v>
      </c>
      <c r="C1153" s="26" t="s">
        <v>182</v>
      </c>
      <c r="D1153" s="26"/>
      <c r="E1153" s="26">
        <v>0</v>
      </c>
      <c r="F1153" s="29" t="s">
        <v>2835</v>
      </c>
      <c r="G1153" s="26" t="s">
        <v>299</v>
      </c>
    </row>
    <row r="1154" spans="1:7" ht="30" customHeight="1">
      <c r="A1154" s="24" t="s">
        <v>2836</v>
      </c>
      <c r="B1154" s="24" t="s">
        <v>539</v>
      </c>
      <c r="C1154" s="24" t="s">
        <v>172</v>
      </c>
      <c r="D1154" s="24"/>
      <c r="E1154" s="24">
        <v>0</v>
      </c>
      <c r="F1154" s="28" t="s">
        <v>2837</v>
      </c>
      <c r="G1154" s="24" t="s">
        <v>299</v>
      </c>
    </row>
    <row r="1155" spans="1:7" ht="30" customHeight="1">
      <c r="A1155" s="26" t="s">
        <v>2838</v>
      </c>
      <c r="B1155" s="26" t="s">
        <v>544</v>
      </c>
      <c r="C1155" s="26" t="s">
        <v>172</v>
      </c>
      <c r="D1155" s="26"/>
      <c r="E1155" s="26">
        <v>0</v>
      </c>
      <c r="F1155" s="29" t="s">
        <v>2839</v>
      </c>
      <c r="G1155" s="26" t="s">
        <v>299</v>
      </c>
    </row>
    <row r="1156" spans="1:7" ht="30" customHeight="1">
      <c r="A1156" s="24" t="s">
        <v>2840</v>
      </c>
      <c r="B1156" s="24" t="s">
        <v>143</v>
      </c>
      <c r="C1156" s="24" t="s">
        <v>172</v>
      </c>
      <c r="D1156" s="24"/>
      <c r="E1156" s="24">
        <v>0</v>
      </c>
      <c r="F1156" s="28" t="s">
        <v>2841</v>
      </c>
      <c r="G1156" s="24" t="s">
        <v>299</v>
      </c>
    </row>
    <row r="1157" spans="1:7" ht="30" customHeight="1">
      <c r="A1157" s="26" t="s">
        <v>2842</v>
      </c>
      <c r="B1157" s="26" t="s">
        <v>143</v>
      </c>
      <c r="C1157" s="26" t="s">
        <v>182</v>
      </c>
      <c r="D1157" s="26"/>
      <c r="E1157" s="26">
        <v>0</v>
      </c>
      <c r="F1157" s="29" t="s">
        <v>2843</v>
      </c>
      <c r="G1157" s="26" t="s">
        <v>299</v>
      </c>
    </row>
    <row r="1158" spans="1:7" ht="30" customHeight="1">
      <c r="A1158" s="24" t="s">
        <v>2844</v>
      </c>
      <c r="B1158" s="24" t="s">
        <v>143</v>
      </c>
      <c r="C1158" s="24" t="s">
        <v>172</v>
      </c>
      <c r="D1158" s="24"/>
      <c r="E1158" s="24">
        <v>0</v>
      </c>
      <c r="F1158" s="28" t="s">
        <v>2845</v>
      </c>
      <c r="G1158" s="24" t="s">
        <v>299</v>
      </c>
    </row>
    <row r="1159" spans="1:7" ht="30" customHeight="1">
      <c r="A1159" s="26" t="s">
        <v>2846</v>
      </c>
      <c r="B1159" s="26" t="s">
        <v>1099</v>
      </c>
      <c r="C1159" s="26" t="s">
        <v>172</v>
      </c>
      <c r="D1159" s="26"/>
      <c r="E1159" s="26">
        <v>0</v>
      </c>
      <c r="F1159" s="29" t="s">
        <v>2847</v>
      </c>
      <c r="G1159" s="26" t="s">
        <v>299</v>
      </c>
    </row>
    <row r="1160" spans="1:7" ht="30" customHeight="1">
      <c r="A1160" s="24" t="s">
        <v>2848</v>
      </c>
      <c r="B1160" s="24" t="s">
        <v>143</v>
      </c>
      <c r="C1160" s="24" t="s">
        <v>172</v>
      </c>
      <c r="D1160" s="24"/>
      <c r="E1160" s="24">
        <v>0</v>
      </c>
      <c r="F1160" s="28" t="s">
        <v>2849</v>
      </c>
      <c r="G1160" s="24" t="s">
        <v>299</v>
      </c>
    </row>
    <row r="1161" spans="1:7" ht="30" customHeight="1">
      <c r="A1161" s="26" t="s">
        <v>2850</v>
      </c>
      <c r="B1161" s="26" t="s">
        <v>144</v>
      </c>
      <c r="C1161" s="26" t="s">
        <v>172</v>
      </c>
      <c r="D1161" s="26"/>
      <c r="E1161" s="26">
        <v>0</v>
      </c>
      <c r="F1161" s="29" t="s">
        <v>2851</v>
      </c>
      <c r="G1161" s="26" t="s">
        <v>299</v>
      </c>
    </row>
    <row r="1162" spans="1:7" ht="30" customHeight="1">
      <c r="A1162" s="24" t="s">
        <v>2852</v>
      </c>
      <c r="B1162" s="24" t="s">
        <v>144</v>
      </c>
      <c r="C1162" s="24" t="s">
        <v>172</v>
      </c>
      <c r="D1162" s="24"/>
      <c r="E1162" s="24">
        <v>0</v>
      </c>
      <c r="F1162" s="28" t="s">
        <v>2853</v>
      </c>
      <c r="G1162" s="24" t="s">
        <v>299</v>
      </c>
    </row>
    <row r="1163" spans="1:7" ht="30" customHeight="1">
      <c r="A1163" s="26" t="s">
        <v>2854</v>
      </c>
      <c r="B1163" s="26" t="s">
        <v>144</v>
      </c>
      <c r="C1163" s="26" t="s">
        <v>172</v>
      </c>
      <c r="D1163" s="26"/>
      <c r="E1163" s="26">
        <v>0</v>
      </c>
      <c r="F1163" s="29" t="s">
        <v>2855</v>
      </c>
      <c r="G1163" s="26" t="s">
        <v>299</v>
      </c>
    </row>
    <row r="1164" spans="1:7" ht="30" customHeight="1">
      <c r="A1164" s="24" t="s">
        <v>2856</v>
      </c>
      <c r="B1164" s="24" t="s">
        <v>1099</v>
      </c>
      <c r="C1164" s="24" t="s">
        <v>172</v>
      </c>
      <c r="D1164" s="24"/>
      <c r="E1164" s="24">
        <v>0</v>
      </c>
      <c r="F1164" s="28" t="s">
        <v>2857</v>
      </c>
      <c r="G1164" s="24" t="s">
        <v>299</v>
      </c>
    </row>
    <row r="1165" spans="1:7" ht="30" customHeight="1">
      <c r="A1165" s="26" t="s">
        <v>201</v>
      </c>
      <c r="B1165" s="26" t="s">
        <v>143</v>
      </c>
      <c r="C1165" s="26" t="s">
        <v>172</v>
      </c>
      <c r="D1165" s="26" t="s">
        <v>174</v>
      </c>
      <c r="E1165" s="26">
        <v>1</v>
      </c>
      <c r="F1165" s="29" t="s">
        <v>203</v>
      </c>
      <c r="G1165" s="26" t="s">
        <v>299</v>
      </c>
    </row>
    <row r="1166" spans="1:7" ht="30" customHeight="1">
      <c r="A1166" s="24" t="s">
        <v>2858</v>
      </c>
      <c r="B1166" s="24" t="s">
        <v>144</v>
      </c>
      <c r="C1166" s="24" t="s">
        <v>172</v>
      </c>
      <c r="D1166" s="24"/>
      <c r="E1166" s="24">
        <v>0</v>
      </c>
      <c r="F1166" s="28" t="s">
        <v>2859</v>
      </c>
      <c r="G1166" s="24" t="s">
        <v>299</v>
      </c>
    </row>
    <row r="1167" spans="1:7" ht="30" customHeight="1">
      <c r="A1167" s="26" t="s">
        <v>2860</v>
      </c>
      <c r="B1167" s="26" t="s">
        <v>144</v>
      </c>
      <c r="C1167" s="26" t="s">
        <v>172</v>
      </c>
      <c r="D1167" s="26"/>
      <c r="E1167" s="26">
        <v>0</v>
      </c>
      <c r="F1167" s="29" t="s">
        <v>2861</v>
      </c>
      <c r="G1167" s="26" t="s">
        <v>299</v>
      </c>
    </row>
    <row r="1168" spans="1:7" ht="30" customHeight="1">
      <c r="A1168" s="24" t="s">
        <v>2862</v>
      </c>
      <c r="B1168" s="24" t="s">
        <v>144</v>
      </c>
      <c r="C1168" s="24" t="s">
        <v>172</v>
      </c>
      <c r="D1168" s="24"/>
      <c r="E1168" s="24">
        <v>0</v>
      </c>
      <c r="F1168" s="28" t="s">
        <v>2863</v>
      </c>
      <c r="G1168" s="24" t="s">
        <v>299</v>
      </c>
    </row>
    <row r="1169" spans="1:7" ht="30" customHeight="1">
      <c r="A1169" s="26" t="s">
        <v>2864</v>
      </c>
      <c r="B1169" s="26" t="s">
        <v>143</v>
      </c>
      <c r="C1169" s="26" t="s">
        <v>172</v>
      </c>
      <c r="D1169" s="26"/>
      <c r="E1169" s="26">
        <v>0</v>
      </c>
      <c r="F1169" s="29" t="s">
        <v>2865</v>
      </c>
      <c r="G1169" s="26" t="s">
        <v>299</v>
      </c>
    </row>
    <row r="1170" spans="1:7" ht="30" customHeight="1">
      <c r="A1170" s="24" t="s">
        <v>2866</v>
      </c>
      <c r="B1170" s="24" t="s">
        <v>1099</v>
      </c>
      <c r="C1170" s="24" t="s">
        <v>172</v>
      </c>
      <c r="D1170" s="24"/>
      <c r="E1170" s="24">
        <v>0</v>
      </c>
      <c r="F1170" s="28" t="s">
        <v>2867</v>
      </c>
      <c r="G1170" s="24" t="s">
        <v>299</v>
      </c>
    </row>
    <row r="1171" spans="1:7" ht="30" customHeight="1">
      <c r="A1171" s="26" t="s">
        <v>2868</v>
      </c>
      <c r="B1171" s="26" t="s">
        <v>143</v>
      </c>
      <c r="C1171" s="26" t="s">
        <v>172</v>
      </c>
      <c r="D1171" s="26"/>
      <c r="E1171" s="26">
        <v>0</v>
      </c>
      <c r="F1171" s="29" t="s">
        <v>2869</v>
      </c>
      <c r="G1171" s="26" t="s">
        <v>299</v>
      </c>
    </row>
    <row r="1172" spans="1:7" ht="30" customHeight="1">
      <c r="A1172" s="24" t="s">
        <v>2870</v>
      </c>
      <c r="B1172" s="24" t="s">
        <v>572</v>
      </c>
      <c r="C1172" s="24" t="s">
        <v>172</v>
      </c>
      <c r="D1172" s="24"/>
      <c r="E1172" s="24">
        <v>0</v>
      </c>
      <c r="F1172" s="28" t="s">
        <v>2871</v>
      </c>
      <c r="G1172" s="24" t="s">
        <v>299</v>
      </c>
    </row>
    <row r="1173" spans="1:7" ht="30" customHeight="1">
      <c r="A1173" s="26" t="s">
        <v>2872</v>
      </c>
      <c r="B1173" s="26" t="s">
        <v>572</v>
      </c>
      <c r="C1173" s="26" t="s">
        <v>172</v>
      </c>
      <c r="D1173" s="26"/>
      <c r="E1173" s="26">
        <v>0</v>
      </c>
      <c r="F1173" s="29" t="s">
        <v>2873</v>
      </c>
      <c r="G1173" s="26" t="s">
        <v>299</v>
      </c>
    </row>
    <row r="1174" spans="1:7" ht="30" customHeight="1">
      <c r="A1174" s="24" t="s">
        <v>2874</v>
      </c>
      <c r="B1174" s="24" t="s">
        <v>1099</v>
      </c>
      <c r="C1174" s="24" t="s">
        <v>172</v>
      </c>
      <c r="D1174" s="24"/>
      <c r="E1174" s="24">
        <v>0</v>
      </c>
      <c r="F1174" s="28" t="s">
        <v>2875</v>
      </c>
      <c r="G1174" s="24" t="s">
        <v>299</v>
      </c>
    </row>
    <row r="1175" spans="1:7" ht="30" customHeight="1">
      <c r="A1175" s="26" t="s">
        <v>2876</v>
      </c>
      <c r="B1175" s="26" t="s">
        <v>581</v>
      </c>
      <c r="C1175" s="26" t="s">
        <v>172</v>
      </c>
      <c r="D1175" s="26"/>
      <c r="E1175" s="26">
        <v>0</v>
      </c>
      <c r="F1175" s="29" t="s">
        <v>2877</v>
      </c>
      <c r="G1175" s="26" t="s">
        <v>299</v>
      </c>
    </row>
    <row r="1176" spans="1:7" ht="30" customHeight="1">
      <c r="A1176" s="24" t="s">
        <v>2878</v>
      </c>
      <c r="B1176" s="24" t="s">
        <v>1099</v>
      </c>
      <c r="C1176" s="24" t="s">
        <v>172</v>
      </c>
      <c r="D1176" s="24"/>
      <c r="E1176" s="24">
        <v>0</v>
      </c>
      <c r="F1176" s="28" t="s">
        <v>2879</v>
      </c>
      <c r="G1176" s="24" t="s">
        <v>299</v>
      </c>
    </row>
    <row r="1177" spans="1:7" ht="30" customHeight="1">
      <c r="A1177" s="26" t="s">
        <v>2880</v>
      </c>
      <c r="B1177" s="26" t="s">
        <v>143</v>
      </c>
      <c r="C1177" s="26" t="s">
        <v>172</v>
      </c>
      <c r="D1177" s="26"/>
      <c r="E1177" s="26">
        <v>0</v>
      </c>
      <c r="F1177" s="29" t="s">
        <v>2881</v>
      </c>
      <c r="G1177" s="26" t="s">
        <v>299</v>
      </c>
    </row>
    <row r="1178" spans="1:7" ht="30" customHeight="1">
      <c r="A1178" s="24" t="s">
        <v>2882</v>
      </c>
      <c r="B1178" s="24" t="s">
        <v>539</v>
      </c>
      <c r="C1178" s="24" t="s">
        <v>172</v>
      </c>
      <c r="D1178" s="24"/>
      <c r="E1178" s="24">
        <v>0</v>
      </c>
      <c r="F1178" s="28" t="s">
        <v>2883</v>
      </c>
      <c r="G1178" s="24" t="s">
        <v>299</v>
      </c>
    </row>
    <row r="1179" spans="1:7" ht="30" customHeight="1">
      <c r="A1179" s="26" t="s">
        <v>2884</v>
      </c>
      <c r="B1179" s="26" t="s">
        <v>539</v>
      </c>
      <c r="C1179" s="26" t="s">
        <v>172</v>
      </c>
      <c r="D1179" s="26"/>
      <c r="E1179" s="26">
        <v>0</v>
      </c>
      <c r="F1179" s="29" t="s">
        <v>2885</v>
      </c>
      <c r="G1179" s="26" t="s">
        <v>299</v>
      </c>
    </row>
    <row r="1180" spans="1:7" ht="30" customHeight="1">
      <c r="A1180" s="24" t="s">
        <v>2886</v>
      </c>
      <c r="B1180" s="24" t="s">
        <v>143</v>
      </c>
      <c r="C1180" s="24" t="s">
        <v>182</v>
      </c>
      <c r="D1180" s="24"/>
      <c r="E1180" s="24">
        <v>0</v>
      </c>
      <c r="F1180" s="28" t="s">
        <v>2887</v>
      </c>
      <c r="G1180" s="24" t="s">
        <v>299</v>
      </c>
    </row>
    <row r="1181" spans="1:7" ht="30" customHeight="1">
      <c r="A1181" s="26" t="s">
        <v>2888</v>
      </c>
      <c r="B1181" s="26" t="s">
        <v>143</v>
      </c>
      <c r="C1181" s="26" t="s">
        <v>172</v>
      </c>
      <c r="D1181" s="26"/>
      <c r="E1181" s="26">
        <v>0</v>
      </c>
      <c r="F1181" s="29" t="s">
        <v>2889</v>
      </c>
      <c r="G1181" s="26" t="s">
        <v>299</v>
      </c>
    </row>
    <row r="1182" spans="1:7" ht="30" customHeight="1">
      <c r="A1182" s="24" t="s">
        <v>2890</v>
      </c>
      <c r="B1182" s="24" t="s">
        <v>143</v>
      </c>
      <c r="C1182" s="24" t="s">
        <v>172</v>
      </c>
      <c r="D1182" s="24"/>
      <c r="E1182" s="24">
        <v>0</v>
      </c>
      <c r="F1182" s="28" t="s">
        <v>2891</v>
      </c>
      <c r="G1182" s="24" t="s">
        <v>299</v>
      </c>
    </row>
    <row r="1183" spans="1:7" ht="30" customHeight="1">
      <c r="A1183" s="26" t="s">
        <v>2892</v>
      </c>
      <c r="B1183" s="26" t="s">
        <v>143</v>
      </c>
      <c r="C1183" s="26" t="s">
        <v>182</v>
      </c>
      <c r="D1183" s="26"/>
      <c r="E1183" s="26">
        <v>0</v>
      </c>
      <c r="F1183" s="29" t="s">
        <v>2893</v>
      </c>
      <c r="G1183" s="26" t="s">
        <v>299</v>
      </c>
    </row>
    <row r="1184" spans="1:7" ht="30" customHeight="1">
      <c r="A1184" s="24" t="s">
        <v>2894</v>
      </c>
      <c r="B1184" s="24" t="s">
        <v>143</v>
      </c>
      <c r="C1184" s="24" t="s">
        <v>182</v>
      </c>
      <c r="D1184" s="24"/>
      <c r="E1184" s="24">
        <v>0</v>
      </c>
      <c r="F1184" s="28" t="s">
        <v>2895</v>
      </c>
      <c r="G1184" s="24" t="s">
        <v>299</v>
      </c>
    </row>
    <row r="1185" spans="1:7" ht="30" customHeight="1">
      <c r="A1185" s="26" t="s">
        <v>2896</v>
      </c>
      <c r="B1185" s="26" t="s">
        <v>143</v>
      </c>
      <c r="C1185" s="26" t="s">
        <v>172</v>
      </c>
      <c r="D1185" s="26"/>
      <c r="E1185" s="26">
        <v>0</v>
      </c>
      <c r="F1185" s="29" t="s">
        <v>2897</v>
      </c>
      <c r="G1185" s="26" t="s">
        <v>299</v>
      </c>
    </row>
    <row r="1186" spans="1:7" ht="30" customHeight="1">
      <c r="A1186" s="24" t="s">
        <v>2898</v>
      </c>
      <c r="B1186" s="24" t="s">
        <v>143</v>
      </c>
      <c r="C1186" s="24" t="s">
        <v>172</v>
      </c>
      <c r="D1186" s="24"/>
      <c r="E1186" s="24">
        <v>0</v>
      </c>
      <c r="F1186" s="28" t="s">
        <v>2899</v>
      </c>
      <c r="G1186" s="24" t="s">
        <v>299</v>
      </c>
    </row>
    <row r="1187" spans="1:7" ht="30" customHeight="1">
      <c r="A1187" s="26" t="s">
        <v>2900</v>
      </c>
      <c r="B1187" s="26" t="s">
        <v>1099</v>
      </c>
      <c r="C1187" s="26" t="s">
        <v>172</v>
      </c>
      <c r="D1187" s="26"/>
      <c r="E1187" s="26">
        <v>0</v>
      </c>
      <c r="F1187" s="29" t="s">
        <v>2901</v>
      </c>
      <c r="G1187" s="26" t="s">
        <v>299</v>
      </c>
    </row>
    <row r="1188" spans="1:7" ht="30" customHeight="1">
      <c r="A1188" s="24" t="s">
        <v>2902</v>
      </c>
      <c r="B1188" s="24" t="s">
        <v>143</v>
      </c>
      <c r="C1188" s="24" t="s">
        <v>182</v>
      </c>
      <c r="D1188" s="24"/>
      <c r="E1188" s="24">
        <v>0</v>
      </c>
      <c r="F1188" s="28" t="s">
        <v>2903</v>
      </c>
      <c r="G1188" s="24" t="s">
        <v>299</v>
      </c>
    </row>
    <row r="1189" spans="1:7" ht="30" customHeight="1">
      <c r="A1189" s="26" t="s">
        <v>2904</v>
      </c>
      <c r="B1189" s="26" t="s">
        <v>144</v>
      </c>
      <c r="C1189" s="26" t="s">
        <v>172</v>
      </c>
      <c r="D1189" s="26"/>
      <c r="E1189" s="26">
        <v>0</v>
      </c>
      <c r="F1189" s="29" t="s">
        <v>2905</v>
      </c>
      <c r="G1189" s="26" t="s">
        <v>299</v>
      </c>
    </row>
    <row r="1190" spans="1:7" ht="30" customHeight="1">
      <c r="A1190" s="24" t="s">
        <v>2906</v>
      </c>
      <c r="B1190" s="24" t="s">
        <v>143</v>
      </c>
      <c r="C1190" s="24" t="s">
        <v>172</v>
      </c>
      <c r="D1190" s="24"/>
      <c r="E1190" s="24">
        <v>0</v>
      </c>
      <c r="F1190" s="28" t="s">
        <v>2907</v>
      </c>
      <c r="G1190" s="24" t="s">
        <v>299</v>
      </c>
    </row>
    <row r="1191" spans="1:7" ht="30" customHeight="1">
      <c r="A1191" s="26" t="s">
        <v>2908</v>
      </c>
      <c r="B1191" s="26" t="s">
        <v>144</v>
      </c>
      <c r="C1191" s="26" t="s">
        <v>172</v>
      </c>
      <c r="D1191" s="26"/>
      <c r="E1191" s="26">
        <v>0</v>
      </c>
      <c r="F1191" s="29" t="s">
        <v>2909</v>
      </c>
      <c r="G1191" s="26" t="s">
        <v>299</v>
      </c>
    </row>
    <row r="1192" spans="1:7" ht="30" customHeight="1">
      <c r="A1192" s="24" t="s">
        <v>2910</v>
      </c>
      <c r="B1192" s="24" t="s">
        <v>558</v>
      </c>
      <c r="C1192" s="24" t="s">
        <v>172</v>
      </c>
      <c r="D1192" s="24"/>
      <c r="E1192" s="24">
        <v>0</v>
      </c>
      <c r="F1192" s="28" t="s">
        <v>2911</v>
      </c>
      <c r="G1192" s="24" t="s">
        <v>299</v>
      </c>
    </row>
    <row r="1193" spans="1:7" ht="30" customHeight="1">
      <c r="A1193" s="26" t="s">
        <v>2912</v>
      </c>
      <c r="B1193" s="26" t="s">
        <v>143</v>
      </c>
      <c r="C1193" s="26" t="s">
        <v>172</v>
      </c>
      <c r="D1193" s="26"/>
      <c r="E1193" s="26">
        <v>0</v>
      </c>
      <c r="F1193" s="29" t="s">
        <v>2913</v>
      </c>
      <c r="G1193" s="26" t="s">
        <v>299</v>
      </c>
    </row>
    <row r="1194" spans="1:7" ht="30" customHeight="1">
      <c r="A1194" s="24" t="s">
        <v>2914</v>
      </c>
      <c r="B1194" s="24" t="s">
        <v>144</v>
      </c>
      <c r="C1194" s="24" t="s">
        <v>172</v>
      </c>
      <c r="D1194" s="24"/>
      <c r="E1194" s="24">
        <v>0</v>
      </c>
      <c r="F1194" s="28" t="s">
        <v>2915</v>
      </c>
      <c r="G1194" s="24" t="s">
        <v>299</v>
      </c>
    </row>
    <row r="1195" spans="1:7" ht="30" customHeight="1">
      <c r="A1195" s="26" t="s">
        <v>2916</v>
      </c>
      <c r="B1195" s="26" t="s">
        <v>572</v>
      </c>
      <c r="C1195" s="26" t="s">
        <v>172</v>
      </c>
      <c r="D1195" s="26"/>
      <c r="E1195" s="26">
        <v>0</v>
      </c>
      <c r="F1195" s="29" t="s">
        <v>2917</v>
      </c>
      <c r="G1195" s="26" t="s">
        <v>299</v>
      </c>
    </row>
    <row r="1196" spans="1:7" ht="30" customHeight="1">
      <c r="A1196" s="24" t="s">
        <v>2918</v>
      </c>
      <c r="B1196" s="24" t="s">
        <v>144</v>
      </c>
      <c r="C1196" s="24" t="s">
        <v>172</v>
      </c>
      <c r="D1196" s="24"/>
      <c r="E1196" s="24">
        <v>0</v>
      </c>
      <c r="F1196" s="28" t="s">
        <v>2919</v>
      </c>
      <c r="G1196" s="24" t="s">
        <v>299</v>
      </c>
    </row>
    <row r="1197" spans="1:7" ht="30" customHeight="1">
      <c r="A1197" s="26" t="s">
        <v>2920</v>
      </c>
      <c r="B1197" s="26" t="s">
        <v>144</v>
      </c>
      <c r="C1197" s="26" t="s">
        <v>172</v>
      </c>
      <c r="D1197" s="26"/>
      <c r="E1197" s="26">
        <v>0</v>
      </c>
      <c r="F1197" s="29" t="s">
        <v>2921</v>
      </c>
      <c r="G1197" s="26" t="s">
        <v>299</v>
      </c>
    </row>
    <row r="1198" spans="1:7" ht="30" customHeight="1">
      <c r="A1198" s="24" t="s">
        <v>2922</v>
      </c>
      <c r="B1198" s="24" t="s">
        <v>143</v>
      </c>
      <c r="C1198" s="24" t="s">
        <v>172</v>
      </c>
      <c r="D1198" s="24"/>
      <c r="E1198" s="24">
        <v>0</v>
      </c>
      <c r="F1198" s="28" t="s">
        <v>2923</v>
      </c>
      <c r="G1198" s="24" t="s">
        <v>299</v>
      </c>
    </row>
    <row r="1199" spans="1:7" ht="30" customHeight="1">
      <c r="A1199" s="26" t="s">
        <v>2924</v>
      </c>
      <c r="B1199" s="26" t="s">
        <v>572</v>
      </c>
      <c r="C1199" s="26" t="s">
        <v>172</v>
      </c>
      <c r="D1199" s="26"/>
      <c r="E1199" s="26">
        <v>0</v>
      </c>
      <c r="F1199" s="29" t="s">
        <v>2925</v>
      </c>
      <c r="G1199" s="26" t="s">
        <v>299</v>
      </c>
    </row>
    <row r="1200" spans="1:7" ht="30" customHeight="1">
      <c r="A1200" s="24" t="s">
        <v>2926</v>
      </c>
      <c r="B1200" s="24" t="s">
        <v>144</v>
      </c>
      <c r="C1200" s="24" t="s">
        <v>172</v>
      </c>
      <c r="D1200" s="24"/>
      <c r="E1200" s="24">
        <v>0</v>
      </c>
      <c r="F1200" s="28" t="s">
        <v>2927</v>
      </c>
      <c r="G1200" s="24" t="s">
        <v>299</v>
      </c>
    </row>
    <row r="1201" spans="1:7" ht="30" customHeight="1">
      <c r="A1201" s="26" t="s">
        <v>2928</v>
      </c>
      <c r="B1201" s="26" t="s">
        <v>143</v>
      </c>
      <c r="C1201" s="26" t="s">
        <v>172</v>
      </c>
      <c r="D1201" s="26"/>
      <c r="E1201" s="26">
        <v>0</v>
      </c>
      <c r="F1201" s="29" t="s">
        <v>2929</v>
      </c>
      <c r="G1201" s="26" t="s">
        <v>299</v>
      </c>
    </row>
    <row r="1202" spans="1:7" ht="30" customHeight="1">
      <c r="A1202" s="24" t="s">
        <v>2930</v>
      </c>
      <c r="B1202" s="24" t="s">
        <v>143</v>
      </c>
      <c r="C1202" s="24" t="s">
        <v>172</v>
      </c>
      <c r="D1202" s="24"/>
      <c r="E1202" s="24">
        <v>0</v>
      </c>
      <c r="F1202" s="28" t="s">
        <v>2931</v>
      </c>
      <c r="G1202" s="24" t="s">
        <v>299</v>
      </c>
    </row>
    <row r="1203" spans="1:7" ht="30" customHeight="1">
      <c r="A1203" s="26" t="s">
        <v>2932</v>
      </c>
      <c r="B1203" s="26" t="s">
        <v>539</v>
      </c>
      <c r="C1203" s="26" t="s">
        <v>172</v>
      </c>
      <c r="D1203" s="26"/>
      <c r="E1203" s="26">
        <v>0</v>
      </c>
      <c r="F1203" s="29" t="s">
        <v>2933</v>
      </c>
      <c r="G1203" s="26" t="s">
        <v>299</v>
      </c>
    </row>
    <row r="1204" spans="1:7" ht="30" customHeight="1">
      <c r="A1204" s="24" t="s">
        <v>2934</v>
      </c>
      <c r="B1204" s="24" t="s">
        <v>143</v>
      </c>
      <c r="C1204" s="24" t="s">
        <v>172</v>
      </c>
      <c r="D1204" s="24"/>
      <c r="E1204" s="24">
        <v>0</v>
      </c>
      <c r="F1204" s="28" t="s">
        <v>2935</v>
      </c>
      <c r="G1204" s="24" t="s">
        <v>299</v>
      </c>
    </row>
    <row r="1205" spans="1:7" ht="30" customHeight="1">
      <c r="A1205" s="26" t="s">
        <v>2936</v>
      </c>
      <c r="B1205" s="26" t="s">
        <v>144</v>
      </c>
      <c r="C1205" s="26" t="s">
        <v>172</v>
      </c>
      <c r="D1205" s="26"/>
      <c r="E1205" s="26">
        <v>0</v>
      </c>
      <c r="F1205" s="29" t="s">
        <v>2937</v>
      </c>
      <c r="G1205" s="26" t="s">
        <v>299</v>
      </c>
    </row>
    <row r="1206" spans="1:7" ht="30" customHeight="1">
      <c r="A1206" s="24" t="s">
        <v>2938</v>
      </c>
      <c r="B1206" s="24" t="s">
        <v>144</v>
      </c>
      <c r="C1206" s="24" t="s">
        <v>172</v>
      </c>
      <c r="D1206" s="24"/>
      <c r="E1206" s="24">
        <v>0</v>
      </c>
      <c r="F1206" s="28" t="s">
        <v>2939</v>
      </c>
      <c r="G1206" s="24" t="s">
        <v>299</v>
      </c>
    </row>
    <row r="1207" spans="1:7" ht="30" customHeight="1">
      <c r="A1207" s="26" t="s">
        <v>2940</v>
      </c>
      <c r="B1207" s="26" t="s">
        <v>539</v>
      </c>
      <c r="C1207" s="26" t="s">
        <v>172</v>
      </c>
      <c r="D1207" s="26"/>
      <c r="E1207" s="26">
        <v>0</v>
      </c>
      <c r="F1207" s="29" t="s">
        <v>2941</v>
      </c>
      <c r="G1207" s="26" t="s">
        <v>299</v>
      </c>
    </row>
    <row r="1208" spans="1:7" ht="30" customHeight="1">
      <c r="A1208" s="24" t="s">
        <v>2942</v>
      </c>
      <c r="B1208" s="24" t="s">
        <v>143</v>
      </c>
      <c r="C1208" s="24" t="s">
        <v>172</v>
      </c>
      <c r="D1208" s="24"/>
      <c r="E1208" s="24">
        <v>0</v>
      </c>
      <c r="F1208" s="28" t="s">
        <v>2943</v>
      </c>
      <c r="G1208" s="24" t="s">
        <v>299</v>
      </c>
    </row>
    <row r="1209" spans="1:7" ht="30" customHeight="1">
      <c r="A1209" s="26" t="s">
        <v>2944</v>
      </c>
      <c r="B1209" s="26" t="s">
        <v>144</v>
      </c>
      <c r="C1209" s="26" t="s">
        <v>172</v>
      </c>
      <c r="D1209" s="26"/>
      <c r="E1209" s="26">
        <v>0</v>
      </c>
      <c r="F1209" s="29" t="s">
        <v>2945</v>
      </c>
      <c r="G1209" s="26" t="s">
        <v>299</v>
      </c>
    </row>
    <row r="1210" spans="1:7" ht="30" customHeight="1">
      <c r="A1210" s="24" t="s">
        <v>2946</v>
      </c>
      <c r="B1210" s="24" t="s">
        <v>143</v>
      </c>
      <c r="C1210" s="24" t="s">
        <v>172</v>
      </c>
      <c r="D1210" s="24"/>
      <c r="E1210" s="24">
        <v>0</v>
      </c>
      <c r="F1210" s="28" t="s">
        <v>2947</v>
      </c>
      <c r="G1210" s="24" t="s">
        <v>299</v>
      </c>
    </row>
    <row r="1211" spans="1:7" ht="30" customHeight="1">
      <c r="A1211" s="26" t="s">
        <v>2948</v>
      </c>
      <c r="B1211" s="26" t="s">
        <v>143</v>
      </c>
      <c r="C1211" s="26" t="s">
        <v>182</v>
      </c>
      <c r="D1211" s="26"/>
      <c r="E1211" s="26">
        <v>0</v>
      </c>
      <c r="F1211" s="29" t="s">
        <v>2949</v>
      </c>
      <c r="G1211" s="26" t="s">
        <v>299</v>
      </c>
    </row>
    <row r="1212" spans="1:7" ht="30" customHeight="1">
      <c r="A1212" s="24" t="s">
        <v>2950</v>
      </c>
      <c r="B1212" s="24" t="s">
        <v>144</v>
      </c>
      <c r="C1212" s="24" t="s">
        <v>172</v>
      </c>
      <c r="D1212" s="24"/>
      <c r="E1212" s="24">
        <v>0</v>
      </c>
      <c r="F1212" s="28" t="s">
        <v>2951</v>
      </c>
      <c r="G1212" s="24" t="s">
        <v>299</v>
      </c>
    </row>
    <row r="1213" spans="1:7" ht="30" customHeight="1">
      <c r="A1213" s="26" t="s">
        <v>2952</v>
      </c>
      <c r="B1213" s="26" t="s">
        <v>144</v>
      </c>
      <c r="C1213" s="26" t="s">
        <v>172</v>
      </c>
      <c r="D1213" s="26"/>
      <c r="E1213" s="26">
        <v>0</v>
      </c>
      <c r="F1213" s="29" t="s">
        <v>2953</v>
      </c>
      <c r="G1213" s="26" t="s">
        <v>299</v>
      </c>
    </row>
    <row r="1214" spans="1:7" ht="30" customHeight="1">
      <c r="A1214" s="24" t="s">
        <v>2954</v>
      </c>
      <c r="B1214" s="24" t="s">
        <v>143</v>
      </c>
      <c r="C1214" s="24" t="s">
        <v>172</v>
      </c>
      <c r="D1214" s="24"/>
      <c r="E1214" s="24">
        <v>0</v>
      </c>
      <c r="F1214" s="28" t="s">
        <v>2955</v>
      </c>
      <c r="G1214" s="24" t="s">
        <v>299</v>
      </c>
    </row>
    <row r="1215" spans="1:7" ht="30" customHeight="1">
      <c r="A1215" s="26" t="s">
        <v>2956</v>
      </c>
      <c r="B1215" s="26" t="s">
        <v>144</v>
      </c>
      <c r="C1215" s="26" t="s">
        <v>172</v>
      </c>
      <c r="D1215" s="26"/>
      <c r="E1215" s="26">
        <v>0</v>
      </c>
      <c r="F1215" s="29" t="s">
        <v>2957</v>
      </c>
      <c r="G1215" s="26" t="s">
        <v>299</v>
      </c>
    </row>
    <row r="1216" spans="1:7" ht="30" customHeight="1">
      <c r="A1216" s="24" t="s">
        <v>2958</v>
      </c>
      <c r="B1216" s="24" t="s">
        <v>143</v>
      </c>
      <c r="C1216" s="24" t="s">
        <v>172</v>
      </c>
      <c r="D1216" s="24"/>
      <c r="E1216" s="24">
        <v>0</v>
      </c>
      <c r="F1216" s="28" t="s">
        <v>2959</v>
      </c>
      <c r="G1216" s="24" t="s">
        <v>299</v>
      </c>
    </row>
    <row r="1217" spans="1:7" ht="30" customHeight="1">
      <c r="A1217" s="26" t="s">
        <v>2960</v>
      </c>
      <c r="B1217" s="26" t="s">
        <v>144</v>
      </c>
      <c r="C1217" s="26" t="s">
        <v>172</v>
      </c>
      <c r="D1217" s="26"/>
      <c r="E1217" s="26">
        <v>0</v>
      </c>
      <c r="F1217" s="29" t="s">
        <v>2961</v>
      </c>
      <c r="G1217" s="26" t="s">
        <v>299</v>
      </c>
    </row>
    <row r="1218" spans="1:7" ht="30" customHeight="1">
      <c r="A1218" s="24" t="s">
        <v>2962</v>
      </c>
      <c r="B1218" s="24" t="s">
        <v>143</v>
      </c>
      <c r="C1218" s="24" t="s">
        <v>172</v>
      </c>
      <c r="D1218" s="24"/>
      <c r="E1218" s="24">
        <v>0</v>
      </c>
      <c r="F1218" s="28" t="s">
        <v>2963</v>
      </c>
      <c r="G1218" s="24" t="s">
        <v>299</v>
      </c>
    </row>
    <row r="1219" spans="1:7" ht="30" customHeight="1">
      <c r="A1219" s="26" t="s">
        <v>2964</v>
      </c>
      <c r="B1219" s="26" t="s">
        <v>539</v>
      </c>
      <c r="C1219" s="26" t="s">
        <v>172</v>
      </c>
      <c r="D1219" s="26"/>
      <c r="E1219" s="26">
        <v>0</v>
      </c>
      <c r="F1219" s="29" t="s">
        <v>2965</v>
      </c>
      <c r="G1219" s="26" t="s">
        <v>299</v>
      </c>
    </row>
    <row r="1220" spans="1:7" ht="30" customHeight="1">
      <c r="A1220" s="24" t="s">
        <v>2966</v>
      </c>
      <c r="B1220" s="24" t="s">
        <v>1099</v>
      </c>
      <c r="C1220" s="24" t="s">
        <v>172</v>
      </c>
      <c r="D1220" s="24"/>
      <c r="E1220" s="24">
        <v>0</v>
      </c>
      <c r="F1220" s="28" t="s">
        <v>2967</v>
      </c>
      <c r="G1220" s="24" t="s">
        <v>299</v>
      </c>
    </row>
    <row r="1221" spans="1:7" ht="30" customHeight="1">
      <c r="A1221" s="26" t="s">
        <v>2968</v>
      </c>
      <c r="B1221" s="26" t="s">
        <v>143</v>
      </c>
      <c r="C1221" s="26" t="s">
        <v>172</v>
      </c>
      <c r="D1221" s="26"/>
      <c r="E1221" s="26">
        <v>0</v>
      </c>
      <c r="F1221" s="29" t="s">
        <v>2969</v>
      </c>
      <c r="G1221" s="26" t="s">
        <v>299</v>
      </c>
    </row>
    <row r="1222" spans="1:7" ht="30" customHeight="1">
      <c r="A1222" s="24" t="s">
        <v>2970</v>
      </c>
      <c r="B1222" s="24" t="s">
        <v>143</v>
      </c>
      <c r="C1222" s="24" t="s">
        <v>182</v>
      </c>
      <c r="D1222" s="24"/>
      <c r="E1222" s="24">
        <v>0</v>
      </c>
      <c r="F1222" s="28" t="s">
        <v>2971</v>
      </c>
      <c r="G1222" s="24" t="s">
        <v>299</v>
      </c>
    </row>
    <row r="1223" spans="1:7" ht="30" customHeight="1">
      <c r="A1223" s="26" t="s">
        <v>2972</v>
      </c>
      <c r="B1223" s="26" t="s">
        <v>572</v>
      </c>
      <c r="C1223" s="26" t="s">
        <v>172</v>
      </c>
      <c r="D1223" s="26"/>
      <c r="E1223" s="26">
        <v>0</v>
      </c>
      <c r="F1223" s="29" t="s">
        <v>2973</v>
      </c>
      <c r="G1223" s="26" t="s">
        <v>299</v>
      </c>
    </row>
    <row r="1224" spans="1:7" ht="30" customHeight="1">
      <c r="A1224" s="24" t="s">
        <v>2974</v>
      </c>
      <c r="B1224" s="24" t="s">
        <v>581</v>
      </c>
      <c r="C1224" s="24" t="s">
        <v>172</v>
      </c>
      <c r="D1224" s="24"/>
      <c r="E1224" s="24">
        <v>0</v>
      </c>
      <c r="F1224" s="28" t="s">
        <v>2975</v>
      </c>
      <c r="G1224" s="24" t="s">
        <v>299</v>
      </c>
    </row>
    <row r="1225" spans="1:7" ht="30" customHeight="1">
      <c r="A1225" s="26" t="s">
        <v>2976</v>
      </c>
      <c r="B1225" s="26" t="s">
        <v>143</v>
      </c>
      <c r="C1225" s="26" t="s">
        <v>172</v>
      </c>
      <c r="D1225" s="26"/>
      <c r="E1225" s="26">
        <v>0</v>
      </c>
      <c r="F1225" s="29" t="s">
        <v>2977</v>
      </c>
      <c r="G1225" s="26" t="s">
        <v>299</v>
      </c>
    </row>
    <row r="1226" spans="1:7" ht="30" customHeight="1">
      <c r="A1226" s="24" t="s">
        <v>2978</v>
      </c>
      <c r="B1226" s="24" t="s">
        <v>143</v>
      </c>
      <c r="C1226" s="24" t="s">
        <v>172</v>
      </c>
      <c r="D1226" s="24"/>
      <c r="E1226" s="24">
        <v>0</v>
      </c>
      <c r="F1226" s="28" t="s">
        <v>2979</v>
      </c>
      <c r="G1226" s="24" t="s">
        <v>299</v>
      </c>
    </row>
    <row r="1227" spans="1:7" ht="30" customHeight="1">
      <c r="A1227" s="26" t="s">
        <v>2980</v>
      </c>
      <c r="B1227" s="26" t="s">
        <v>572</v>
      </c>
      <c r="C1227" s="26" t="s">
        <v>172</v>
      </c>
      <c r="D1227" s="26"/>
      <c r="E1227" s="26">
        <v>0</v>
      </c>
      <c r="F1227" s="29" t="s">
        <v>2981</v>
      </c>
      <c r="G1227" s="26" t="s">
        <v>299</v>
      </c>
    </row>
    <row r="1228" spans="1:7" ht="30" customHeight="1">
      <c r="A1228" s="24" t="s">
        <v>2982</v>
      </c>
      <c r="B1228" s="24" t="s">
        <v>143</v>
      </c>
      <c r="C1228" s="24" t="s">
        <v>172</v>
      </c>
      <c r="D1228" s="24"/>
      <c r="E1228" s="24">
        <v>0</v>
      </c>
      <c r="F1228" s="28" t="s">
        <v>2983</v>
      </c>
      <c r="G1228" s="24" t="s">
        <v>299</v>
      </c>
    </row>
    <row r="1229" spans="1:7" ht="30" customHeight="1">
      <c r="A1229" s="26" t="s">
        <v>2984</v>
      </c>
      <c r="B1229" s="26" t="s">
        <v>144</v>
      </c>
      <c r="C1229" s="26" t="s">
        <v>172</v>
      </c>
      <c r="D1229" s="26"/>
      <c r="E1229" s="26">
        <v>0</v>
      </c>
      <c r="F1229" s="29" t="s">
        <v>2985</v>
      </c>
      <c r="G1229" s="26" t="s">
        <v>299</v>
      </c>
    </row>
    <row r="1230" spans="1:7" ht="30" customHeight="1">
      <c r="A1230" s="24" t="s">
        <v>2986</v>
      </c>
      <c r="B1230" s="24" t="s">
        <v>143</v>
      </c>
      <c r="C1230" s="24" t="s">
        <v>172</v>
      </c>
      <c r="D1230" s="24"/>
      <c r="E1230" s="24">
        <v>0</v>
      </c>
      <c r="F1230" s="28" t="s">
        <v>2987</v>
      </c>
      <c r="G1230" s="24" t="s">
        <v>299</v>
      </c>
    </row>
    <row r="1231" spans="1:7" ht="30" customHeight="1">
      <c r="A1231" s="26" t="s">
        <v>2988</v>
      </c>
      <c r="B1231" s="26" t="s">
        <v>143</v>
      </c>
      <c r="C1231" s="26" t="s">
        <v>172</v>
      </c>
      <c r="D1231" s="26"/>
      <c r="E1231" s="26">
        <v>0</v>
      </c>
      <c r="F1231" s="29" t="s">
        <v>2989</v>
      </c>
      <c r="G1231" s="26" t="s">
        <v>299</v>
      </c>
    </row>
    <row r="1232" spans="1:7" ht="30" customHeight="1">
      <c r="A1232" s="24" t="s">
        <v>2990</v>
      </c>
      <c r="B1232" s="24" t="s">
        <v>143</v>
      </c>
      <c r="C1232" s="24" t="s">
        <v>172</v>
      </c>
      <c r="D1232" s="24"/>
      <c r="E1232" s="24">
        <v>0</v>
      </c>
      <c r="F1232" s="28" t="s">
        <v>2991</v>
      </c>
      <c r="G1232" s="24" t="s">
        <v>299</v>
      </c>
    </row>
    <row r="1233" spans="1:7" ht="30" customHeight="1">
      <c r="A1233" s="26" t="s">
        <v>2992</v>
      </c>
      <c r="B1233" s="26" t="s">
        <v>143</v>
      </c>
      <c r="C1233" s="26" t="s">
        <v>172</v>
      </c>
      <c r="D1233" s="26"/>
      <c r="E1233" s="26">
        <v>0</v>
      </c>
      <c r="F1233" s="29" t="s">
        <v>2993</v>
      </c>
      <c r="G1233" s="26" t="s">
        <v>299</v>
      </c>
    </row>
    <row r="1234" spans="1:7" ht="30" customHeight="1">
      <c r="A1234" s="24" t="s">
        <v>2994</v>
      </c>
      <c r="B1234" s="24" t="s">
        <v>143</v>
      </c>
      <c r="C1234" s="24" t="s">
        <v>182</v>
      </c>
      <c r="D1234" s="24"/>
      <c r="E1234" s="24">
        <v>0</v>
      </c>
      <c r="F1234" s="28" t="s">
        <v>2995</v>
      </c>
      <c r="G1234" s="24" t="s">
        <v>299</v>
      </c>
    </row>
    <row r="1235" spans="1:7" ht="30" customHeight="1">
      <c r="A1235" s="26" t="s">
        <v>2996</v>
      </c>
      <c r="B1235" s="26" t="s">
        <v>143</v>
      </c>
      <c r="C1235" s="26" t="s">
        <v>172</v>
      </c>
      <c r="D1235" s="26"/>
      <c r="E1235" s="26">
        <v>0</v>
      </c>
      <c r="F1235" s="29" t="s">
        <v>2997</v>
      </c>
      <c r="G1235" s="26" t="s">
        <v>299</v>
      </c>
    </row>
    <row r="1236" spans="1:7" ht="30" customHeight="1">
      <c r="A1236" s="24" t="s">
        <v>2998</v>
      </c>
      <c r="B1236" s="24" t="s">
        <v>143</v>
      </c>
      <c r="C1236" s="24" t="s">
        <v>182</v>
      </c>
      <c r="D1236" s="24"/>
      <c r="E1236" s="24">
        <v>0</v>
      </c>
      <c r="F1236" s="28" t="s">
        <v>2999</v>
      </c>
      <c r="G1236" s="24" t="s">
        <v>299</v>
      </c>
    </row>
    <row r="1237" spans="1:7" ht="30" customHeight="1">
      <c r="A1237" s="26" t="s">
        <v>3000</v>
      </c>
      <c r="B1237" s="26" t="s">
        <v>1099</v>
      </c>
      <c r="C1237" s="26" t="s">
        <v>172</v>
      </c>
      <c r="D1237" s="26"/>
      <c r="E1237" s="26">
        <v>0</v>
      </c>
      <c r="F1237" s="29" t="s">
        <v>3001</v>
      </c>
      <c r="G1237" s="26" t="s">
        <v>299</v>
      </c>
    </row>
    <row r="1238" spans="1:7" ht="30" customHeight="1">
      <c r="A1238" s="24" t="s">
        <v>3002</v>
      </c>
      <c r="B1238" s="24" t="s">
        <v>1099</v>
      </c>
      <c r="C1238" s="24" t="s">
        <v>172</v>
      </c>
      <c r="D1238" s="24"/>
      <c r="E1238" s="24">
        <v>0</v>
      </c>
      <c r="F1238" s="28" t="s">
        <v>3003</v>
      </c>
      <c r="G1238" s="24" t="s">
        <v>299</v>
      </c>
    </row>
    <row r="1239" spans="1:7" ht="30" customHeight="1">
      <c r="A1239" s="26" t="s">
        <v>3004</v>
      </c>
      <c r="B1239" s="26" t="s">
        <v>143</v>
      </c>
      <c r="C1239" s="26" t="s">
        <v>172</v>
      </c>
      <c r="D1239" s="26"/>
      <c r="E1239" s="26">
        <v>0</v>
      </c>
      <c r="F1239" s="29" t="s">
        <v>3005</v>
      </c>
      <c r="G1239" s="26" t="s">
        <v>299</v>
      </c>
    </row>
    <row r="1240" spans="1:7" ht="30" customHeight="1">
      <c r="A1240" s="24" t="s">
        <v>3006</v>
      </c>
      <c r="B1240" s="24" t="s">
        <v>143</v>
      </c>
      <c r="C1240" s="24" t="s">
        <v>172</v>
      </c>
      <c r="D1240" s="24"/>
      <c r="E1240" s="24">
        <v>0</v>
      </c>
      <c r="F1240" s="28" t="s">
        <v>3007</v>
      </c>
      <c r="G1240" s="24" t="s">
        <v>299</v>
      </c>
    </row>
    <row r="1241" spans="1:7" ht="30" customHeight="1">
      <c r="A1241" s="26" t="s">
        <v>3008</v>
      </c>
      <c r="B1241" s="26" t="s">
        <v>581</v>
      </c>
      <c r="C1241" s="26" t="s">
        <v>172</v>
      </c>
      <c r="D1241" s="26"/>
      <c r="E1241" s="26">
        <v>0</v>
      </c>
      <c r="F1241" s="29" t="s">
        <v>3009</v>
      </c>
      <c r="G1241" s="26" t="s">
        <v>299</v>
      </c>
    </row>
    <row r="1242" spans="1:7" ht="30" customHeight="1">
      <c r="A1242" s="24" t="s">
        <v>3010</v>
      </c>
      <c r="B1242" s="24" t="s">
        <v>581</v>
      </c>
      <c r="C1242" s="24" t="s">
        <v>172</v>
      </c>
      <c r="D1242" s="24"/>
      <c r="E1242" s="24">
        <v>0</v>
      </c>
      <c r="F1242" s="28" t="s">
        <v>3011</v>
      </c>
      <c r="G1242" s="24" t="s">
        <v>299</v>
      </c>
    </row>
    <row r="1243" spans="1:7" ht="30" customHeight="1">
      <c r="A1243" s="26" t="s">
        <v>3012</v>
      </c>
      <c r="B1243" s="26" t="s">
        <v>143</v>
      </c>
      <c r="C1243" s="26" t="s">
        <v>172</v>
      </c>
      <c r="D1243" s="26"/>
      <c r="E1243" s="26">
        <v>0</v>
      </c>
      <c r="F1243" s="29" t="s">
        <v>3013</v>
      </c>
      <c r="G1243" s="26" t="s">
        <v>299</v>
      </c>
    </row>
    <row r="1244" spans="1:7" ht="30" customHeight="1">
      <c r="A1244" s="24" t="s">
        <v>3014</v>
      </c>
      <c r="B1244" s="24" t="s">
        <v>539</v>
      </c>
      <c r="C1244" s="24" t="s">
        <v>172</v>
      </c>
      <c r="D1244" s="24"/>
      <c r="E1244" s="24">
        <v>0</v>
      </c>
      <c r="F1244" s="28" t="s">
        <v>3015</v>
      </c>
      <c r="G1244" s="24" t="s">
        <v>299</v>
      </c>
    </row>
    <row r="1245" spans="1:7" ht="30" customHeight="1">
      <c r="A1245" s="26" t="s">
        <v>3016</v>
      </c>
      <c r="B1245" s="26" t="s">
        <v>1396</v>
      </c>
      <c r="C1245" s="26" t="s">
        <v>172</v>
      </c>
      <c r="D1245" s="26"/>
      <c r="E1245" s="26">
        <v>0</v>
      </c>
      <c r="F1245" s="29" t="s">
        <v>3017</v>
      </c>
      <c r="G1245" s="26" t="s">
        <v>299</v>
      </c>
    </row>
    <row r="1246" spans="1:7" ht="30" customHeight="1">
      <c r="A1246" s="24" t="s">
        <v>3018</v>
      </c>
      <c r="B1246" s="24" t="s">
        <v>143</v>
      </c>
      <c r="C1246" s="24" t="s">
        <v>172</v>
      </c>
      <c r="D1246" s="24"/>
      <c r="E1246" s="24">
        <v>0</v>
      </c>
      <c r="F1246" s="28" t="s">
        <v>3019</v>
      </c>
      <c r="G1246" s="24" t="s">
        <v>299</v>
      </c>
    </row>
    <row r="1247" spans="1:7" ht="30" customHeight="1">
      <c r="A1247" s="26" t="s">
        <v>3020</v>
      </c>
      <c r="B1247" s="26" t="s">
        <v>143</v>
      </c>
      <c r="C1247" s="26" t="s">
        <v>172</v>
      </c>
      <c r="D1247" s="26"/>
      <c r="E1247" s="26">
        <v>0</v>
      </c>
      <c r="F1247" s="29" t="s">
        <v>3021</v>
      </c>
      <c r="G1247" s="26" t="s">
        <v>299</v>
      </c>
    </row>
    <row r="1248" spans="1:7" ht="30" customHeight="1">
      <c r="A1248" s="24" t="s">
        <v>3022</v>
      </c>
      <c r="B1248" s="24" t="s">
        <v>143</v>
      </c>
      <c r="C1248" s="24" t="s">
        <v>182</v>
      </c>
      <c r="D1248" s="24"/>
      <c r="E1248" s="24">
        <v>0</v>
      </c>
      <c r="F1248" s="28" t="s">
        <v>3023</v>
      </c>
      <c r="G1248" s="24" t="s">
        <v>299</v>
      </c>
    </row>
    <row r="1249" spans="1:7" ht="30" customHeight="1">
      <c r="A1249" s="26" t="s">
        <v>3024</v>
      </c>
      <c r="B1249" s="26" t="s">
        <v>143</v>
      </c>
      <c r="C1249" s="26" t="s">
        <v>182</v>
      </c>
      <c r="D1249" s="26"/>
      <c r="E1249" s="26">
        <v>0</v>
      </c>
      <c r="F1249" s="29" t="s">
        <v>3025</v>
      </c>
      <c r="G1249" s="26" t="s">
        <v>299</v>
      </c>
    </row>
    <row r="1250" spans="1:7" ht="30" customHeight="1">
      <c r="A1250" s="24" t="s">
        <v>3026</v>
      </c>
      <c r="B1250" s="24" t="s">
        <v>1099</v>
      </c>
      <c r="C1250" s="24" t="s">
        <v>172</v>
      </c>
      <c r="D1250" s="24"/>
      <c r="E1250" s="24">
        <v>0</v>
      </c>
      <c r="F1250" s="28" t="s">
        <v>3027</v>
      </c>
      <c r="G1250" s="24" t="s">
        <v>299</v>
      </c>
    </row>
    <row r="1251" spans="1:7" ht="30" customHeight="1">
      <c r="A1251" s="26" t="s">
        <v>3028</v>
      </c>
      <c r="B1251" s="26" t="s">
        <v>143</v>
      </c>
      <c r="C1251" s="26" t="s">
        <v>172</v>
      </c>
      <c r="D1251" s="26"/>
      <c r="E1251" s="26">
        <v>0</v>
      </c>
      <c r="F1251" s="29" t="s">
        <v>3029</v>
      </c>
      <c r="G1251" s="26" t="s">
        <v>299</v>
      </c>
    </row>
    <row r="1252" spans="1:7" ht="30" customHeight="1">
      <c r="A1252" s="24" t="s">
        <v>3030</v>
      </c>
      <c r="B1252" s="24" t="s">
        <v>1099</v>
      </c>
      <c r="C1252" s="24" t="s">
        <v>172</v>
      </c>
      <c r="D1252" s="24"/>
      <c r="E1252" s="24">
        <v>0</v>
      </c>
      <c r="F1252" s="28" t="s">
        <v>3031</v>
      </c>
      <c r="G1252" s="24" t="s">
        <v>299</v>
      </c>
    </row>
    <row r="1253" spans="1:7" ht="30" customHeight="1">
      <c r="A1253" s="26" t="s">
        <v>3032</v>
      </c>
      <c r="B1253" s="26" t="s">
        <v>143</v>
      </c>
      <c r="C1253" s="26" t="s">
        <v>172</v>
      </c>
      <c r="D1253" s="26"/>
      <c r="E1253" s="26">
        <v>0</v>
      </c>
      <c r="F1253" s="29" t="s">
        <v>3033</v>
      </c>
      <c r="G1253" s="26" t="s">
        <v>299</v>
      </c>
    </row>
    <row r="1254" spans="1:7" ht="30" customHeight="1">
      <c r="A1254" s="24" t="s">
        <v>3034</v>
      </c>
      <c r="B1254" s="24" t="s">
        <v>144</v>
      </c>
      <c r="C1254" s="24" t="s">
        <v>172</v>
      </c>
      <c r="D1254" s="24"/>
      <c r="E1254" s="24">
        <v>0</v>
      </c>
      <c r="F1254" s="28" t="s">
        <v>3035</v>
      </c>
      <c r="G1254" s="24" t="s">
        <v>299</v>
      </c>
    </row>
    <row r="1255" spans="1:7" ht="30" customHeight="1">
      <c r="A1255" s="26" t="s">
        <v>3036</v>
      </c>
      <c r="B1255" s="26" t="s">
        <v>143</v>
      </c>
      <c r="C1255" s="26" t="s">
        <v>172</v>
      </c>
      <c r="D1255" s="26"/>
      <c r="E1255" s="26">
        <v>0</v>
      </c>
      <c r="F1255" s="29" t="s">
        <v>3037</v>
      </c>
      <c r="G1255" s="26" t="s">
        <v>299</v>
      </c>
    </row>
    <row r="1256" spans="1:7" ht="30" customHeight="1">
      <c r="A1256" s="24" t="s">
        <v>3038</v>
      </c>
      <c r="B1256" s="24" t="s">
        <v>143</v>
      </c>
      <c r="C1256" s="24" t="s">
        <v>172</v>
      </c>
      <c r="D1256" s="24"/>
      <c r="E1256" s="24">
        <v>0</v>
      </c>
      <c r="F1256" s="28" t="s">
        <v>3039</v>
      </c>
      <c r="G1256" s="24" t="s">
        <v>299</v>
      </c>
    </row>
    <row r="1257" spans="1:7" ht="30" customHeight="1">
      <c r="A1257" s="26" t="s">
        <v>3040</v>
      </c>
      <c r="B1257" s="26" t="s">
        <v>143</v>
      </c>
      <c r="C1257" s="26" t="s">
        <v>172</v>
      </c>
      <c r="D1257" s="26"/>
      <c r="E1257" s="26">
        <v>0</v>
      </c>
      <c r="F1257" s="29" t="s">
        <v>3041</v>
      </c>
      <c r="G1257" s="26" t="s">
        <v>299</v>
      </c>
    </row>
    <row r="1258" spans="1:7" ht="30" customHeight="1">
      <c r="A1258" s="24" t="s">
        <v>3042</v>
      </c>
      <c r="B1258" s="24" t="s">
        <v>143</v>
      </c>
      <c r="C1258" s="24" t="s">
        <v>172</v>
      </c>
      <c r="D1258" s="24"/>
      <c r="E1258" s="24">
        <v>0</v>
      </c>
      <c r="F1258" s="28" t="s">
        <v>3043</v>
      </c>
      <c r="G1258" s="24" t="s">
        <v>299</v>
      </c>
    </row>
    <row r="1259" spans="1:7" ht="30" customHeight="1">
      <c r="A1259" s="26" t="s">
        <v>3044</v>
      </c>
      <c r="B1259" s="26" t="s">
        <v>581</v>
      </c>
      <c r="C1259" s="26" t="s">
        <v>172</v>
      </c>
      <c r="D1259" s="26"/>
      <c r="E1259" s="26">
        <v>0</v>
      </c>
      <c r="F1259" s="29" t="s">
        <v>3045</v>
      </c>
      <c r="G1259" s="26" t="s">
        <v>299</v>
      </c>
    </row>
    <row r="1260" spans="1:7" ht="30" customHeight="1">
      <c r="A1260" s="24" t="s">
        <v>3046</v>
      </c>
      <c r="B1260" s="24" t="s">
        <v>144</v>
      </c>
      <c r="C1260" s="24" t="s">
        <v>182</v>
      </c>
      <c r="D1260" s="24"/>
      <c r="E1260" s="24">
        <v>0</v>
      </c>
      <c r="F1260" s="28" t="s">
        <v>3047</v>
      </c>
      <c r="G1260" s="24" t="s">
        <v>299</v>
      </c>
    </row>
    <row r="1261" spans="1:7" ht="30" customHeight="1">
      <c r="A1261" s="26" t="s">
        <v>3048</v>
      </c>
      <c r="B1261" s="26" t="s">
        <v>143</v>
      </c>
      <c r="C1261" s="26" t="s">
        <v>172</v>
      </c>
      <c r="D1261" s="26"/>
      <c r="E1261" s="26">
        <v>0</v>
      </c>
      <c r="F1261" s="29" t="s">
        <v>3049</v>
      </c>
      <c r="G1261" s="26" t="s">
        <v>299</v>
      </c>
    </row>
    <row r="1262" spans="1:7" ht="30" customHeight="1">
      <c r="A1262" s="24" t="s">
        <v>3050</v>
      </c>
      <c r="B1262" s="24" t="s">
        <v>569</v>
      </c>
      <c r="C1262" s="24" t="s">
        <v>172</v>
      </c>
      <c r="D1262" s="24"/>
      <c r="E1262" s="24">
        <v>0</v>
      </c>
      <c r="F1262" s="28" t="s">
        <v>3051</v>
      </c>
      <c r="G1262" s="24" t="s">
        <v>299</v>
      </c>
    </row>
    <row r="1263" spans="1:7" ht="30" customHeight="1">
      <c r="A1263" s="26" t="s">
        <v>3052</v>
      </c>
      <c r="B1263" s="26" t="s">
        <v>143</v>
      </c>
      <c r="C1263" s="26" t="s">
        <v>172</v>
      </c>
      <c r="D1263" s="26"/>
      <c r="E1263" s="26">
        <v>0</v>
      </c>
      <c r="F1263" s="29" t="s">
        <v>3053</v>
      </c>
      <c r="G1263" s="26" t="s">
        <v>299</v>
      </c>
    </row>
    <row r="1264" spans="1:7" ht="30" customHeight="1">
      <c r="A1264" s="24" t="s">
        <v>3054</v>
      </c>
      <c r="B1264" s="24" t="s">
        <v>144</v>
      </c>
      <c r="C1264" s="24" t="s">
        <v>172</v>
      </c>
      <c r="D1264" s="24"/>
      <c r="E1264" s="24">
        <v>0</v>
      </c>
      <c r="F1264" s="28" t="s">
        <v>3055</v>
      </c>
      <c r="G1264" s="24" t="s">
        <v>299</v>
      </c>
    </row>
    <row r="1265" spans="1:7" ht="30" customHeight="1">
      <c r="A1265" s="26" t="s">
        <v>3056</v>
      </c>
      <c r="B1265" s="26" t="s">
        <v>143</v>
      </c>
      <c r="C1265" s="26" t="s">
        <v>172</v>
      </c>
      <c r="D1265" s="26"/>
      <c r="E1265" s="26">
        <v>0</v>
      </c>
      <c r="F1265" s="29" t="s">
        <v>3057</v>
      </c>
      <c r="G1265" s="26" t="s">
        <v>299</v>
      </c>
    </row>
    <row r="1266" spans="1:7" ht="30" customHeight="1">
      <c r="A1266" s="24" t="s">
        <v>3058</v>
      </c>
      <c r="B1266" s="24" t="s">
        <v>558</v>
      </c>
      <c r="C1266" s="24" t="s">
        <v>172</v>
      </c>
      <c r="D1266" s="24"/>
      <c r="E1266" s="24">
        <v>0</v>
      </c>
      <c r="F1266" s="28" t="s">
        <v>3059</v>
      </c>
      <c r="G1266" s="24" t="s">
        <v>299</v>
      </c>
    </row>
    <row r="1267" spans="1:7" ht="30" customHeight="1">
      <c r="A1267" s="26" t="s">
        <v>3060</v>
      </c>
      <c r="B1267" s="26" t="s">
        <v>143</v>
      </c>
      <c r="C1267" s="26" t="s">
        <v>172</v>
      </c>
      <c r="D1267" s="26"/>
      <c r="E1267" s="26">
        <v>0</v>
      </c>
      <c r="F1267" s="29" t="s">
        <v>3061</v>
      </c>
      <c r="G1267" s="26" t="s">
        <v>299</v>
      </c>
    </row>
    <row r="1268" spans="1:7" ht="30" customHeight="1">
      <c r="A1268" s="24" t="s">
        <v>3062</v>
      </c>
      <c r="B1268" s="24" t="s">
        <v>572</v>
      </c>
      <c r="C1268" s="24" t="s">
        <v>172</v>
      </c>
      <c r="D1268" s="24"/>
      <c r="E1268" s="24">
        <v>0</v>
      </c>
      <c r="F1268" s="28" t="s">
        <v>3063</v>
      </c>
      <c r="G1268" s="24" t="s">
        <v>299</v>
      </c>
    </row>
    <row r="1269" spans="1:7" ht="30" customHeight="1">
      <c r="A1269" s="26" t="s">
        <v>3064</v>
      </c>
      <c r="B1269" s="26" t="s">
        <v>1099</v>
      </c>
      <c r="C1269" s="26" t="s">
        <v>172</v>
      </c>
      <c r="D1269" s="26"/>
      <c r="E1269" s="26">
        <v>0</v>
      </c>
      <c r="F1269" s="29" t="s">
        <v>3065</v>
      </c>
      <c r="G1269" s="26" t="s">
        <v>299</v>
      </c>
    </row>
    <row r="1270" spans="1:7" ht="30" customHeight="1">
      <c r="A1270" s="24" t="s">
        <v>3066</v>
      </c>
      <c r="B1270" s="24" t="s">
        <v>143</v>
      </c>
      <c r="C1270" s="24" t="s">
        <v>172</v>
      </c>
      <c r="D1270" s="24"/>
      <c r="E1270" s="24">
        <v>0</v>
      </c>
      <c r="F1270" s="28" t="s">
        <v>3067</v>
      </c>
      <c r="G1270" s="24" t="s">
        <v>299</v>
      </c>
    </row>
    <row r="1271" spans="1:7" ht="30" customHeight="1">
      <c r="A1271" s="26" t="s">
        <v>3068</v>
      </c>
      <c r="B1271" s="26" t="s">
        <v>539</v>
      </c>
      <c r="C1271" s="26" t="s">
        <v>172</v>
      </c>
      <c r="D1271" s="26"/>
      <c r="E1271" s="26">
        <v>0</v>
      </c>
      <c r="F1271" s="29" t="s">
        <v>3069</v>
      </c>
      <c r="G1271" s="26" t="s">
        <v>299</v>
      </c>
    </row>
    <row r="1272" spans="1:7" ht="30" customHeight="1">
      <c r="A1272" s="24" t="s">
        <v>3070</v>
      </c>
      <c r="B1272" s="24" t="s">
        <v>143</v>
      </c>
      <c r="C1272" s="24" t="s">
        <v>172</v>
      </c>
      <c r="D1272" s="24"/>
      <c r="E1272" s="24">
        <v>0</v>
      </c>
      <c r="F1272" s="28" t="s">
        <v>3071</v>
      </c>
      <c r="G1272" s="24" t="s">
        <v>299</v>
      </c>
    </row>
    <row r="1273" spans="1:7" ht="30" customHeight="1">
      <c r="A1273" s="26" t="s">
        <v>3072</v>
      </c>
      <c r="B1273" s="26" t="s">
        <v>1099</v>
      </c>
      <c r="C1273" s="26" t="s">
        <v>172</v>
      </c>
      <c r="D1273" s="26"/>
      <c r="E1273" s="26">
        <v>0</v>
      </c>
      <c r="F1273" s="29" t="s">
        <v>3073</v>
      </c>
      <c r="G1273" s="26" t="s">
        <v>299</v>
      </c>
    </row>
    <row r="1274" spans="1:7" ht="30" customHeight="1">
      <c r="A1274" s="24" t="s">
        <v>3074</v>
      </c>
      <c r="B1274" s="24" t="s">
        <v>143</v>
      </c>
      <c r="C1274" s="24" t="s">
        <v>172</v>
      </c>
      <c r="D1274" s="24"/>
      <c r="E1274" s="24">
        <v>0</v>
      </c>
      <c r="F1274" s="28" t="s">
        <v>3075</v>
      </c>
      <c r="G1274" s="24" t="s">
        <v>299</v>
      </c>
    </row>
    <row r="1275" spans="1:7" ht="30" customHeight="1">
      <c r="A1275" s="26" t="s">
        <v>3076</v>
      </c>
      <c r="B1275" s="26" t="s">
        <v>143</v>
      </c>
      <c r="C1275" s="26" t="s">
        <v>172</v>
      </c>
      <c r="D1275" s="26"/>
      <c r="E1275" s="26">
        <v>0</v>
      </c>
      <c r="F1275" s="29" t="s">
        <v>3077</v>
      </c>
      <c r="G1275" s="26" t="s">
        <v>299</v>
      </c>
    </row>
    <row r="1276" spans="1:7" ht="30" customHeight="1">
      <c r="A1276" s="24" t="s">
        <v>3078</v>
      </c>
      <c r="B1276" s="24" t="s">
        <v>143</v>
      </c>
      <c r="C1276" s="24" t="s">
        <v>172</v>
      </c>
      <c r="D1276" s="24"/>
      <c r="E1276" s="24">
        <v>0</v>
      </c>
      <c r="F1276" s="28" t="s">
        <v>3079</v>
      </c>
      <c r="G1276" s="24" t="s">
        <v>299</v>
      </c>
    </row>
    <row r="1277" spans="1:7" ht="30" customHeight="1">
      <c r="A1277" s="26" t="s">
        <v>3080</v>
      </c>
      <c r="B1277" s="26" t="s">
        <v>143</v>
      </c>
      <c r="C1277" s="26" t="s">
        <v>172</v>
      </c>
      <c r="D1277" s="26"/>
      <c r="E1277" s="26">
        <v>0</v>
      </c>
      <c r="F1277" s="29" t="s">
        <v>3081</v>
      </c>
      <c r="G1277" s="26" t="s">
        <v>299</v>
      </c>
    </row>
    <row r="1278" spans="1:7" ht="30" customHeight="1">
      <c r="A1278" s="24" t="s">
        <v>3082</v>
      </c>
      <c r="B1278" s="24" t="s">
        <v>572</v>
      </c>
      <c r="C1278" s="24" t="s">
        <v>172</v>
      </c>
      <c r="D1278" s="24"/>
      <c r="E1278" s="24">
        <v>0</v>
      </c>
      <c r="F1278" s="28" t="s">
        <v>3083</v>
      </c>
      <c r="G1278" s="24" t="s">
        <v>299</v>
      </c>
    </row>
    <row r="1279" spans="1:7" ht="30" customHeight="1">
      <c r="A1279" s="26" t="s">
        <v>3084</v>
      </c>
      <c r="B1279" s="26" t="s">
        <v>143</v>
      </c>
      <c r="C1279" s="26" t="s">
        <v>172</v>
      </c>
      <c r="D1279" s="26"/>
      <c r="E1279" s="26">
        <v>0</v>
      </c>
      <c r="F1279" s="29" t="s">
        <v>3085</v>
      </c>
      <c r="G1279" s="26" t="s">
        <v>299</v>
      </c>
    </row>
    <row r="1280" spans="1:7" ht="30" customHeight="1">
      <c r="A1280" s="24" t="s">
        <v>3086</v>
      </c>
      <c r="B1280" s="24" t="s">
        <v>581</v>
      </c>
      <c r="C1280" s="24" t="s">
        <v>172</v>
      </c>
      <c r="D1280" s="24"/>
      <c r="E1280" s="24">
        <v>0</v>
      </c>
      <c r="F1280" s="28" t="s">
        <v>3087</v>
      </c>
      <c r="G1280" s="24" t="s">
        <v>299</v>
      </c>
    </row>
    <row r="1281" spans="1:7" ht="30" customHeight="1">
      <c r="A1281" s="26" t="s">
        <v>3088</v>
      </c>
      <c r="B1281" s="26" t="s">
        <v>143</v>
      </c>
      <c r="C1281" s="26" t="s">
        <v>172</v>
      </c>
      <c r="D1281" s="26"/>
      <c r="E1281" s="26">
        <v>0</v>
      </c>
      <c r="F1281" s="29" t="s">
        <v>3089</v>
      </c>
      <c r="G1281" s="26" t="s">
        <v>299</v>
      </c>
    </row>
    <row r="1282" spans="1:7" ht="30" customHeight="1">
      <c r="A1282" s="24" t="s">
        <v>3090</v>
      </c>
      <c r="B1282" s="24" t="s">
        <v>143</v>
      </c>
      <c r="C1282" s="24" t="s">
        <v>172</v>
      </c>
      <c r="D1282" s="24"/>
      <c r="E1282" s="24">
        <v>0</v>
      </c>
      <c r="F1282" s="28" t="s">
        <v>3091</v>
      </c>
      <c r="G1282" s="24" t="s">
        <v>299</v>
      </c>
    </row>
    <row r="1283" spans="1:7" ht="30" customHeight="1">
      <c r="A1283" s="26" t="s">
        <v>3092</v>
      </c>
      <c r="B1283" s="26" t="s">
        <v>143</v>
      </c>
      <c r="C1283" s="26" t="s">
        <v>172</v>
      </c>
      <c r="D1283" s="26"/>
      <c r="E1283" s="26">
        <v>0</v>
      </c>
      <c r="F1283" s="29" t="s">
        <v>3093</v>
      </c>
      <c r="G1283" s="26" t="s">
        <v>299</v>
      </c>
    </row>
    <row r="1284" spans="1:7" ht="30" customHeight="1">
      <c r="A1284" s="24" t="s">
        <v>3094</v>
      </c>
      <c r="B1284" s="24" t="s">
        <v>572</v>
      </c>
      <c r="C1284" s="24" t="s">
        <v>172</v>
      </c>
      <c r="D1284" s="24"/>
      <c r="E1284" s="24">
        <v>0</v>
      </c>
      <c r="F1284" s="28" t="s">
        <v>3095</v>
      </c>
      <c r="G1284" s="24" t="s">
        <v>299</v>
      </c>
    </row>
    <row r="1285" spans="1:7" ht="30" customHeight="1">
      <c r="A1285" s="26" t="s">
        <v>3096</v>
      </c>
      <c r="B1285" s="26" t="s">
        <v>572</v>
      </c>
      <c r="C1285" s="26" t="s">
        <v>172</v>
      </c>
      <c r="D1285" s="26"/>
      <c r="E1285" s="26">
        <v>0</v>
      </c>
      <c r="F1285" s="29" t="s">
        <v>3097</v>
      </c>
      <c r="G1285" s="26" t="s">
        <v>299</v>
      </c>
    </row>
    <row r="1286" spans="1:7" ht="30" customHeight="1">
      <c r="A1286" s="24" t="s">
        <v>3098</v>
      </c>
      <c r="B1286" s="24" t="s">
        <v>539</v>
      </c>
      <c r="C1286" s="24" t="s">
        <v>172</v>
      </c>
      <c r="D1286" s="24"/>
      <c r="E1286" s="24">
        <v>0</v>
      </c>
      <c r="F1286" s="28" t="s">
        <v>3099</v>
      </c>
      <c r="G1286" s="24" t="s">
        <v>299</v>
      </c>
    </row>
    <row r="1287" spans="1:7" ht="30" customHeight="1">
      <c r="A1287" s="26" t="s">
        <v>3100</v>
      </c>
      <c r="B1287" s="26" t="s">
        <v>143</v>
      </c>
      <c r="C1287" s="26" t="s">
        <v>172</v>
      </c>
      <c r="D1287" s="26"/>
      <c r="E1287" s="26">
        <v>0</v>
      </c>
      <c r="F1287" s="29" t="s">
        <v>3101</v>
      </c>
      <c r="G1287" s="26" t="s">
        <v>299</v>
      </c>
    </row>
    <row r="1288" spans="1:7" ht="30" customHeight="1">
      <c r="A1288" s="24" t="s">
        <v>3102</v>
      </c>
      <c r="B1288" s="24" t="s">
        <v>143</v>
      </c>
      <c r="C1288" s="24" t="s">
        <v>172</v>
      </c>
      <c r="D1288" s="24"/>
      <c r="E1288" s="24">
        <v>0</v>
      </c>
      <c r="F1288" s="28" t="s">
        <v>3103</v>
      </c>
      <c r="G1288" s="24" t="s">
        <v>299</v>
      </c>
    </row>
    <row r="1289" spans="1:7" ht="30" customHeight="1">
      <c r="A1289" s="26" t="s">
        <v>3104</v>
      </c>
      <c r="B1289" s="26" t="s">
        <v>143</v>
      </c>
      <c r="C1289" s="26" t="s">
        <v>172</v>
      </c>
      <c r="D1289" s="26"/>
      <c r="E1289" s="26">
        <v>0</v>
      </c>
      <c r="F1289" s="29" t="s">
        <v>3105</v>
      </c>
      <c r="G1289" s="26" t="s">
        <v>299</v>
      </c>
    </row>
    <row r="1290" spans="1:7" ht="30" customHeight="1">
      <c r="A1290" s="24" t="s">
        <v>3106</v>
      </c>
      <c r="B1290" s="24" t="s">
        <v>1099</v>
      </c>
      <c r="C1290" s="24" t="s">
        <v>172</v>
      </c>
      <c r="D1290" s="24"/>
      <c r="E1290" s="24">
        <v>0</v>
      </c>
      <c r="F1290" s="28" t="s">
        <v>3107</v>
      </c>
      <c r="G1290" s="24" t="s">
        <v>299</v>
      </c>
    </row>
    <row r="1291" spans="1:7" ht="30" customHeight="1">
      <c r="A1291" s="26" t="s">
        <v>3108</v>
      </c>
      <c r="B1291" s="26" t="s">
        <v>569</v>
      </c>
      <c r="C1291" s="26" t="s">
        <v>172</v>
      </c>
      <c r="D1291" s="26"/>
      <c r="E1291" s="26">
        <v>0</v>
      </c>
      <c r="F1291" s="29" t="s">
        <v>3109</v>
      </c>
      <c r="G1291" s="26" t="s">
        <v>299</v>
      </c>
    </row>
    <row r="1292" spans="1:7" ht="30" customHeight="1">
      <c r="A1292" s="24" t="s">
        <v>3110</v>
      </c>
      <c r="B1292" s="24" t="s">
        <v>544</v>
      </c>
      <c r="C1292" s="24" t="s">
        <v>172</v>
      </c>
      <c r="D1292" s="24"/>
      <c r="E1292" s="24">
        <v>0</v>
      </c>
      <c r="F1292" s="28" t="s">
        <v>3111</v>
      </c>
      <c r="G1292" s="24" t="s">
        <v>299</v>
      </c>
    </row>
    <row r="1293" spans="1:7" ht="30" customHeight="1">
      <c r="A1293" s="26" t="s">
        <v>3112</v>
      </c>
      <c r="B1293" s="26" t="s">
        <v>143</v>
      </c>
      <c r="C1293" s="26" t="s">
        <v>172</v>
      </c>
      <c r="D1293" s="26"/>
      <c r="E1293" s="26">
        <v>0</v>
      </c>
      <c r="F1293" s="29" t="s">
        <v>3113</v>
      </c>
      <c r="G1293" s="26" t="s">
        <v>299</v>
      </c>
    </row>
    <row r="1294" spans="1:7" ht="30" customHeight="1">
      <c r="A1294" s="24" t="s">
        <v>3114</v>
      </c>
      <c r="B1294" s="24" t="s">
        <v>144</v>
      </c>
      <c r="C1294" s="24" t="s">
        <v>172</v>
      </c>
      <c r="D1294" s="24"/>
      <c r="E1294" s="24">
        <v>0</v>
      </c>
      <c r="F1294" s="28" t="s">
        <v>3115</v>
      </c>
      <c r="G1294" s="24" t="s">
        <v>299</v>
      </c>
    </row>
    <row r="1295" spans="1:7" ht="30" customHeight="1">
      <c r="A1295" s="26" t="s">
        <v>3116</v>
      </c>
      <c r="B1295" s="26" t="s">
        <v>569</v>
      </c>
      <c r="C1295" s="26" t="s">
        <v>172</v>
      </c>
      <c r="D1295" s="26"/>
      <c r="E1295" s="26">
        <v>0</v>
      </c>
      <c r="F1295" s="29" t="s">
        <v>3117</v>
      </c>
      <c r="G1295" s="26" t="s">
        <v>299</v>
      </c>
    </row>
    <row r="1296" spans="1:7" ht="30" customHeight="1">
      <c r="A1296" s="24" t="s">
        <v>3118</v>
      </c>
      <c r="B1296" s="24" t="s">
        <v>144</v>
      </c>
      <c r="C1296" s="24" t="s">
        <v>172</v>
      </c>
      <c r="D1296" s="24"/>
      <c r="E1296" s="24">
        <v>0</v>
      </c>
      <c r="F1296" s="28" t="s">
        <v>3119</v>
      </c>
      <c r="G1296" s="24" t="s">
        <v>299</v>
      </c>
    </row>
    <row r="1297" spans="1:7" ht="30" customHeight="1">
      <c r="A1297" s="26" t="s">
        <v>3120</v>
      </c>
      <c r="B1297" s="26" t="s">
        <v>539</v>
      </c>
      <c r="C1297" s="26" t="s">
        <v>172</v>
      </c>
      <c r="D1297" s="26"/>
      <c r="E1297" s="26">
        <v>0</v>
      </c>
      <c r="F1297" s="29" t="s">
        <v>3121</v>
      </c>
      <c r="G1297" s="26" t="s">
        <v>299</v>
      </c>
    </row>
    <row r="1298" spans="1:7" ht="30" customHeight="1">
      <c r="A1298" s="24" t="s">
        <v>3122</v>
      </c>
      <c r="B1298" s="24" t="s">
        <v>143</v>
      </c>
      <c r="C1298" s="24" t="s">
        <v>172</v>
      </c>
      <c r="D1298" s="24"/>
      <c r="E1298" s="24">
        <v>0</v>
      </c>
      <c r="F1298" s="28" t="s">
        <v>3123</v>
      </c>
      <c r="G1298" s="24" t="s">
        <v>299</v>
      </c>
    </row>
    <row r="1299" spans="1:7" ht="30" customHeight="1">
      <c r="A1299" s="26" t="s">
        <v>3124</v>
      </c>
      <c r="B1299" s="26" t="s">
        <v>143</v>
      </c>
      <c r="C1299" s="26" t="s">
        <v>172</v>
      </c>
      <c r="D1299" s="26"/>
      <c r="E1299" s="26">
        <v>0</v>
      </c>
      <c r="F1299" s="29" t="s">
        <v>3125</v>
      </c>
      <c r="G1299" s="26" t="s">
        <v>299</v>
      </c>
    </row>
    <row r="1300" spans="1:7" ht="30" customHeight="1">
      <c r="A1300" s="24" t="s">
        <v>3126</v>
      </c>
      <c r="B1300" s="24" t="s">
        <v>143</v>
      </c>
      <c r="C1300" s="24" t="s">
        <v>172</v>
      </c>
      <c r="D1300" s="24"/>
      <c r="E1300" s="24">
        <v>0</v>
      </c>
      <c r="F1300" s="28" t="s">
        <v>3127</v>
      </c>
      <c r="G1300" s="24" t="s">
        <v>299</v>
      </c>
    </row>
    <row r="1301" spans="1:7" ht="30" customHeight="1">
      <c r="A1301" s="26" t="s">
        <v>3128</v>
      </c>
      <c r="B1301" s="26" t="s">
        <v>544</v>
      </c>
      <c r="C1301" s="26" t="s">
        <v>172</v>
      </c>
      <c r="D1301" s="26"/>
      <c r="E1301" s="26">
        <v>0</v>
      </c>
      <c r="F1301" s="29" t="s">
        <v>3129</v>
      </c>
      <c r="G1301" s="26" t="s">
        <v>299</v>
      </c>
    </row>
    <row r="1302" spans="1:7" ht="30" customHeight="1">
      <c r="A1302" s="24" t="s">
        <v>3130</v>
      </c>
      <c r="B1302" s="24" t="s">
        <v>1099</v>
      </c>
      <c r="C1302" s="24" t="s">
        <v>172</v>
      </c>
      <c r="D1302" s="24"/>
      <c r="E1302" s="24">
        <v>0</v>
      </c>
      <c r="F1302" s="28" t="s">
        <v>3131</v>
      </c>
      <c r="G1302" s="24" t="s">
        <v>299</v>
      </c>
    </row>
    <row r="1303" spans="1:7" ht="30" customHeight="1">
      <c r="A1303" s="26" t="s">
        <v>3132</v>
      </c>
      <c r="B1303" s="26" t="s">
        <v>143</v>
      </c>
      <c r="C1303" s="26" t="s">
        <v>172</v>
      </c>
      <c r="D1303" s="26"/>
      <c r="E1303" s="26">
        <v>0</v>
      </c>
      <c r="F1303" s="29" t="s">
        <v>3133</v>
      </c>
      <c r="G1303" s="26" t="s">
        <v>299</v>
      </c>
    </row>
    <row r="1304" spans="1:7" ht="30" customHeight="1">
      <c r="A1304" s="24" t="s">
        <v>3134</v>
      </c>
      <c r="B1304" s="24" t="s">
        <v>143</v>
      </c>
      <c r="C1304" s="24" t="s">
        <v>172</v>
      </c>
      <c r="D1304" s="24"/>
      <c r="E1304" s="24">
        <v>0</v>
      </c>
      <c r="F1304" s="28" t="s">
        <v>3135</v>
      </c>
      <c r="G1304" s="24" t="s">
        <v>299</v>
      </c>
    </row>
    <row r="1305" spans="1:7" ht="30" customHeight="1">
      <c r="A1305" s="26" t="s">
        <v>3136</v>
      </c>
      <c r="B1305" s="26" t="s">
        <v>230</v>
      </c>
      <c r="C1305" s="26" t="s">
        <v>182</v>
      </c>
      <c r="D1305" s="26"/>
      <c r="E1305" s="26">
        <v>0</v>
      </c>
      <c r="F1305" s="29" t="s">
        <v>3137</v>
      </c>
      <c r="G1305" s="26" t="s">
        <v>299</v>
      </c>
    </row>
    <row r="1306" spans="1:7" ht="30" customHeight="1">
      <c r="A1306" s="24" t="s">
        <v>3138</v>
      </c>
      <c r="B1306" s="24" t="s">
        <v>143</v>
      </c>
      <c r="C1306" s="24" t="s">
        <v>172</v>
      </c>
      <c r="D1306" s="24"/>
      <c r="E1306" s="24">
        <v>0</v>
      </c>
      <c r="F1306" s="28" t="s">
        <v>3139</v>
      </c>
      <c r="G1306" s="24" t="s">
        <v>299</v>
      </c>
    </row>
    <row r="1307" spans="1:7" ht="30" customHeight="1">
      <c r="A1307" s="26" t="s">
        <v>3140</v>
      </c>
      <c r="B1307" s="26" t="s">
        <v>144</v>
      </c>
      <c r="C1307" s="26" t="s">
        <v>172</v>
      </c>
      <c r="D1307" s="26"/>
      <c r="E1307" s="26">
        <v>0</v>
      </c>
      <c r="F1307" s="29" t="s">
        <v>3141</v>
      </c>
      <c r="G1307" s="26" t="s">
        <v>299</v>
      </c>
    </row>
    <row r="1308" spans="1:7" ht="30" customHeight="1">
      <c r="A1308" s="24" t="s">
        <v>3142</v>
      </c>
      <c r="B1308" s="24" t="s">
        <v>581</v>
      </c>
      <c r="C1308" s="24" t="s">
        <v>172</v>
      </c>
      <c r="D1308" s="24"/>
      <c r="E1308" s="24">
        <v>0</v>
      </c>
      <c r="F1308" s="28" t="s">
        <v>3143</v>
      </c>
      <c r="G1308" s="24" t="s">
        <v>299</v>
      </c>
    </row>
    <row r="1309" spans="1:7" ht="30" customHeight="1">
      <c r="A1309" s="26" t="s">
        <v>3144</v>
      </c>
      <c r="B1309" s="26" t="s">
        <v>171</v>
      </c>
      <c r="C1309" s="26" t="s">
        <v>172</v>
      </c>
      <c r="D1309" s="26"/>
      <c r="E1309" s="26">
        <v>0</v>
      </c>
      <c r="F1309" s="29" t="s">
        <v>3145</v>
      </c>
      <c r="G1309" s="26" t="s">
        <v>299</v>
      </c>
    </row>
    <row r="1310" spans="1:7" ht="30" customHeight="1">
      <c r="A1310" s="24" t="s">
        <v>3146</v>
      </c>
      <c r="B1310" s="24" t="s">
        <v>572</v>
      </c>
      <c r="C1310" s="24" t="s">
        <v>172</v>
      </c>
      <c r="D1310" s="24"/>
      <c r="E1310" s="24">
        <v>0</v>
      </c>
      <c r="F1310" s="28" t="s">
        <v>3147</v>
      </c>
      <c r="G1310" s="24" t="s">
        <v>299</v>
      </c>
    </row>
    <row r="1311" spans="1:7" ht="30" customHeight="1">
      <c r="A1311" s="26" t="s">
        <v>3148</v>
      </c>
      <c r="B1311" s="26" t="s">
        <v>572</v>
      </c>
      <c r="C1311" s="26" t="s">
        <v>172</v>
      </c>
      <c r="D1311" s="26"/>
      <c r="E1311" s="26">
        <v>0</v>
      </c>
      <c r="F1311" s="29" t="s">
        <v>3149</v>
      </c>
      <c r="G1311" s="26" t="s">
        <v>299</v>
      </c>
    </row>
    <row r="1312" spans="1:7" ht="30" customHeight="1">
      <c r="A1312" s="24" t="s">
        <v>3150</v>
      </c>
      <c r="B1312" s="24" t="s">
        <v>143</v>
      </c>
      <c r="C1312" s="24" t="s">
        <v>172</v>
      </c>
      <c r="D1312" s="24"/>
      <c r="E1312" s="24">
        <v>0</v>
      </c>
      <c r="F1312" s="28" t="s">
        <v>3151</v>
      </c>
      <c r="G1312" s="24" t="s">
        <v>299</v>
      </c>
    </row>
    <row r="1313" spans="1:7" ht="30" customHeight="1">
      <c r="A1313" s="26" t="s">
        <v>3152</v>
      </c>
      <c r="B1313" s="26" t="s">
        <v>143</v>
      </c>
      <c r="C1313" s="26" t="s">
        <v>172</v>
      </c>
      <c r="D1313" s="26"/>
      <c r="E1313" s="26">
        <v>0</v>
      </c>
      <c r="F1313" s="29" t="s">
        <v>3153</v>
      </c>
      <c r="G1313" s="26" t="s">
        <v>299</v>
      </c>
    </row>
    <row r="1314" spans="1:7" ht="30" customHeight="1">
      <c r="A1314" s="24" t="s">
        <v>3154</v>
      </c>
      <c r="B1314" s="24" t="s">
        <v>143</v>
      </c>
      <c r="C1314" s="24" t="s">
        <v>172</v>
      </c>
      <c r="D1314" s="24"/>
      <c r="E1314" s="24">
        <v>0</v>
      </c>
      <c r="F1314" s="28" t="s">
        <v>3155</v>
      </c>
      <c r="G1314" s="24" t="s">
        <v>299</v>
      </c>
    </row>
    <row r="1315" spans="1:7" ht="30" customHeight="1">
      <c r="A1315" s="26" t="s">
        <v>3156</v>
      </c>
      <c r="B1315" s="26" t="s">
        <v>569</v>
      </c>
      <c r="C1315" s="26" t="s">
        <v>182</v>
      </c>
      <c r="D1315" s="26"/>
      <c r="E1315" s="26">
        <v>0</v>
      </c>
      <c r="F1315" s="29" t="s">
        <v>3157</v>
      </c>
      <c r="G1315" s="26" t="s">
        <v>299</v>
      </c>
    </row>
    <row r="1316" spans="1:7" ht="30" customHeight="1">
      <c r="A1316" s="24" t="s">
        <v>3158</v>
      </c>
      <c r="B1316" s="24" t="s">
        <v>143</v>
      </c>
      <c r="C1316" s="24" t="s">
        <v>172</v>
      </c>
      <c r="D1316" s="24"/>
      <c r="E1316" s="24">
        <v>0</v>
      </c>
      <c r="F1316" s="28" t="s">
        <v>3159</v>
      </c>
      <c r="G1316" s="24" t="s">
        <v>299</v>
      </c>
    </row>
    <row r="1317" spans="1:7" ht="30" customHeight="1">
      <c r="A1317" s="26" t="s">
        <v>3160</v>
      </c>
      <c r="B1317" s="26" t="s">
        <v>572</v>
      </c>
      <c r="C1317" s="26" t="s">
        <v>172</v>
      </c>
      <c r="D1317" s="26"/>
      <c r="E1317" s="26">
        <v>0</v>
      </c>
      <c r="F1317" s="29" t="s">
        <v>3161</v>
      </c>
      <c r="G1317" s="26" t="s">
        <v>299</v>
      </c>
    </row>
    <row r="1318" spans="1:7" ht="30" customHeight="1">
      <c r="A1318" s="24" t="s">
        <v>3162</v>
      </c>
      <c r="B1318" s="24" t="s">
        <v>143</v>
      </c>
      <c r="C1318" s="24" t="s">
        <v>172</v>
      </c>
      <c r="D1318" s="24"/>
      <c r="E1318" s="24">
        <v>0</v>
      </c>
      <c r="F1318" s="28" t="s">
        <v>3163</v>
      </c>
      <c r="G1318" s="24" t="s">
        <v>299</v>
      </c>
    </row>
    <row r="1319" spans="1:7" ht="30" customHeight="1">
      <c r="A1319" s="26" t="s">
        <v>3164</v>
      </c>
      <c r="B1319" s="26" t="s">
        <v>143</v>
      </c>
      <c r="C1319" s="26" t="s">
        <v>172</v>
      </c>
      <c r="D1319" s="26"/>
      <c r="E1319" s="26">
        <v>0</v>
      </c>
      <c r="F1319" s="29" t="s">
        <v>3165</v>
      </c>
      <c r="G1319" s="26" t="s">
        <v>299</v>
      </c>
    </row>
    <row r="1320" spans="1:7" ht="30" customHeight="1">
      <c r="A1320" s="24" t="s">
        <v>3166</v>
      </c>
      <c r="B1320" s="24" t="s">
        <v>143</v>
      </c>
      <c r="C1320" s="24" t="s">
        <v>172</v>
      </c>
      <c r="D1320" s="24"/>
      <c r="E1320" s="24">
        <v>0</v>
      </c>
      <c r="F1320" s="28" t="s">
        <v>3167</v>
      </c>
      <c r="G1320" s="24" t="s">
        <v>299</v>
      </c>
    </row>
    <row r="1321" spans="1:7" ht="30" customHeight="1">
      <c r="A1321" s="26" t="s">
        <v>3168</v>
      </c>
      <c r="B1321" s="26" t="s">
        <v>1099</v>
      </c>
      <c r="C1321" s="26" t="s">
        <v>172</v>
      </c>
      <c r="D1321" s="26"/>
      <c r="E1321" s="26">
        <v>0</v>
      </c>
      <c r="F1321" s="29" t="s">
        <v>3169</v>
      </c>
      <c r="G1321" s="26" t="s">
        <v>299</v>
      </c>
    </row>
    <row r="1322" spans="1:7" ht="30" customHeight="1">
      <c r="A1322" s="24" t="s">
        <v>3170</v>
      </c>
      <c r="B1322" s="24" t="s">
        <v>143</v>
      </c>
      <c r="C1322" s="24" t="s">
        <v>182</v>
      </c>
      <c r="D1322" s="24"/>
      <c r="E1322" s="24">
        <v>0</v>
      </c>
      <c r="F1322" s="28" t="s">
        <v>3171</v>
      </c>
      <c r="G1322" s="24" t="s">
        <v>299</v>
      </c>
    </row>
    <row r="1323" spans="1:7" ht="30" customHeight="1">
      <c r="A1323" s="26" t="s">
        <v>205</v>
      </c>
      <c r="B1323" s="26" t="s">
        <v>143</v>
      </c>
      <c r="C1323" s="26" t="s">
        <v>172</v>
      </c>
      <c r="D1323" s="26" t="s">
        <v>207</v>
      </c>
      <c r="E1323" s="26">
        <v>1</v>
      </c>
      <c r="F1323" s="29" t="s">
        <v>210</v>
      </c>
      <c r="G1323" s="26" t="s">
        <v>299</v>
      </c>
    </row>
    <row r="1324" spans="1:7" ht="30" customHeight="1">
      <c r="A1324" s="24" t="s">
        <v>3172</v>
      </c>
      <c r="B1324" s="24" t="s">
        <v>143</v>
      </c>
      <c r="C1324" s="24" t="s">
        <v>182</v>
      </c>
      <c r="D1324" s="24"/>
      <c r="E1324" s="24">
        <v>0</v>
      </c>
      <c r="F1324" s="28" t="s">
        <v>3173</v>
      </c>
      <c r="G1324" s="24" t="s">
        <v>299</v>
      </c>
    </row>
    <row r="1325" spans="1:7" ht="30" customHeight="1">
      <c r="A1325" s="26" t="s">
        <v>3174</v>
      </c>
      <c r="B1325" s="26" t="s">
        <v>143</v>
      </c>
      <c r="C1325" s="26" t="s">
        <v>172</v>
      </c>
      <c r="D1325" s="26"/>
      <c r="E1325" s="26">
        <v>0</v>
      </c>
      <c r="F1325" s="29" t="s">
        <v>3175</v>
      </c>
      <c r="G1325" s="26" t="s">
        <v>299</v>
      </c>
    </row>
    <row r="1326" spans="1:7" ht="30" customHeight="1">
      <c r="A1326" s="24" t="s">
        <v>3176</v>
      </c>
      <c r="B1326" s="24" t="s">
        <v>143</v>
      </c>
      <c r="C1326" s="24" t="s">
        <v>172</v>
      </c>
      <c r="D1326" s="24"/>
      <c r="E1326" s="24">
        <v>0</v>
      </c>
      <c r="F1326" s="28" t="s">
        <v>3177</v>
      </c>
      <c r="G1326" s="24" t="s">
        <v>299</v>
      </c>
    </row>
    <row r="1327" spans="1:7" ht="30" customHeight="1">
      <c r="A1327" s="26" t="s">
        <v>213</v>
      </c>
      <c r="B1327" s="26" t="s">
        <v>143</v>
      </c>
      <c r="C1327" s="26" t="s">
        <v>182</v>
      </c>
      <c r="D1327" s="26" t="s">
        <v>207</v>
      </c>
      <c r="E1327" s="26">
        <v>1</v>
      </c>
      <c r="F1327" s="29" t="s">
        <v>215</v>
      </c>
      <c r="G1327" s="26" t="s">
        <v>299</v>
      </c>
    </row>
    <row r="1328" spans="1:7" ht="30" customHeight="1">
      <c r="A1328" s="24" t="s">
        <v>3178</v>
      </c>
      <c r="B1328" s="24" t="s">
        <v>143</v>
      </c>
      <c r="C1328" s="24" t="s">
        <v>172</v>
      </c>
      <c r="D1328" s="24"/>
      <c r="E1328" s="24">
        <v>0</v>
      </c>
      <c r="F1328" s="28" t="s">
        <v>3179</v>
      </c>
      <c r="G1328" s="24" t="s">
        <v>299</v>
      </c>
    </row>
    <row r="1329" spans="1:7" ht="30" customHeight="1">
      <c r="A1329" s="26" t="s">
        <v>3180</v>
      </c>
      <c r="B1329" s="26" t="s">
        <v>143</v>
      </c>
      <c r="C1329" s="26" t="s">
        <v>182</v>
      </c>
      <c r="D1329" s="26"/>
      <c r="E1329" s="26">
        <v>0</v>
      </c>
      <c r="F1329" s="29" t="s">
        <v>3181</v>
      </c>
      <c r="G1329" s="26" t="s">
        <v>299</v>
      </c>
    </row>
    <row r="1330" spans="1:7" ht="30" customHeight="1">
      <c r="A1330" s="24" t="s">
        <v>3182</v>
      </c>
      <c r="B1330" s="24" t="s">
        <v>143</v>
      </c>
      <c r="C1330" s="24" t="s">
        <v>172</v>
      </c>
      <c r="D1330" s="24"/>
      <c r="E1330" s="24">
        <v>0</v>
      </c>
      <c r="F1330" s="28" t="s">
        <v>3183</v>
      </c>
      <c r="G1330" s="24" t="s">
        <v>299</v>
      </c>
    </row>
    <row r="1331" spans="1:7" ht="30" customHeight="1">
      <c r="A1331" s="26" t="s">
        <v>3184</v>
      </c>
      <c r="B1331" s="26" t="s">
        <v>143</v>
      </c>
      <c r="C1331" s="26" t="s">
        <v>172</v>
      </c>
      <c r="D1331" s="26"/>
      <c r="E1331" s="26">
        <v>0</v>
      </c>
      <c r="F1331" s="29" t="s">
        <v>3185</v>
      </c>
      <c r="G1331" s="26" t="s">
        <v>299</v>
      </c>
    </row>
    <row r="1332" spans="1:7" ht="30" customHeight="1">
      <c r="A1332" s="24" t="s">
        <v>3186</v>
      </c>
      <c r="B1332" s="24" t="s">
        <v>143</v>
      </c>
      <c r="C1332" s="24" t="s">
        <v>182</v>
      </c>
      <c r="D1332" s="24"/>
      <c r="E1332" s="24">
        <v>0</v>
      </c>
      <c r="F1332" s="28" t="s">
        <v>3187</v>
      </c>
      <c r="G1332" s="24" t="s">
        <v>299</v>
      </c>
    </row>
    <row r="1333" spans="1:7" ht="30" customHeight="1">
      <c r="A1333" s="26" t="s">
        <v>3188</v>
      </c>
      <c r="B1333" s="26" t="s">
        <v>144</v>
      </c>
      <c r="C1333" s="26" t="s">
        <v>172</v>
      </c>
      <c r="D1333" s="26"/>
      <c r="E1333" s="26">
        <v>0</v>
      </c>
      <c r="F1333" s="29" t="s">
        <v>3189</v>
      </c>
      <c r="G1333" s="26" t="s">
        <v>299</v>
      </c>
    </row>
    <row r="1334" spans="1:7" ht="30" customHeight="1">
      <c r="A1334" s="24" t="s">
        <v>3190</v>
      </c>
      <c r="B1334" s="24" t="s">
        <v>581</v>
      </c>
      <c r="C1334" s="24" t="s">
        <v>172</v>
      </c>
      <c r="D1334" s="24"/>
      <c r="E1334" s="24">
        <v>0</v>
      </c>
      <c r="F1334" s="28" t="s">
        <v>3191</v>
      </c>
      <c r="G1334" s="24" t="s">
        <v>299</v>
      </c>
    </row>
    <row r="1335" spans="1:7" ht="30" customHeight="1">
      <c r="A1335" s="26" t="s">
        <v>3192</v>
      </c>
      <c r="B1335" s="26" t="s">
        <v>143</v>
      </c>
      <c r="C1335" s="26" t="s">
        <v>172</v>
      </c>
      <c r="D1335" s="26"/>
      <c r="E1335" s="26">
        <v>0</v>
      </c>
      <c r="F1335" s="29" t="s">
        <v>3193</v>
      </c>
      <c r="G1335" s="26" t="s">
        <v>299</v>
      </c>
    </row>
    <row r="1336" spans="1:7" ht="30" customHeight="1">
      <c r="A1336" s="24" t="s">
        <v>3194</v>
      </c>
      <c r="B1336" s="24" t="s">
        <v>143</v>
      </c>
      <c r="C1336" s="24" t="s">
        <v>172</v>
      </c>
      <c r="D1336" s="24"/>
      <c r="E1336" s="24">
        <v>0</v>
      </c>
      <c r="F1336" s="28" t="s">
        <v>3195</v>
      </c>
      <c r="G1336" s="24" t="s">
        <v>299</v>
      </c>
    </row>
    <row r="1337" spans="1:7" ht="30" customHeight="1">
      <c r="A1337" s="26" t="s">
        <v>3196</v>
      </c>
      <c r="B1337" s="26" t="s">
        <v>539</v>
      </c>
      <c r="C1337" s="26" t="s">
        <v>172</v>
      </c>
      <c r="D1337" s="26"/>
      <c r="E1337" s="26">
        <v>0</v>
      </c>
      <c r="F1337" s="29" t="s">
        <v>3197</v>
      </c>
      <c r="G1337" s="26" t="s">
        <v>299</v>
      </c>
    </row>
    <row r="1338" spans="1:7" ht="30" customHeight="1">
      <c r="A1338" s="24" t="s">
        <v>3198</v>
      </c>
      <c r="B1338" s="24" t="s">
        <v>569</v>
      </c>
      <c r="C1338" s="24" t="s">
        <v>172</v>
      </c>
      <c r="D1338" s="24"/>
      <c r="E1338" s="24">
        <v>0</v>
      </c>
      <c r="F1338" s="28" t="s">
        <v>3199</v>
      </c>
      <c r="G1338" s="24" t="s">
        <v>299</v>
      </c>
    </row>
    <row r="1339" spans="1:7" ht="30" customHeight="1">
      <c r="A1339" s="26" t="s">
        <v>3200</v>
      </c>
      <c r="B1339" s="26" t="s">
        <v>143</v>
      </c>
      <c r="C1339" s="26" t="s">
        <v>172</v>
      </c>
      <c r="D1339" s="26"/>
      <c r="E1339" s="26">
        <v>0</v>
      </c>
      <c r="F1339" s="29" t="s">
        <v>3201</v>
      </c>
      <c r="G1339" s="26" t="s">
        <v>299</v>
      </c>
    </row>
    <row r="1340" spans="1:7" ht="30" customHeight="1">
      <c r="A1340" s="24" t="s">
        <v>3202</v>
      </c>
      <c r="B1340" s="24" t="s">
        <v>226</v>
      </c>
      <c r="C1340" s="24" t="s">
        <v>172</v>
      </c>
      <c r="D1340" s="24"/>
      <c r="E1340" s="24">
        <v>0</v>
      </c>
      <c r="F1340" s="28" t="s">
        <v>3203</v>
      </c>
      <c r="G1340" s="24" t="s">
        <v>299</v>
      </c>
    </row>
    <row r="1341" spans="1:7" ht="30" customHeight="1">
      <c r="A1341" s="26" t="s">
        <v>3204</v>
      </c>
      <c r="B1341" s="26" t="s">
        <v>1445</v>
      </c>
      <c r="C1341" s="26" t="s">
        <v>172</v>
      </c>
      <c r="D1341" s="26"/>
      <c r="E1341" s="26">
        <v>0</v>
      </c>
      <c r="F1341" s="29" t="s">
        <v>3205</v>
      </c>
      <c r="G1341" s="26" t="s">
        <v>299</v>
      </c>
    </row>
    <row r="1342" spans="1:7" ht="30" customHeight="1">
      <c r="A1342" s="24" t="s">
        <v>3206</v>
      </c>
      <c r="B1342" s="24" t="s">
        <v>143</v>
      </c>
      <c r="C1342" s="24" t="s">
        <v>172</v>
      </c>
      <c r="D1342" s="24"/>
      <c r="E1342" s="24">
        <v>0</v>
      </c>
      <c r="F1342" s="28" t="s">
        <v>3207</v>
      </c>
      <c r="G1342" s="24" t="s">
        <v>299</v>
      </c>
    </row>
    <row r="1343" spans="1:7" ht="30" customHeight="1">
      <c r="A1343" s="26" t="s">
        <v>3208</v>
      </c>
      <c r="B1343" s="26" t="s">
        <v>144</v>
      </c>
      <c r="C1343" s="26" t="s">
        <v>172</v>
      </c>
      <c r="D1343" s="26"/>
      <c r="E1343" s="26">
        <v>0</v>
      </c>
      <c r="F1343" s="29" t="s">
        <v>3209</v>
      </c>
      <c r="G1343" s="26" t="s">
        <v>299</v>
      </c>
    </row>
    <row r="1344" spans="1:7" ht="30" customHeight="1">
      <c r="A1344" s="24" t="s">
        <v>3210</v>
      </c>
      <c r="B1344" s="24" t="s">
        <v>144</v>
      </c>
      <c r="C1344" s="24" t="s">
        <v>172</v>
      </c>
      <c r="D1344" s="24"/>
      <c r="E1344" s="24">
        <v>0</v>
      </c>
      <c r="F1344" s="28" t="s">
        <v>3211</v>
      </c>
      <c r="G1344" s="24" t="s">
        <v>299</v>
      </c>
    </row>
    <row r="1345" spans="1:7" ht="30" customHeight="1">
      <c r="A1345" s="26" t="s">
        <v>3212</v>
      </c>
      <c r="B1345" s="26" t="s">
        <v>143</v>
      </c>
      <c r="C1345" s="26" t="s">
        <v>172</v>
      </c>
      <c r="D1345" s="26"/>
      <c r="E1345" s="26">
        <v>0</v>
      </c>
      <c r="F1345" s="29" t="s">
        <v>3213</v>
      </c>
      <c r="G1345" s="26" t="s">
        <v>299</v>
      </c>
    </row>
    <row r="1346" spans="1:7" ht="30" customHeight="1">
      <c r="A1346" s="24" t="s">
        <v>3214</v>
      </c>
      <c r="B1346" s="24" t="s">
        <v>144</v>
      </c>
      <c r="C1346" s="24" t="s">
        <v>172</v>
      </c>
      <c r="D1346" s="24"/>
      <c r="E1346" s="24">
        <v>0</v>
      </c>
      <c r="F1346" s="28" t="s">
        <v>3215</v>
      </c>
      <c r="G1346" s="24" t="s">
        <v>299</v>
      </c>
    </row>
    <row r="1347" spans="1:7" ht="30" customHeight="1">
      <c r="A1347" s="26" t="s">
        <v>217</v>
      </c>
      <c r="B1347" s="26" t="s">
        <v>143</v>
      </c>
      <c r="C1347" s="26" t="s">
        <v>172</v>
      </c>
      <c r="D1347" s="26" t="s">
        <v>207</v>
      </c>
      <c r="E1347" s="26">
        <v>1</v>
      </c>
      <c r="F1347" s="29" t="s">
        <v>219</v>
      </c>
      <c r="G1347" s="26" t="s">
        <v>299</v>
      </c>
    </row>
    <row r="1348" spans="1:7" ht="30" customHeight="1">
      <c r="A1348" s="24" t="s">
        <v>3216</v>
      </c>
      <c r="B1348" s="24" t="s">
        <v>143</v>
      </c>
      <c r="C1348" s="24" t="s">
        <v>172</v>
      </c>
      <c r="D1348" s="24"/>
      <c r="E1348" s="24">
        <v>0</v>
      </c>
      <c r="F1348" s="28" t="s">
        <v>3217</v>
      </c>
      <c r="G1348" s="24" t="s">
        <v>299</v>
      </c>
    </row>
    <row r="1349" spans="1:7" ht="30" customHeight="1">
      <c r="A1349" s="26" t="s">
        <v>3218</v>
      </c>
      <c r="B1349" s="26" t="s">
        <v>569</v>
      </c>
      <c r="C1349" s="26" t="s">
        <v>172</v>
      </c>
      <c r="D1349" s="26"/>
      <c r="E1349" s="26">
        <v>0</v>
      </c>
      <c r="F1349" s="29" t="s">
        <v>3219</v>
      </c>
      <c r="G1349" s="26" t="s">
        <v>299</v>
      </c>
    </row>
    <row r="1350" spans="1:7" ht="30" customHeight="1">
      <c r="A1350" s="24" t="s">
        <v>3220</v>
      </c>
      <c r="B1350" s="24" t="s">
        <v>144</v>
      </c>
      <c r="C1350" s="24" t="s">
        <v>172</v>
      </c>
      <c r="D1350" s="24"/>
      <c r="E1350" s="24">
        <v>0</v>
      </c>
      <c r="F1350" s="28" t="s">
        <v>3221</v>
      </c>
      <c r="G1350" s="24" t="s">
        <v>299</v>
      </c>
    </row>
    <row r="1351" spans="1:7" ht="30" customHeight="1">
      <c r="A1351" s="26" t="s">
        <v>3222</v>
      </c>
      <c r="B1351" s="26" t="s">
        <v>143</v>
      </c>
      <c r="C1351" s="26" t="s">
        <v>172</v>
      </c>
      <c r="D1351" s="26"/>
      <c r="E1351" s="26">
        <v>0</v>
      </c>
      <c r="F1351" s="29" t="s">
        <v>3223</v>
      </c>
      <c r="G1351" s="26" t="s">
        <v>299</v>
      </c>
    </row>
    <row r="1352" spans="1:7" ht="30" customHeight="1">
      <c r="A1352" s="24" t="s">
        <v>3224</v>
      </c>
      <c r="B1352" s="24" t="s">
        <v>226</v>
      </c>
      <c r="C1352" s="24" t="s">
        <v>172</v>
      </c>
      <c r="D1352" s="24"/>
      <c r="E1352" s="24">
        <v>0</v>
      </c>
      <c r="F1352" s="28" t="s">
        <v>3225</v>
      </c>
      <c r="G1352" s="24" t="s">
        <v>299</v>
      </c>
    </row>
    <row r="1353" spans="1:7" ht="30" customHeight="1">
      <c r="A1353" s="26" t="s">
        <v>3226</v>
      </c>
      <c r="B1353" s="26" t="s">
        <v>143</v>
      </c>
      <c r="C1353" s="26" t="s">
        <v>172</v>
      </c>
      <c r="D1353" s="26"/>
      <c r="E1353" s="26">
        <v>0</v>
      </c>
      <c r="F1353" s="29" t="s">
        <v>3227</v>
      </c>
      <c r="G1353" s="26" t="s">
        <v>299</v>
      </c>
    </row>
    <row r="1354" spans="1:7" ht="30" customHeight="1">
      <c r="A1354" s="24" t="s">
        <v>3228</v>
      </c>
      <c r="B1354" s="24" t="s">
        <v>143</v>
      </c>
      <c r="C1354" s="24" t="s">
        <v>172</v>
      </c>
      <c r="D1354" s="24"/>
      <c r="E1354" s="24">
        <v>0</v>
      </c>
      <c r="F1354" s="28" t="s">
        <v>3229</v>
      </c>
      <c r="G1354" s="24" t="s">
        <v>299</v>
      </c>
    </row>
    <row r="1355" spans="1:7" ht="30" customHeight="1">
      <c r="A1355" s="26" t="s">
        <v>3230</v>
      </c>
      <c r="B1355" s="26" t="s">
        <v>143</v>
      </c>
      <c r="C1355" s="26" t="s">
        <v>172</v>
      </c>
      <c r="D1355" s="26"/>
      <c r="E1355" s="26">
        <v>0</v>
      </c>
      <c r="F1355" s="29" t="s">
        <v>3231</v>
      </c>
      <c r="G1355" s="26" t="s">
        <v>299</v>
      </c>
    </row>
    <row r="1356" spans="1:7" ht="30" customHeight="1">
      <c r="A1356" s="24" t="s">
        <v>3232</v>
      </c>
      <c r="B1356" s="24" t="s">
        <v>143</v>
      </c>
      <c r="C1356" s="24" t="s">
        <v>172</v>
      </c>
      <c r="D1356" s="24"/>
      <c r="E1356" s="24">
        <v>0</v>
      </c>
      <c r="F1356" s="28" t="s">
        <v>3233</v>
      </c>
      <c r="G1356" s="24" t="s">
        <v>299</v>
      </c>
    </row>
    <row r="1357" spans="1:7" ht="30" customHeight="1">
      <c r="A1357" s="26" t="s">
        <v>221</v>
      </c>
      <c r="B1357" s="26" t="s">
        <v>143</v>
      </c>
      <c r="C1357" s="26" t="s">
        <v>172</v>
      </c>
      <c r="D1357" s="26" t="s">
        <v>207</v>
      </c>
      <c r="E1357" s="26">
        <v>1</v>
      </c>
      <c r="F1357" s="29" t="s">
        <v>223</v>
      </c>
      <c r="G1357" s="26" t="s">
        <v>299</v>
      </c>
    </row>
    <row r="1358" spans="1:7" ht="30" customHeight="1">
      <c r="A1358" s="24" t="s">
        <v>3234</v>
      </c>
      <c r="B1358" s="24" t="s">
        <v>572</v>
      </c>
      <c r="C1358" s="24" t="s">
        <v>172</v>
      </c>
      <c r="D1358" s="24"/>
      <c r="E1358" s="24">
        <v>0</v>
      </c>
      <c r="F1358" s="28" t="s">
        <v>3235</v>
      </c>
      <c r="G1358" s="24" t="s">
        <v>299</v>
      </c>
    </row>
    <row r="1359" spans="1:7" ht="30" customHeight="1">
      <c r="A1359" s="26" t="s">
        <v>3236</v>
      </c>
      <c r="B1359" s="26" t="s">
        <v>1099</v>
      </c>
      <c r="C1359" s="26" t="s">
        <v>172</v>
      </c>
      <c r="D1359" s="26"/>
      <c r="E1359" s="26">
        <v>0</v>
      </c>
      <c r="F1359" s="29" t="s">
        <v>3237</v>
      </c>
      <c r="G1359" s="26" t="s">
        <v>299</v>
      </c>
    </row>
    <row r="1360" spans="1:7" ht="30" customHeight="1">
      <c r="A1360" s="24" t="s">
        <v>3238</v>
      </c>
      <c r="B1360" s="24" t="s">
        <v>1099</v>
      </c>
      <c r="C1360" s="24" t="s">
        <v>172</v>
      </c>
      <c r="D1360" s="24"/>
      <c r="E1360" s="24">
        <v>0</v>
      </c>
      <c r="F1360" s="28" t="s">
        <v>3239</v>
      </c>
      <c r="G1360" s="24" t="s">
        <v>299</v>
      </c>
    </row>
    <row r="1361" spans="1:7" ht="30" customHeight="1">
      <c r="A1361" s="26" t="s">
        <v>3240</v>
      </c>
      <c r="B1361" s="26" t="s">
        <v>143</v>
      </c>
      <c r="C1361" s="26" t="s">
        <v>172</v>
      </c>
      <c r="D1361" s="26"/>
      <c r="E1361" s="26">
        <v>0</v>
      </c>
      <c r="F1361" s="29" t="s">
        <v>3241</v>
      </c>
      <c r="G1361" s="26" t="s">
        <v>299</v>
      </c>
    </row>
    <row r="1362" spans="1:7" ht="30" customHeight="1">
      <c r="A1362" s="24" t="s">
        <v>3242</v>
      </c>
      <c r="B1362" s="24" t="s">
        <v>572</v>
      </c>
      <c r="C1362" s="24" t="s">
        <v>172</v>
      </c>
      <c r="D1362" s="24"/>
      <c r="E1362" s="24">
        <v>0</v>
      </c>
      <c r="F1362" s="28" t="s">
        <v>3243</v>
      </c>
      <c r="G1362" s="24" t="s">
        <v>299</v>
      </c>
    </row>
    <row r="1363" spans="1:7" ht="30" customHeight="1">
      <c r="A1363" s="26" t="s">
        <v>3244</v>
      </c>
      <c r="B1363" s="26" t="s">
        <v>143</v>
      </c>
      <c r="C1363" s="26" t="s">
        <v>172</v>
      </c>
      <c r="D1363" s="26"/>
      <c r="E1363" s="26">
        <v>0</v>
      </c>
      <c r="F1363" s="29" t="s">
        <v>3245</v>
      </c>
      <c r="G1363" s="26" t="s">
        <v>299</v>
      </c>
    </row>
    <row r="1364" spans="1:7" ht="30" customHeight="1">
      <c r="A1364" s="24" t="s">
        <v>3246</v>
      </c>
      <c r="B1364" s="24" t="s">
        <v>144</v>
      </c>
      <c r="C1364" s="24" t="s">
        <v>172</v>
      </c>
      <c r="D1364" s="24"/>
      <c r="E1364" s="24">
        <v>0</v>
      </c>
      <c r="F1364" s="28" t="s">
        <v>3247</v>
      </c>
      <c r="G1364" s="24" t="s">
        <v>299</v>
      </c>
    </row>
    <row r="1365" spans="1:7" ht="30" customHeight="1">
      <c r="A1365" s="26" t="s">
        <v>3248</v>
      </c>
      <c r="B1365" s="26" t="s">
        <v>581</v>
      </c>
      <c r="C1365" s="26" t="s">
        <v>172</v>
      </c>
      <c r="D1365" s="26"/>
      <c r="E1365" s="26">
        <v>0</v>
      </c>
      <c r="F1365" s="29" t="s">
        <v>3249</v>
      </c>
      <c r="G1365" s="26" t="s">
        <v>299</v>
      </c>
    </row>
    <row r="1366" spans="1:7" ht="30" customHeight="1">
      <c r="A1366" s="24" t="s">
        <v>3250</v>
      </c>
      <c r="B1366" s="24" t="s">
        <v>144</v>
      </c>
      <c r="C1366" s="24" t="s">
        <v>172</v>
      </c>
      <c r="D1366" s="24"/>
      <c r="E1366" s="24">
        <v>0</v>
      </c>
      <c r="F1366" s="28" t="s">
        <v>3251</v>
      </c>
      <c r="G1366" s="24" t="s">
        <v>299</v>
      </c>
    </row>
    <row r="1367" spans="1:7" ht="30" customHeight="1">
      <c r="A1367" s="26" t="s">
        <v>3252</v>
      </c>
      <c r="B1367" s="26" t="s">
        <v>143</v>
      </c>
      <c r="C1367" s="26" t="s">
        <v>172</v>
      </c>
      <c r="D1367" s="26"/>
      <c r="E1367" s="26">
        <v>0</v>
      </c>
      <c r="F1367" s="29" t="s">
        <v>3253</v>
      </c>
      <c r="G1367" s="26" t="s">
        <v>299</v>
      </c>
    </row>
    <row r="1368" spans="1:7" ht="30" customHeight="1">
      <c r="A1368" s="24" t="s">
        <v>3254</v>
      </c>
      <c r="B1368" s="24" t="s">
        <v>1099</v>
      </c>
      <c r="C1368" s="24" t="s">
        <v>172</v>
      </c>
      <c r="D1368" s="24"/>
      <c r="E1368" s="24">
        <v>0</v>
      </c>
      <c r="F1368" s="28" t="s">
        <v>3255</v>
      </c>
      <c r="G1368" s="24" t="s">
        <v>299</v>
      </c>
    </row>
    <row r="1369" spans="1:7" ht="30" customHeight="1">
      <c r="A1369" s="26" t="s">
        <v>3256</v>
      </c>
      <c r="B1369" s="26" t="s">
        <v>144</v>
      </c>
      <c r="C1369" s="26" t="s">
        <v>172</v>
      </c>
      <c r="D1369" s="26"/>
      <c r="E1369" s="26">
        <v>0</v>
      </c>
      <c r="F1369" s="29" t="s">
        <v>3257</v>
      </c>
      <c r="G1369" s="26" t="s">
        <v>299</v>
      </c>
    </row>
    <row r="1370" spans="1:7" ht="30" customHeight="1">
      <c r="A1370" s="24" t="s">
        <v>3258</v>
      </c>
      <c r="B1370" s="24" t="s">
        <v>143</v>
      </c>
      <c r="C1370" s="24" t="s">
        <v>172</v>
      </c>
      <c r="D1370" s="24"/>
      <c r="E1370" s="24">
        <v>0</v>
      </c>
      <c r="F1370" s="28" t="s">
        <v>3259</v>
      </c>
      <c r="G1370" s="24" t="s">
        <v>299</v>
      </c>
    </row>
    <row r="1371" spans="1:7" ht="30" customHeight="1">
      <c r="A1371" s="26" t="s">
        <v>3260</v>
      </c>
      <c r="B1371" s="26" t="s">
        <v>539</v>
      </c>
      <c r="C1371" s="26" t="s">
        <v>172</v>
      </c>
      <c r="D1371" s="26"/>
      <c r="E1371" s="26">
        <v>0</v>
      </c>
      <c r="F1371" s="29" t="s">
        <v>3261</v>
      </c>
      <c r="G1371" s="26" t="s">
        <v>299</v>
      </c>
    </row>
    <row r="1372" spans="1:7" ht="30" customHeight="1">
      <c r="A1372" s="24" t="s">
        <v>3262</v>
      </c>
      <c r="B1372" s="24" t="s">
        <v>143</v>
      </c>
      <c r="C1372" s="24" t="s">
        <v>172</v>
      </c>
      <c r="D1372" s="24"/>
      <c r="E1372" s="24">
        <v>0</v>
      </c>
      <c r="F1372" s="28" t="s">
        <v>3263</v>
      </c>
      <c r="G1372" s="24" t="s">
        <v>299</v>
      </c>
    </row>
    <row r="1373" spans="1:7" ht="30" customHeight="1">
      <c r="A1373" s="26" t="s">
        <v>3264</v>
      </c>
      <c r="B1373" s="26" t="s">
        <v>143</v>
      </c>
      <c r="C1373" s="26" t="s">
        <v>172</v>
      </c>
      <c r="D1373" s="26"/>
      <c r="E1373" s="26">
        <v>0</v>
      </c>
      <c r="F1373" s="29" t="s">
        <v>3265</v>
      </c>
      <c r="G1373" s="26" t="s">
        <v>299</v>
      </c>
    </row>
    <row r="1374" spans="1:7" ht="30" customHeight="1">
      <c r="A1374" s="24" t="s">
        <v>3266</v>
      </c>
      <c r="B1374" s="24" t="s">
        <v>144</v>
      </c>
      <c r="C1374" s="24" t="s">
        <v>172</v>
      </c>
      <c r="D1374" s="24"/>
      <c r="E1374" s="24">
        <v>0</v>
      </c>
      <c r="F1374" s="28" t="s">
        <v>3267</v>
      </c>
      <c r="G1374" s="24" t="s">
        <v>299</v>
      </c>
    </row>
    <row r="1375" spans="1:7" ht="30" customHeight="1">
      <c r="A1375" s="26" t="s">
        <v>3268</v>
      </c>
      <c r="B1375" s="26" t="s">
        <v>143</v>
      </c>
      <c r="C1375" s="26" t="s">
        <v>172</v>
      </c>
      <c r="D1375" s="26"/>
      <c r="E1375" s="26">
        <v>0</v>
      </c>
      <c r="F1375" s="29" t="s">
        <v>3269</v>
      </c>
      <c r="G1375" s="26" t="s">
        <v>299</v>
      </c>
    </row>
    <row r="1376" spans="1:7" ht="30" customHeight="1">
      <c r="A1376" s="24" t="s">
        <v>3270</v>
      </c>
      <c r="B1376" s="24" t="s">
        <v>143</v>
      </c>
      <c r="C1376" s="24" t="s">
        <v>172</v>
      </c>
      <c r="D1376" s="24"/>
      <c r="E1376" s="24">
        <v>0</v>
      </c>
      <c r="F1376" s="28" t="s">
        <v>3271</v>
      </c>
      <c r="G1376" s="24" t="s">
        <v>299</v>
      </c>
    </row>
    <row r="1377" spans="1:7" ht="30" customHeight="1">
      <c r="A1377" s="26" t="s">
        <v>3272</v>
      </c>
      <c r="B1377" s="26" t="s">
        <v>143</v>
      </c>
      <c r="C1377" s="26" t="s">
        <v>172</v>
      </c>
      <c r="D1377" s="26"/>
      <c r="E1377" s="26">
        <v>0</v>
      </c>
      <c r="F1377" s="29" t="s">
        <v>3273</v>
      </c>
      <c r="G1377" s="26" t="s">
        <v>299</v>
      </c>
    </row>
    <row r="1378" spans="1:7" ht="30" customHeight="1">
      <c r="A1378" s="24" t="s">
        <v>3274</v>
      </c>
      <c r="B1378" s="24" t="s">
        <v>143</v>
      </c>
      <c r="C1378" s="24" t="s">
        <v>172</v>
      </c>
      <c r="D1378" s="24"/>
      <c r="E1378" s="24">
        <v>0</v>
      </c>
      <c r="F1378" s="28" t="s">
        <v>3275</v>
      </c>
      <c r="G1378" s="24" t="s">
        <v>299</v>
      </c>
    </row>
    <row r="1379" spans="1:7" ht="30" customHeight="1">
      <c r="A1379" s="26" t="s">
        <v>3276</v>
      </c>
      <c r="B1379" s="26" t="s">
        <v>143</v>
      </c>
      <c r="C1379" s="26" t="s">
        <v>172</v>
      </c>
      <c r="D1379" s="26"/>
      <c r="E1379" s="26">
        <v>0</v>
      </c>
      <c r="F1379" s="29" t="s">
        <v>3277</v>
      </c>
      <c r="G1379" s="26" t="s">
        <v>299</v>
      </c>
    </row>
    <row r="1380" spans="1:7" ht="30" customHeight="1">
      <c r="A1380" s="24" t="s">
        <v>225</v>
      </c>
      <c r="B1380" s="24" t="s">
        <v>226</v>
      </c>
      <c r="C1380" s="24" t="s">
        <v>182</v>
      </c>
      <c r="D1380" s="24" t="s">
        <v>174</v>
      </c>
      <c r="E1380" s="24">
        <v>1</v>
      </c>
      <c r="F1380" s="28" t="s">
        <v>228</v>
      </c>
      <c r="G1380" s="24" t="s">
        <v>299</v>
      </c>
    </row>
    <row r="1381" spans="1:7" ht="30" customHeight="1">
      <c r="A1381" s="26" t="s">
        <v>3278</v>
      </c>
      <c r="B1381" s="26" t="s">
        <v>144</v>
      </c>
      <c r="C1381" s="26" t="s">
        <v>172</v>
      </c>
      <c r="D1381" s="26"/>
      <c r="E1381" s="26">
        <v>0</v>
      </c>
      <c r="F1381" s="29" t="s">
        <v>3279</v>
      </c>
      <c r="G1381" s="26" t="s">
        <v>299</v>
      </c>
    </row>
    <row r="1382" spans="1:7" ht="30" customHeight="1">
      <c r="A1382" s="24" t="s">
        <v>3280</v>
      </c>
      <c r="B1382" s="24" t="s">
        <v>143</v>
      </c>
      <c r="C1382" s="24" t="s">
        <v>172</v>
      </c>
      <c r="D1382" s="24"/>
      <c r="E1382" s="24">
        <v>0</v>
      </c>
      <c r="F1382" s="28" t="s">
        <v>3281</v>
      </c>
      <c r="G1382" s="24" t="s">
        <v>299</v>
      </c>
    </row>
    <row r="1383" spans="1:7" ht="30" customHeight="1">
      <c r="A1383" s="26" t="s">
        <v>3282</v>
      </c>
      <c r="B1383" s="26" t="s">
        <v>558</v>
      </c>
      <c r="C1383" s="26" t="s">
        <v>172</v>
      </c>
      <c r="D1383" s="26"/>
      <c r="E1383" s="26">
        <v>0</v>
      </c>
      <c r="F1383" s="29" t="s">
        <v>3283</v>
      </c>
      <c r="G1383" s="26" t="s">
        <v>299</v>
      </c>
    </row>
    <row r="1384" spans="1:7" ht="30" customHeight="1">
      <c r="A1384" s="24" t="s">
        <v>3284</v>
      </c>
      <c r="B1384" s="24" t="s">
        <v>143</v>
      </c>
      <c r="C1384" s="24" t="s">
        <v>172</v>
      </c>
      <c r="D1384" s="24"/>
      <c r="E1384" s="24">
        <v>0</v>
      </c>
      <c r="F1384" s="28" t="s">
        <v>3285</v>
      </c>
      <c r="G1384" s="24" t="s">
        <v>299</v>
      </c>
    </row>
    <row r="1385" spans="1:7" ht="30" customHeight="1">
      <c r="A1385" s="26" t="s">
        <v>3286</v>
      </c>
      <c r="B1385" s="26" t="s">
        <v>143</v>
      </c>
      <c r="C1385" s="26" t="s">
        <v>172</v>
      </c>
      <c r="D1385" s="26"/>
      <c r="E1385" s="26">
        <v>0</v>
      </c>
      <c r="F1385" s="29" t="s">
        <v>3287</v>
      </c>
      <c r="G1385" s="26" t="s">
        <v>299</v>
      </c>
    </row>
    <row r="1386" spans="1:7" ht="30" customHeight="1">
      <c r="A1386" s="24" t="s">
        <v>3288</v>
      </c>
      <c r="B1386" s="24" t="s">
        <v>143</v>
      </c>
      <c r="C1386" s="24" t="s">
        <v>172</v>
      </c>
      <c r="D1386" s="24"/>
      <c r="E1386" s="24">
        <v>0</v>
      </c>
      <c r="F1386" s="28" t="s">
        <v>3289</v>
      </c>
      <c r="G1386" s="24" t="s">
        <v>299</v>
      </c>
    </row>
    <row r="1387" spans="1:7" ht="30" customHeight="1">
      <c r="A1387" s="26" t="s">
        <v>3290</v>
      </c>
      <c r="B1387" s="26" t="s">
        <v>143</v>
      </c>
      <c r="C1387" s="26" t="s">
        <v>172</v>
      </c>
      <c r="D1387" s="26"/>
      <c r="E1387" s="26">
        <v>0</v>
      </c>
      <c r="F1387" s="29" t="s">
        <v>3291</v>
      </c>
      <c r="G1387" s="26" t="s">
        <v>299</v>
      </c>
    </row>
    <row r="1388" spans="1:7" ht="30" customHeight="1">
      <c r="A1388" s="24" t="s">
        <v>3292</v>
      </c>
      <c r="B1388" s="24" t="s">
        <v>581</v>
      </c>
      <c r="C1388" s="24" t="s">
        <v>172</v>
      </c>
      <c r="D1388" s="24"/>
      <c r="E1388" s="24">
        <v>0</v>
      </c>
      <c r="F1388" s="28" t="s">
        <v>3293</v>
      </c>
      <c r="G1388" s="24" t="s">
        <v>299</v>
      </c>
    </row>
    <row r="1389" spans="1:7" ht="30" customHeight="1">
      <c r="A1389" s="26" t="s">
        <v>3294</v>
      </c>
      <c r="B1389" s="26" t="s">
        <v>1099</v>
      </c>
      <c r="C1389" s="26" t="s">
        <v>172</v>
      </c>
      <c r="D1389" s="26"/>
      <c r="E1389" s="26">
        <v>0</v>
      </c>
      <c r="F1389" s="29" t="s">
        <v>3295</v>
      </c>
      <c r="G1389" s="26" t="s">
        <v>299</v>
      </c>
    </row>
    <row r="1390" spans="1:7" ht="30" customHeight="1">
      <c r="A1390" s="24" t="s">
        <v>3296</v>
      </c>
      <c r="B1390" s="24" t="s">
        <v>143</v>
      </c>
      <c r="C1390" s="24" t="s">
        <v>172</v>
      </c>
      <c r="D1390" s="24"/>
      <c r="E1390" s="24">
        <v>0</v>
      </c>
      <c r="F1390" s="28" t="s">
        <v>3297</v>
      </c>
      <c r="G1390" s="24" t="s">
        <v>299</v>
      </c>
    </row>
    <row r="1391" spans="1:7" ht="30" customHeight="1">
      <c r="A1391" s="26" t="s">
        <v>3298</v>
      </c>
      <c r="B1391" s="26" t="s">
        <v>1099</v>
      </c>
      <c r="C1391" s="26" t="s">
        <v>172</v>
      </c>
      <c r="D1391" s="26"/>
      <c r="E1391" s="26">
        <v>0</v>
      </c>
      <c r="F1391" s="29" t="s">
        <v>3299</v>
      </c>
      <c r="G1391" s="26" t="s">
        <v>299</v>
      </c>
    </row>
    <row r="1392" spans="1:7" ht="30" customHeight="1">
      <c r="A1392" s="24" t="s">
        <v>3300</v>
      </c>
      <c r="B1392" s="24" t="s">
        <v>569</v>
      </c>
      <c r="C1392" s="24" t="s">
        <v>172</v>
      </c>
      <c r="D1392" s="24"/>
      <c r="E1392" s="24">
        <v>0</v>
      </c>
      <c r="F1392" s="28" t="s">
        <v>3301</v>
      </c>
      <c r="G1392" s="24" t="s">
        <v>299</v>
      </c>
    </row>
    <row r="1393" spans="1:7" ht="30" customHeight="1">
      <c r="A1393" s="26" t="s">
        <v>3302</v>
      </c>
      <c r="B1393" s="26" t="s">
        <v>143</v>
      </c>
      <c r="C1393" s="26" t="s">
        <v>172</v>
      </c>
      <c r="D1393" s="26"/>
      <c r="E1393" s="26">
        <v>0</v>
      </c>
      <c r="F1393" s="29" t="s">
        <v>3303</v>
      </c>
      <c r="G1393" s="26" t="s">
        <v>299</v>
      </c>
    </row>
    <row r="1394" spans="1:7" ht="30" customHeight="1">
      <c r="A1394" s="24" t="s">
        <v>3304</v>
      </c>
      <c r="B1394" s="24" t="s">
        <v>143</v>
      </c>
      <c r="C1394" s="24" t="s">
        <v>172</v>
      </c>
      <c r="D1394" s="24"/>
      <c r="E1394" s="24">
        <v>0</v>
      </c>
      <c r="F1394" s="28" t="s">
        <v>3305</v>
      </c>
      <c r="G1394" s="24" t="s">
        <v>299</v>
      </c>
    </row>
    <row r="1395" spans="1:7" ht="30" customHeight="1">
      <c r="A1395" s="26" t="s">
        <v>3306</v>
      </c>
      <c r="B1395" s="26" t="s">
        <v>144</v>
      </c>
      <c r="C1395" s="26" t="s">
        <v>172</v>
      </c>
      <c r="D1395" s="26"/>
      <c r="E1395" s="26">
        <v>0</v>
      </c>
      <c r="F1395" s="29" t="s">
        <v>3307</v>
      </c>
      <c r="G1395" s="26" t="s">
        <v>299</v>
      </c>
    </row>
    <row r="1396" spans="1:7" ht="30" customHeight="1">
      <c r="A1396" s="24" t="s">
        <v>3308</v>
      </c>
      <c r="B1396" s="24" t="s">
        <v>144</v>
      </c>
      <c r="C1396" s="24" t="s">
        <v>172</v>
      </c>
      <c r="D1396" s="24"/>
      <c r="E1396" s="24">
        <v>0</v>
      </c>
      <c r="F1396" s="28" t="s">
        <v>3309</v>
      </c>
      <c r="G1396" s="24" t="s">
        <v>299</v>
      </c>
    </row>
    <row r="1397" spans="1:7" ht="30" customHeight="1">
      <c r="A1397" s="26" t="s">
        <v>3310</v>
      </c>
      <c r="B1397" s="26" t="s">
        <v>539</v>
      </c>
      <c r="C1397" s="26" t="s">
        <v>172</v>
      </c>
      <c r="D1397" s="26"/>
      <c r="E1397" s="26">
        <v>0</v>
      </c>
      <c r="F1397" s="29" t="s">
        <v>3311</v>
      </c>
      <c r="G1397" s="26" t="s">
        <v>299</v>
      </c>
    </row>
    <row r="1398" spans="1:7" ht="30" customHeight="1">
      <c r="A1398" s="24" t="s">
        <v>3312</v>
      </c>
      <c r="B1398" s="24" t="s">
        <v>572</v>
      </c>
      <c r="C1398" s="24" t="s">
        <v>172</v>
      </c>
      <c r="D1398" s="24"/>
      <c r="E1398" s="24">
        <v>0</v>
      </c>
      <c r="F1398" s="28" t="s">
        <v>3313</v>
      </c>
      <c r="G1398" s="24" t="s">
        <v>299</v>
      </c>
    </row>
    <row r="1399" spans="1:7" ht="30" customHeight="1">
      <c r="A1399" s="26" t="s">
        <v>3314</v>
      </c>
      <c r="B1399" s="26" t="s">
        <v>143</v>
      </c>
      <c r="C1399" s="26" t="s">
        <v>172</v>
      </c>
      <c r="D1399" s="26"/>
      <c r="E1399" s="26">
        <v>0</v>
      </c>
      <c r="F1399" s="29" t="s">
        <v>3315</v>
      </c>
      <c r="G1399" s="26" t="s">
        <v>299</v>
      </c>
    </row>
    <row r="1400" spans="1:7" ht="30" customHeight="1">
      <c r="A1400" s="24" t="s">
        <v>3316</v>
      </c>
      <c r="B1400" s="24" t="s">
        <v>143</v>
      </c>
      <c r="C1400" s="24" t="s">
        <v>172</v>
      </c>
      <c r="D1400" s="24"/>
      <c r="E1400" s="24">
        <v>0</v>
      </c>
      <c r="F1400" s="28" t="s">
        <v>3317</v>
      </c>
      <c r="G1400" s="24" t="s">
        <v>299</v>
      </c>
    </row>
    <row r="1401" spans="1:7" ht="30" customHeight="1">
      <c r="A1401" s="26" t="s">
        <v>3318</v>
      </c>
      <c r="B1401" s="26" t="s">
        <v>569</v>
      </c>
      <c r="C1401" s="26" t="s">
        <v>172</v>
      </c>
      <c r="D1401" s="26"/>
      <c r="E1401" s="26">
        <v>0</v>
      </c>
      <c r="F1401" s="29" t="s">
        <v>3319</v>
      </c>
      <c r="G1401" s="26" t="s">
        <v>299</v>
      </c>
    </row>
    <row r="1402" spans="1:7" ht="30" customHeight="1">
      <c r="A1402" s="24" t="s">
        <v>3320</v>
      </c>
      <c r="B1402" s="24" t="s">
        <v>143</v>
      </c>
      <c r="C1402" s="24" t="s">
        <v>172</v>
      </c>
      <c r="D1402" s="24"/>
      <c r="E1402" s="24">
        <v>0</v>
      </c>
      <c r="F1402" s="28" t="s">
        <v>3321</v>
      </c>
      <c r="G1402" s="24" t="s">
        <v>299</v>
      </c>
    </row>
    <row r="1403" spans="1:7" ht="30" customHeight="1">
      <c r="A1403" s="26" t="s">
        <v>3322</v>
      </c>
      <c r="B1403" s="26" t="s">
        <v>1099</v>
      </c>
      <c r="C1403" s="26" t="s">
        <v>172</v>
      </c>
      <c r="D1403" s="26"/>
      <c r="E1403" s="26">
        <v>0</v>
      </c>
      <c r="F1403" s="29" t="s">
        <v>3323</v>
      </c>
      <c r="G1403" s="26" t="s">
        <v>299</v>
      </c>
    </row>
    <row r="1404" spans="1:7" ht="30" customHeight="1">
      <c r="A1404" s="24" t="s">
        <v>3324</v>
      </c>
      <c r="B1404" s="24" t="s">
        <v>144</v>
      </c>
      <c r="C1404" s="24" t="s">
        <v>172</v>
      </c>
      <c r="D1404" s="24"/>
      <c r="E1404" s="24">
        <v>0</v>
      </c>
      <c r="F1404" s="28" t="s">
        <v>3325</v>
      </c>
      <c r="G1404" s="24" t="s">
        <v>299</v>
      </c>
    </row>
    <row r="1405" spans="1:7" ht="30" customHeight="1">
      <c r="A1405" s="26" t="s">
        <v>3326</v>
      </c>
      <c r="B1405" s="26" t="s">
        <v>143</v>
      </c>
      <c r="C1405" s="26" t="s">
        <v>172</v>
      </c>
      <c r="D1405" s="26"/>
      <c r="E1405" s="26">
        <v>0</v>
      </c>
      <c r="F1405" s="29" t="s">
        <v>3327</v>
      </c>
      <c r="G1405" s="26" t="s">
        <v>299</v>
      </c>
    </row>
    <row r="1406" spans="1:7" ht="30" customHeight="1">
      <c r="A1406" s="24" t="s">
        <v>3328</v>
      </c>
      <c r="B1406" s="24" t="s">
        <v>143</v>
      </c>
      <c r="C1406" s="24" t="s">
        <v>172</v>
      </c>
      <c r="D1406" s="24"/>
      <c r="E1406" s="24">
        <v>0</v>
      </c>
      <c r="F1406" s="28" t="s">
        <v>3329</v>
      </c>
      <c r="G1406" s="24" t="s">
        <v>299</v>
      </c>
    </row>
    <row r="1407" spans="1:7" ht="30" customHeight="1">
      <c r="A1407" s="26" t="s">
        <v>3330</v>
      </c>
      <c r="B1407" s="26" t="s">
        <v>539</v>
      </c>
      <c r="C1407" s="26" t="s">
        <v>172</v>
      </c>
      <c r="D1407" s="26"/>
      <c r="E1407" s="26">
        <v>0</v>
      </c>
      <c r="F1407" s="29" t="s">
        <v>3331</v>
      </c>
      <c r="G1407" s="26" t="s">
        <v>299</v>
      </c>
    </row>
    <row r="1408" spans="1:7" ht="30" customHeight="1">
      <c r="A1408" s="24" t="s">
        <v>3332</v>
      </c>
      <c r="B1408" s="24" t="s">
        <v>144</v>
      </c>
      <c r="C1408" s="24" t="s">
        <v>172</v>
      </c>
      <c r="D1408" s="24"/>
      <c r="E1408" s="24">
        <v>0</v>
      </c>
      <c r="F1408" s="28" t="s">
        <v>3333</v>
      </c>
      <c r="G1408" s="24" t="s">
        <v>299</v>
      </c>
    </row>
    <row r="1409" spans="1:7" ht="30" customHeight="1">
      <c r="A1409" s="26" t="s">
        <v>3334</v>
      </c>
      <c r="B1409" s="26" t="s">
        <v>144</v>
      </c>
      <c r="C1409" s="26" t="s">
        <v>172</v>
      </c>
      <c r="D1409" s="26"/>
      <c r="E1409" s="26">
        <v>0</v>
      </c>
      <c r="F1409" s="29" t="s">
        <v>3335</v>
      </c>
      <c r="G1409" s="26" t="s">
        <v>299</v>
      </c>
    </row>
    <row r="1410" spans="1:7" ht="30" customHeight="1">
      <c r="A1410" s="24" t="s">
        <v>3336</v>
      </c>
      <c r="B1410" s="24" t="s">
        <v>144</v>
      </c>
      <c r="C1410" s="24" t="s">
        <v>172</v>
      </c>
      <c r="D1410" s="24"/>
      <c r="E1410" s="24">
        <v>0</v>
      </c>
      <c r="F1410" s="28" t="s">
        <v>3337</v>
      </c>
      <c r="G1410" s="24" t="s">
        <v>299</v>
      </c>
    </row>
    <row r="1411" spans="1:7" ht="30" customHeight="1">
      <c r="A1411" s="26" t="s">
        <v>3338</v>
      </c>
      <c r="B1411" s="26" t="s">
        <v>572</v>
      </c>
      <c r="C1411" s="26" t="s">
        <v>172</v>
      </c>
      <c r="D1411" s="26"/>
      <c r="E1411" s="26">
        <v>0</v>
      </c>
      <c r="F1411" s="29" t="s">
        <v>3339</v>
      </c>
      <c r="G1411" s="26" t="s">
        <v>299</v>
      </c>
    </row>
    <row r="1412" spans="1:7" ht="30" customHeight="1">
      <c r="A1412" s="24" t="s">
        <v>3340</v>
      </c>
      <c r="B1412" s="24" t="s">
        <v>143</v>
      </c>
      <c r="C1412" s="24" t="s">
        <v>172</v>
      </c>
      <c r="D1412" s="24"/>
      <c r="E1412" s="24">
        <v>0</v>
      </c>
      <c r="F1412" s="28" t="s">
        <v>3341</v>
      </c>
      <c r="G1412" s="24" t="s">
        <v>299</v>
      </c>
    </row>
    <row r="1413" spans="1:7" ht="30" customHeight="1">
      <c r="A1413" s="26" t="s">
        <v>3342</v>
      </c>
      <c r="B1413" s="26" t="s">
        <v>143</v>
      </c>
      <c r="C1413" s="26" t="s">
        <v>172</v>
      </c>
      <c r="D1413" s="26"/>
      <c r="E1413" s="26">
        <v>0</v>
      </c>
      <c r="F1413" s="29" t="s">
        <v>3343</v>
      </c>
      <c r="G1413" s="26" t="s">
        <v>299</v>
      </c>
    </row>
    <row r="1414" spans="1:7" ht="30" customHeight="1">
      <c r="A1414" s="24" t="s">
        <v>3344</v>
      </c>
      <c r="B1414" s="24" t="s">
        <v>143</v>
      </c>
      <c r="C1414" s="24" t="s">
        <v>172</v>
      </c>
      <c r="D1414" s="24"/>
      <c r="E1414" s="24">
        <v>0</v>
      </c>
      <c r="F1414" s="28" t="s">
        <v>3345</v>
      </c>
      <c r="G1414" s="24" t="s">
        <v>299</v>
      </c>
    </row>
    <row r="1415" spans="1:7" ht="30" customHeight="1">
      <c r="A1415" s="26" t="s">
        <v>3346</v>
      </c>
      <c r="B1415" s="26" t="s">
        <v>1099</v>
      </c>
      <c r="C1415" s="26" t="s">
        <v>172</v>
      </c>
      <c r="D1415" s="26"/>
      <c r="E1415" s="26">
        <v>0</v>
      </c>
      <c r="F1415" s="29" t="s">
        <v>3347</v>
      </c>
      <c r="G1415" s="26" t="s">
        <v>299</v>
      </c>
    </row>
    <row r="1416" spans="1:7" ht="30" customHeight="1">
      <c r="A1416" s="24" t="s">
        <v>3348</v>
      </c>
      <c r="B1416" s="24" t="s">
        <v>144</v>
      </c>
      <c r="C1416" s="24" t="s">
        <v>172</v>
      </c>
      <c r="D1416" s="24"/>
      <c r="E1416" s="24">
        <v>0</v>
      </c>
      <c r="F1416" s="28" t="s">
        <v>3349</v>
      </c>
      <c r="G1416" s="24" t="s">
        <v>299</v>
      </c>
    </row>
    <row r="1417" spans="1:7" ht="30" customHeight="1">
      <c r="A1417" s="26" t="s">
        <v>3350</v>
      </c>
      <c r="B1417" s="26" t="s">
        <v>539</v>
      </c>
      <c r="C1417" s="26" t="s">
        <v>172</v>
      </c>
      <c r="D1417" s="26"/>
      <c r="E1417" s="26">
        <v>0</v>
      </c>
      <c r="F1417" s="29" t="s">
        <v>3351</v>
      </c>
      <c r="G1417" s="26" t="s">
        <v>299</v>
      </c>
    </row>
    <row r="1418" spans="1:7" ht="30" customHeight="1">
      <c r="A1418" s="24" t="s">
        <v>3352</v>
      </c>
      <c r="B1418" s="24" t="s">
        <v>143</v>
      </c>
      <c r="C1418" s="24" t="s">
        <v>172</v>
      </c>
      <c r="D1418" s="24"/>
      <c r="E1418" s="24">
        <v>0</v>
      </c>
      <c r="F1418" s="28" t="s">
        <v>3353</v>
      </c>
      <c r="G1418" s="24" t="s">
        <v>299</v>
      </c>
    </row>
    <row r="1419" spans="1:7" ht="30" customHeight="1">
      <c r="A1419" s="26" t="s">
        <v>3354</v>
      </c>
      <c r="B1419" s="26" t="s">
        <v>581</v>
      </c>
      <c r="C1419" s="26" t="s">
        <v>172</v>
      </c>
      <c r="D1419" s="26"/>
      <c r="E1419" s="26">
        <v>0</v>
      </c>
      <c r="F1419" s="29" t="s">
        <v>3355</v>
      </c>
      <c r="G1419" s="26" t="s">
        <v>299</v>
      </c>
    </row>
    <row r="1420" spans="1:7" ht="30" customHeight="1">
      <c r="A1420" s="24" t="s">
        <v>3356</v>
      </c>
      <c r="B1420" s="24" t="s">
        <v>144</v>
      </c>
      <c r="C1420" s="24" t="s">
        <v>172</v>
      </c>
      <c r="D1420" s="24"/>
      <c r="E1420" s="24">
        <v>0</v>
      </c>
      <c r="F1420" s="28" t="s">
        <v>3357</v>
      </c>
      <c r="G1420" s="24" t="s">
        <v>299</v>
      </c>
    </row>
    <row r="1421" spans="1:7" ht="30" customHeight="1">
      <c r="A1421" s="26" t="s">
        <v>3358</v>
      </c>
      <c r="B1421" s="26" t="s">
        <v>539</v>
      </c>
      <c r="C1421" s="26" t="s">
        <v>172</v>
      </c>
      <c r="D1421" s="26"/>
      <c r="E1421" s="26">
        <v>0</v>
      </c>
      <c r="F1421" s="29" t="s">
        <v>3359</v>
      </c>
      <c r="G1421" s="26" t="s">
        <v>299</v>
      </c>
    </row>
    <row r="1422" spans="1:7" ht="30" customHeight="1">
      <c r="A1422" s="24" t="s">
        <v>3360</v>
      </c>
      <c r="B1422" s="24" t="s">
        <v>143</v>
      </c>
      <c r="C1422" s="24" t="s">
        <v>172</v>
      </c>
      <c r="D1422" s="24"/>
      <c r="E1422" s="24">
        <v>0</v>
      </c>
      <c r="F1422" s="28" t="s">
        <v>3361</v>
      </c>
      <c r="G1422" s="24" t="s">
        <v>299</v>
      </c>
    </row>
    <row r="1423" spans="1:7" ht="30" customHeight="1">
      <c r="A1423" s="26" t="s">
        <v>3362</v>
      </c>
      <c r="B1423" s="26" t="s">
        <v>539</v>
      </c>
      <c r="C1423" s="26" t="s">
        <v>172</v>
      </c>
      <c r="D1423" s="26"/>
      <c r="E1423" s="26">
        <v>0</v>
      </c>
      <c r="F1423" s="29" t="s">
        <v>3363</v>
      </c>
      <c r="G1423" s="26" t="s">
        <v>299</v>
      </c>
    </row>
    <row r="1424" spans="1:7" ht="30" customHeight="1">
      <c r="A1424" s="24" t="s">
        <v>3364</v>
      </c>
      <c r="B1424" s="24" t="s">
        <v>143</v>
      </c>
      <c r="C1424" s="24" t="s">
        <v>172</v>
      </c>
      <c r="D1424" s="24"/>
      <c r="E1424" s="24">
        <v>0</v>
      </c>
      <c r="F1424" s="28" t="s">
        <v>3365</v>
      </c>
      <c r="G1424" s="24" t="s">
        <v>299</v>
      </c>
    </row>
    <row r="1425" spans="1:7" ht="30" customHeight="1">
      <c r="A1425" s="26" t="s">
        <v>3366</v>
      </c>
      <c r="B1425" s="26" t="s">
        <v>230</v>
      </c>
      <c r="C1425" s="26" t="s">
        <v>172</v>
      </c>
      <c r="D1425" s="26"/>
      <c r="E1425" s="26">
        <v>0</v>
      </c>
      <c r="F1425" s="29" t="s">
        <v>3367</v>
      </c>
      <c r="G1425" s="26" t="s">
        <v>299</v>
      </c>
    </row>
    <row r="1426" spans="1:7" ht="30" customHeight="1">
      <c r="A1426" s="24" t="s">
        <v>3368</v>
      </c>
      <c r="B1426" s="24" t="s">
        <v>143</v>
      </c>
      <c r="C1426" s="24" t="s">
        <v>172</v>
      </c>
      <c r="D1426" s="24"/>
      <c r="E1426" s="24">
        <v>0</v>
      </c>
      <c r="F1426" s="28" t="s">
        <v>3369</v>
      </c>
      <c r="G1426" s="24" t="s">
        <v>299</v>
      </c>
    </row>
    <row r="1427" spans="1:7" ht="30" customHeight="1">
      <c r="A1427" s="26" t="s">
        <v>229</v>
      </c>
      <c r="B1427" s="26" t="s">
        <v>230</v>
      </c>
      <c r="C1427" s="26" t="s">
        <v>172</v>
      </c>
      <c r="D1427" s="26" t="s">
        <v>207</v>
      </c>
      <c r="E1427" s="26">
        <v>1</v>
      </c>
      <c r="F1427" s="29" t="s">
        <v>232</v>
      </c>
      <c r="G1427" s="26" t="s">
        <v>299</v>
      </c>
    </row>
    <row r="1428" spans="1:7" ht="30" customHeight="1">
      <c r="A1428" s="24" t="s">
        <v>3370</v>
      </c>
      <c r="B1428" s="24" t="s">
        <v>143</v>
      </c>
      <c r="C1428" s="24" t="s">
        <v>172</v>
      </c>
      <c r="D1428" s="24"/>
      <c r="E1428" s="24">
        <v>0</v>
      </c>
      <c r="F1428" s="28" t="s">
        <v>3371</v>
      </c>
      <c r="G1428" s="24" t="s">
        <v>299</v>
      </c>
    </row>
    <row r="1429" spans="1:7" ht="30" customHeight="1">
      <c r="A1429" s="26" t="s">
        <v>3372</v>
      </c>
      <c r="B1429" s="26" t="s">
        <v>143</v>
      </c>
      <c r="C1429" s="26" t="s">
        <v>172</v>
      </c>
      <c r="D1429" s="26"/>
      <c r="E1429" s="26">
        <v>0</v>
      </c>
      <c r="F1429" s="29" t="s">
        <v>3373</v>
      </c>
      <c r="G1429" s="26" t="s">
        <v>299</v>
      </c>
    </row>
    <row r="1430" spans="1:7" ht="30" customHeight="1">
      <c r="A1430" s="24" t="s">
        <v>3374</v>
      </c>
      <c r="B1430" s="24" t="s">
        <v>143</v>
      </c>
      <c r="C1430" s="24" t="s">
        <v>182</v>
      </c>
      <c r="D1430" s="24"/>
      <c r="E1430" s="24">
        <v>0</v>
      </c>
      <c r="F1430" s="28" t="s">
        <v>3375</v>
      </c>
      <c r="G1430" s="24" t="s">
        <v>299</v>
      </c>
    </row>
    <row r="1431" spans="1:7" ht="30" customHeight="1">
      <c r="A1431" s="26" t="s">
        <v>3376</v>
      </c>
      <c r="B1431" s="26" t="s">
        <v>1099</v>
      </c>
      <c r="C1431" s="26" t="s">
        <v>172</v>
      </c>
      <c r="D1431" s="26"/>
      <c r="E1431" s="26">
        <v>0</v>
      </c>
      <c r="F1431" s="29" t="s">
        <v>3377</v>
      </c>
      <c r="G1431" s="26" t="s">
        <v>299</v>
      </c>
    </row>
    <row r="1432" spans="1:7" ht="30" customHeight="1">
      <c r="A1432" s="24" t="s">
        <v>3378</v>
      </c>
      <c r="B1432" s="24" t="s">
        <v>544</v>
      </c>
      <c r="C1432" s="24" t="s">
        <v>172</v>
      </c>
      <c r="D1432" s="24"/>
      <c r="E1432" s="24">
        <v>0</v>
      </c>
      <c r="F1432" s="28" t="s">
        <v>3379</v>
      </c>
      <c r="G1432" s="24" t="s">
        <v>299</v>
      </c>
    </row>
    <row r="1433" spans="1:7" ht="30" customHeight="1">
      <c r="A1433" s="26" t="s">
        <v>3380</v>
      </c>
      <c r="B1433" s="26" t="s">
        <v>144</v>
      </c>
      <c r="C1433" s="26" t="s">
        <v>172</v>
      </c>
      <c r="D1433" s="26"/>
      <c r="E1433" s="26">
        <v>0</v>
      </c>
      <c r="F1433" s="29" t="s">
        <v>3381</v>
      </c>
      <c r="G1433" s="26" t="s">
        <v>299</v>
      </c>
    </row>
    <row r="1434" spans="1:7" ht="30" customHeight="1">
      <c r="A1434" s="24" t="s">
        <v>3382</v>
      </c>
      <c r="B1434" s="24" t="s">
        <v>572</v>
      </c>
      <c r="C1434" s="24" t="s">
        <v>172</v>
      </c>
      <c r="D1434" s="24"/>
      <c r="E1434" s="24">
        <v>0</v>
      </c>
      <c r="F1434" s="28" t="s">
        <v>3383</v>
      </c>
      <c r="G1434" s="24" t="s">
        <v>299</v>
      </c>
    </row>
    <row r="1435" spans="1:7" ht="30" customHeight="1">
      <c r="A1435" s="26" t="s">
        <v>3384</v>
      </c>
      <c r="B1435" s="26" t="s">
        <v>143</v>
      </c>
      <c r="C1435" s="26" t="s">
        <v>172</v>
      </c>
      <c r="D1435" s="26"/>
      <c r="E1435" s="26">
        <v>0</v>
      </c>
      <c r="F1435" s="29" t="s">
        <v>3385</v>
      </c>
      <c r="G1435" s="26" t="s">
        <v>299</v>
      </c>
    </row>
    <row r="1436" spans="1:7" ht="30" customHeight="1">
      <c r="A1436" s="24" t="s">
        <v>3386</v>
      </c>
      <c r="B1436" s="24" t="s">
        <v>144</v>
      </c>
      <c r="C1436" s="24" t="s">
        <v>172</v>
      </c>
      <c r="D1436" s="24"/>
      <c r="E1436" s="24">
        <v>0</v>
      </c>
      <c r="F1436" s="28" t="s">
        <v>3387</v>
      </c>
      <c r="G1436" s="24" t="s">
        <v>299</v>
      </c>
    </row>
    <row r="1437" spans="1:7" ht="30" customHeight="1">
      <c r="A1437" s="26" t="s">
        <v>3388</v>
      </c>
      <c r="B1437" s="26" t="s">
        <v>143</v>
      </c>
      <c r="C1437" s="26" t="s">
        <v>172</v>
      </c>
      <c r="D1437" s="26"/>
      <c r="E1437" s="26">
        <v>0</v>
      </c>
      <c r="F1437" s="29" t="s">
        <v>3389</v>
      </c>
      <c r="G1437" s="26" t="s">
        <v>299</v>
      </c>
    </row>
    <row r="1438" spans="1:7" ht="30" customHeight="1">
      <c r="A1438" s="24" t="s">
        <v>234</v>
      </c>
      <c r="B1438" s="24" t="s">
        <v>143</v>
      </c>
      <c r="C1438" s="24" t="s">
        <v>172</v>
      </c>
      <c r="D1438" s="24" t="s">
        <v>174</v>
      </c>
      <c r="E1438" s="24">
        <v>1</v>
      </c>
      <c r="F1438" s="28" t="s">
        <v>236</v>
      </c>
      <c r="G1438" s="24" t="s">
        <v>299</v>
      </c>
    </row>
    <row r="1439" spans="1:7" ht="30" customHeight="1">
      <c r="A1439" s="26" t="s">
        <v>3390</v>
      </c>
      <c r="B1439" s="26" t="s">
        <v>558</v>
      </c>
      <c r="C1439" s="26" t="s">
        <v>172</v>
      </c>
      <c r="D1439" s="26"/>
      <c r="E1439" s="26">
        <v>0</v>
      </c>
      <c r="F1439" s="29" t="s">
        <v>3391</v>
      </c>
      <c r="G1439" s="26" t="s">
        <v>299</v>
      </c>
    </row>
    <row r="1440" spans="1:7" ht="30" customHeight="1">
      <c r="A1440" s="24" t="s">
        <v>3392</v>
      </c>
      <c r="B1440" s="24" t="s">
        <v>143</v>
      </c>
      <c r="C1440" s="24" t="s">
        <v>172</v>
      </c>
      <c r="D1440" s="24"/>
      <c r="E1440" s="24">
        <v>0</v>
      </c>
      <c r="F1440" s="28" t="s">
        <v>3393</v>
      </c>
      <c r="G1440" s="24" t="s">
        <v>299</v>
      </c>
    </row>
    <row r="1441" spans="1:7" ht="30" customHeight="1">
      <c r="A1441" s="26" t="s">
        <v>3394</v>
      </c>
      <c r="B1441" s="26" t="s">
        <v>1099</v>
      </c>
      <c r="C1441" s="26" t="s">
        <v>172</v>
      </c>
      <c r="D1441" s="26"/>
      <c r="E1441" s="26">
        <v>0</v>
      </c>
      <c r="F1441" s="29" t="s">
        <v>3395</v>
      </c>
      <c r="G1441" s="26" t="s">
        <v>299</v>
      </c>
    </row>
    <row r="1442" spans="1:7" ht="30" customHeight="1">
      <c r="A1442" s="24" t="s">
        <v>3396</v>
      </c>
      <c r="B1442" s="24" t="s">
        <v>572</v>
      </c>
      <c r="C1442" s="24" t="s">
        <v>172</v>
      </c>
      <c r="D1442" s="24"/>
      <c r="E1442" s="24">
        <v>0</v>
      </c>
      <c r="F1442" s="28" t="s">
        <v>3397</v>
      </c>
      <c r="G1442" s="24" t="s">
        <v>299</v>
      </c>
    </row>
    <row r="1443" spans="1:7" ht="30" customHeight="1">
      <c r="A1443" s="26" t="s">
        <v>3398</v>
      </c>
      <c r="B1443" s="26" t="s">
        <v>145</v>
      </c>
      <c r="C1443" s="26" t="s">
        <v>172</v>
      </c>
      <c r="D1443" s="26"/>
      <c r="E1443" s="26">
        <v>0</v>
      </c>
      <c r="F1443" s="29" t="s">
        <v>3399</v>
      </c>
      <c r="G1443" s="26" t="s">
        <v>299</v>
      </c>
    </row>
    <row r="1444" spans="1:7" ht="30" customHeight="1">
      <c r="A1444" s="24" t="s">
        <v>3400</v>
      </c>
      <c r="B1444" s="24" t="s">
        <v>569</v>
      </c>
      <c r="C1444" s="24" t="s">
        <v>172</v>
      </c>
      <c r="D1444" s="24"/>
      <c r="E1444" s="24">
        <v>0</v>
      </c>
      <c r="F1444" s="28" t="s">
        <v>3401</v>
      </c>
      <c r="G1444" s="24" t="s">
        <v>299</v>
      </c>
    </row>
    <row r="1445" spans="1:7" ht="30" customHeight="1">
      <c r="A1445" s="26" t="s">
        <v>3402</v>
      </c>
      <c r="B1445" s="26" t="s">
        <v>1099</v>
      </c>
      <c r="C1445" s="26" t="s">
        <v>172</v>
      </c>
      <c r="D1445" s="26"/>
      <c r="E1445" s="26">
        <v>0</v>
      </c>
      <c r="F1445" s="29" t="s">
        <v>3403</v>
      </c>
      <c r="G1445" s="26" t="s">
        <v>299</v>
      </c>
    </row>
    <row r="1446" spans="1:7" ht="30" customHeight="1">
      <c r="A1446" s="24" t="s">
        <v>238</v>
      </c>
      <c r="B1446" s="24" t="s">
        <v>143</v>
      </c>
      <c r="C1446" s="24" t="s">
        <v>172</v>
      </c>
      <c r="D1446" s="24" t="s">
        <v>174</v>
      </c>
      <c r="E1446" s="24">
        <v>1</v>
      </c>
      <c r="F1446" s="28" t="s">
        <v>240</v>
      </c>
      <c r="G1446" s="24" t="s">
        <v>299</v>
      </c>
    </row>
    <row r="1447" spans="1:7" ht="30" customHeight="1">
      <c r="A1447" s="26" t="s">
        <v>3404</v>
      </c>
      <c r="B1447" s="26" t="s">
        <v>143</v>
      </c>
      <c r="C1447" s="26" t="s">
        <v>172</v>
      </c>
      <c r="D1447" s="26"/>
      <c r="E1447" s="26">
        <v>0</v>
      </c>
      <c r="F1447" s="29" t="s">
        <v>3405</v>
      </c>
      <c r="G1447" s="26" t="s">
        <v>299</v>
      </c>
    </row>
    <row r="1448" spans="1:7" ht="30" customHeight="1">
      <c r="A1448" s="24" t="s">
        <v>3406</v>
      </c>
      <c r="B1448" s="24" t="s">
        <v>143</v>
      </c>
      <c r="C1448" s="24" t="s">
        <v>172</v>
      </c>
      <c r="D1448" s="24"/>
      <c r="E1448" s="24">
        <v>0</v>
      </c>
      <c r="F1448" s="28" t="s">
        <v>3407</v>
      </c>
      <c r="G1448" s="24" t="s">
        <v>299</v>
      </c>
    </row>
    <row r="1449" spans="1:7" ht="30" customHeight="1">
      <c r="A1449" s="26" t="s">
        <v>3408</v>
      </c>
      <c r="B1449" s="26" t="s">
        <v>171</v>
      </c>
      <c r="C1449" s="26" t="s">
        <v>172</v>
      </c>
      <c r="D1449" s="26"/>
      <c r="E1449" s="26">
        <v>0</v>
      </c>
      <c r="F1449" s="29" t="s">
        <v>3409</v>
      </c>
      <c r="G1449" s="26" t="s">
        <v>299</v>
      </c>
    </row>
    <row r="1450" spans="1:7" ht="30" customHeight="1">
      <c r="A1450" s="24" t="s">
        <v>3410</v>
      </c>
      <c r="B1450" s="24" t="s">
        <v>569</v>
      </c>
      <c r="C1450" s="24" t="s">
        <v>172</v>
      </c>
      <c r="D1450" s="24"/>
      <c r="E1450" s="24">
        <v>0</v>
      </c>
      <c r="F1450" s="28" t="s">
        <v>3411</v>
      </c>
      <c r="G1450" s="24" t="s">
        <v>299</v>
      </c>
    </row>
    <row r="1451" spans="1:7" ht="30" customHeight="1">
      <c r="A1451" s="26" t="s">
        <v>3412</v>
      </c>
      <c r="B1451" s="26" t="s">
        <v>569</v>
      </c>
      <c r="C1451" s="26" t="s">
        <v>172</v>
      </c>
      <c r="D1451" s="26"/>
      <c r="E1451" s="26">
        <v>0</v>
      </c>
      <c r="F1451" s="29" t="s">
        <v>3413</v>
      </c>
      <c r="G1451" s="26" t="s">
        <v>299</v>
      </c>
    </row>
    <row r="1452" spans="1:7" ht="30" customHeight="1">
      <c r="A1452" s="24" t="s">
        <v>3414</v>
      </c>
      <c r="B1452" s="24" t="s">
        <v>581</v>
      </c>
      <c r="C1452" s="24" t="s">
        <v>172</v>
      </c>
      <c r="D1452" s="24"/>
      <c r="E1452" s="24">
        <v>0</v>
      </c>
      <c r="F1452" s="28" t="s">
        <v>3415</v>
      </c>
      <c r="G1452" s="24" t="s">
        <v>299</v>
      </c>
    </row>
    <row r="1453" spans="1:7" ht="30" customHeight="1">
      <c r="A1453" s="26" t="s">
        <v>3416</v>
      </c>
      <c r="B1453" s="26" t="s">
        <v>144</v>
      </c>
      <c r="C1453" s="26" t="s">
        <v>172</v>
      </c>
      <c r="D1453" s="26"/>
      <c r="E1453" s="26">
        <v>0</v>
      </c>
      <c r="F1453" s="29" t="s">
        <v>3417</v>
      </c>
      <c r="G1453" s="26" t="s">
        <v>299</v>
      </c>
    </row>
    <row r="1454" spans="1:7" ht="30" customHeight="1">
      <c r="A1454" s="24" t="s">
        <v>3418</v>
      </c>
      <c r="B1454" s="24" t="s">
        <v>144</v>
      </c>
      <c r="C1454" s="24" t="s">
        <v>172</v>
      </c>
      <c r="D1454" s="24"/>
      <c r="E1454" s="24">
        <v>0</v>
      </c>
      <c r="F1454" s="28" t="s">
        <v>3419</v>
      </c>
      <c r="G1454" s="24" t="s">
        <v>299</v>
      </c>
    </row>
    <row r="1455" spans="1:7" ht="30" customHeight="1">
      <c r="A1455" s="26" t="s">
        <v>3420</v>
      </c>
      <c r="B1455" s="26" t="s">
        <v>144</v>
      </c>
      <c r="C1455" s="26" t="s">
        <v>172</v>
      </c>
      <c r="D1455" s="26"/>
      <c r="E1455" s="26">
        <v>0</v>
      </c>
      <c r="F1455" s="29" t="s">
        <v>3421</v>
      </c>
      <c r="G1455" s="26" t="s">
        <v>299</v>
      </c>
    </row>
    <row r="1456" spans="1:7" ht="30" customHeight="1">
      <c r="A1456" s="24" t="s">
        <v>3422</v>
      </c>
      <c r="B1456" s="24" t="s">
        <v>143</v>
      </c>
      <c r="C1456" s="24" t="s">
        <v>172</v>
      </c>
      <c r="D1456" s="24"/>
      <c r="E1456" s="24">
        <v>0</v>
      </c>
      <c r="F1456" s="28" t="s">
        <v>3423</v>
      </c>
      <c r="G1456" s="24" t="s">
        <v>299</v>
      </c>
    </row>
    <row r="1457" spans="1:7" ht="30" customHeight="1">
      <c r="A1457" s="26" t="s">
        <v>3424</v>
      </c>
      <c r="B1457" s="26" t="s">
        <v>539</v>
      </c>
      <c r="C1457" s="26" t="s">
        <v>172</v>
      </c>
      <c r="D1457" s="26"/>
      <c r="E1457" s="26">
        <v>0</v>
      </c>
      <c r="F1457" s="29" t="s">
        <v>3425</v>
      </c>
      <c r="G1457" s="26" t="s">
        <v>299</v>
      </c>
    </row>
    <row r="1458" spans="1:7" ht="30" customHeight="1">
      <c r="A1458" s="24" t="s">
        <v>3426</v>
      </c>
      <c r="B1458" s="24" t="s">
        <v>569</v>
      </c>
      <c r="C1458" s="24" t="s">
        <v>172</v>
      </c>
      <c r="D1458" s="24"/>
      <c r="E1458" s="24">
        <v>0</v>
      </c>
      <c r="F1458" s="28" t="s">
        <v>3427</v>
      </c>
      <c r="G1458" s="24" t="s">
        <v>299</v>
      </c>
    </row>
    <row r="1459" spans="1:7" ht="30" customHeight="1">
      <c r="A1459" s="26" t="s">
        <v>3428</v>
      </c>
      <c r="B1459" s="26" t="s">
        <v>572</v>
      </c>
      <c r="C1459" s="26" t="s">
        <v>172</v>
      </c>
      <c r="D1459" s="26"/>
      <c r="E1459" s="26">
        <v>0</v>
      </c>
      <c r="F1459" s="29" t="s">
        <v>3429</v>
      </c>
      <c r="G1459" s="26" t="s">
        <v>299</v>
      </c>
    </row>
    <row r="1460" spans="1:7" ht="30" customHeight="1">
      <c r="A1460" s="24" t="s">
        <v>3430</v>
      </c>
      <c r="B1460" s="24" t="s">
        <v>572</v>
      </c>
      <c r="C1460" s="24" t="s">
        <v>172</v>
      </c>
      <c r="D1460" s="24"/>
      <c r="E1460" s="24">
        <v>0</v>
      </c>
      <c r="F1460" s="28" t="s">
        <v>3431</v>
      </c>
      <c r="G1460" s="24" t="s">
        <v>299</v>
      </c>
    </row>
    <row r="1461" spans="1:7" ht="30" customHeight="1">
      <c r="A1461" s="26" t="s">
        <v>242</v>
      </c>
      <c r="B1461" s="26" t="s">
        <v>143</v>
      </c>
      <c r="C1461" s="26" t="s">
        <v>172</v>
      </c>
      <c r="D1461" s="26" t="s">
        <v>174</v>
      </c>
      <c r="E1461" s="26">
        <v>1</v>
      </c>
      <c r="F1461" s="29" t="s">
        <v>244</v>
      </c>
      <c r="G1461" s="26" t="s">
        <v>299</v>
      </c>
    </row>
    <row r="1462" spans="1:7" ht="30" customHeight="1">
      <c r="A1462" s="24" t="s">
        <v>3432</v>
      </c>
      <c r="B1462" s="24" t="s">
        <v>143</v>
      </c>
      <c r="C1462" s="24" t="s">
        <v>172</v>
      </c>
      <c r="D1462" s="24"/>
      <c r="E1462" s="24">
        <v>0</v>
      </c>
      <c r="F1462" s="28" t="s">
        <v>3433</v>
      </c>
      <c r="G1462" s="24" t="s">
        <v>299</v>
      </c>
    </row>
    <row r="1463" spans="1:7" ht="30" customHeight="1">
      <c r="A1463" s="26" t="s">
        <v>3434</v>
      </c>
      <c r="B1463" s="26" t="s">
        <v>143</v>
      </c>
      <c r="C1463" s="26" t="s">
        <v>182</v>
      </c>
      <c r="D1463" s="26"/>
      <c r="E1463" s="26">
        <v>0</v>
      </c>
      <c r="F1463" s="29" t="s">
        <v>3435</v>
      </c>
      <c r="G1463" s="26" t="s">
        <v>299</v>
      </c>
    </row>
    <row r="1464" spans="1:7" ht="30" customHeight="1">
      <c r="A1464" s="24" t="s">
        <v>3436</v>
      </c>
      <c r="B1464" s="24" t="s">
        <v>144</v>
      </c>
      <c r="C1464" s="24" t="s">
        <v>172</v>
      </c>
      <c r="D1464" s="24"/>
      <c r="E1464" s="24">
        <v>0</v>
      </c>
      <c r="F1464" s="28" t="s">
        <v>3437</v>
      </c>
      <c r="G1464" s="24" t="s">
        <v>299</v>
      </c>
    </row>
    <row r="1465" spans="1:7" ht="30" customHeight="1">
      <c r="A1465" s="26" t="s">
        <v>3438</v>
      </c>
      <c r="B1465" s="26" t="s">
        <v>144</v>
      </c>
      <c r="C1465" s="26" t="s">
        <v>172</v>
      </c>
      <c r="D1465" s="26"/>
      <c r="E1465" s="26">
        <v>0</v>
      </c>
      <c r="F1465" s="29" t="s">
        <v>3439</v>
      </c>
      <c r="G1465" s="26" t="s">
        <v>299</v>
      </c>
    </row>
    <row r="1466" spans="1:7" ht="30" customHeight="1">
      <c r="A1466" s="24" t="s">
        <v>3440</v>
      </c>
      <c r="B1466" s="24" t="s">
        <v>143</v>
      </c>
      <c r="C1466" s="24" t="s">
        <v>172</v>
      </c>
      <c r="D1466" s="24"/>
      <c r="E1466" s="24">
        <v>0</v>
      </c>
      <c r="F1466" s="28" t="s">
        <v>3441</v>
      </c>
      <c r="G1466" s="24" t="s">
        <v>299</v>
      </c>
    </row>
    <row r="1467" spans="1:7" ht="30" customHeight="1">
      <c r="A1467" s="26" t="s">
        <v>3442</v>
      </c>
      <c r="B1467" s="26" t="s">
        <v>143</v>
      </c>
      <c r="C1467" s="26" t="s">
        <v>172</v>
      </c>
      <c r="D1467" s="26"/>
      <c r="E1467" s="26">
        <v>0</v>
      </c>
      <c r="F1467" s="29" t="s">
        <v>3443</v>
      </c>
      <c r="G1467" s="26" t="s">
        <v>299</v>
      </c>
    </row>
    <row r="1468" spans="1:7" ht="30" customHeight="1">
      <c r="A1468" s="24" t="s">
        <v>3444</v>
      </c>
      <c r="B1468" s="24" t="s">
        <v>1099</v>
      </c>
      <c r="C1468" s="24" t="s">
        <v>172</v>
      </c>
      <c r="D1468" s="24"/>
      <c r="E1468" s="24">
        <v>0</v>
      </c>
      <c r="F1468" s="28" t="s">
        <v>3445</v>
      </c>
      <c r="G1468" s="24" t="s">
        <v>299</v>
      </c>
    </row>
    <row r="1469" spans="1:7" ht="30" customHeight="1">
      <c r="A1469" s="26" t="s">
        <v>3446</v>
      </c>
      <c r="B1469" s="26" t="s">
        <v>1099</v>
      </c>
      <c r="C1469" s="26" t="s">
        <v>172</v>
      </c>
      <c r="D1469" s="26"/>
      <c r="E1469" s="26">
        <v>0</v>
      </c>
      <c r="F1469" s="29" t="s">
        <v>3447</v>
      </c>
      <c r="G1469" s="26" t="s">
        <v>299</v>
      </c>
    </row>
    <row r="1470" spans="1:7" ht="30" customHeight="1">
      <c r="A1470" s="24" t="s">
        <v>3448</v>
      </c>
      <c r="B1470" s="24" t="s">
        <v>144</v>
      </c>
      <c r="C1470" s="24" t="s">
        <v>172</v>
      </c>
      <c r="D1470" s="24"/>
      <c r="E1470" s="24">
        <v>0</v>
      </c>
      <c r="F1470" s="28" t="s">
        <v>3449</v>
      </c>
      <c r="G1470" s="24" t="s">
        <v>299</v>
      </c>
    </row>
    <row r="1471" spans="1:7" ht="30" customHeight="1">
      <c r="A1471" s="26" t="s">
        <v>3450</v>
      </c>
      <c r="B1471" s="26" t="s">
        <v>143</v>
      </c>
      <c r="C1471" s="26" t="s">
        <v>172</v>
      </c>
      <c r="D1471" s="26"/>
      <c r="E1471" s="26">
        <v>0</v>
      </c>
      <c r="F1471" s="29" t="s">
        <v>3451</v>
      </c>
      <c r="G1471" s="26" t="s">
        <v>299</v>
      </c>
    </row>
    <row r="1472" spans="1:7" ht="30" customHeight="1">
      <c r="A1472" s="24" t="s">
        <v>3452</v>
      </c>
      <c r="B1472" s="24" t="s">
        <v>143</v>
      </c>
      <c r="C1472" s="24" t="s">
        <v>172</v>
      </c>
      <c r="D1472" s="24"/>
      <c r="E1472" s="24">
        <v>0</v>
      </c>
      <c r="F1472" s="28" t="s">
        <v>3453</v>
      </c>
      <c r="G1472" s="24" t="s">
        <v>299</v>
      </c>
    </row>
    <row r="1473" spans="1:7" ht="30" customHeight="1">
      <c r="A1473" s="26" t="s">
        <v>3454</v>
      </c>
      <c r="B1473" s="26" t="s">
        <v>572</v>
      </c>
      <c r="C1473" s="26" t="s">
        <v>172</v>
      </c>
      <c r="D1473" s="26"/>
      <c r="E1473" s="26">
        <v>0</v>
      </c>
      <c r="F1473" s="29" t="s">
        <v>3455</v>
      </c>
      <c r="G1473" s="26" t="s">
        <v>299</v>
      </c>
    </row>
    <row r="1474" spans="1:7" ht="30" customHeight="1">
      <c r="A1474" s="24" t="s">
        <v>3456</v>
      </c>
      <c r="B1474" s="24" t="s">
        <v>143</v>
      </c>
      <c r="C1474" s="24" t="s">
        <v>172</v>
      </c>
      <c r="D1474" s="24"/>
      <c r="E1474" s="24">
        <v>0</v>
      </c>
      <c r="F1474" s="28" t="s">
        <v>3457</v>
      </c>
      <c r="G1474" s="24" t="s">
        <v>299</v>
      </c>
    </row>
    <row r="1475" spans="1:7" ht="30" customHeight="1">
      <c r="A1475" s="26" t="s">
        <v>3458</v>
      </c>
      <c r="B1475" s="26" t="s">
        <v>143</v>
      </c>
      <c r="C1475" s="26" t="s">
        <v>172</v>
      </c>
      <c r="D1475" s="26"/>
      <c r="E1475" s="26">
        <v>0</v>
      </c>
      <c r="F1475" s="29" t="s">
        <v>3459</v>
      </c>
      <c r="G1475" s="26" t="s">
        <v>299</v>
      </c>
    </row>
    <row r="1476" spans="1:7" ht="30" customHeight="1">
      <c r="A1476" s="24" t="s">
        <v>3460</v>
      </c>
      <c r="B1476" s="24" t="s">
        <v>143</v>
      </c>
      <c r="C1476" s="24" t="s">
        <v>172</v>
      </c>
      <c r="D1476" s="24"/>
      <c r="E1476" s="24">
        <v>0</v>
      </c>
      <c r="F1476" s="28" t="s">
        <v>3461</v>
      </c>
      <c r="G1476" s="24" t="s">
        <v>299</v>
      </c>
    </row>
    <row r="1477" spans="1:7" ht="30" customHeight="1">
      <c r="A1477" s="26" t="s">
        <v>3462</v>
      </c>
      <c r="B1477" s="26" t="s">
        <v>143</v>
      </c>
      <c r="C1477" s="26" t="s">
        <v>172</v>
      </c>
      <c r="D1477" s="26"/>
      <c r="E1477" s="26">
        <v>0</v>
      </c>
      <c r="F1477" s="29" t="s">
        <v>3463</v>
      </c>
      <c r="G1477" s="26" t="s">
        <v>299</v>
      </c>
    </row>
    <row r="1478" spans="1:7" ht="30" customHeight="1">
      <c r="A1478" s="24" t="s">
        <v>3464</v>
      </c>
      <c r="B1478" s="24" t="s">
        <v>143</v>
      </c>
      <c r="C1478" s="24" t="s">
        <v>172</v>
      </c>
      <c r="D1478" s="24"/>
      <c r="E1478" s="24">
        <v>0</v>
      </c>
      <c r="F1478" s="28" t="s">
        <v>3465</v>
      </c>
      <c r="G1478" s="24" t="s">
        <v>299</v>
      </c>
    </row>
    <row r="1479" spans="1:7" ht="30" customHeight="1">
      <c r="A1479" s="26" t="s">
        <v>3466</v>
      </c>
      <c r="B1479" s="26" t="s">
        <v>534</v>
      </c>
      <c r="C1479" s="26" t="s">
        <v>172</v>
      </c>
      <c r="D1479" s="26"/>
      <c r="E1479" s="26">
        <v>0</v>
      </c>
      <c r="F1479" s="29" t="s">
        <v>3467</v>
      </c>
      <c r="G1479" s="26" t="s">
        <v>299</v>
      </c>
    </row>
    <row r="1480" spans="1:7" ht="30" customHeight="1">
      <c r="A1480" s="24" t="s">
        <v>3468</v>
      </c>
      <c r="B1480" s="24" t="s">
        <v>143</v>
      </c>
      <c r="C1480" s="24" t="s">
        <v>172</v>
      </c>
      <c r="D1480" s="24"/>
      <c r="E1480" s="24">
        <v>0</v>
      </c>
      <c r="F1480" s="28" t="s">
        <v>3469</v>
      </c>
      <c r="G1480" s="24" t="s">
        <v>299</v>
      </c>
    </row>
    <row r="1481" spans="1:7" ht="30" customHeight="1">
      <c r="A1481" s="26" t="s">
        <v>246</v>
      </c>
      <c r="B1481" s="26" t="s">
        <v>144</v>
      </c>
      <c r="C1481" s="26" t="s">
        <v>172</v>
      </c>
      <c r="D1481" s="26" t="s">
        <v>174</v>
      </c>
      <c r="E1481" s="26">
        <v>1</v>
      </c>
      <c r="F1481" s="29" t="s">
        <v>248</v>
      </c>
      <c r="G1481" s="26" t="s">
        <v>299</v>
      </c>
    </row>
    <row r="1482" spans="1:7" ht="30" customHeight="1">
      <c r="A1482" s="24" t="s">
        <v>3470</v>
      </c>
      <c r="B1482" s="24" t="s">
        <v>1099</v>
      </c>
      <c r="C1482" s="24" t="s">
        <v>172</v>
      </c>
      <c r="D1482" s="24"/>
      <c r="E1482" s="24">
        <v>0</v>
      </c>
      <c r="F1482" s="28" t="s">
        <v>3471</v>
      </c>
      <c r="G1482" s="24" t="s">
        <v>299</v>
      </c>
    </row>
    <row r="1483" spans="1:7" ht="30" customHeight="1">
      <c r="A1483" s="26" t="s">
        <v>3472</v>
      </c>
      <c r="B1483" s="26" t="s">
        <v>581</v>
      </c>
      <c r="C1483" s="26" t="s">
        <v>172</v>
      </c>
      <c r="D1483" s="26"/>
      <c r="E1483" s="26">
        <v>0</v>
      </c>
      <c r="F1483" s="29" t="s">
        <v>3473</v>
      </c>
      <c r="G1483" s="26" t="s">
        <v>299</v>
      </c>
    </row>
    <row r="1484" spans="1:7" ht="30" customHeight="1">
      <c r="A1484" s="24" t="s">
        <v>3474</v>
      </c>
      <c r="B1484" s="24" t="s">
        <v>1099</v>
      </c>
      <c r="C1484" s="24" t="s">
        <v>172</v>
      </c>
      <c r="D1484" s="24"/>
      <c r="E1484" s="24">
        <v>0</v>
      </c>
      <c r="F1484" s="28" t="s">
        <v>3475</v>
      </c>
      <c r="G1484" s="24" t="s">
        <v>299</v>
      </c>
    </row>
    <row r="1485" spans="1:7" ht="30" customHeight="1">
      <c r="A1485" s="26" t="s">
        <v>3476</v>
      </c>
      <c r="B1485" s="26" t="s">
        <v>143</v>
      </c>
      <c r="C1485" s="26" t="s">
        <v>182</v>
      </c>
      <c r="D1485" s="26"/>
      <c r="E1485" s="26">
        <v>0</v>
      </c>
      <c r="F1485" s="29" t="s">
        <v>3477</v>
      </c>
      <c r="G1485" s="26" t="s">
        <v>299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Gate_Matrix</vt:lpstr>
      <vt:lpstr>Site_Review</vt:lpstr>
      <vt:lpstr>Evidence</vt:lpstr>
      <vt:lpstr>QC_Checks</vt:lpstr>
      <vt:lpstr>WP003_Reference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2026-09-18T07:19:04Z</dcterms:created>
  <dcterms:modified xsi:type="dcterms:W3CDTF">2026-09-18T07:59:43Z</dcterms:modified>
</cp:coreProperties>
</file>