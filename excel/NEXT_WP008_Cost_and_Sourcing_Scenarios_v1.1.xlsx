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9af58f7d054054" /></Relationships>
</file>

<file path=xl/workbook.xml><?xml version="1.0" encoding="utf-8"?>
<x:workbook xmlns:x="http://schemas.openxmlformats.org/spreadsheetml/2006/main">
  <x:sheets>
    <x:sheet xmlns:r="http://schemas.openxmlformats.org/officeDocument/2006/relationships" name="Summary" sheetId="1" r:id="R16a436efec9345bf"/>
    <x:sheet xmlns:r="http://schemas.openxmlformats.org/officeDocument/2006/relationships" name="Assumptions" sheetId="2" r:id="Rc6ba766171304969"/>
    <x:sheet xmlns:r="http://schemas.openxmlformats.org/officeDocument/2006/relationships" name="Cost_Model" sheetId="3" r:id="R2374c9d400804390"/>
    <x:sheet xmlns:r="http://schemas.openxmlformats.org/officeDocument/2006/relationships" name="Candidate_Gates" sheetId="4" r:id="R1ffcd149edfd4836"/>
    <x:sheet xmlns:r="http://schemas.openxmlformats.org/officeDocument/2006/relationships" name="Trade_Periods" sheetId="5" r:id="R1633dfa832104c18"/>
    <x:sheet xmlns:r="http://schemas.openxmlformats.org/officeDocument/2006/relationships" name="Monthly_Data" sheetId="6" r:id="Rad0f1333e8874390"/>
    <x:sheet xmlns:r="http://schemas.openxmlformats.org/officeDocument/2006/relationships" name="Tariffs" sheetId="7" r:id="Rcc07b45aa08746b4"/>
    <x:sheet xmlns:r="http://schemas.openxmlformats.org/officeDocument/2006/relationships" name="QC_Checks" sheetId="8" r:id="R6de0852d58bf4dfa"/>
    <x:sheet xmlns:r="http://schemas.openxmlformats.org/officeDocument/2006/relationships" name="ReadMe" sheetId="10" r:id="Recb268292f6a41af"/>
  </x:sheets>
</x:workbook>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0%;[Red](0.0%);0.0%"/>
    <x:numFmt numFmtId="201" formatCode="#,##0"/>
    <x:numFmt numFmtId="202" formatCode="&quot;£&quot;0.00;[Red](&quot;£&quot;0.00);&quot;£&quot;0.00"/>
    <x:numFmt numFmtId="203" formatCode="0.0000"/>
    <x:numFmt numFmtId="204" formatCode="dd mmm yyyy"/>
    <x:numFmt numFmtId="205" formatCode="0.0"/>
    <x:numFmt numFmtId="206" formatCode="0.00"/>
    <x:numFmt numFmtId="207" formatCode="0.00000000"/>
    <x:numFmt numFmtId="208" formatCode="0.0&quot;×&quot;"/>
    <x:numFmt numFmtId="209" formatCode="0.00%"/>
    <x:numFmt numFmtId="210" formatCode="0.00&quot;×&quot;"/>
    <x:numFmt numFmtId="211" formatCode="0.000000"/>
    <x:numFmt numFmtId="212" formatCode="0.00%;[Red](0.00%);0.00%"/>
  </x:numFmts>
  <x:fonts count="6">
    <x:font>
      <x:sz val="11"/>
      <x:name val="Carlito"/>
    </x:font>
    <x:font>
      <x:sz val="10"/>
      <x:color rgb="FF203040"/>
      <x:name val="Arial"/>
    </x:font>
    <x:font>
      <x:b/>
      <x:sz val="15"/>
      <x:color rgb="FF24384D"/>
      <x:name val="Arial"/>
    </x:font>
    <x:font>
      <x:sz val="10"/>
      <x:color rgb="FF1453A3"/>
      <x:name val="Arial"/>
    </x:font>
    <x:font>
      <x:b/>
      <x:sz val="10"/>
      <x:color rgb="FFFFFFFF"/>
      <x:name val="Arial"/>
    </x:font>
    <x:font>
      <x:b/>
      <x:sz val="10"/>
      <x:color rgb="FF203040"/>
      <x:name val="Arial"/>
    </x:font>
  </x:fonts>
  <x:fills count="6">
    <x:fill>
      <x:patternFill patternType="none"/>
    </x:fill>
    <x:fill>
      <x:patternFill patternType="gray125"/>
    </x:fill>
    <x:fill>
      <x:patternFill patternType="solid">
        <x:fgColor rgb="FFFFF2CC"/>
      </x:patternFill>
    </x:fill>
    <x:fill>
      <x:patternFill patternType="solid">
        <x:fgColor rgb="FF24384D"/>
      </x:patternFill>
    </x:fill>
    <x:fill>
      <x:patternFill patternType="solid">
        <x:fgColor rgb="FFFFF2CC"/>
      </x:patternFill>
    </x:fill>
    <x:fill>
      <x:patternFill patternType="solid">
        <x:fgColor rgb="FF24384D"/>
      </x:patternFill>
    </x:fill>
  </x:fills>
  <x:borders count="2">
    <x:border/>
    <x:border>
      <x:bottom style="thin">
        <x:color rgb="FF33658A"/>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200" fontId="3" fillId="2"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4" fontId="3" fillId="2" borderId="0" xfId="0" applyNumberFormat="1" applyFont="1" applyFill="1" applyBorder="1" applyAlignment="1">
      <x:alignment vertical="center"/>
    </x:xf>
    <x:xf numFmtId="205" fontId="1" fillId="0" borderId="0" xfId="0" applyNumberFormat="1" applyFont="1" applyFill="1" applyBorder="1" applyAlignment="1">
      <x:alignment vertical="center"/>
    </x:xf>
    <x:xf numFmtId="206" fontId="1" fillId="0" borderId="0" xfId="0" applyNumberFormat="1" applyFont="1" applyFill="1" applyBorder="1" applyAlignment="1">
      <x:alignment vertical="center"/>
    </x:xf>
    <x:xf numFmtId="207" fontId="1"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208" fontId="3" fillId="4"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209" fontId="1" fillId="0" borderId="0" xfId="0" applyNumberFormat="1" applyFont="1" applyFill="1" applyBorder="1" applyAlignment="1">
      <x:alignment vertical="center"/>
    </x:xf>
    <x:xf numFmtId="0" fontId="1" fillId="0"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210" fontId="0" fillId="0" borderId="0" xfId="0" applyNumberFormat="1" applyFont="1" applyFill="1" applyBorder="1"/>
    <x:xf numFmtId="211" fontId="0" fillId="0" borderId="0" xfId="0" applyNumberFormat="1" applyFont="1" applyFill="1" applyBorder="1"/>
    <x:xf numFmtId="0" fontId="5" fillId="0" borderId="0" xfId="0" applyNumberFormat="1" applyFont="1" applyFill="1" applyBorder="1" applyAlignment="1">
      <x:alignment vertical="center" wrapText="1"/>
    </x:xf>
    <x:xf numFmtId="0" fontId="4" fillId="5" borderId="0" xfId="0" applyNumberFormat="1" applyFont="1" applyFill="1" applyBorder="1" applyAlignment="1">
      <x:alignment horizontal="center" vertical="center" wrapText="1"/>
    </x:xf>
    <x:xf numFmtId="209" fontId="1" fillId="0" borderId="0" xfId="0" applyNumberFormat="1" applyFont="1" applyFill="1" applyBorder="1"/>
    <x:xf numFmtId="210" fontId="1" fillId="0" borderId="0" xfId="0" applyNumberFormat="1" applyFont="1" applyFill="1" applyBorder="1" applyAlignment="1">
      <x:alignment vertical="center"/>
    </x:xf>
    <x:xf numFmtId="210" fontId="1" fillId="0" borderId="0" xfId="0" applyNumberFormat="1" applyFont="1" applyFill="1" applyBorder="1"/>
    <x:xf numFmtId="212" fontId="1" fillId="0" borderId="0" xfId="0" applyNumberFormat="1" applyFont="1" applyFill="1" applyBorder="1" applyAlignment="1">
      <x:alignment vertical="center"/>
    </x:xf>
  </x:cellXfs>
  <x:cellStyles count="1">
    <x:cellStyle name="Normal" xfId="0"/>
  </x:cellStyles>
  <x:dxfs count="13">
    <x:dxf>
      <x:font>
        <x:b/>
        <x:color rgb="FFA32020"/>
      </x:font>
      <x:fill>
        <x:patternFill>
          <x:bgColor rgb="FFFCE4D6"/>
        </x:patternFill>
      </x:fill>
    </x:dxf>
    <x:dxf>
      <x:fill>
        <x:patternFill>
          <x:bgColor rgb="FFFFF2CC"/>
        </x:patternFill>
      </x:fill>
    </x:dxf>
    <x:dxf>
      <x:font>
        <x:b/>
        <x:color rgb="FFA32020"/>
      </x:font>
      <x:fill>
        <x:patternFill>
          <x:bgColor rgb="FFFCE4D6"/>
        </x:patternFill>
      </x:fill>
    </x:dxf>
    <x:dxf>
      <x:fill>
        <x:patternFill>
          <x:bgColor rgb="FFFFF2CC"/>
        </x:patternFill>
      </x:fill>
    </x:dxf>
    <x:dxf>
      <x:font>
        <x:b/>
        <x:color rgb="FFA32020"/>
      </x:font>
      <x:fill>
        <x:patternFill>
          <x:bgColor rgb="FFFCE4D6"/>
        </x:patternFill>
      </x:fill>
    </x:dxf>
    <x:dxf>
      <x:fill>
        <x:patternFill>
          <x:bgColor rgb="FFFFF2CC"/>
        </x:patternFill>
      </x:fill>
    </x:dxf>
    <x:dxf>
      <x:font>
        <x:b/>
        <x:color rgb="FFA32020"/>
      </x:font>
      <x:fill>
        <x:patternFill>
          <x:bgColor rgb="FFFCE4D6"/>
        </x:patternFill>
      </x:fill>
    </x:dxf>
    <x:dxf>
      <x:fill>
        <x:patternFill>
          <x:bgColor rgb="FFFFF2CC"/>
        </x:patternFill>
      </x:fill>
    </x:dxf>
    <x:dxf>
      <x:font>
        <x:b/>
        <x:color rgb="FFA32020"/>
      </x:font>
      <x:fill>
        <x:patternFill>
          <x:bgColor rgb="FFFCE4D6"/>
        </x:patternFill>
      </x:fill>
    </x:dxf>
    <x:dxf>
      <x:fill>
        <x:patternFill>
          <x:bgColor rgb="FFFFF2CC"/>
        </x:patternFill>
      </x:fill>
    </x:dxf>
    <x:dxf>
      <x:font>
        <x:b/>
        <x:color rgb="FFA32020"/>
      </x:font>
      <x:fill>
        <x:patternFill>
          <x:bgColor rgb="FFFCE4D6"/>
        </x:patternFill>
      </x:fill>
    </x:dxf>
    <x:dxf>
      <x:fill>
        <x:patternFill>
          <x:bgColor rgb="FFFFF2CC"/>
        </x:patternFill>
      </x:fill>
    </x:dxf>
    <x:dxf>
      <x:font>
        <x:b/>
        <x:color rgb="FFA32020"/>
      </x:font>
      <x:fill>
        <x:patternFill patternType="solid">
          <x:bgColor rgb="FFFCE4D6"/>
        </x:patternFill>
      </x:fill>
    </x:dxf>
  </x:dxfs>
</x:styleSheet>
</file>

<file path=xl/_rels/workbook.xml.rels><?xml version='1.0' encoding='UTF-8' standalone='yes'?>
<Relationships xmlns="http://schemas.openxmlformats.org/package/2006/relationships"><Relationship Type="http://schemas.openxmlformats.org/officeDocument/2006/relationships/styles" Target="/xl/styles.xml" Id="R4575c9c203674ceb"/><Relationship Type="http://schemas.openxmlformats.org/officeDocument/2006/relationships/theme" Target="/xl/theme/theme1.xml" Id="R9659f6a02d5a4972"/><Relationship Type="http://schemas.openxmlformats.org/officeDocument/2006/relationships/sharedStrings" Target="/xl/sharedStrings.xml" Id="Re6472da98d044c4a"/><Relationship Type="http://schemas.openxmlformats.org/officeDocument/2006/relationships/worksheet" Target="/xl/worksheets/sheet1.xml" Id="R16a436efec9345bf"/><Relationship Type="http://schemas.openxmlformats.org/officeDocument/2006/relationships/worksheet" Target="/xl/worksheets/sheet2.xml" Id="Rc6ba766171304969"/><Relationship Type="http://schemas.openxmlformats.org/officeDocument/2006/relationships/worksheet" Target="/xl/worksheets/sheet3.xml" Id="R2374c9d400804390"/><Relationship Type="http://schemas.openxmlformats.org/officeDocument/2006/relationships/worksheet" Target="/xl/worksheets/sheet4.xml" Id="R1ffcd149edfd4836"/><Relationship Type="http://schemas.openxmlformats.org/officeDocument/2006/relationships/worksheet" Target="/xl/worksheets/sheet5.xml" Id="R1633dfa832104c18"/><Relationship Type="http://schemas.openxmlformats.org/officeDocument/2006/relationships/worksheet" Target="/xl/worksheets/sheet6.xml" Id="Rad0f1333e8874390"/><Relationship Type="http://schemas.openxmlformats.org/officeDocument/2006/relationships/worksheet" Target="/xl/worksheets/sheet7.xml" Id="Rcc07b45aa08746b4"/><Relationship Type="http://schemas.openxmlformats.org/officeDocument/2006/relationships/worksheet" Target="/xl/worksheets/sheet8.xml" Id="R6de0852d58bf4dfa"/><Relationship Type="http://schemas.openxmlformats.org/officeDocument/2006/relationships/worksheet" Target="/xl/worksheets/sheet10.xml" Id="Recb268292f6a41af"/></Relationships>
</file>

<file path=xl/drawings/_rels/drawing1.xml.rels>&#65279;<?xml version="1.0" encoding="utf-8"?><Relationships xmlns="http://schemas.openxmlformats.org/package/2006/relationships"><Relationship Type="http://schemas.openxmlformats.org/officeDocument/2006/relationships/chart" Target="/xl/drawings/charts/chart1.xml" Id="R45022cb5945d422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Scenario cost index (unchanged mix = 100)</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lineChart>
        <c:grouping val="standard"/>
        <c:varyColors val="0"/>
        <c:ser>
          <c:idx val="0"/>
          <c:order val="0"/>
          <c:tx>
            <c:v>Eligible index</c:v>
          </c:tx>
          <c:spPr>
            <a:solidFill xmlns:a="http://schemas.openxmlformats.org/drawingml/2006/main">
              <a:srgbClr val="33658A"/>
            </a:solidFill>
            <a:ln xmlns:a="http://schemas.openxmlformats.org/drawingml/2006/main" w="19050">
              <a:solidFill>
                <a:srgbClr val="33658A"/>
              </a:solidFill>
              <a:prstDash val="solid"/>
            </a:ln>
          </c:spPr>
          <c:marker>
            <c:symbol val="none"/>
          </c:marker>
          <c:cat>
            <c:strRef>
              <c:f>'Summary'!$A$17:$A$19</c:f>
              <c:strCache>
                <c:ptCount val="0"/>
              </c:strCache>
            </c:strRef>
          </c:cat>
          <c:val>
            <c:numRef>
              <c:f>'Summary'!$C$17:$C$19</c:f>
              <c:numCache>
                <c:formatCode>0.00</c:formatCode>
                <c:ptCount val="0"/>
              </c:numCache>
            </c:numRef>
          </c:val>
          <c:smooth val="0"/>
        </c:ser>
        <c:ser>
          <c:idx val="1"/>
          <c:order val="1"/>
          <c:tx>
            <c:v>MFN index</c:v>
          </c:tx>
          <c:spPr>
            <a:solidFill xmlns:a="http://schemas.openxmlformats.org/drawingml/2006/main">
              <a:srgbClr val="81909B"/>
            </a:solidFill>
            <a:ln xmlns:a="http://schemas.openxmlformats.org/drawingml/2006/main" w="19050">
              <a:solidFill>
                <a:srgbClr val="81909B"/>
              </a:solidFill>
              <a:prstDash val="solid"/>
            </a:ln>
          </c:spPr>
          <c:marker>
            <c:symbol val="none"/>
          </c:marker>
          <c:cat>
            <c:strRef>
              <c:f>'Summary'!$A$17:$A$19</c:f>
              <c:strCache>
                <c:ptCount val="0"/>
              </c:strCache>
            </c:strRef>
          </c:cat>
          <c:val>
            <c:numRef>
              <c:f>'Summary'!$D$17:$D$19</c:f>
              <c:numCache>
                <c:formatCode>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22</xdr:row>
      <xdr:rowOff>0</xdr:rowOff>
    </xdr:from>
    <xdr:to>
      <xdr:col>9</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022cb5945d422f"/>
        </a:graphicData>
      </a:graphic>
    </xdr:graphicFrame>
    <xdr:clientData/>
  </xdr:twoCellAnchor>
</xdr:wsDr>
</file>

<file path=xl/tables/table1.xml><?xml version="1.0" encoding="utf-8"?>
<x:table xmlns:x="http://schemas.openxmlformats.org/spreadsheetml/2006/main" id="4" name="CandidateEvidence" displayName="CandidateEvidence" ref="A5:Q45" headerRowCount="1" totalsRowCount="0" totalsRowShown="0">
  <x:tableColumns count="17">
    <x:tableColumn id="1" name="CN8"/>
    <x:tableColumn id="2" name="Country"/>
    <x:tableColumn id="3" name="Site ID"/>
    <x:tableColumn id="4" name="Origin evidence"/>
    <x:tableColumn id="5" name="CN8 capability"/>
    <x:tableColumn id="6" name="RS01"/>
    <x:tableColumn id="7" name="RS02"/>
    <x:tableColumn id="8" name="RS03"/>
    <x:tableColumn id="9" name="RS04"/>
    <x:tableColumn id="10" name="RS05"/>
    <x:tableColumn id="11" name="RS06"/>
    <x:tableColumn id="12" name="RS07"/>
    <x:tableColumn id="13" name="RS08"/>
    <x:tableColumn id="14" name="Overall"/>
    <x:tableColumn id="15" name="Release"/>
    <x:tableColumn id="16" name="Evidence reference"/>
    <x:tableColumn id="17" name="Decision date"/>
  </x:tableColumns>
  <x:tableStyleInfo name="TableStyleMedium2" showFirstColumn="0" showLastColumn="0" showRowStripes="1" showColumnStripes="0"/>
</x:table>
</file>

<file path=xl/tables/table2.xml><?xml version="1.0" encoding="utf-8"?>
<x:table xmlns:x="http://schemas.openxmlformats.org/spreadsheetml/2006/main" id="2" name="PeriodBenchmarks" displayName="PeriodBenchmarks" ref="A5:R125" headerRowCount="1" totalsRowCount="0" totalsRowShown="0">
  <x:tableColumns count="18">
    <x:tableColumn id="1" name="Join key"/>
    <x:tableColumn id="2" name="Period"/>
    <x:tableColumn id="3" name="Country"/>
    <x:tableColumn id="4" name="CN8"/>
    <x:tableColumn id="5" name="Reported value (£)"/>
    <x:tableColumn id="6" name="Reported mass (kg)"/>
    <x:tableColumn id="7" name="Months"/>
    <x:tableColumn id="8" name="Review months"/>
    <x:tableColumn id="9" name="Export unit value (£/kg)"/>
    <x:tableColumn id="10" name="Start month"/>
    <x:tableColumn id="11" name="End month"/>
    <x:tableColumn id="12" name="Common value (£)"/>
    <x:tableColumn id="13" name="Common mass (kg)"/>
    <x:tableColumn id="14" name="Common months"/>
    <x:tableColumn id="15" name="Common UV (£/kg)"/>
    <x:tableColumn id="16" name="Export UV difference"/>
    <x:tableColumn id="17" name="Key occurrences"/>
    <x:tableColumn id="18" name="Absolute UV difference"/>
  </x:tableColumns>
  <x:tableStyleInfo name="TableStyleMedium2" showFirstColumn="0" showLastColumn="0" showRowStripes="1" showColumnStripes="0"/>
</x:table>
</file>

<file path=xl/tables/table3.xml><?xml version="1.0" encoding="utf-8"?>
<x:table xmlns:x="http://schemas.openxmlformats.org/spreadsheetml/2006/main" id="1" name="MonthlyTrade" displayName="MonthlyTrade" ref="A5:I797" headerRowCount="1" totalsRowCount="0" totalsRowShown="0">
  <x:tableColumns count="9">
    <x:tableColumn id="1" name="Observation key"/>
    <x:tableColumn id="2" name="Month ID"/>
    <x:tableColumn id="3" name="CN8"/>
    <x:tableColumn id="4" name="Partner"/>
    <x:tableColumn id="5" name="Import value (£)"/>
    <x:tableColumn id="6" name="Net mass (kg)"/>
    <x:tableColumn id="7" name="Review flag"/>
    <x:tableColumn id="8" name="API present"/>
    <x:tableColumn id="9" name="Common keep"/>
  </x:tableColumns>
  <x:tableStyleInfo name="TableStyleMedium2" showFirstColumn="0" showLastColumn="0" showRowStripes="1" showColumnStripes="0"/>
</x:table>
</file>

<file path=xl/tables/table4.xml><?xml version="1.0" encoding="utf-8"?>
<x:table xmlns:x="http://schemas.openxmlformats.org/spreadsheetml/2006/main" id="3" name="TariffInputs" displayName="TariffInputs" ref="A5:K45" headerRowCount="1" totalsRowCount="0" totalsRowShown="0">
  <x:tableColumns count="11">
    <x:tableColumn id="1" name="Join key"/>
    <x:tableColumn id="2" name="Country"/>
    <x:tableColumn id="3" name="CN8"/>
    <x:tableColumn id="4" name="2025 eligible"/>
    <x:tableColumn id="5" name="Pre-15 Jul 2026"/>
    <x:tableColumn id="6" name="From 15 Jul 2026"/>
    <x:tableColumn id="7" name="MFN fallback"/>
    <x:tableColumn id="8" name="Preference conditional"/>
    <x:tableColumn id="9" name="Source IDs"/>
    <x:tableColumn id="10" name="Evidence queries"/>
    <x:tableColumn id="11" name="WP004 location"/>
  </x:tableColumns>
  <x:tableStyleInfo name="TableStyleMedium2" showFirstColumn="0" showLastColumn="0" showRowStripes="1" showColumnStripes="0"/>
</x:table>
</file>

<file path=xl/theme/theme1.xml><?xml version="1.0" encoding="utf-8"?>
<a:theme xmlns:a="http://schemas.openxmlformats.org/drawingml/2006/main" name="NEXT Sourcing">
  <a:themeElements>
    <a:clrScheme name="NEXT Sourcing">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NEXT Sourcing">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91b3843be03433d" /></Relationships>
</file>

<file path=xl/worksheets/_rels/sheet4.xml.rels>&#65279;<?xml version="1.0" encoding="utf-8"?><Relationships xmlns="http://schemas.openxmlformats.org/package/2006/relationships"><Relationship Type="http://schemas.openxmlformats.org/officeDocument/2006/relationships/table" Target="/xl/tables/table1.xml" Id="Rf0f0b9c195694d8b" /></Relationships>
</file>

<file path=xl/worksheets/_rels/sheet5.xml.rels>&#65279;<?xml version="1.0" encoding="utf-8"?><Relationships xmlns="http://schemas.openxmlformats.org/package/2006/relationships"><Relationship Type="http://schemas.openxmlformats.org/officeDocument/2006/relationships/table" Target="/xl/tables/table2.xml" Id="Re25379bb07cf42e6" /></Relationships>
</file>

<file path=xl/worksheets/_rels/sheet6.xml.rels>&#65279;<?xml version="1.0" encoding="utf-8"?><Relationships xmlns="http://schemas.openxmlformats.org/package/2006/relationships"><Relationship Type="http://schemas.openxmlformats.org/officeDocument/2006/relationships/table" Target="/xl/tables/table3.xml" Id="Ra3abb5c132df446d" /></Relationships>
</file>

<file path=xl/worksheets/_rels/sheet7.xml.rels>&#65279;<?xml version="1.0" encoding="utf-8"?><Relationships xmlns="http://schemas.openxmlformats.org/package/2006/relationships"><Relationship Type="http://schemas.openxmlformats.org/officeDocument/2006/relationships/table" Target="/xl/tables/table4.xml" Id="Rbe556f5dab684dc5" /></Relationships>
</file>

<file path=xl/worksheets/sheet1.xml><?xml version="1.0" encoding="utf-8"?>
<x:worksheet xmlns:x="http://schemas.openxmlformats.org/spreadsheetml/2006/main">
  <x:sheetPr>
    <x:tabColor rgb="FF24384D"/>
  </x:sheetPr>
  <x:sheetViews>
    <x:sheetView showGridLines="0" workbookViewId="0"/>
  </x:sheetViews>
  <x:sheetFormatPr defaultRowHeight="15"/>
  <x:cols>
    <x:col min="1" max="1" width="23"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22" hidden="0" customWidth="1"/>
    <x:col min="9" max="9" width="22" hidden="0" customWidth="1"/>
  </x:cols>
  <x:sheetData>
    <x:row r="1" ht="22" customHeight="1">
      <x:c r="A1" s="2"/>
      <x:c r="B1" s="2"/>
      <x:c r="C1" s="2"/>
      <x:c r="D1" s="2"/>
      <x:c r="E1" s="2"/>
      <x:c r="F1" s="2"/>
      <x:c r="G1" s="2"/>
      <x:c r="H1" s="2"/>
      <x:c r="I1" s="2"/>
    </x:row>
    <x:row r="2" ht="29" customHeight="1">
      <x:c r="A2" s="3" t="str">
        <x:v>NEXT WP008 sourcing scenarios</x:v>
      </x:c>
      <x:c r="B2" s="3"/>
      <x:c r="C2" s="3"/>
      <x:c r="D2" s="3"/>
      <x:c r="E2" s="3"/>
      <x:c r="F2" s="3"/>
      <x:c r="G2" s="3"/>
      <x:c r="H2" s="3"/>
      <x:c r="I2" s="3"/>
    </x:row>
    <x:row r="3" ht="22" customHeight="1">
      <x:c r="A3" s="4"/>
      <x:c r="B3" s="4"/>
      <x:c r="C3" s="4"/>
      <x:c r="D3" s="4"/>
      <x:c r="E3" s="4"/>
      <x:c r="F3" s="4"/>
      <x:c r="G3" s="4"/>
      <x:c r="H3" s="4"/>
      <x:c r="I3" s="4"/>
    </x:row>
    <x:row r="4" ht="22" customHeight="1">
      <x:c r="A4" s="2" t="str">
        <x:v>Scenario:</x:v>
      </x:c>
      <x:c r="B4" s="2" t="str">
        <x:f>Assumptions!C5</x:f>
        <x:v>Balanced</x:v>
      </x:c>
      <x:c r="C4" s="2"/>
      <x:c r="D4" s="2" t="str">
        <x:v>Price period:</x:v>
      </x:c>
      <x:c r="E4" s="2" t="str">
        <x:f>Assumptions!C6</x:f>
        <x:v>H1 2026</x:v>
      </x:c>
      <x:c r="F4" s="2"/>
      <x:c r="G4" s="2" t="str">
        <x:v>Data basis:</x:v>
      </x:c>
      <x:c r="H4" s="2" t="str">
        <x:f>Assumptions!C7</x:f>
        <x:v>Reported</x:v>
      </x:c>
      <x:c r="I4" s="2"/>
    </x:row>
    <x:row r="5" ht="22" customHeight="1">
      <x:c r="A5" s="2"/>
      <x:c r="B5" s="2"/>
      <x:c r="C5" s="2"/>
      <x:c r="D5" s="2"/>
      <x:c r="E5" s="2"/>
      <x:c r="F5" s="2"/>
      <x:c r="G5" s="2"/>
      <x:c r="H5" s="2"/>
      <x:c r="I5" s="2"/>
    </x:row>
    <x:row r="6" ht="34" customHeight="1">
      <x:c r="A6" s="13" t="str">
        <x:v>Illustrative shifts from China using FY2025 trade-mass weights. Candidate origin, capability and sourcing clearance remain pending. No allocation is released.</x:v>
      </x:c>
      <x:c r="B6" s="13"/>
      <x:c r="C6" s="13"/>
      <x:c r="D6" s="13"/>
      <x:c r="E6" s="13"/>
      <x:c r="F6" s="13"/>
      <x:c r="G6" s="13"/>
      <x:c r="H6" s="13"/>
      <x:c r="I6" s="13"/>
    </x:row>
    <x:row r="7" ht="22" customHeight="1">
      <x:c r="A7" s="2"/>
      <x:c r="B7" s="2"/>
      <x:c r="C7" s="2"/>
      <x:c r="D7" s="2"/>
      <x:c r="E7" s="2"/>
      <x:c r="F7" s="2"/>
      <x:c r="G7" s="2"/>
      <x:c r="H7" s="2"/>
      <x:c r="I7" s="2"/>
    </x:row>
    <x:row r="8" ht="34" customHeight="1">
      <x:c r="A8" s="12" t="str">
        <x:v>Product</x:v>
      </x:c>
      <x:c r="B8" s="12" t="str">
        <x:v>China baseline</x:v>
      </x:c>
      <x:c r="C8" s="12" t="str">
        <x:v>Requested shift</x:v>
      </x:c>
      <x:c r="D8" s="12" t="str">
        <x:v>Feasible limit</x:v>
      </x:c>
      <x:c r="E8" s="12" t="str">
        <x:v>Applied shift</x:v>
      </x:c>
      <x:c r="F8" s="12" t="str">
        <x:v>Cost index</x:v>
      </x:c>
      <x:c r="G8" s="12" t="str">
        <x:v>Cost change</x:v>
      </x:c>
      <x:c r="H8" s="12" t="str">
        <x:v>HHI change (pts)</x:v>
      </x:c>
      <x:c r="I8" s="12" t="str">
        <x:v>Release</x:v>
      </x:c>
    </x:row>
    <x:row r="9" ht="29" customHeight="1">
      <x:c r="A9" s="2" t="str">
        <x:v>Cotton T-shirts</x:v>
      </x:c>
      <x:c r="B9" s="8" t="n">
        <x:f>Cost_Model!D8</x:f>
        <x:v>0.032221226763006934</x:v>
      </x:c>
      <x:c r="C9" s="8" t="n">
        <x:f>Assumptions!C12</x:f>
        <x:v>0.1</x:v>
      </x:c>
      <x:c r="D9" s="8" t="n">
        <x:f>Cost_Model!D51</x:f>
        <x:v>0.032221226763006934</x:v>
      </x:c>
      <x:c r="E9" s="8" t="n">
        <x:f>Cost_Model!E51</x:f>
        <x:v>0.032221226763006934</x:v>
      </x:c>
      <x:c r="F9" s="19" t="n">
        <x:f>100*Cost_Model!F51/Cost_Model!B51</x:f>
        <x:v>99.915375725039</x:v>
      </x:c>
      <x:c r="G9" s="40" t="n">
        <x:f>F9/100-1</x:f>
        <x:v>-0.0008462427496099822</x:v>
      </x:c>
      <x:c r="H9" s="18" t="n">
        <x:f>(Cost_Model!J51-Cost_Model!G51)*10000</x:f>
        <x:v>39.56747809149397</x:v>
      </x:c>
      <x:c r="I9" s="2" t="str">
        <x:f>Cost_Model!O51</x:f>
        <x:v>Hold</x:v>
      </x:c>
    </x:row>
    <x:row r="10" ht="29" customHeight="1">
      <x:c r="A10" s="2" t="str">
        <x:v>MMF knitwear</x:v>
      </x:c>
      <x:c r="B10" s="8" t="n">
        <x:f>Cost_Model!D18</x:f>
        <x:v>0.3661327533481963</x:v>
      </x:c>
      <x:c r="C10" s="8" t="n">
        <x:f>Assumptions!C12</x:f>
        <x:v>0.1</x:v>
      </x:c>
      <x:c r="D10" s="8" t="n">
        <x:f>Cost_Model!D52</x:f>
        <x:v>0.014153298257653319</x:v>
      </x:c>
      <x:c r="E10" s="8" t="n">
        <x:f>Cost_Model!E52</x:f>
        <x:v>0.014153298257653319</x:v>
      </x:c>
      <x:c r="F10" s="19" t="n">
        <x:f>100*Cost_Model!F52/Cost_Model!B52</x:f>
        <x:v>99.53729964970528</x:v>
      </x:c>
      <x:c r="G10" s="40" t="n">
        <x:f>F10/100-1</x:f>
        <x:v>-0.004627003502947202</x:v>
      </x:c>
      <x:c r="H10" s="18" t="n">
        <x:f>(Cost_Model!J52-Cost_Model!G52)*10000</x:f>
        <x:v>-88.19322957670738</x:v>
      </x:c>
      <x:c r="I10" s="2" t="str">
        <x:f>Cost_Model!O52</x:f>
        <x:v>Hold</x:v>
      </x:c>
    </x:row>
    <x:row r="11" ht="29" customHeight="1">
      <x:c r="A11" s="2" t="str">
        <x:v>Synthetic dresses</x:v>
      </x:c>
      <x:c r="B11" s="8" t="n">
        <x:f>Cost_Model!D28</x:f>
        <x:v>0.47952184790226143</x:v>
      </x:c>
      <x:c r="C11" s="8" t="n">
        <x:f>Assumptions!C12</x:f>
        <x:v>0.1</x:v>
      </x:c>
      <x:c r="D11" s="8" t="n">
        <x:f>Cost_Model!D53</x:f>
        <x:v>0.2</x:v>
      </x:c>
      <x:c r="E11" s="8" t="n">
        <x:f>Cost_Model!E53</x:f>
        <x:v>0.1</x:v>
      </x:c>
      <x:c r="F11" s="19" t="n">
        <x:f>100*Cost_Model!F53/Cost_Model!B53</x:f>
        <x:v>99.50912439440155</x:v>
      </x:c>
      <x:c r="G11" s="40" t="n">
        <x:f>F11/100-1</x:f>
        <x:v>-0.004908756055984509</x:v>
      </x:c>
      <x:c r="H11" s="18" t="n">
        <x:f>(Cost_Model!J53-Cost_Model!G53)*10000</x:f>
        <x:v>-635.8016513289597</x:v>
      </x:c>
      <x:c r="I11" s="2" t="str">
        <x:f>Cost_Model!O53</x:f>
        <x:v>Hold</x:v>
      </x:c>
    </x:row>
    <x:row r="12" ht="29" customHeight="1">
      <x:c r="A12" s="2" t="str">
        <x:v>Cotton shirts</x:v>
      </x:c>
      <x:c r="B12" s="8" t="n">
        <x:f>Cost_Model!D38</x:f>
        <x:v>0.06915990057015509</x:v>
      </x:c>
      <x:c r="C12" s="8" t="n">
        <x:f>Assumptions!C12</x:f>
        <x:v>0.1</x:v>
      </x:c>
      <x:c r="D12" s="8" t="n">
        <x:f>Cost_Model!D54</x:f>
        <x:v>0.06915990057015509</x:v>
      </x:c>
      <x:c r="E12" s="8" t="n">
        <x:f>Cost_Model!E54</x:f>
        <x:v>0.06915990057015509</x:v>
      </x:c>
      <x:c r="F12" s="19" t="n">
        <x:f>100*Cost_Model!F54/Cost_Model!B54</x:f>
        <x:v>101.3448903505343</x:v>
      </x:c>
      <x:c r="G12" s="40" t="n">
        <x:f>F12/100-1</x:f>
        <x:v>0.01344890350534289</x:v>
      </x:c>
      <x:c r="H12" s="18" t="n">
        <x:f>(Cost_Model!J54-Cost_Model!G54)*10000</x:f>
        <x:v>117.77113668368922</x:v>
      </x:c>
      <x:c r="I12" s="2" t="str">
        <x:f>Cost_Model!O54</x:f>
        <x:v>Hold</x:v>
      </x:c>
    </x:row>
    <x:row r="13" ht="22" customHeight="1">
      <x:c r="A13" s="2"/>
      <x:c r="B13" s="2"/>
      <x:c r="C13" s="2"/>
      <x:c r="D13" s="2"/>
      <x:c r="E13" s="2"/>
      <x:c r="F13" s="2"/>
      <x:c r="G13" s="2"/>
      <x:c r="H13" s="2"/>
      <x:c r="I13" s="2"/>
    </x:row>
    <x:row r="14" ht="34" customHeight="1">
      <x:c r="A14" s="13" t="str">
        <x:v>Index 100 = unchanged country mix under the same prices and tariff treatment. Negative HHI change means lower concentration within the product’s ten-country benchmark.</x:v>
      </x:c>
      <x:c r="B14" s="13"/>
      <x:c r="C14" s="13"/>
      <x:c r="D14" s="13"/>
      <x:c r="E14" s="13"/>
      <x:c r="F14" s="13"/>
      <x:c r="G14" s="13"/>
      <x:c r="H14" s="13"/>
      <x:c r="I14" s="13"/>
    </x:row>
    <x:row r="15" ht="49" customHeight="1">
      <x:c r="A15" s="35" t="str">
        <x:f>IF(AND(H10&lt;0,H11&lt;0,H9&gt;0,H12&gt;0),"The synthetic pair de-concentrates; both cotton codes concentrate further. Bangladesh remains dominant in the cotton baseline. These results support a category-specific investigation, not a blanket reduction in China.","Concentration effects differ by category and receiver mix. Read each HHI change separately; reducing China alone does not guarantee diversification.")</x:f>
        <x:v>The synthetic pair de-concentrates; both cotton codes concentrate further. Bangladesh remains dominant in the cotton baseline. These results support a category-specific investigation, not a blanket reduction in China.</x:v>
      </x:c>
      <x:c r="B15" s="35"/>
      <x:c r="C15" s="35"/>
      <x:c r="D15" s="35"/>
      <x:c r="E15" s="35"/>
      <x:c r="F15" s="35"/>
      <x:c r="G15" s="35"/>
      <x:c r="H15" s="35"/>
      <x:c r="I15" s="35"/>
    </x:row>
    <x:row r="16" ht="34" customHeight="1">
      <x:c r="A16" s="12" t="str">
        <x:v>Scenario</x:v>
      </x:c>
      <x:c r="B16" s="12" t="str">
        <x:v>Requested shift</x:v>
      </x:c>
      <x:c r="C16" s="12" t="str">
        <x:v>Eligible index</x:v>
      </x:c>
      <x:c r="D16" s="12" t="str">
        <x:v>MFN index</x:v>
      </x:c>
      <x:c r="E16" s="12" t="str">
        <x:v>Active index</x:v>
      </x:c>
      <x:c r="F16" s="12" t="str">
        <x:v>Cost change</x:v>
      </x:c>
      <x:c r="G16" s="12" t="str">
        <x:v>Smallest shift</x:v>
      </x:c>
      <x:c r="H16" s="12" t="str">
        <x:v>Largest shift</x:v>
      </x:c>
      <x:c r="I16" s="12" t="str">
        <x:v>Release</x:v>
      </x:c>
    </x:row>
    <x:row r="17" ht="29" customHeight="1">
      <x:c r="A17" s="2" t="str">
        <x:v>Cautious</x:v>
      </x:c>
      <x:c r="B17" s="8" t="n">
        <x:f>Assumptions!B17</x:f>
        <x:v>0.05</x:v>
      </x:c>
      <x:c r="C17" s="19" t="n">
        <x:f>100*(1+SUMPRODUCT(Assumptions!$C$38:$C$41,Cost_Model!F60:F63))</x:f>
        <x:v>100.04488564444249</x:v>
      </x:c>
      <x:c r="D17" s="19" t="n">
        <x:f>100*(1+SUMPRODUCT(Assumptions!$C$38:$C$41,Cost_Model!G60:G63))</x:f>
        <x:v>100.54107607803651</x:v>
      </x:c>
      <x:c r="E17" s="19" t="n">
        <x:f>IF(Assumptions!C9="Eligible preference",C17,D17)</x:f>
        <x:v>100.04488564444249</x:v>
      </x:c>
      <x:c r="F17" s="40" t="n">
        <x:f>E17/100-1</x:f>
        <x:v>0.00044885644442493877</x:v>
      </x:c>
      <x:c r="G17" s="8" t="n">
        <x:f>MIN(Cost_Model!E60:E63)</x:f>
        <x:v>0.014153298257653319</x:v>
      </x:c>
      <x:c r="H17" s="8" t="n">
        <x:f>MAX(Cost_Model!E60:E63)</x:f>
        <x:v>0.05</x:v>
      </x:c>
      <x:c r="I17" s="2" t="str">
        <x:f>IF(COUNTIF(Cost_Model!N60:N63,"Hold")=0,"Evidence recorded","Hold")</x:f>
        <x:v>Hold</x:v>
      </x:c>
    </x:row>
    <x:row r="18" ht="29" customHeight="1">
      <x:c r="A18" s="2" t="str">
        <x:v>Balanced</x:v>
      </x:c>
      <x:c r="B18" s="8" t="n">
        <x:f>Assumptions!B18</x:f>
        <x:v>0.1</x:v>
      </x:c>
      <x:c r="C18" s="19" t="n">
        <x:f>100*(1+SUMPRODUCT(Assumptions!$C$38:$C$41,Cost_Model!F64:F67))</x:f>
        <x:v>100.07667252992003</x:v>
      </x:c>
      <x:c r="D18" s="19" t="n">
        <x:f>100*(1+SUMPRODUCT(Assumptions!$C$38:$C$41,Cost_Model!G64:G67))</x:f>
        <x:v>100.78713619049664</x:v>
      </x:c>
      <x:c r="E18" s="19" t="n">
        <x:f>IF(Assumptions!C9="Eligible preference",C18,D18)</x:f>
        <x:v>100.07667252992003</x:v>
      </x:c>
      <x:c r="F18" s="40" t="n">
        <x:f>E18/100-1</x:f>
        <x:v>0.0007667252992002993</x:v>
      </x:c>
      <x:c r="G18" s="8" t="n">
        <x:f>MIN(Cost_Model!E64:E67)</x:f>
        <x:v>0.014153298257653319</x:v>
      </x:c>
      <x:c r="H18" s="8" t="n">
        <x:f>MAX(Cost_Model!E64:E67)</x:f>
        <x:v>0.1</x:v>
      </x:c>
      <x:c r="I18" s="2" t="str">
        <x:f>IF(COUNTIF(Cost_Model!N64:N67,"Hold")=0,"Evidence recorded","Hold")</x:f>
        <x:v>Hold</x:v>
      </x:c>
    </x:row>
    <x:row r="19" ht="29" customHeight="1">
      <x:c r="A19" s="2" t="str">
        <x:v>Accelerated</x:v>
      </x:c>
      <x:c r="B19" s="8" t="n">
        <x:f>Assumptions!B19</x:f>
        <x:v>0.15</x:v>
      </x:c>
      <x:c r="C19" s="19" t="n">
        <x:f>100*(1+SUMPRODUCT(Assumptions!$C$38:$C$41,Cost_Model!F68:F71))</x:f>
        <x:v>100.01531307922022</x:v>
      </x:c>
      <x:c r="D19" s="19" t="n">
        <x:f>100*(1+SUMPRODUCT(Assumptions!$C$38:$C$41,Cost_Model!G68:G71))</x:f>
        <x:v>100.87773977266907</x:v>
      </x:c>
      <x:c r="E19" s="19" t="n">
        <x:f>IF(Assumptions!C9="Eligible preference",C19,D19)</x:f>
        <x:v>100.01531307922022</x:v>
      </x:c>
      <x:c r="F19" s="40" t="n">
        <x:f>E19/100-1</x:f>
        <x:v>0.00015313079220224957</x:v>
      </x:c>
      <x:c r="G19" s="8" t="n">
        <x:f>MIN(Cost_Model!E68:E71)</x:f>
        <x:v>0.014153298257653319</x:v>
      </x:c>
      <x:c r="H19" s="8" t="n">
        <x:f>MAX(Cost_Model!E68:E71)</x:f>
        <x:v>0.15</x:v>
      </x:c>
      <x:c r="I19" s="2" t="str">
        <x:f>IF(COUNTIF(Cost_Model!N68:N71,"Hold")=0,"Evidence recorded","Hold")</x:f>
        <x:v>Hold</x:v>
      </x:c>
    </x:row>
    <x:row r="20" ht="22" customHeight="1">
      <x:c r="A20" s="2"/>
      <x:c r="B20" s="2"/>
      <x:c r="C20" s="2"/>
      <x:c r="D20" s="2"/>
      <x:c r="E20" s="2"/>
      <x:c r="F20" s="2"/>
      <x:c r="G20" s="2"/>
      <x:c r="H20" s="2"/>
      <x:c r="I20" s="2"/>
    </x:row>
    <x:row r="21" ht="34" customHeight="1">
      <x:c r="A21" s="13" t="str">
        <x:v>Basket comparison uses equal category spend weights. Preferences and fallback each have their own unchanged-mix baseline of 100. Compare cost changes, not absolute duty costs, across these indices.</x:v>
      </x:c>
      <x:c r="B21" s="13"/>
      <x:c r="C21" s="13"/>
      <x:c r="D21" s="13"/>
      <x:c r="E21" s="13"/>
      <x:c r="F21" s="13"/>
      <x:c r="G21" s="13"/>
      <x:c r="H21" s="13"/>
      <x:c r="I21" s="13"/>
    </x:row>
    <x:row r="22" ht="22" customHeight="1">
      <x:c r="A22" s="2"/>
      <x:c r="B22" s="2"/>
      <x:c r="C22" s="2"/>
      <x:c r="D22" s="2"/>
      <x:c r="E22" s="2"/>
      <x:c r="F22" s="2"/>
      <x:c r="G22" s="2"/>
      <x:c r="H22" s="2"/>
      <x:c r="I22" s="2"/>
    </x:row>
    <x:row r="23" ht="22" customHeight="1">
      <x:c r="A23" s="2"/>
      <x:c r="B23" s="2"/>
      <x:c r="C23" s="2"/>
      <x:c r="D23" s="2"/>
      <x:c r="E23" s="2"/>
      <x:c r="F23" s="2"/>
      <x:c r="G23" s="2"/>
      <x:c r="H23" s="2"/>
      <x:c r="I23" s="2"/>
    </x:row>
    <x:row r="24" ht="22" customHeight="1">
      <x:c r="A24" s="2"/>
      <x:c r="B24" s="2"/>
      <x:c r="C24" s="2"/>
      <x:c r="D24" s="2"/>
      <x:c r="E24" s="2"/>
      <x:c r="F24" s="2"/>
      <x:c r="G24" s="2"/>
      <x:c r="H24" s="2"/>
      <x:c r="I24" s="2"/>
    </x:row>
    <x:row r="25" ht="22" customHeight="1">
      <x:c r="A25" s="2"/>
      <x:c r="B25" s="2"/>
      <x:c r="C25" s="2"/>
      <x:c r="D25" s="2"/>
      <x:c r="E25" s="2"/>
      <x:c r="F25" s="2"/>
      <x:c r="G25" s="2"/>
      <x:c r="H25" s="2"/>
      <x:c r="I25" s="2"/>
    </x:row>
    <x:row r="26" ht="22" customHeight="1">
      <x:c r="A26" s="2"/>
      <x:c r="B26" s="2"/>
      <x:c r="C26" s="2"/>
      <x:c r="D26" s="2"/>
      <x:c r="E26" s="2"/>
      <x:c r="F26" s="2"/>
      <x:c r="G26" s="2"/>
      <x:c r="H26" s="2"/>
      <x:c r="I26" s="2"/>
    </x:row>
    <x:row r="27" ht="22" customHeight="1">
      <x:c r="A27" s="2"/>
      <x:c r="B27" s="2"/>
      <x:c r="C27" s="2"/>
      <x:c r="D27" s="2"/>
      <x:c r="E27" s="2"/>
      <x:c r="F27" s="2"/>
      <x:c r="G27" s="2"/>
      <x:c r="H27" s="2"/>
      <x:c r="I27" s="2"/>
    </x:row>
    <x:row r="28" ht="22" customHeight="1">
      <x:c r="A28" s="2"/>
      <x:c r="B28" s="2"/>
      <x:c r="C28" s="2"/>
      <x:c r="D28" s="2"/>
      <x:c r="E28" s="2"/>
      <x:c r="F28" s="2"/>
      <x:c r="G28" s="2"/>
      <x:c r="H28" s="2"/>
      <x:c r="I28" s="2"/>
    </x:row>
    <x:row r="29" ht="22" customHeight="1">
      <x:c r="A29" s="2"/>
      <x:c r="B29" s="2"/>
      <x:c r="C29" s="2"/>
      <x:c r="D29" s="2"/>
      <x:c r="E29" s="2"/>
      <x:c r="F29" s="2"/>
      <x:c r="G29" s="2"/>
      <x:c r="H29" s="2"/>
      <x:c r="I29" s="2"/>
    </x:row>
    <x:row r="30" ht="22" customHeight="1">
      <x:c r="A30" s="2"/>
      <x:c r="B30" s="2"/>
      <x:c r="C30" s="2"/>
      <x:c r="D30" s="2"/>
      <x:c r="E30" s="2"/>
      <x:c r="F30" s="2"/>
      <x:c r="G30" s="2"/>
      <x:c r="H30" s="2"/>
      <x:c r="I30" s="2"/>
    </x:row>
    <x:row r="31" ht="22" customHeight="1">
      <x:c r="A31" s="2"/>
      <x:c r="B31" s="2"/>
      <x:c r="C31" s="2"/>
      <x:c r="D31" s="2"/>
      <x:c r="E31" s="2"/>
      <x:c r="F31" s="2"/>
      <x:c r="G31" s="2"/>
      <x:c r="H31" s="2"/>
      <x:c r="I31" s="2"/>
    </x:row>
    <x:row r="32" ht="22" customHeight="1">
      <x:c r="A32" s="2"/>
      <x:c r="B32" s="2"/>
      <x:c r="C32" s="2"/>
      <x:c r="D32" s="2"/>
      <x:c r="E32" s="2"/>
      <x:c r="F32" s="2"/>
      <x:c r="G32" s="2"/>
      <x:c r="H32" s="2"/>
      <x:c r="I32" s="2"/>
    </x:row>
    <x:row r="33" ht="22" customHeight="1">
      <x:c r="A33" s="2"/>
      <x:c r="B33" s="2"/>
      <x:c r="C33" s="2"/>
      <x:c r="D33" s="2"/>
      <x:c r="E33" s="2"/>
      <x:c r="F33" s="2"/>
      <x:c r="G33" s="2"/>
      <x:c r="H33" s="2"/>
      <x:c r="I33" s="2"/>
    </x:row>
    <x:row r="34" ht="22" customHeight="1">
      <x:c r="A34" s="2"/>
      <x:c r="B34" s="2"/>
      <x:c r="C34" s="2"/>
      <x:c r="D34" s="2"/>
      <x:c r="E34" s="2"/>
      <x:c r="F34" s="2"/>
      <x:c r="G34" s="2"/>
      <x:c r="H34" s="2"/>
      <x:c r="I34" s="2"/>
    </x:row>
    <x:row r="35" ht="22" customHeight="1">
      <x:c r="A35" s="2"/>
      <x:c r="B35" s="2"/>
      <x:c r="C35" s="2"/>
      <x:c r="D35" s="2"/>
      <x:c r="E35" s="2"/>
      <x:c r="F35" s="2"/>
      <x:c r="G35" s="2"/>
      <x:c r="H35" s="2"/>
      <x:c r="I35" s="2"/>
    </x:row>
    <x:row r="36" ht="22" customHeight="1">
      <x:c r="A36" s="2"/>
      <x:c r="B36" s="2"/>
      <x:c r="C36" s="2"/>
      <x:c r="D36" s="2"/>
      <x:c r="E36" s="2"/>
      <x:c r="F36" s="2"/>
      <x:c r="G36" s="2"/>
      <x:c r="H36" s="2"/>
      <x:c r="I36" s="2"/>
    </x:row>
    <x:row r="37" ht="22" customHeight="1">
      <x:c r="A37" s="2"/>
      <x:c r="B37" s="2"/>
      <x:c r="C37" s="2"/>
      <x:c r="D37" s="2"/>
      <x:c r="E37" s="2"/>
      <x:c r="F37" s="2"/>
      <x:c r="G37" s="2"/>
      <x:c r="H37" s="2"/>
      <x:c r="I37" s="2"/>
    </x:row>
    <x:row r="38" ht="22" customHeight="1">
      <x:c r="A38" s="2"/>
      <x:c r="B38" s="2"/>
      <x:c r="C38" s="2"/>
      <x:c r="D38" s="2"/>
      <x:c r="E38" s="2"/>
      <x:c r="F38" s="2"/>
      <x:c r="G38" s="2"/>
      <x:c r="H38" s="2"/>
      <x:c r="I38" s="2"/>
    </x:row>
    <x:row r="39" ht="22" customHeight="1">
      <x:c r="A39" s="2"/>
      <x:c r="B39" s="2"/>
      <x:c r="C39" s="2"/>
      <x:c r="D39" s="2"/>
      <x:c r="E39" s="2"/>
      <x:c r="F39" s="2"/>
      <x:c r="G39" s="2"/>
      <x:c r="H39" s="2"/>
      <x:c r="I39" s="2"/>
    </x:row>
    <x:row r="40" ht="36" customHeight="1">
      <x:c r="A40" s="13" t="str">
        <x:v>The three scenarios test scale, not three different strategies. India receives 50% of each shift; Turkey and Vietnam receive 25% each. Change the receiver weights in Assumptions to test another mix.</x:v>
      </x:c>
      <x:c r="B40" s="13"/>
      <x:c r="C40" s="13"/>
      <x:c r="D40" s="13"/>
      <x:c r="E40" s="13"/>
      <x:c r="F40" s="13"/>
      <x:c r="G40" s="13"/>
      <x:c r="H40" s="13"/>
      <x:c r="I40" s="13"/>
    </x:row>
    <x:row r="41" ht="36" customHeight="1">
      <x:c r="A41" s="13" t="str">
        <x:v>Myanmar receives no additional share. Its observed benchmark share is retained; this makes no claim about NEXT’s existing sourcing. All candidate evidence checks remain open.</x:v>
      </x:c>
      <x:c r="B41" s="13"/>
      <x:c r="C41" s="13"/>
      <x:c r="D41" s="13"/>
      <x:c r="E41" s="13"/>
      <x:c r="F41" s="13"/>
      <x:c r="G41" s="13"/>
      <x:c r="H41" s="13"/>
      <x:c r="I41" s="13"/>
    </x:row>
    <x:row r="42" ht="36" customHeight="1">
      <x:c r="A42" s="13" t="str">
        <x:v>Reported observations are the baseline. Common-month sensitivity removes a product-month for every partner if any partner/World observation is REVIEW or unusable. It holds FY2025 allocation weights fixed.</x:v>
      </x:c>
      <x:c r="B42" s="13"/>
      <x:c r="C42" s="13"/>
      <x:c r="D42" s="13"/>
      <x:c r="E42" s="13"/>
      <x:c r="F42" s="13"/>
      <x:c r="G42" s="13"/>
      <x:c r="H42" s="13"/>
      <x:c r="I42" s="13"/>
    </x:row>
    <x:row r="43" ht="36" customHeight="1">
      <x:c r="A43" s="13" t="str">
        <x:v>The model excludes unobserved lead-time, working-capital and transition costs. WP009 should test whether premiums and tariff fallback overturn the benchmark result before a recommendation is made.</x:v>
      </x:c>
      <x:c r="B43" s="13"/>
      <x:c r="C43" s="13"/>
      <x:c r="D43" s="13"/>
      <x:c r="E43" s="13"/>
      <x:c r="F43" s="13"/>
      <x:c r="G43" s="13"/>
      <x:c r="H43" s="13"/>
      <x:c r="I43" s="13"/>
    </x:row>
    <x:row r="44" ht="42" customHeight="1">
      <x:c r="A44" s="13" t="str">
        <x:v>WP004: 85.61% of China’s four-code value is in the synthetic pair. China’s tariff rate is 12% on all four codes. H5 remains partly tested because comparable capability and achievable supplier economics are unverified.</x:v>
      </x:c>
      <x:c r="B44" s="13"/>
      <x:c r="C44" s="13"/>
      <x:c r="D44" s="13"/>
      <x:c r="E44" s="13"/>
      <x:c r="F44" s="13"/>
      <x:c r="G44" s="13"/>
      <x:c r="H44" s="13"/>
      <x:c r="I44" s="13"/>
    </x:row>
    <x:row r="45" ht="22" customHeight="1">
      <x:c r="A45" s="2"/>
      <x:c r="B45" s="2"/>
      <x:c r="C45" s="2"/>
      <x:c r="D45" s="2"/>
      <x:c r="E45" s="2"/>
      <x:c r="F45" s="2"/>
      <x:c r="G45" s="2"/>
      <x:c r="H45" s="2"/>
      <x:c r="I45" s="2"/>
    </x:row>
    <x:row r="46" ht="38" customHeight="1">
      <x:c r="A46" s="36" t="str">
        <x:v>Product</x:v>
      </x:c>
      <x:c r="B46" s="36" t="str">
        <x:v>India baseline</x:v>
      </x:c>
      <x:c r="C46" s="36" t="str">
        <x:v>India after</x:v>
      </x:c>
      <x:c r="D46" s="36" t="str">
        <x:v>India multiple</x:v>
      </x:c>
      <x:c r="E46" s="36" t="str">
        <x:v>Vietnam baseline</x:v>
      </x:c>
      <x:c r="F46" s="36" t="str">
        <x:v>Vietnam after</x:v>
      </x:c>
      <x:c r="G46" s="36" t="str">
        <x:v>Vietnam multiple</x:v>
      </x:c>
      <x:c r="H46" s="36" t="str">
        <x:v>Turkey multiple</x:v>
      </x:c>
      <x:c r="I46" s="36" t="str">
        <x:v>Max receiver multiple</x:v>
      </x:c>
    </x:row>
    <x:row r="47" ht="28" customHeight="1">
      <x:c r="A47" s="2" t="str">
        <x:f>A9</x:f>
        <x:v>Cotton T-shirts</x:v>
      </x:c>
      <x:c r="B47" s="27" t="n">
        <x:f>Cost_Model!D9</x:f>
        <x:v>0.10252754963532354</x:v>
      </x:c>
      <x:c r="C47" s="27" t="n">
        <x:f>Cost_Model!R9</x:f>
        <x:v>0.118638163016827</x:v>
      </x:c>
      <x:c r="D47" s="38" t="n">
        <x:f>Cost_Model!AE9</x:f>
        <x:v>1.1571344817934957</x:v>
      </x:c>
      <x:c r="E47" s="27" t="n">
        <x:f>Cost_Model!D15</x:f>
        <x:v>0.015508884331010253</x:v>
      </x:c>
      <x:c r="F47" s="27" t="n">
        <x:f>Cost_Model!R15</x:f>
        <x:v>0.023564191021761986</x:v>
      </x:c>
      <x:c r="G47" s="38" t="n">
        <x:f>Cost_Model!AE15</x:f>
        <x:v>1.5193994950781227</x:v>
      </x:c>
      <x:c r="H47" s="38" t="n">
        <x:f>Cost_Model!AE14</x:f>
        <x:v>1.1233369531709636</x:v>
      </x:c>
      <x:c r="I47" s="38" t="n">
        <x:f>MAX(Cost_Model!AF6:AF15)</x:f>
        <x:v>1.5193994950781227</x:v>
      </x:c>
    </x:row>
    <x:row r="48" ht="28" customHeight="1">
      <x:c r="A48" s="2" t="str">
        <x:f>A10</x:f>
        <x:v>MMF knitwear</x:v>
      </x:c>
      <x:c r="B48" s="27" t="n">
        <x:f>Cost_Model!D19</x:f>
        <x:v>0.0035383245644133297</x:v>
      </x:c>
      <x:c r="C48" s="27" t="n">
        <x:f>Cost_Model!R19</x:f>
        <x:v>0.01061497369323999</x:v>
      </x:c>
      <x:c r="D48" s="38" t="n">
        <x:f>Cost_Model!AE19</x:f>
        <x:v>3</x:v>
      </x:c>
      <x:c r="E48" s="27" t="n">
        <x:f>Cost_Model!D25</x:f>
        <x:v>0.008823166632095193</x:v>
      </x:c>
      <x:c r="F48" s="27" t="n">
        <x:f>Cost_Model!R25</x:f>
        <x:v>0.012361491196508522</x:v>
      </x:c>
      <x:c r="G48" s="38" t="n">
        <x:f>Cost_Model!AE25</x:f>
        <x:v>1.4010266055207778</x:v>
      </x:c>
      <x:c r="H48" s="38" t="n">
        <x:f>Cost_Model!AE24</x:f>
        <x:v>1.021647390564429</x:v>
      </x:c>
      <x:c r="I48" s="38" t="n">
        <x:f>MAX(Cost_Model!AF16:AF25)</x:f>
        <x:v>3</x:v>
      </x:c>
    </x:row>
    <x:row r="49" ht="28" customHeight="1">
      <x:c r="A49" s="1" t="str">
        <x:f>A11</x:f>
        <x:v>Synthetic dresses</x:v>
      </x:c>
      <x:c r="B49" s="37" t="n">
        <x:f>Cost_Model!D29</x:f>
        <x:v>0.15126885627828815</x:v>
      </x:c>
      <x:c r="C49" s="37" t="n">
        <x:f>Cost_Model!R29</x:f>
        <x:v>0.20126885627828817</x:v>
      </x:c>
      <x:c r="D49" s="39" t="n">
        <x:f>Cost_Model!AE29</x:f>
        <x:v>1.3305373044403497</x:v>
      </x:c>
      <x:c r="E49" s="37" t="n">
        <x:f>Cost_Model!D35</x:f>
        <x:v>0.034917395471662574</x:v>
      </x:c>
      <x:c r="F49" s="37" t="n">
        <x:f>Cost_Model!R35</x:f>
        <x:v>0.059917395471662575</x:v>
      </x:c>
      <x:c r="G49" s="39" t="n">
        <x:f>Cost_Model!AE35</x:f>
        <x:v>1.7159755091209166</x:v>
      </x:c>
      <x:c r="H49" s="39" t="n">
        <x:f>Cost_Model!AE34</x:f>
        <x:v>1.7346679013589075</x:v>
      </x:c>
      <x:c r="I49" s="39" t="n">
        <x:f>MAX(Cost_Model!AF26:AF35)</x:f>
        <x:v>1.7346679013589075</x:v>
      </x:c>
    </x:row>
    <x:row r="50" ht="28" customHeight="1">
      <x:c r="A50" s="1" t="str">
        <x:f>A12</x:f>
        <x:v>Cotton shirts</x:v>
      </x:c>
      <x:c r="B50" s="37" t="n">
        <x:f>Cost_Model!D39</x:f>
        <x:v>0.16719110688117186</x:v>
      </x:c>
      <x:c r="C50" s="37" t="n">
        <x:f>Cost_Model!R39</x:f>
        <x:v>0.2017710571662494</x:v>
      </x:c>
      <x:c r="D50" s="39" t="n">
        <x:f>Cost_Model!AE39</x:f>
        <x:v>1.206828885400314</x:v>
      </x:c>
      <x:c r="E50" s="37" t="n">
        <x:f>Cost_Model!D45</x:f>
        <x:v>0.05205512977013499</x:v>
      </x:c>
      <x:c r="F50" s="37" t="n">
        <x:f>Cost_Model!R45</x:f>
        <x:v>0.06934510491267376</x:v>
      </x:c>
      <x:c r="G50" s="39" t="n">
        <x:f>Cost_Model!AE45</x:f>
        <x:v>1.3321473833393143</x:v>
      </x:c>
      <x:c r="H50" s="39" t="n">
        <x:f>Cost_Model!AE44</x:f>
        <x:v>1.4259779790859572</x:v>
      </x:c>
      <x:c r="I50" s="39" t="n">
        <x:f>MAX(Cost_Model!AF36:AF45)</x:f>
        <x:v>1.4259779790859572</x:v>
      </x:c>
    </x:row>
    <x:row r="52" ht="38" customHeight="1">
      <x:c r="A52" s="13" t="str">
        <x:v>Multiples show scenario share divided by FY2025 baseline share. With fixed product volume they also describe the implied volume multiple. They do not measure a supplier’s production capacity.</x:v>
      </x:c>
      <x:c r="B52" s="13"/>
      <x:c r="C52" s="13"/>
      <x:c r="D52" s="13"/>
      <x:c r="E52" s="13"/>
      <x:c r="F52" s="13"/>
      <x:c r="G52" s="13"/>
      <x:c r="H52" s="13"/>
      <x:c r="I52" s="13"/>
    </x:row>
    <x:row r="53" ht="42" customHeight="1">
      <x:c r="A53" s="13" t="str">
        <x:f>IF(Assumptions!F14="Yes","The baseline-share multiple cap is enabled. MMF knitwear can hit this limit before the requested shift is reached. Compare the share-only case and code-specific receiver mixes in WP009.","The baseline-share multiple cap is disabled. Large implied receiver expansions remain visible above and require separate feasibility testing.")</x:f>
        <x:v>The baseline-share multiple cap is enabled. MMF knitwear can hit this limit before the requested shift is reached. Compare the share-only case and code-specific receiver mixes in WP009.</x:v>
      </x:c>
      <x:c r="B53" s="13"/>
      <x:c r="C53" s="13"/>
      <x:c r="D53" s="13"/>
      <x:c r="E53" s="13"/>
      <x:c r="F53" s="13"/>
      <x:c r="G53" s="13"/>
      <x:c r="H53" s="13"/>
      <x:c r="I53" s="13"/>
    </x:row>
  </x:sheetData>
  <x:mergeCells>
    <x:mergeCell ref="A6:I6"/>
    <x:mergeCell ref="A14:I14"/>
    <x:mergeCell ref="A21:I21"/>
    <x:mergeCell ref="A40:I40"/>
    <x:mergeCell ref="A41:I41"/>
    <x:mergeCell ref="A42:I42"/>
    <x:mergeCell ref="A43:I43"/>
    <x:mergeCell ref="A15:I15"/>
    <x:mergeCell ref="A44:I44"/>
    <x:mergeCell ref="A52:I52"/>
    <x:mergeCell ref="A53:I53"/>
  </x:mergeCells>
  <x:conditionalFormatting sqref="I9:I12">
    <x:cfRule type="containsText" dxfId="6" priority="1" operator="containsText" text="FAIL"/>
    <x:cfRule type="containsText" dxfId="7" priority="2" operator="containsText" text="Hold"/>
  </x:conditionalFormatting>
  <x:conditionalFormatting sqref="I17:I19">
    <x:cfRule type="containsText" dxfId="8" priority="3" operator="containsText" text="FAIL"/>
    <x:cfRule type="containsText" dxfId="9" priority="4" operator="containsText" text="Hold"/>
  </x:conditionalFormatting>
  <x:pageMargins left="0.7" right="0.7" top="0.75" bottom="0.75" header="0.3" footer="0.3"/>
  <x:drawing xmlns:r="http://schemas.openxmlformats.org/officeDocument/2006/relationships" r:id="Rf91b3843be03433d"/>
</x:worksheet>
</file>

<file path=xl/worksheets/sheet2.xml><?xml version="1.0" encoding="utf-8"?>
<x:worksheet xmlns:x="http://schemas.openxmlformats.org/spreadsheetml/2006/main">
  <x:sheetPr>
    <x:tabColor rgb="FF33658A"/>
  </x:sheetPr>
  <x:sheetViews>
    <x:sheetView showGridLines="0" workbookViewId="0"/>
  </x:sheetViews>
  <x:sheetFormatPr defaultRowHeight="15"/>
  <x:cols>
    <x:col min="1" max="1" width="15" hidden="0" customWidth="1"/>
    <x:col min="2" max="2" width="39" hidden="0" customWidth="1"/>
    <x:col min="3" max="3" width="26" hidden="0" customWidth="1"/>
    <x:col min="4" max="4" width="25" hidden="0" customWidth="1"/>
    <x:col min="5" max="5" width="15" hidden="0" customWidth="1"/>
    <x:col min="6" max="6" width="15" hidden="0" customWidth="1"/>
  </x:cols>
  <x:sheetData>
    <x:row r="1" ht="22" customHeight="1">
      <x:c r="A1" s="2"/>
      <x:c r="B1" s="2"/>
      <x:c r="C1" s="2"/>
      <x:c r="D1" s="2"/>
      <x:c r="E1" s="2"/>
      <x:c r="F1" s="2"/>
    </x:row>
    <x:row r="2" ht="29" customHeight="1">
      <x:c r="A2" s="3" t="str">
        <x:v>WP008 model assumptions</x:v>
      </x:c>
      <x:c r="B2" s="3"/>
      <x:c r="C2" s="3"/>
      <x:c r="D2" s="3"/>
      <x:c r="E2" s="3"/>
      <x:c r="F2" s="3"/>
    </x:row>
    <x:row r="3" ht="22" customHeight="1">
      <x:c r="A3" s="4"/>
      <x:c r="B3" s="4"/>
      <x:c r="C3" s="4"/>
      <x:c r="D3" s="4"/>
      <x:c r="E3" s="4"/>
      <x:c r="F3" s="4"/>
    </x:row>
    <x:row r="4" ht="22" customHeight="1">
      <x:c r="A4" s="2"/>
      <x:c r="B4" s="2"/>
      <x:c r="C4" s="2"/>
      <x:c r="D4" s="2"/>
      <x:c r="E4" s="2"/>
      <x:c r="F4" s="2"/>
    </x:row>
    <x:row r="5" ht="22" customHeight="1">
      <x:c r="A5" s="2"/>
      <x:c r="B5" s="2" t="str">
        <x:v>Scenario</x:v>
      </x:c>
      <x:c r="C5" s="6" t="str">
        <x:v>Balanced</x:v>
      </x:c>
      <x:c r="D5" s="2"/>
      <x:c r="E5" s="2"/>
      <x:c r="F5" s="2"/>
    </x:row>
    <x:row r="6" ht="22" customHeight="1">
      <x:c r="A6" s="2"/>
      <x:c r="B6" s="2" t="str">
        <x:v>Price period</x:v>
      </x:c>
      <x:c r="C6" s="6" t="str">
        <x:v>H1 2026</x:v>
      </x:c>
      <x:c r="D6" s="2"/>
      <x:c r="E6" s="2"/>
      <x:c r="F6" s="2"/>
    </x:row>
    <x:row r="7" ht="22" customHeight="1">
      <x:c r="A7" s="2"/>
      <x:c r="B7" s="2" t="str">
        <x:v>Data basis</x:v>
      </x:c>
      <x:c r="C7" s="6" t="str">
        <x:v>Reported</x:v>
      </x:c>
      <x:c r="D7" s="2"/>
      <x:c r="E7" s="2"/>
      <x:c r="F7" s="2"/>
    </x:row>
    <x:row r="8" ht="22" customHeight="1">
      <x:c r="A8" s="2"/>
      <x:c r="B8" s="2" t="str">
        <x:v>Tariff window</x:v>
      </x:c>
      <x:c r="C8" s="6" t="str">
        <x:v>From 15 Jul 2026</x:v>
      </x:c>
      <x:c r="D8" s="2"/>
      <x:c r="E8" s="2"/>
      <x:c r="F8" s="2"/>
    </x:row>
    <x:row r="9" ht="22" customHeight="1">
      <x:c r="A9" s="2"/>
      <x:c r="B9" s="2" t="str">
        <x:v>Tariff treatment</x:v>
      </x:c>
      <x:c r="C9" s="6" t="str">
        <x:v>Eligible preference</x:v>
      </x:c>
      <x:c r="D9" s="2"/>
      <x:c r="E9" s="2"/>
      <x:c r="F9" s="2"/>
    </x:row>
    <x:row r="10" ht="22" customHeight="1">
      <x:c r="A10" s="2"/>
      <x:c r="B10" s="2" t="str">
        <x:v>Recipient country share ceiling</x:v>
      </x:c>
      <x:c r="C10" s="7" t="n">
        <x:v>0.35</x:v>
      </x:c>
      <x:c r="D10" s="2"/>
      <x:c r="E10" s="2"/>
      <x:c r="F10" s="2"/>
    </x:row>
    <x:row r="11" ht="22" customHeight="1">
      <x:c r="A11" s="2"/>
      <x:c r="B11" s="2" t="str">
        <x:v>Maximum addition per recipient</x:v>
      </x:c>
      <x:c r="C11" s="7" t="n">
        <x:v>0.1</x:v>
      </x:c>
      <x:c r="D11" s="2"/>
      <x:c r="E11" s="2"/>
      <x:c r="F11" s="2"/>
    </x:row>
    <x:row r="12" ht="22" customHeight="1">
      <x:c r="A12" s="2"/>
      <x:c r="B12" s="2" t="str">
        <x:v>Active requested shift</x:v>
      </x:c>
      <x:c r="C12" s="8" t="n">
        <x:f>IF(COUNTIFS(A17:A19,C5,B17:B19,"&lt;&gt;")=1,SUMIF(A17:A19,C5,B17:B19),"n.a.")</x:f>
        <x:v>0.1</x:v>
      </x:c>
      <x:c r="D12" s="2"/>
      <x:c r="E12" s="2"/>
      <x:c r="F12" s="2"/>
    </x:row>
    <x:row r="13" ht="22" customHeight="1">
      <x:c r="A13" s="2"/>
      <x:c r="B13" s="2" t="str">
        <x:v>Input status</x:v>
      </x:c>
      <x:c r="C13" s="2" t="str">
        <x:f>IF(AND(OR(F14="Yes",F14="No"),IF(F14="Yes",AND(ISNUMBER(C14),C14&gt;=1),TRUE),COUNT(C10:C11)=2,C10&gt;0,C10&lt;=1,C11&gt;=0,C11&lt;=1,ISNUMBER(C12),C12&gt;=0,C12&lt;=1,COUNT(B24:B33)=10,MIN(B24:B33)&gt;=0,ABS(SUM(B24:B33)-1)&lt;0.000000001,B26=0,B29=0,COUNT(C24:C33)=10,MIN(C24:C33)&gt;=0,COUNT(C38:C41)=4,MIN(C38:C41)&gt;=0,ABS(SUM(C38:C41)-1)&lt;0.000000001),"Valid","Invalid inputs")</x:f>
        <x:v>Valid</x:v>
      </x:c>
      <x:c r="D13" s="2"/>
      <x:c r="E13" s="2"/>
      <x:c r="F13" s="2"/>
    </x:row>
    <x:row r="14" ht="32" customHeight="1">
      <x:c r="A14" s="2"/>
      <x:c r="B14" s="2" t="str">
        <x:v>Maximum baseline-share multiple</x:v>
      </x:c>
      <x:c r="C14" s="23" t="n">
        <x:v>3</x:v>
      </x:c>
      <x:c r="D14" s="2"/>
      <x:c r="E14" s="13" t="str">
        <x:v>Apply multiple cap</x:v>
      </x:c>
      <x:c r="F14" s="22" t="str">
        <x:v>Yes</x:v>
      </x:c>
    </x:row>
    <x:row r="15" ht="22" customHeight="1">
      <x:c r="A15" s="2"/>
      <x:c r="B15" s="2"/>
      <x:c r="C15" s="2"/>
      <x:c r="D15" s="2"/>
      <x:c r="E15" s="2"/>
      <x:c r="F15" s="2"/>
    </x:row>
    <x:row r="16" ht="34" customHeight="1">
      <x:c r="A16" s="12" t="str">
        <x:v>Scenario</x:v>
      </x:c>
      <x:c r="B16" s="12" t="str">
        <x:v>Requested shift</x:v>
      </x:c>
      <x:c r="C16" s="2"/>
      <x:c r="D16" s="2"/>
      <x:c r="E16" s="2"/>
      <x:c r="F16" s="2"/>
    </x:row>
    <x:row r="17" ht="22" customHeight="1">
      <x:c r="A17" s="2" t="str">
        <x:v>Cautious</x:v>
      </x:c>
      <x:c r="B17" s="7" t="n">
        <x:v>0.05</x:v>
      </x:c>
      <x:c r="C17" s="2"/>
      <x:c r="D17" s="2"/>
      <x:c r="E17" s="2"/>
      <x:c r="F17" s="2"/>
    </x:row>
    <x:row r="18" ht="22" customHeight="1">
      <x:c r="A18" s="2" t="str">
        <x:v>Balanced</x:v>
      </x:c>
      <x:c r="B18" s="7" t="n">
        <x:v>0.1</x:v>
      </x:c>
      <x:c r="C18" s="2"/>
      <x:c r="D18" s="2"/>
      <x:c r="E18" s="2"/>
      <x:c r="F18" s="2"/>
    </x:row>
    <x:row r="19" ht="22" customHeight="1">
      <x:c r="A19" s="2" t="str">
        <x:v>Accelerated</x:v>
      </x:c>
      <x:c r="B19" s="7" t="n">
        <x:v>0.15</x:v>
      </x:c>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34" customHeight="1">
      <x:c r="A23" s="12" t="str">
        <x:v>Country</x:v>
      </x:c>
      <x:c r="B23" s="12" t="str">
        <x:v>Receiver weight</x:v>
      </x:c>
      <x:c r="C23" s="12" t="str">
        <x:v>Incremental premium</x:v>
      </x:c>
      <x:c r="D23" s="12" t="str">
        <x:v>Basis</x:v>
      </x:c>
      <x:c r="E23" s="2"/>
      <x:c r="F23" s="2"/>
    </x:row>
    <x:row r="24" ht="22" customHeight="1">
      <x:c r="A24" s="2" t="str">
        <x:v>Bangladesh</x:v>
      </x:c>
      <x:c r="B24" s="7" t="n">
        <x:v>0</x:v>
      </x:c>
      <x:c r="C24" s="7" t="n">
        <x:v>0</x:v>
      </x:c>
      <x:c r="D24" s="2" t="str">
        <x:v>Scenario assumption</x:v>
      </x:c>
      <x:c r="E24" s="2"/>
      <x:c r="F24" s="2"/>
    </x:row>
    <x:row r="25" ht="22" customHeight="1">
      <x:c r="A25" s="2" t="str">
        <x:v>Cambodia</x:v>
      </x:c>
      <x:c r="B25" s="7" t="n">
        <x:v>0</x:v>
      </x:c>
      <x:c r="C25" s="7" t="n">
        <x:v>0</x:v>
      </x:c>
      <x:c r="D25" s="2" t="str">
        <x:v>Scenario assumption</x:v>
      </x:c>
      <x:c r="E25" s="2"/>
      <x:c r="F25" s="2"/>
    </x:row>
    <x:row r="26" ht="22" customHeight="1">
      <x:c r="A26" s="2" t="str">
        <x:v>China</x:v>
      </x:c>
      <x:c r="B26" s="7" t="n">
        <x:v>0</x:v>
      </x:c>
      <x:c r="C26" s="7" t="n">
        <x:v>0</x:v>
      </x:c>
      <x:c r="D26" s="2" t="str">
        <x:v>Scenario assumption</x:v>
      </x:c>
      <x:c r="E26" s="2"/>
      <x:c r="F26" s="2"/>
    </x:row>
    <x:row r="27" ht="22" customHeight="1">
      <x:c r="A27" s="2" t="str">
        <x:v>India</x:v>
      </x:c>
      <x:c r="B27" s="7" t="n">
        <x:v>0.5</x:v>
      </x:c>
      <x:c r="C27" s="7" t="n">
        <x:v>0</x:v>
      </x:c>
      <x:c r="D27" s="2" t="str">
        <x:v>Scenario assumption</x:v>
      </x:c>
      <x:c r="E27" s="2"/>
      <x:c r="F27" s="2"/>
    </x:row>
    <x:row r="28" ht="22" customHeight="1">
      <x:c r="A28" s="2" t="str">
        <x:v>Morocco</x:v>
      </x:c>
      <x:c r="B28" s="7" t="n">
        <x:v>0</x:v>
      </x:c>
      <x:c r="C28" s="7" t="n">
        <x:v>0</x:v>
      </x:c>
      <x:c r="D28" s="2" t="str">
        <x:v>Scenario assumption</x:v>
      </x:c>
      <x:c r="E28" s="2"/>
      <x:c r="F28" s="2"/>
    </x:row>
    <x:row r="29" ht="22" customHeight="1">
      <x:c r="A29" s="2" t="str">
        <x:v>Myanmar</x:v>
      </x:c>
      <x:c r="B29" s="7" t="n">
        <x:v>0</x:v>
      </x:c>
      <x:c r="C29" s="7" t="n">
        <x:v>0</x:v>
      </x:c>
      <x:c r="D29" s="2" t="str">
        <x:v>Scenario assumption</x:v>
      </x:c>
      <x:c r="E29" s="2"/>
      <x:c r="F29" s="2"/>
    </x:row>
    <x:row r="30" ht="22" customHeight="1">
      <x:c r="A30" s="2" t="str">
        <x:v>Pakistan</x:v>
      </x:c>
      <x:c r="B30" s="7" t="n">
        <x:v>0</x:v>
      </x:c>
      <x:c r="C30" s="7" t="n">
        <x:v>0</x:v>
      </x:c>
      <x:c r="D30" s="2" t="str">
        <x:v>Scenario assumption</x:v>
      </x:c>
      <x:c r="E30" s="2"/>
      <x:c r="F30" s="2"/>
    </x:row>
    <x:row r="31" ht="22" customHeight="1">
      <x:c r="A31" s="2" t="str">
        <x:v>Sri Lanka</x:v>
      </x:c>
      <x:c r="B31" s="7" t="n">
        <x:v>0</x:v>
      </x:c>
      <x:c r="C31" s="7" t="n">
        <x:v>0</x:v>
      </x:c>
      <x:c r="D31" s="2" t="str">
        <x:v>Scenario assumption</x:v>
      </x:c>
      <x:c r="E31" s="2"/>
      <x:c r="F31" s="2"/>
    </x:row>
    <x:row r="32" ht="22" customHeight="1">
      <x:c r="A32" s="2" t="str">
        <x:v>Turkey</x:v>
      </x:c>
      <x:c r="B32" s="7" t="n">
        <x:v>0.25</x:v>
      </x:c>
      <x:c r="C32" s="7" t="n">
        <x:v>0</x:v>
      </x:c>
      <x:c r="D32" s="2" t="str">
        <x:v>Scenario assumption</x:v>
      </x:c>
      <x:c r="E32" s="2"/>
      <x:c r="F32" s="2"/>
    </x:row>
    <x:row r="33" ht="22" customHeight="1">
      <x:c r="A33" s="2" t="str">
        <x:v>Vietnam</x:v>
      </x:c>
      <x:c r="B33" s="7" t="n">
        <x:v>0.25</x:v>
      </x:c>
      <x:c r="C33" s="7" t="n">
        <x:v>0</x:v>
      </x:c>
      <x:c r="D33" s="2" t="str">
        <x:v>Scenario assumption</x:v>
      </x:c>
      <x:c r="E33" s="2"/>
      <x:c r="F33" s="2"/>
    </x:row>
    <x:row r="34" ht="22" customHeight="1">
      <x:c r="A34" s="2"/>
      <x:c r="B34" s="2"/>
      <x:c r="C34" s="2"/>
      <x:c r="D34" s="2"/>
      <x:c r="E34" s="2"/>
      <x:c r="F34" s="2"/>
    </x:row>
    <x:row r="35" ht="22" customHeight="1">
      <x:c r="A35" s="2"/>
      <x:c r="B35" s="2"/>
      <x:c r="C35" s="2"/>
      <x:c r="D35" s="2"/>
      <x:c r="E35" s="2"/>
      <x:c r="F35" s="2"/>
    </x:row>
    <x:row r="36" ht="22" customHeight="1">
      <x:c r="A36" s="2"/>
      <x:c r="B36" s="2"/>
      <x:c r="C36" s="2"/>
      <x:c r="D36" s="2"/>
      <x:c r="E36" s="2"/>
      <x:c r="F36" s="2"/>
    </x:row>
    <x:row r="37" ht="43" customHeight="1">
      <x:c r="A37" s="12" t="str">
        <x:v>CN8</x:v>
      </x:c>
      <x:c r="B37" s="12" t="str">
        <x:v>Product</x:v>
      </x:c>
      <x:c r="C37" s="12" t="str">
        <x:v>Basket spend weight</x:v>
      </x:c>
      <x:c r="D37" s="2"/>
      <x:c r="E37" s="26" t="str">
        <x:v>FY2025 UK import value (£)</x:v>
      </x:c>
      <x:c r="F37" s="26" t="str">
        <x:v>Value weight</x:v>
      </x:c>
    </x:row>
    <x:row r="38" ht="22" customHeight="1">
      <x:c r="A38" s="2" t="str">
        <x:v>61091000</x:v>
      </x:c>
      <x:c r="B38" s="2" t="str">
        <x:v>Cotton T-shirts</x:v>
      </x:c>
      <x:c r="C38" s="7" t="n">
        <x:v>0.25</x:v>
      </x:c>
      <x:c r="D38" s="2"/>
      <x:c r="E38" s="14" t="n">
        <x:v>1223299784</x:v>
      </x:c>
      <x:c r="F38" s="27" t="n">
        <x:f>E38/SUM($E$38:$E$41)</x:f>
        <x:v>0.4787875215696204</x:v>
      </x:c>
    </x:row>
    <x:row r="39" ht="22" customHeight="1">
      <x:c r="A39" s="2" t="str">
        <x:v>61103099</x:v>
      </x:c>
      <x:c r="B39" s="2" t="str">
        <x:v>MMF knitwear</x:v>
      </x:c>
      <x:c r="C39" s="7" t="n">
        <x:v>0.25</x:v>
      </x:c>
      <x:c r="D39" s="2"/>
      <x:c r="E39" s="14" t="n">
        <x:v>719371758</x:v>
      </x:c>
      <x:c r="F39" s="27" t="n">
        <x:f>E39/SUM($E$38:$E$41)</x:f>
        <x:v>0.2815550412130219</x:v>
      </x:c>
    </x:row>
    <x:row r="40" ht="22" customHeight="1">
      <x:c r="A40" s="2" t="str">
        <x:v>62044300</x:v>
      </x:c>
      <x:c r="B40" s="2" t="str">
        <x:v>Synthetic dresses</x:v>
      </x:c>
      <x:c r="C40" s="7" t="n">
        <x:v>0.25</x:v>
      </x:c>
      <x:c r="D40" s="2"/>
      <x:c r="E40" s="14" t="n">
        <x:v>349077816</x:v>
      </x:c>
      <x:c r="F40" s="27" t="n">
        <x:f>E40/SUM($E$38:$E$41)</x:f>
        <x:v>0.13662562892889057</x:v>
      </x:c>
    </x:row>
    <x:row r="41" ht="22" customHeight="1">
      <x:c r="A41" s="2" t="str">
        <x:v>62052000</x:v>
      </x:c>
      <x:c r="B41" s="2" t="str">
        <x:v>Cotton shirts</x:v>
      </x:c>
      <x:c r="C41" s="7" t="n">
        <x:v>0.25</x:v>
      </x:c>
      <x:c r="D41" s="2"/>
      <x:c r="E41" s="14" t="n">
        <x:v>263245768</x:v>
      </x:c>
      <x:c r="F41" s="27" t="n">
        <x:f>E41/SUM($E$38:$E$41)</x:f>
        <x:v>0.10303180828846716</x:v>
      </x:c>
    </x:row>
    <x:row r="42" ht="22" customHeight="1">
      <x:c r="A42" s="2"/>
      <x:c r="B42" s="2"/>
      <x:c r="C42" s="2"/>
      <x:c r="D42" s="2"/>
      <x:c r="E42" s="2"/>
      <x:c r="F42" s="2"/>
    </x:row>
    <x:row r="43" ht="45" customHeight="1">
      <x:c r="A43" s="13" t="str">
        <x:v>Amber cells are editable assumptions. Receiver weights allocate each feasible shift: India 50%, Turkey 25%, Vietnam 25%. This is a test portfolio, not an optimised allocation or a capacity assessment.</x:v>
      </x:c>
      <x:c r="B43" s="13"/>
      <x:c r="C43" s="13"/>
      <x:c r="D43" s="13"/>
      <x:c r="E43" s="13"/>
      <x:c r="F43" s="13"/>
    </x:row>
    <x:row r="44" ht="45" customHeight="1">
      <x:c r="A44" s="13" t="str">
        <x:v>China is the donor. FY2025 ten-country import-mass shares remain the fixed baseline. Myanmar retains its baseline benchmark share and receives no increment. Country ceilings constrain additions only.</x:v>
      </x:c>
      <x:c r="B44" s="13"/>
      <x:c r="C44" s="13"/>
      <x:c r="D44" s="13"/>
      <x:c r="E44" s="13"/>
      <x:c r="F44" s="13"/>
    </x:row>
    <x:row r="45" ht="60" customHeight="1">
      <x:c r="A45" s="13" t="str">
        <x:v>Receiver headroom is the minimum of the 35% share ceiling, 10pp addition limit and, when enabled, (maximum multiple − 1) × baseline share. The default 3× cap is a modelling safeguard, not verified capacity. Zero-baseline receivers cannot grow while it is enabled.</x:v>
      </x:c>
      <x:c r="B45" s="13"/>
      <x:c r="C45" s="13"/>
      <x:c r="D45" s="13"/>
      <x:c r="E45" s="13"/>
      <x:c r="F45" s="13"/>
    </x:row>
    <x:row r="46" ht="45" customHeight="1">
      <x:c r="A46" s="13" t="str">
        <x:v>Equal 25% category spend weights create a synthetic cost index. They do not represent NEXT spend. Incremental premiums apply only to transferred volume; zero means the scenario excludes a premium.</x:v>
      </x:c>
      <x:c r="B46" s="13"/>
      <x:c r="C46" s="13"/>
      <x:c r="D46" s="13"/>
      <x:c r="E46" s="13"/>
      <x:c r="F46" s="13"/>
    </x:row>
    <x:row r="47" ht="45" customHeight="1">
      <x:c r="A47" s="13" t="str">
        <x:v>The tariff window is independent of the trade period: changing it holds observed prices constant for a policy comparison. It does not estimate duty actually paid during that trade period.</x:v>
      </x:c>
      <x:c r="B47" s="13"/>
      <x:c r="C47" s="13"/>
      <x:c r="D47" s="13"/>
      <x:c r="E47" s="13"/>
      <x:c r="F47" s="13"/>
    </x:row>
    <x:row r="48" ht="45" customHeight="1">
      <x:c r="A48" s="13" t="inlineStr">
        <x:is>
          <x:t>Illustrative requested shifts are 5/10/15pp (Q5.2). Receiver mix, ceilings, zero premiums and equal category weights are explicit model assumptions. See docs/Research_Question_and_Scope.md.</x:t>
        </x:is>
      </x:c>
      <x:c r="B48" s="13"/>
      <x:c r="C48" s="13"/>
      <x:c r="D48" s="13"/>
      <x:c r="E48" s="13"/>
      <x:c r="F48" s="13"/>
    </x:row>
    <x:row r="49" ht="44" customHeight="1">
      <x:c r="A49" s="13" t="str">
        <x:v>Set Apply multiple cap to No to reproduce the original share-only constraints. The receiver mix remains common across codes; WP009 will test code-specific mixes and alternative growth limits.</x:v>
      </x:c>
      <x:c r="B49" s="13"/>
      <x:c r="C49" s="13"/>
      <x:c r="D49" s="13"/>
      <x:c r="E49" s="13"/>
      <x:c r="F49" s="13"/>
    </x:row>
    <x:row r="50" ht="54" customHeight="1">
      <x:c r="A50" s="13" t="str">
        <x:v>Value-weight reference: WP004 Commodity_Shortlist!G2:G5 and WP006 world_trade_period_reported, FULL_YEAR 2025. These weights are queued for WP009; active basket weights remain in C38:C41. They describe the UK four-code market, not NEXT spend.</x:v>
      </x:c>
      <x:c r="B50" s="13"/>
      <x:c r="C50" s="13"/>
      <x:c r="D50" s="13"/>
      <x:c r="E50" s="13"/>
      <x:c r="F50" s="13"/>
    </x:row>
  </x:sheetData>
  <x:mergeCells>
    <x:mergeCell ref="A43:F43"/>
    <x:mergeCell ref="A44:F44"/>
    <x:mergeCell ref="A45:F45"/>
    <x:mergeCell ref="A46:F46"/>
    <x:mergeCell ref="A47:F47"/>
    <x:mergeCell ref="A48:F48"/>
    <x:mergeCell ref="A49:F49"/>
    <x:mergeCell ref="A50:F50"/>
  </x:mergeCells>
  <x:dataValidations count="6">
    <x:dataValidation type="list" sqref="C5">
      <x:formula1>"Cautious,Balanced,Accelerated"</x:formula1>
    </x:dataValidation>
    <x:dataValidation type="list" sqref="C6">
      <x:formula1>"FY2025,H1 2025,H1 2026"</x:formula1>
    </x:dataValidation>
    <x:dataValidation type="list" sqref="C7">
      <x:formula1>"Reported,Common-month sensitivity"</x:formula1>
    </x:dataValidation>
    <x:dataValidation type="list" sqref="C8">
      <x:formula1>"2025,1 Jan to 14 Jul 2026,From 15 Jul 2026"</x:formula1>
    </x:dataValidation>
    <x:dataValidation type="list" sqref="C9">
      <x:formula1>"Eligible preference,MFN fallback"</x:formula1>
    </x:dataValidation>
    <x:dataValidation type="list" sqref="F14">
      <x:formula1>"Yes,No"</x:formula1>
    </x:dataValidation>
  </x:dataValidations>
  <x:pageMargins left="0.7" right="0.7" top="0.75" bottom="0.75" header="0.3" footer="0.3"/>
</x:worksheet>
</file>

<file path=xl/worksheets/sheet3.xml><?xml version="1.0" encoding="utf-8"?>
<x:worksheet xmlns:x="http://schemas.openxmlformats.org/spreadsheetml/2006/main">
  <x:sheetPr>
    <x:tabColor rgb="FF33658A"/>
  </x:sheetPr>
  <x:sheetViews>
    <x:sheetView showGridLines="0" workbookViewId="0"/>
  </x:sheetViews>
  <x:sheetFormatPr defaultRowHeight="15"/>
  <x:cols>
    <x:col min="1" max="1" width="15" hidden="0" customWidth="1"/>
    <x:col min="2" max="2" width="17"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9" hidden="0" customWidth="1"/>
    <x:col min="31" max="31" width="18" hidden="0" customWidth="1"/>
    <x:col min="32" max="32" width="18" hidden="0" customWidth="1"/>
    <x:col min="33" max="33" width="18" hidden="0" customWidth="1"/>
  </x:cols>
  <x:sheetData>
    <x:row r="1" ht="22"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row>
    <x:row r="2" ht="29" customHeight="1">
      <x:c r="A2" s="3" t="str">
        <x:v>Cost and allocation model</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row>
    <x:row r="3" ht="22"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row>
    <x:row r="4" ht="22" customHeight="1">
      <x:c r="A4" s="2" t="str">
        <x:v>Scenario:</x:v>
      </x:c>
      <x:c r="B4" s="2" t="str">
        <x:f>Assumptions!C5</x:f>
        <x:v>Balanced</x:v>
      </x:c>
      <x:c r="C4" s="2"/>
      <x:c r="D4" s="2" t="str">
        <x:v>Price period:</x:v>
      </x:c>
      <x:c r="E4" s="2" t="str">
        <x:f>Assumptions!C6</x:f>
        <x:v>H1 2026</x:v>
      </x:c>
      <x:c r="F4" s="2"/>
      <x:c r="G4" s="2"/>
      <x:c r="H4" s="2" t="str">
        <x:f>Assumptions!C7</x:f>
        <x:v>Reported</x:v>
      </x:c>
      <x:c r="I4" s="2"/>
      <x:c r="J4" s="2"/>
      <x:c r="K4" s="2" t="str">
        <x:f>Assumptions!C9</x:f>
        <x:v>Eligible preference</x:v>
      </x:c>
      <x:c r="L4" s="2"/>
      <x:c r="M4" s="2"/>
      <x:c r="N4" s="2"/>
      <x:c r="O4" s="2"/>
      <x:c r="P4" s="2"/>
      <x:c r="Q4" s="2"/>
      <x:c r="R4" s="2"/>
      <x:c r="S4" s="2"/>
      <x:c r="T4" s="2"/>
      <x:c r="U4" s="2"/>
      <x:c r="V4" s="2"/>
      <x:c r="W4" s="2"/>
      <x:c r="X4" s="2"/>
      <x:c r="Y4" s="2"/>
      <x:c r="Z4" s="2"/>
      <x:c r="AA4" s="2"/>
      <x:c r="AB4" s="2"/>
      <x:c r="AC4" s="2"/>
      <x:c r="AD4" s="2"/>
    </x:row>
    <x:row r="5" ht="34" customHeight="1">
      <x:c r="A5" s="12" t="str">
        <x:v>CN8</x:v>
      </x:c>
      <x:c r="B5" s="12" t="str">
        <x:v>Country</x:v>
      </x:c>
      <x:c r="C5" s="12" t="str">
        <x:v>FY25 mass (kg)</x:v>
      </x:c>
      <x:c r="D5" s="12" t="str">
        <x:v>Baseline share</x:v>
      </x:c>
      <x:c r="E5" s="12" t="str">
        <x:v>Price value (£)</x:v>
      </x:c>
      <x:c r="F5" s="12" t="str">
        <x:v>Price mass (kg)</x:v>
      </x:c>
      <x:c r="G5" s="12" t="str">
        <x:v>UV (£/kg)</x:v>
      </x:c>
      <x:c r="H5" s="12" t="str">
        <x:v>Eligible tariff</x:v>
      </x:c>
      <x:c r="I5" s="12" t="str">
        <x:v>MFN tariff</x:v>
      </x:c>
      <x:c r="J5" s="12" t="str">
        <x:v>Eligible £/kg</x:v>
      </x:c>
      <x:c r="K5" s="12" t="str">
        <x:v>MFN £/kg</x:v>
      </x:c>
      <x:c r="L5" s="12" t="str">
        <x:v>Active £/kg</x:v>
      </x:c>
      <x:c r="M5" s="12" t="str">
        <x:v>Receiver weight</x:v>
      </x:c>
      <x:c r="N5" s="12" t="str">
        <x:v>Premium</x:v>
      </x:c>
      <x:c r="O5" s="12" t="str">
        <x:v>Shift direction</x:v>
      </x:c>
      <x:c r="P5" s="12" t="str">
        <x:v>Shift limit</x:v>
      </x:c>
      <x:c r="Q5" s="12" t="str">
        <x:v>Active change</x:v>
      </x:c>
      <x:c r="R5" s="12" t="str">
        <x:v>Scenario share</x:v>
      </x:c>
      <x:c r="S5" s="12" t="str">
        <x:v>Baseline cost</x:v>
      </x:c>
      <x:c r="T5" s="12" t="str">
        <x:v>Scenario cost</x:v>
      </x:c>
      <x:c r="U5" s="12" t="str">
        <x:v>Unit-shift cost</x:v>
      </x:c>
      <x:c r="V5" s="12" t="str">
        <x:v>Baseline HHI</x:v>
      </x:c>
      <x:c r="W5" s="12" t="str">
        <x:v>HHI linear term</x:v>
      </x:c>
      <x:c r="X5" s="12" t="str">
        <x:v>HHI square term</x:v>
      </x:c>
      <x:c r="Y5" s="12" t="str">
        <x:v>Evidence-ready increment</x:v>
      </x:c>
      <x:c r="Z5" s="12" t="str">
        <x:v>Eligible baseline</x:v>
      </x:c>
      <x:c r="AA5" s="12" t="str">
        <x:v>Eligible direction</x:v>
      </x:c>
      <x:c r="AB5" s="12" t="str">
        <x:v>MFN baseline</x:v>
      </x:c>
      <x:c r="AC5" s="12" t="str">
        <x:v>MFN direction</x:v>
      </x:c>
      <x:c r="AD5" s="12" t="str">
        <x:v>Input coverage</x:v>
      </x:c>
      <x:c r="AE5" s="32" t="str">
        <x:v>Share multiple</x:v>
      </x:c>
      <x:c r="AF5" s="32" t="str">
        <x:v>Receiver multiple</x:v>
      </x:c>
      <x:c r="AG5" s="32" t="str">
        <x:v>Multiple-cap excess</x:v>
      </x:c>
    </x:row>
    <x:row r="6" ht="22" customHeight="1">
      <x:c r="A6" s="2" t="str">
        <x:v>61091000</x:v>
      </x:c>
      <x:c r="B6" s="2" t="str">
        <x:v>Bangladesh</x:v>
      </x:c>
      <x:c r="C6" s="14" t="n">
        <x:f>SUMIFS(Trade_Periods!$F$6:$F$125,Trade_Periods!$B$6:$B$125,"FY2025",Trade_Periods!$C$6:$C$125,B6,Trade_Periods!$D$6:$D$125,A6)</x:f>
        <x:v>44227971</x:v>
      </x:c>
      <x:c r="D6" s="8" t="n">
        <x:f>C6/SUM(C6:C15)</x:f>
        <x:v>0.5862208686521764</x:v>
      </x:c>
      <x:c r="E6" s="14" t="n">
        <x:f>IF(Assumptions!$C$7="Reported",SUMIFS(Trade_Periods!$E$6:$E$125,Trade_Periods!$B$6:$B$125,Assumptions!$C$6,Trade_Periods!$C$6:$C$125,B6,Trade_Periods!$D$6:$D$125,A6),SUMIFS(Trade_Periods!$L$6:$L$125,Trade_Periods!$B$6:$B$125,Assumptions!$C$6,Trade_Periods!$C$6:$C$125,B6,Trade_Periods!$D$6:$D$125,A6))</x:f>
        <x:v>254631302</x:v>
      </x:c>
      <x:c r="F6" s="14" t="n">
        <x:f>IF(Assumptions!$C$7="Reported",SUMIFS(Trade_Periods!$F$6:$F$125,Trade_Periods!$B$6:$B$125,Assumptions!$C$6,Trade_Periods!$C$6:$C$125,B6,Trade_Periods!$D$6:$D$125,A6),SUMIFS(Trade_Periods!$M$6:$M$125,Trade_Periods!$B$6:$B$125,Assumptions!$C$6,Trade_Periods!$C$6:$C$125,B6,Trade_Periods!$D$6:$D$125,A6))</x:f>
        <x:v>24484056</x:v>
      </x:c>
      <x:c r="G6" s="15" t="n">
        <x:f>IF(F6&gt;0,E6/F6,"n.a.")</x:f>
        <x:v>10.399882356093288</x:v>
      </x:c>
      <x:c r="H6" s="8" t="n">
        <x:f>IF(Assumptions!$C$8="2025",SUMIFS(Tariffs!$D$6:$D$45,Tariffs!$B$6:$B$45,B6,Tariffs!$C$6:$C$45,A6),IF(Assumptions!$C$8="1 Jan to 14 Jul 2026",SUMIFS(Tariffs!$E$6:$E$45,Tariffs!$B$6:$B$45,B6,Tariffs!$C$6:$C$45,A6),SUMIFS(Tariffs!$F$6:$F$45,Tariffs!$B$6:$B$45,B6,Tariffs!$C$6:$C$45,A6)))</x:f>
        <x:v>0</x:v>
      </x:c>
      <x:c r="I6" s="8" t="n">
        <x:f>SUMIFS(Tariffs!$G$6:$G$45,Tariffs!$B$6:$B$45,B6,Tariffs!$C$6:$C$45,A6)</x:f>
        <x:v>0.12</x:v>
      </x:c>
      <x:c r="J6" s="15" t="n">
        <x:f>G6*(1+H6)</x:f>
        <x:v>10.399882356093288</x:v>
      </x:c>
      <x:c r="K6" s="15" t="n">
        <x:f>G6*(1+I6)</x:f>
        <x:v>11.647868238824485</x:v>
      </x:c>
      <x:c r="L6" s="15" t="n">
        <x:f>IF(Assumptions!$C$9="Eligible preference",J6,K6)</x:f>
        <x:v>10.399882356093288</x:v>
      </x:c>
      <x:c r="M6" s="8" t="n">
        <x:f>Assumptions!B24</x:f>
        <x:v>0</x:v>
      </x:c>
      <x:c r="N6" s="8" t="n">
        <x:f>Assumptions!C24</x:f>
        <x:v>0</x:v>
      </x:c>
      <x:c r="O6" s="8" t="n">
        <x:f>IF(B6="China",-1,M6)</x:f>
        <x:v>0</x:v>
      </x:c>
      <x:c r="P6" s="8" t="n">
        <x:f>IF(B6="China",D6,IF(M6&gt;0,MAX(0,MIN(Assumptions!$C$10-D6,Assumptions!$C$11,IF(Assumptions!$F$14="Yes",(Assumptions!$C$14-1)*D6,1))/M6),1))</x:f>
        <x:v>1</x:v>
      </x:c>
      <x:c r="Q6" s="8" t="n">
        <x:f>$E51*O6</x:f>
        <x:v>0</x:v>
      </x:c>
      <x:c r="R6" s="8" t="n">
        <x:f>D6+Q6</x:f>
        <x:v>0.5862208686521764</x:v>
      </x:c>
      <x:c r="S6" s="16" t="n">
        <x:f>D6*L6</x:f>
        <x:v>6.09662806866945</x:v>
      </x:c>
      <x:c r="T6" s="16" t="n">
        <x:f>R6*L6+MAX(0,Q6)*L6*N6</x:f>
        <x:v>6.09662806866945</x:v>
      </x:c>
      <x:c r="U6" s="16" t="n">
        <x:f>O6*L6+M6*L6*N6</x:f>
        <x:v>0</x:v>
      </x:c>
      <x:c r="V6" s="16" t="n">
        <x:f>D6^2</x:f>
        <x:v>0.34365490684331224</x:v>
      </x:c>
      <x:c r="W6" s="16" t="n">
        <x:f>2*D6*O6</x:f>
        <x:v>0</x:v>
      </x:c>
      <x:c r="X6" s="16" t="n">
        <x:f>O6^2</x:f>
        <x:v>0</x:v>
      </x:c>
      <x:c r="Y6" s="16" t="n">
        <x:f>IF(Candidate_Gates!N6="Pass",MAX(0,Q6),0)</x:f>
        <x:v>0</x:v>
      </x:c>
      <x:c r="Z6" s="16" t="n">
        <x:f>D6*J6</x:f>
        <x:v>6.09662806866945</x:v>
      </x:c>
      <x:c r="AA6" s="16" t="n">
        <x:f>O6*J6+M6*J6*N6</x:f>
        <x:v>0</x:v>
      </x:c>
      <x:c r="AB6" s="16" t="n">
        <x:f>D6*K6</x:f>
        <x:v>6.828223436909785</x:v>
      </x:c>
      <x:c r="AC6" s="16" t="n">
        <x:f>O6*K6+M6*K6*N6</x:f>
        <x:v>0</x:v>
      </x:c>
      <x:c r="AD6" s="2" t="str">
        <x:f>IF(AND(C6&gt;=0,F6&gt;0,E6&gt;0,ISNUMBER(G6),COUNTIFS(Trade_Periods!$B$6:$B$125,Assumptions!$C$6,Trade_Periods!$C$6:$C$125,B6,Trade_Periods!$D$6:$D$125,A6)=1,COUNTIFS(Tariffs!$B$6:$B$45,B6,Tariffs!$C$6:$C$45,A6)=1),"Ready","Missing data")</x:f>
        <x:v>Ready</x:v>
      </x:c>
      <x:c r="AE6" s="33" t="n">
        <x:f>IF(D6&gt;0,R6/D6,"n.a.")</x:f>
        <x:v>1</x:v>
      </x:c>
      <x:c r="AF6" s="33" t="n">
        <x:f>IF(M6&gt;0,IF(D6&gt;0,R6/D6,IF(R6=0,0,"n.a.")),0)</x:f>
        <x:v>0</x:v>
      </x:c>
      <x:c r="AG6" s="34" t="n">
        <x:f>IF(AND(Assumptions!$F$14="Yes",M6&gt;0),MAX(0,R6-Assumptions!$C$14*D6),0)</x:f>
        <x:v>0</x:v>
      </x:c>
    </x:row>
    <x:row r="7" ht="22" customHeight="1">
      <x:c r="A7" s="2" t="str">
        <x:v>61091000</x:v>
      </x:c>
      <x:c r="B7" s="2" t="str">
        <x:v>Cambodia</x:v>
      </x:c>
      <x:c r="C7" s="14" t="n">
        <x:f>SUMIFS(Trade_Periods!$F$6:$F$125,Trade_Periods!$B$6:$B$125,"FY2025",Trade_Periods!$C$6:$C$125,B7,Trade_Periods!$D$6:$D$125,A7)</x:f>
        <x:v>547756</x:v>
      </x:c>
      <x:c r="D7" s="8" t="n">
        <x:f>C7/SUM(C6:C15)</x:f>
        <x:v>0.007260247098593818</x:v>
      </x:c>
      <x:c r="E7" s="14" t="n">
        <x:f>IF(Assumptions!$C$7="Reported",SUMIFS(Trade_Periods!$E$6:$E$125,Trade_Periods!$B$6:$B$125,Assumptions!$C$6,Trade_Periods!$C$6:$C$125,B7,Trade_Periods!$D$6:$D$125,A7),SUMIFS(Trade_Periods!$L$6:$L$125,Trade_Periods!$B$6:$B$125,Assumptions!$C$6,Trade_Periods!$C$6:$C$125,B7,Trade_Periods!$D$6:$D$125,A7))</x:f>
        <x:v>5968533</x:v>
      </x:c>
      <x:c r="F7" s="14" t="n">
        <x:f>IF(Assumptions!$C$7="Reported",SUMIFS(Trade_Periods!$F$6:$F$125,Trade_Periods!$B$6:$B$125,Assumptions!$C$6,Trade_Periods!$C$6:$C$125,B7,Trade_Periods!$D$6:$D$125,A7),SUMIFS(Trade_Periods!$M$6:$M$125,Trade_Periods!$B$6:$B$125,Assumptions!$C$6,Trade_Periods!$C$6:$C$125,B7,Trade_Periods!$D$6:$D$125,A7))</x:f>
        <x:v>334694</x:v>
      </x:c>
      <x:c r="G7" s="15" t="n">
        <x:f>IF(F7&gt;0,E7/F7,"n.a.")</x:f>
        <x:v>17.83280548799799</x:v>
      </x:c>
      <x:c r="H7" s="8" t="n">
        <x:f>IF(Assumptions!$C$8="2025",SUMIFS(Tariffs!$D$6:$D$45,Tariffs!$B$6:$B$45,B7,Tariffs!$C$6:$C$45,A7),IF(Assumptions!$C$8="1 Jan to 14 Jul 2026",SUMIFS(Tariffs!$E$6:$E$45,Tariffs!$B$6:$B$45,B7,Tariffs!$C$6:$C$45,A7),SUMIFS(Tariffs!$F$6:$F$45,Tariffs!$B$6:$B$45,B7,Tariffs!$C$6:$C$45,A7)))</x:f>
        <x:v>0</x:v>
      </x:c>
      <x:c r="I7" s="8" t="n">
        <x:f>SUMIFS(Tariffs!$G$6:$G$45,Tariffs!$B$6:$B$45,B7,Tariffs!$C$6:$C$45,A7)</x:f>
        <x:v>0.12</x:v>
      </x:c>
      <x:c r="J7" s="15" t="n">
        <x:f>G7*(1+H7)</x:f>
        <x:v>17.83280548799799</x:v>
      </x:c>
      <x:c r="K7" s="15" t="n">
        <x:f>G7*(1+I7)</x:f>
        <x:v>19.972742146557753</x:v>
      </x:c>
      <x:c r="L7" s="15" t="n">
        <x:f>IF(Assumptions!$C$9="Eligible preference",J7,K7)</x:f>
        <x:v>17.83280548799799</x:v>
      </x:c>
      <x:c r="M7" s="8" t="n">
        <x:f>Assumptions!B25</x:f>
        <x:v>0</x:v>
      </x:c>
      <x:c r="N7" s="8" t="n">
        <x:f>Assumptions!C25</x:f>
        <x:v>0</x:v>
      </x:c>
      <x:c r="O7" s="8" t="n">
        <x:f>IF(B7="China",-1,M7)</x:f>
        <x:v>0</x:v>
      </x:c>
      <x:c r="P7" s="8" t="n">
        <x:f>IF(B7="China",D7,IF(M7&gt;0,MAX(0,MIN(Assumptions!$C$10-D7,Assumptions!$C$11,IF(Assumptions!$F$14="Yes",(Assumptions!$C$14-1)*D7,1))/M7),1))</x:f>
        <x:v>1</x:v>
      </x:c>
      <x:c r="Q7" s="8" t="n">
        <x:f>$E51*O7</x:f>
        <x:v>0</x:v>
      </x:c>
      <x:c r="R7" s="8" t="n">
        <x:f>D7+Q7</x:f>
        <x:v>0.007260247098593818</x:v>
      </x:c>
      <x:c r="S7" s="16" t="n">
        <x:f>D7*L7</x:f>
        <x:v>0.12947057430402534</x:v>
      </x:c>
      <x:c r="T7" s="16" t="n">
        <x:f>R7*L7+MAX(0,Q7)*L7*N7</x:f>
        <x:v>0.12947057430402534</x:v>
      </x:c>
      <x:c r="U7" s="16" t="n">
        <x:f>O7*L7+M7*L7*N7</x:f>
        <x:v>0</x:v>
      </x:c>
      <x:c r="V7" s="16" t="n">
        <x:f>D7^2</x:f>
        <x:v>0.000052711187932639954</x:v>
      </x:c>
      <x:c r="W7" s="16" t="n">
        <x:f>2*D7*O7</x:f>
        <x:v>0</x:v>
      </x:c>
      <x:c r="X7" s="16" t="n">
        <x:f>O7^2</x:f>
        <x:v>0</x:v>
      </x:c>
      <x:c r="Y7" s="16" t="n">
        <x:f>IF(Candidate_Gates!N7="Pass",MAX(0,Q7),0)</x:f>
        <x:v>0</x:v>
      </x:c>
      <x:c r="Z7" s="16" t="n">
        <x:f>D7*J7</x:f>
        <x:v>0.12947057430402534</x:v>
      </x:c>
      <x:c r="AA7" s="16" t="n">
        <x:f>O7*J7+M7*J7*N7</x:f>
        <x:v>0</x:v>
      </x:c>
      <x:c r="AB7" s="16" t="n">
        <x:f>D7*K7</x:f>
        <x:v>0.1450070432205084</x:v>
      </x:c>
      <x:c r="AC7" s="16" t="n">
        <x:f>O7*K7+M7*K7*N7</x:f>
        <x:v>0</x:v>
      </x:c>
      <x:c r="AD7" s="2" t="str">
        <x:f>IF(AND(C7&gt;=0,F7&gt;0,E7&gt;0,ISNUMBER(G7),COUNTIFS(Trade_Periods!$B$6:$B$125,Assumptions!$C$6,Trade_Periods!$C$6:$C$125,B7,Trade_Periods!$D$6:$D$125,A7)=1,COUNTIFS(Tariffs!$B$6:$B$45,B7,Tariffs!$C$6:$C$45,A7)=1),"Ready","Missing data")</x:f>
        <x:v>Ready</x:v>
      </x:c>
      <x:c r="AE7" s="33" t="n">
        <x:f>IF(D7&gt;0,R7/D7,"n.a.")</x:f>
        <x:v>1</x:v>
      </x:c>
      <x:c r="AF7" s="33" t="n">
        <x:f>IF(M7&gt;0,IF(D7&gt;0,R7/D7,IF(R7=0,0,"n.a.")),0)</x:f>
        <x:v>0</x:v>
      </x:c>
      <x:c r="AG7" s="34" t="n">
        <x:f>IF(AND(Assumptions!$F$14="Yes",M7&gt;0),MAX(0,R7-Assumptions!$C$14*D7),0)</x:f>
        <x:v>0</x:v>
      </x:c>
    </x:row>
    <x:row r="8" ht="22" customHeight="1">
      <x:c r="A8" s="2" t="str">
        <x:v>61091000</x:v>
      </x:c>
      <x:c r="B8" s="2" t="str">
        <x:v>China</x:v>
      </x:c>
      <x:c r="C8" s="14" t="n">
        <x:f>SUMIFS(Trade_Periods!$F$6:$F$125,Trade_Periods!$B$6:$B$125,"FY2025",Trade_Periods!$C$6:$C$125,B8,Trade_Periods!$D$6:$D$125,A8)</x:f>
        <x:v>2430960</x:v>
      </x:c>
      <x:c r="D8" s="8" t="n">
        <x:f>C8/SUM(C6:C15)</x:f>
        <x:v>0.032221226763006934</x:v>
      </x:c>
      <x:c r="E8" s="14" t="n">
        <x:f>IF(Assumptions!$C$7="Reported",SUMIFS(Trade_Periods!$E$6:$E$125,Trade_Periods!$B$6:$B$125,Assumptions!$C$6,Trade_Periods!$C$6:$C$125,B8,Trade_Periods!$D$6:$D$125,A8),SUMIFS(Trade_Periods!$L$6:$L$125,Trade_Periods!$B$6:$B$125,Assumptions!$C$6,Trade_Periods!$C$6:$C$125,B8,Trade_Periods!$D$6:$D$125,A8))</x:f>
        <x:v>27268063</x:v>
      </x:c>
      <x:c r="F8" s="14" t="n">
        <x:f>IF(Assumptions!$C$7="Reported",SUMIFS(Trade_Periods!$F$6:$F$125,Trade_Periods!$B$6:$B$125,Assumptions!$C$6,Trade_Periods!$C$6:$C$125,B8,Trade_Periods!$D$6:$D$125,A8),SUMIFS(Trade_Periods!$M$6:$M$125,Trade_Periods!$B$6:$B$125,Assumptions!$C$6,Trade_Periods!$C$6:$C$125,B8,Trade_Periods!$D$6:$D$125,A8))</x:f>
        <x:v>1611661</x:v>
      </x:c>
      <x:c r="G8" s="15" t="n">
        <x:f>IF(F8&gt;0,E8/F8,"n.a.")</x:f>
        <x:v>16.919229912494004</x:v>
      </x:c>
      <x:c r="H8" s="8" t="n">
        <x:f>IF(Assumptions!$C$8="2025",SUMIFS(Tariffs!$D$6:$D$45,Tariffs!$B$6:$B$45,B8,Tariffs!$C$6:$C$45,A8),IF(Assumptions!$C$8="1 Jan to 14 Jul 2026",SUMIFS(Tariffs!$E$6:$E$45,Tariffs!$B$6:$B$45,B8,Tariffs!$C$6:$C$45,A8),SUMIFS(Tariffs!$F$6:$F$45,Tariffs!$B$6:$B$45,B8,Tariffs!$C$6:$C$45,A8)))</x:f>
        <x:v>0.12</x:v>
      </x:c>
      <x:c r="I8" s="8" t="n">
        <x:f>SUMIFS(Tariffs!$G$6:$G$45,Tariffs!$B$6:$B$45,B8,Tariffs!$C$6:$C$45,A8)</x:f>
        <x:v>0.12</x:v>
      </x:c>
      <x:c r="J8" s="15" t="n">
        <x:f>G8*(1+H8)</x:f>
        <x:v>18.949537501993287</x:v>
      </x:c>
      <x:c r="K8" s="15" t="n">
        <x:f>G8*(1+I8)</x:f>
        <x:v>18.949537501993287</x:v>
      </x:c>
      <x:c r="L8" s="15" t="n">
        <x:f>IF(Assumptions!$C$9="Eligible preference",J8,K8)</x:f>
        <x:v>18.949537501993287</x:v>
      </x:c>
      <x:c r="M8" s="8" t="n">
        <x:f>Assumptions!B26</x:f>
        <x:v>0</x:v>
      </x:c>
      <x:c r="N8" s="8" t="n">
        <x:f>Assumptions!C26</x:f>
        <x:v>0</x:v>
      </x:c>
      <x:c r="O8" s="8" t="n">
        <x:f>IF(B8="China",-1,M8)</x:f>
        <x:v>-1</x:v>
      </x:c>
      <x:c r="P8" s="8" t="n">
        <x:f>IF(B8="China",D8,IF(M8&gt;0,MAX(0,MIN(Assumptions!$C$10-D8,Assumptions!$C$11,IF(Assumptions!$F$14="Yes",(Assumptions!$C$14-1)*D8,1))/M8),1))</x:f>
        <x:v>0.032221226763006934</x:v>
      </x:c>
      <x:c r="Q8" s="8" t="n">
        <x:f>$E51*O8</x:f>
        <x:v>-0.032221226763006934</x:v>
      </x:c>
      <x:c r="R8" s="8" t="n">
        <x:f>D8+Q8</x:f>
        <x:v>0</x:v>
      </x:c>
      <x:c r="S8" s="16" t="n">
        <x:f>D8*L8</x:f>
        <x:v>0.6105773449058297</x:v>
      </x:c>
      <x:c r="T8" s="16" t="n">
        <x:f>R8*L8+MAX(0,Q8)*L8*N8</x:f>
        <x:v>0</x:v>
      </x:c>
      <x:c r="U8" s="16" t="n">
        <x:f>O8*L8+M8*L8*N8</x:f>
        <x:v>-18.949537501993287</x:v>
      </x:c>
      <x:c r="V8" s="16" t="n">
        <x:f>D8^2</x:f>
        <x:v>0.0010382074541131143</x:v>
      </x:c>
      <x:c r="W8" s="16" t="n">
        <x:f>2*D8*O8</x:f>
        <x:v>-0.06444245352601387</x:v>
      </x:c>
      <x:c r="X8" s="16" t="n">
        <x:f>O8^2</x:f>
        <x:v>1</x:v>
      </x:c>
      <x:c r="Y8" s="16" t="n">
        <x:f>IF(Candidate_Gates!N8="Pass",MAX(0,Q8),0)</x:f>
        <x:v>0</x:v>
      </x:c>
      <x:c r="Z8" s="16" t="n">
        <x:f>D8*J8</x:f>
        <x:v>0.6105773449058297</x:v>
      </x:c>
      <x:c r="AA8" s="16" t="n">
        <x:f>O8*J8+M8*J8*N8</x:f>
        <x:v>-18.949537501993287</x:v>
      </x:c>
      <x:c r="AB8" s="16" t="n">
        <x:f>D8*K8</x:f>
        <x:v>0.6105773449058297</x:v>
      </x:c>
      <x:c r="AC8" s="16" t="n">
        <x:f>O8*K8+M8*K8*N8</x:f>
        <x:v>-18.949537501993287</x:v>
      </x:c>
      <x:c r="AD8" s="2" t="str">
        <x:f>IF(AND(C8&gt;=0,F8&gt;0,E8&gt;0,ISNUMBER(G8),COUNTIFS(Trade_Periods!$B$6:$B$125,Assumptions!$C$6,Trade_Periods!$C$6:$C$125,B8,Trade_Periods!$D$6:$D$125,A8)=1,COUNTIFS(Tariffs!$B$6:$B$45,B8,Tariffs!$C$6:$C$45,A8)=1),"Ready","Missing data")</x:f>
        <x:v>Ready</x:v>
      </x:c>
      <x:c r="AE8" s="33" t="n">
        <x:f>IF(D8&gt;0,R8/D8,"n.a.")</x:f>
        <x:v>0</x:v>
      </x:c>
      <x:c r="AF8" s="33" t="n">
        <x:f>IF(M8&gt;0,IF(D8&gt;0,R8/D8,IF(R8=0,0,"n.a.")),0)</x:f>
        <x:v>0</x:v>
      </x:c>
      <x:c r="AG8" s="34" t="n">
        <x:f>IF(AND(Assumptions!$F$14="Yes",M8&gt;0),MAX(0,R8-Assumptions!$C$14*D8),0)</x:f>
        <x:v>0</x:v>
      </x:c>
    </x:row>
    <x:row r="9" ht="22" customHeight="1">
      <x:c r="A9" s="2" t="str">
        <x:v>61091000</x:v>
      </x:c>
      <x:c r="B9" s="2" t="str">
        <x:v>India</x:v>
      </x:c>
      <x:c r="C9" s="14" t="n">
        <x:f>SUMIFS(Trade_Periods!$F$6:$F$125,Trade_Periods!$B$6:$B$125,"FY2025",Trade_Periods!$C$6:$C$125,B9,Trade_Periods!$D$6:$D$125,A9)</x:f>
        <x:v>7735285</x:v>
      </x:c>
      <x:c r="D9" s="8" t="n">
        <x:f>C9/SUM(C6:C15)</x:f>
        <x:v>0.10252754963532354</x:v>
      </x:c>
      <x:c r="E9" s="14" t="n">
        <x:f>IF(Assumptions!$C$7="Reported",SUMIFS(Trade_Periods!$E$6:$E$125,Trade_Periods!$B$6:$B$125,Assumptions!$C$6,Trade_Periods!$C$6:$C$125,B9,Trade_Periods!$D$6:$D$125,A9),SUMIFS(Trade_Periods!$L$6:$L$125,Trade_Periods!$B$6:$B$125,Assumptions!$C$6,Trade_Periods!$C$6:$C$125,B9,Trade_Periods!$D$6:$D$125,A9))</x:f>
        <x:v>54416583</x:v>
      </x:c>
      <x:c r="F9" s="14" t="n">
        <x:f>IF(Assumptions!$C$7="Reported",SUMIFS(Trade_Periods!$F$6:$F$125,Trade_Periods!$B$6:$B$125,Assumptions!$C$6,Trade_Periods!$C$6:$C$125,B9,Trade_Periods!$D$6:$D$125,A9),SUMIFS(Trade_Periods!$M$6:$M$125,Trade_Periods!$B$6:$B$125,Assumptions!$C$6,Trade_Periods!$C$6:$C$125,B9,Trade_Periods!$D$6:$D$125,A9))</x:f>
        <x:v>4347817</x:v>
      </x:c>
      <x:c r="G9" s="15" t="n">
        <x:f>IF(F9&gt;0,E9/F9,"n.a.")</x:f>
        <x:v>12.515840248106118</x:v>
      </x:c>
      <x:c r="H9" s="8" t="n">
        <x:f>IF(Assumptions!$C$8="2025",SUMIFS(Tariffs!$D$6:$D$45,Tariffs!$B$6:$B$45,B9,Tariffs!$C$6:$C$45,A9),IF(Assumptions!$C$8="1 Jan to 14 Jul 2026",SUMIFS(Tariffs!$E$6:$E$45,Tariffs!$B$6:$B$45,B9,Tariffs!$C$6:$C$45,A9),SUMIFS(Tariffs!$F$6:$F$45,Tariffs!$B$6:$B$45,B9,Tariffs!$C$6:$C$45,A9)))</x:f>
        <x:v>0</x:v>
      </x:c>
      <x:c r="I9" s="8" t="n">
        <x:f>SUMIFS(Tariffs!$G$6:$G$45,Tariffs!$B$6:$B$45,B9,Tariffs!$C$6:$C$45,A9)</x:f>
        <x:v>0.12</x:v>
      </x:c>
      <x:c r="J9" s="15" t="n">
        <x:f>G9*(1+H9)</x:f>
        <x:v>12.515840248106118</x:v>
      </x:c>
      <x:c r="K9" s="15" t="n">
        <x:f>G9*(1+I9)</x:f>
        <x:v>14.017741077878853</x:v>
      </x:c>
      <x:c r="L9" s="15" t="n">
        <x:f>IF(Assumptions!$C$9="Eligible preference",J9,K9)</x:f>
        <x:v>12.515840248106118</x:v>
      </x:c>
      <x:c r="M9" s="8" t="n">
        <x:f>Assumptions!B27</x:f>
        <x:v>0.5</x:v>
      </x:c>
      <x:c r="N9" s="8" t="n">
        <x:f>Assumptions!C27</x:f>
        <x:v>0</x:v>
      </x:c>
      <x:c r="O9" s="8" t="n">
        <x:f>IF(B9="China",-1,M9)</x:f>
        <x:v>0.5</x:v>
      </x:c>
      <x:c r="P9" s="8" t="n">
        <x:f>IF(B9="China",D9,IF(M9&gt;0,MAX(0,MIN(Assumptions!$C$10-D9,Assumptions!$C$11,IF(Assumptions!$F$14="Yes",(Assumptions!$C$14-1)*D9,1))/M9),1))</x:f>
        <x:v>0.2</x:v>
      </x:c>
      <x:c r="Q9" s="8" t="n">
        <x:f>$E51*O9</x:f>
        <x:v>0.016110613381503467</x:v>
      </x:c>
      <x:c r="R9" s="8" t="n">
        <x:f>D9+Q9</x:f>
        <x:v>0.118638163016827</x:v>
      </x:c>
      <x:c r="S9" s="16" t="n">
        <x:f>D9*L9</x:f>
        <x:v>1.28321843226548</x:v>
      </x:c>
      <x:c r="T9" s="16" t="n">
        <x:f>R9*L9+MAX(0,Q9)*L9*N9</x:f>
        <x:v>1.484856295647378</x:v>
      </x:c>
      <x:c r="U9" s="16" t="n">
        <x:f>O9*L9+M9*L9*N9</x:f>
        <x:v>6.257920124053059</x:v>
      </x:c>
      <x:c r="V9" s="16" t="n">
        <x:f>D9^2</x:f>
        <x:v>0.010511898434223732</x:v>
      </x:c>
      <x:c r="W9" s="16" t="n">
        <x:f>2*D9*O9</x:f>
        <x:v>0.10252754963532354</x:v>
      </x:c>
      <x:c r="X9" s="16" t="n">
        <x:f>O9^2</x:f>
        <x:v>0.25</x:v>
      </x:c>
      <x:c r="Y9" s="16" t="n">
        <x:f>IF(Candidate_Gates!N9="Pass",MAX(0,Q9),0)</x:f>
        <x:v>0</x:v>
      </x:c>
      <x:c r="Z9" s="16" t="n">
        <x:f>D9*J9</x:f>
        <x:v>1.28321843226548</x:v>
      </x:c>
      <x:c r="AA9" s="16" t="n">
        <x:f>O9*J9+M9*J9*N9</x:f>
        <x:v>6.257920124053059</x:v>
      </x:c>
      <x:c r="AB9" s="16" t="n">
        <x:f>D9*K9</x:f>
        <x:v>1.4372046441373378</x:v>
      </x:c>
      <x:c r="AC9" s="16" t="n">
        <x:f>O9*K9+M9*K9*N9</x:f>
        <x:v>7.008870538939426</x:v>
      </x:c>
      <x:c r="AD9" s="2" t="str">
        <x:f>IF(AND(C9&gt;=0,F9&gt;0,E9&gt;0,ISNUMBER(G9),COUNTIFS(Trade_Periods!$B$6:$B$125,Assumptions!$C$6,Trade_Periods!$C$6:$C$125,B9,Trade_Periods!$D$6:$D$125,A9)=1,COUNTIFS(Tariffs!$B$6:$B$45,B9,Tariffs!$C$6:$C$45,A9)=1),"Ready","Missing data")</x:f>
        <x:v>Ready</x:v>
      </x:c>
      <x:c r="AE9" s="33" t="n">
        <x:f>IF(D9&gt;0,R9/D9,"n.a.")</x:f>
        <x:v>1.1571344817934957</x:v>
      </x:c>
      <x:c r="AF9" s="33" t="n">
        <x:f>IF(M9&gt;0,IF(D9&gt;0,R9/D9,IF(R9=0,0,"n.a.")),0)</x:f>
        <x:v>1.1571344817934957</x:v>
      </x:c>
      <x:c r="AG9" s="34" t="n">
        <x:f>IF(AND(Assumptions!$F$14="Yes",M9&gt;0),MAX(0,R9-Assumptions!$C$14*D9),0)</x:f>
        <x:v>0</x:v>
      </x:c>
    </x:row>
    <x:row r="10" ht="22" customHeight="1">
      <x:c r="A10" s="2" t="str">
        <x:v>61091000</x:v>
      </x:c>
      <x:c r="B10" s="2" t="str">
        <x:v>Morocco</x:v>
      </x:c>
      <x:c r="C10" s="14" t="n">
        <x:f>SUMIFS(Trade_Periods!$F$6:$F$125,Trade_Periods!$B$6:$B$125,"FY2025",Trade_Periods!$C$6:$C$125,B10,Trade_Periods!$D$6:$D$125,A10)</x:f>
        <x:v>1265062</x:v>
      </x:c>
      <x:c r="D10" s="8" t="n">
        <x:f>C10/SUM(C6:C15)</x:f>
        <x:v>0.016767799376074918</x:v>
      </x:c>
      <x:c r="E10" s="14" t="n">
        <x:f>IF(Assumptions!$C$7="Reported",SUMIFS(Trade_Periods!$E$6:$E$125,Trade_Periods!$B$6:$B$125,Assumptions!$C$6,Trade_Periods!$C$6:$C$125,B10,Trade_Periods!$D$6:$D$125,A10),SUMIFS(Trade_Periods!$L$6:$L$125,Trade_Periods!$B$6:$B$125,Assumptions!$C$6,Trade_Periods!$C$6:$C$125,B10,Trade_Periods!$D$6:$D$125,A10))</x:f>
        <x:v>4957179</x:v>
      </x:c>
      <x:c r="F10" s="14" t="n">
        <x:f>IF(Assumptions!$C$7="Reported",SUMIFS(Trade_Periods!$F$6:$F$125,Trade_Periods!$B$6:$B$125,Assumptions!$C$6,Trade_Periods!$C$6:$C$125,B10,Trade_Periods!$D$6:$D$125,A10),SUMIFS(Trade_Periods!$M$6:$M$125,Trade_Periods!$B$6:$B$125,Assumptions!$C$6,Trade_Periods!$C$6:$C$125,B10,Trade_Periods!$D$6:$D$125,A10))</x:f>
        <x:v>526732</x:v>
      </x:c>
      <x:c r="G10" s="15" t="n">
        <x:f>IF(F10&gt;0,E10/F10,"n.a.")</x:f>
        <x:v>9.411197724839198</x:v>
      </x:c>
      <x:c r="H10" s="8" t="n">
        <x:f>IF(Assumptions!$C$8="2025",SUMIFS(Tariffs!$D$6:$D$45,Tariffs!$B$6:$B$45,B10,Tariffs!$C$6:$C$45,A10),IF(Assumptions!$C$8="1 Jan to 14 Jul 2026",SUMIFS(Tariffs!$E$6:$E$45,Tariffs!$B$6:$B$45,B10,Tariffs!$C$6:$C$45,A10),SUMIFS(Tariffs!$F$6:$F$45,Tariffs!$B$6:$B$45,B10,Tariffs!$C$6:$C$45,A10)))</x:f>
        <x:v>0</x:v>
      </x:c>
      <x:c r="I10" s="8" t="n">
        <x:f>SUMIFS(Tariffs!$G$6:$G$45,Tariffs!$B$6:$B$45,B10,Tariffs!$C$6:$C$45,A10)</x:f>
        <x:v>0.12</x:v>
      </x:c>
      <x:c r="J10" s="15" t="n">
        <x:f>G10*(1+H10)</x:f>
        <x:v>9.411197724839198</x:v>
      </x:c>
      <x:c r="K10" s="15" t="n">
        <x:f>G10*(1+I10)</x:f>
        <x:v>10.540541451819903</x:v>
      </x:c>
      <x:c r="L10" s="15" t="n">
        <x:f>IF(Assumptions!$C$9="Eligible preference",J10,K10)</x:f>
        <x:v>9.411197724839198</x:v>
      </x:c>
      <x:c r="M10" s="8" t="n">
        <x:f>Assumptions!B28</x:f>
        <x:v>0</x:v>
      </x:c>
      <x:c r="N10" s="8" t="n">
        <x:f>Assumptions!C28</x:f>
        <x:v>0</x:v>
      </x:c>
      <x:c r="O10" s="8" t="n">
        <x:f>IF(B10="China",-1,M10)</x:f>
        <x:v>0</x:v>
      </x:c>
      <x:c r="P10" s="8" t="n">
        <x:f>IF(B10="China",D10,IF(M10&gt;0,MAX(0,MIN(Assumptions!$C$10-D10,Assumptions!$C$11,IF(Assumptions!$F$14="Yes",(Assumptions!$C$14-1)*D10,1))/M10),1))</x:f>
        <x:v>1</x:v>
      </x:c>
      <x:c r="Q10" s="8" t="n">
        <x:f>$E51*O10</x:f>
        <x:v>0</x:v>
      </x:c>
      <x:c r="R10" s="8" t="n">
        <x:f>D10+Q10</x:f>
        <x:v>0.016767799376074918</x:v>
      </x:c>
      <x:c r="S10" s="16" t="n">
        <x:f>D10*L10</x:f>
        <x:v>0.15780507533867638</x:v>
      </x:c>
      <x:c r="T10" s="16" t="n">
        <x:f>R10*L10+MAX(0,Q10)*L10*N10</x:f>
        <x:v>0.15780507533867638</x:v>
      </x:c>
      <x:c r="U10" s="16" t="n">
        <x:f>O10*L10+M10*L10*N10</x:f>
        <x:v>0</x:v>
      </x:c>
      <x:c r="V10" s="16" t="n">
        <x:f>D10^2</x:f>
        <x:v>0.0002811590959162984</x:v>
      </x:c>
      <x:c r="W10" s="16" t="n">
        <x:f>2*D10*O10</x:f>
        <x:v>0</x:v>
      </x:c>
      <x:c r="X10" s="16" t="n">
        <x:f>O10^2</x:f>
        <x:v>0</x:v>
      </x:c>
      <x:c r="Y10" s="16" t="n">
        <x:f>IF(Candidate_Gates!N10="Pass",MAX(0,Q10),0)</x:f>
        <x:v>0</x:v>
      </x:c>
      <x:c r="Z10" s="16" t="n">
        <x:f>D10*J10</x:f>
        <x:v>0.15780507533867638</x:v>
      </x:c>
      <x:c r="AA10" s="16" t="n">
        <x:f>O10*J10+M10*J10*N10</x:f>
        <x:v>0</x:v>
      </x:c>
      <x:c r="AB10" s="16" t="n">
        <x:f>D10*K10</x:f>
        <x:v>0.1767416843793176</x:v>
      </x:c>
      <x:c r="AC10" s="16" t="n">
        <x:f>O10*K10+M10*K10*N10</x:f>
        <x:v>0</x:v>
      </x:c>
      <x:c r="AD10" s="2" t="str">
        <x:f>IF(AND(C10&gt;=0,F10&gt;0,E10&gt;0,ISNUMBER(G10),COUNTIFS(Trade_Periods!$B$6:$B$125,Assumptions!$C$6,Trade_Periods!$C$6:$C$125,B10,Trade_Periods!$D$6:$D$125,A10)=1,COUNTIFS(Tariffs!$B$6:$B$45,B10,Tariffs!$C$6:$C$45,A10)=1),"Ready","Missing data")</x:f>
        <x:v>Ready</x:v>
      </x:c>
      <x:c r="AE10" s="33" t="n">
        <x:f>IF(D10&gt;0,R10/D10,"n.a.")</x:f>
        <x:v>1</x:v>
      </x:c>
      <x:c r="AF10" s="33" t="n">
        <x:f>IF(M10&gt;0,IF(D10&gt;0,R10/D10,IF(R10=0,0,"n.a.")),0)</x:f>
        <x:v>0</x:v>
      </x:c>
      <x:c r="AG10" s="34" t="n">
        <x:f>IF(AND(Assumptions!$F$14="Yes",M10&gt;0),MAX(0,R10-Assumptions!$C$14*D10),0)</x:f>
        <x:v>0</x:v>
      </x:c>
    </x:row>
    <x:row r="11" ht="22" customHeight="1">
      <x:c r="A11" s="2" t="str">
        <x:v>61091000</x:v>
      </x:c>
      <x:c r="B11" s="2" t="str">
        <x:v>Myanmar</x:v>
      </x:c>
      <x:c r="C11" s="14" t="n">
        <x:f>SUMIFS(Trade_Periods!$F$6:$F$125,Trade_Periods!$B$6:$B$125,"FY2025",Trade_Periods!$C$6:$C$125,B11,Trade_Periods!$D$6:$D$125,A11)</x:f>
        <x:v>29326</x:v>
      </x:c>
      <x:c r="D11" s="8" t="n">
        <x:f>C11/SUM(C6:C15)</x:f>
        <x:v>0.00038870228060187804</x:v>
      </x:c>
      <x:c r="E11" s="14" t="n">
        <x:f>IF(Assumptions!$C$7="Reported",SUMIFS(Trade_Periods!$E$6:$E$125,Trade_Periods!$B$6:$B$125,Assumptions!$C$6,Trade_Periods!$C$6:$C$125,B11,Trade_Periods!$D$6:$D$125,A11),SUMIFS(Trade_Periods!$L$6:$L$125,Trade_Periods!$B$6:$B$125,Assumptions!$C$6,Trade_Periods!$C$6:$C$125,B11,Trade_Periods!$D$6:$D$125,A11))</x:f>
        <x:v>619607</x:v>
      </x:c>
      <x:c r="F11" s="14" t="n">
        <x:f>IF(Assumptions!$C$7="Reported",SUMIFS(Trade_Periods!$F$6:$F$125,Trade_Periods!$B$6:$B$125,Assumptions!$C$6,Trade_Periods!$C$6:$C$125,B11,Trade_Periods!$D$6:$D$125,A11),SUMIFS(Trade_Periods!$M$6:$M$125,Trade_Periods!$B$6:$B$125,Assumptions!$C$6,Trade_Periods!$C$6:$C$125,B11,Trade_Periods!$D$6:$D$125,A11))</x:f>
        <x:v>58361</x:v>
      </x:c>
      <x:c r="G11" s="15" t="n">
        <x:f>IF(F11&gt;0,E11/F11,"n.a.")</x:f>
        <x:v>10.616798889669472</x:v>
      </x:c>
      <x:c r="H11" s="8" t="n">
        <x:f>IF(Assumptions!$C$8="2025",SUMIFS(Tariffs!$D$6:$D$45,Tariffs!$B$6:$B$45,B11,Tariffs!$C$6:$C$45,A11),IF(Assumptions!$C$8="1 Jan to 14 Jul 2026",SUMIFS(Tariffs!$E$6:$E$45,Tariffs!$B$6:$B$45,B11,Tariffs!$C$6:$C$45,A11),SUMIFS(Tariffs!$F$6:$F$45,Tariffs!$B$6:$B$45,B11,Tariffs!$C$6:$C$45,A11)))</x:f>
        <x:v>0</x:v>
      </x:c>
      <x:c r="I11" s="8" t="n">
        <x:f>SUMIFS(Tariffs!$G$6:$G$45,Tariffs!$B$6:$B$45,B11,Tariffs!$C$6:$C$45,A11)</x:f>
        <x:v>0.12</x:v>
      </x:c>
      <x:c r="J11" s="15" t="n">
        <x:f>G11*(1+H11)</x:f>
        <x:v>10.616798889669472</x:v>
      </x:c>
      <x:c r="K11" s="15" t="n">
        <x:f>G11*(1+I11)</x:f>
        <x:v>11.89081475642981</x:v>
      </x:c>
      <x:c r="L11" s="15" t="n">
        <x:f>IF(Assumptions!$C$9="Eligible preference",J11,K11)</x:f>
        <x:v>10.616798889669472</x:v>
      </x:c>
      <x:c r="M11" s="8" t="n">
        <x:f>Assumptions!B29</x:f>
        <x:v>0</x:v>
      </x:c>
      <x:c r="N11" s="8" t="n">
        <x:f>Assumptions!C29</x:f>
        <x:v>0</x:v>
      </x:c>
      <x:c r="O11" s="8" t="n">
        <x:f>IF(B11="China",-1,M11)</x:f>
        <x:v>0</x:v>
      </x:c>
      <x:c r="P11" s="8" t="n">
        <x:f>IF(B11="China",D11,IF(M11&gt;0,MAX(0,MIN(Assumptions!$C$10-D11,Assumptions!$C$11,IF(Assumptions!$F$14="Yes",(Assumptions!$C$14-1)*D11,1))/M11),1))</x:f>
        <x:v>1</x:v>
      </x:c>
      <x:c r="Q11" s="8" t="n">
        <x:f>$E51*O11</x:f>
        <x:v>0</x:v>
      </x:c>
      <x:c r="R11" s="8" t="n">
        <x:f>D11+Q11</x:f>
        <x:v>0.00038870228060187804</x:v>
      </x:c>
      <x:c r="S11" s="16" t="n">
        <x:f>D11*L11</x:f>
        <x:v>0.00412677394110601</x:v>
      </x:c>
      <x:c r="T11" s="16" t="n">
        <x:f>R11*L11+MAX(0,Q11)*L11*N11</x:f>
        <x:v>0.00412677394110601</x:v>
      </x:c>
      <x:c r="U11" s="16" t="n">
        <x:f>O11*L11+M11*L11*N11</x:f>
        <x:v>0</x:v>
      </x:c>
      <x:c r="V11" s="16" t="n">
        <x:f>D11^2</x:f>
        <x:v>1.5108946294510114e-7</x:v>
      </x:c>
      <x:c r="W11" s="16" t="n">
        <x:f>2*D11*O11</x:f>
        <x:v>0</x:v>
      </x:c>
      <x:c r="X11" s="16" t="n">
        <x:f>O11^2</x:f>
        <x:v>0</x:v>
      </x:c>
      <x:c r="Y11" s="16" t="n">
        <x:f>IF(Candidate_Gates!N11="Pass",MAX(0,Q11),0)</x:f>
        <x:v>0</x:v>
      </x:c>
      <x:c r="Z11" s="16" t="n">
        <x:f>D11*J11</x:f>
        <x:v>0.00412677394110601</x:v>
      </x:c>
      <x:c r="AA11" s="16" t="n">
        <x:f>O11*J11+M11*J11*N11</x:f>
        <x:v>0</x:v>
      </x:c>
      <x:c r="AB11" s="16" t="n">
        <x:f>D11*K11</x:f>
        <x:v>0.004621986814038732</x:v>
      </x:c>
      <x:c r="AC11" s="16" t="n">
        <x:f>O11*K11+M11*K11*N11</x:f>
        <x:v>0</x:v>
      </x:c>
      <x:c r="AD11" s="2" t="str">
        <x:f>IF(AND(C11&gt;=0,F11&gt;0,E11&gt;0,ISNUMBER(G11),COUNTIFS(Trade_Periods!$B$6:$B$125,Assumptions!$C$6,Trade_Periods!$C$6:$C$125,B11,Trade_Periods!$D$6:$D$125,A11)=1,COUNTIFS(Tariffs!$B$6:$B$45,B11,Tariffs!$C$6:$C$45,A11)=1),"Ready","Missing data")</x:f>
        <x:v>Ready</x:v>
      </x:c>
      <x:c r="AE11" s="33" t="n">
        <x:f>IF(D11&gt;0,R11/D11,"n.a.")</x:f>
        <x:v>1</x:v>
      </x:c>
      <x:c r="AF11" s="33" t="n">
        <x:f>IF(M11&gt;0,IF(D11&gt;0,R11/D11,IF(R11=0,0,"n.a.")),0)</x:f>
        <x:v>0</x:v>
      </x:c>
      <x:c r="AG11" s="34" t="n">
        <x:f>IF(AND(Assumptions!$F$14="Yes",M11&gt;0),MAX(0,R11-Assumptions!$C$14*D11),0)</x:f>
        <x:v>0</x:v>
      </x:c>
    </x:row>
    <x:row r="12" ht="22" customHeight="1">
      <x:c r="A12" s="2" t="str">
        <x:v>61091000</x:v>
      </x:c>
      <x:c r="B12" s="2" t="str">
        <x:v>Pakistan</x:v>
      </x:c>
      <x:c r="C12" s="14" t="n">
        <x:f>SUMIFS(Trade_Periods!$F$6:$F$125,Trade_Periods!$B$6:$B$125,"FY2025",Trade_Periods!$C$6:$C$125,B12,Trade_Periods!$D$6:$D$125,A12)</x:f>
        <x:v>10896985</x:v>
      </x:c>
      <x:c r="D12" s="8" t="n">
        <x:f>C12/SUM(C6:C15)</x:f>
        <x:v>0.14443439000151592</x:v>
      </x:c>
      <x:c r="E12" s="14" t="n">
        <x:f>IF(Assumptions!$C$7="Reported",SUMIFS(Trade_Periods!$E$6:$E$125,Trade_Periods!$B$6:$B$125,Assumptions!$C$6,Trade_Periods!$C$6:$C$125,B12,Trade_Periods!$D$6:$D$125,A12),SUMIFS(Trade_Periods!$L$6:$L$125,Trade_Periods!$B$6:$B$125,Assumptions!$C$6,Trade_Periods!$C$6:$C$125,B12,Trade_Periods!$D$6:$D$125,A12))</x:f>
        <x:v>20868271</x:v>
      </x:c>
      <x:c r="F12" s="14" t="n">
        <x:f>IF(Assumptions!$C$7="Reported",SUMIFS(Trade_Periods!$F$6:$F$125,Trade_Periods!$B$6:$B$125,Assumptions!$C$6,Trade_Periods!$C$6:$C$125,B12,Trade_Periods!$D$6:$D$125,A12),SUMIFS(Trade_Periods!$M$6:$M$125,Trade_Periods!$B$6:$B$125,Assumptions!$C$6,Trade_Periods!$C$6:$C$125,B12,Trade_Periods!$D$6:$D$125,A12))</x:f>
        <x:v>1714193</x:v>
      </x:c>
      <x:c r="G12" s="15" t="n">
        <x:f>IF(F12&gt;0,E12/F12,"n.a.")</x:f>
        <x:v>12.17381648390817</x:v>
      </x:c>
      <x:c r="H12" s="8" t="n">
        <x:f>IF(Assumptions!$C$8="2025",SUMIFS(Tariffs!$D$6:$D$45,Tariffs!$B$6:$B$45,B12,Tariffs!$C$6:$C$45,A12),IF(Assumptions!$C$8="1 Jan to 14 Jul 2026",SUMIFS(Tariffs!$E$6:$E$45,Tariffs!$B$6:$B$45,B12,Tariffs!$C$6:$C$45,A12),SUMIFS(Tariffs!$F$6:$F$45,Tariffs!$B$6:$B$45,B12,Tariffs!$C$6:$C$45,A12)))</x:f>
        <x:v>0</x:v>
      </x:c>
      <x:c r="I12" s="8" t="n">
        <x:f>SUMIFS(Tariffs!$G$6:$G$45,Tariffs!$B$6:$B$45,B12,Tariffs!$C$6:$C$45,A12)</x:f>
        <x:v>0.12</x:v>
      </x:c>
      <x:c r="J12" s="15" t="n">
        <x:f>G12*(1+H12)</x:f>
        <x:v>12.17381648390817</x:v>
      </x:c>
      <x:c r="K12" s="15" t="n">
        <x:f>G12*(1+I12)</x:f>
        <x:v>13.634674461977152</x:v>
      </x:c>
      <x:c r="L12" s="15" t="n">
        <x:f>IF(Assumptions!$C$9="Eligible preference",J12,K12)</x:f>
        <x:v>12.17381648390817</x:v>
      </x:c>
      <x:c r="M12" s="8" t="n">
        <x:f>Assumptions!B30</x:f>
        <x:v>0</x:v>
      </x:c>
      <x:c r="N12" s="8" t="n">
        <x:f>Assumptions!C30</x:f>
        <x:v>0</x:v>
      </x:c>
      <x:c r="O12" s="8" t="n">
        <x:f>IF(B12="China",-1,M12)</x:f>
        <x:v>0</x:v>
      </x:c>
      <x:c r="P12" s="8" t="n">
        <x:f>IF(B12="China",D12,IF(M12&gt;0,MAX(0,MIN(Assumptions!$C$10-D12,Assumptions!$C$11,IF(Assumptions!$F$14="Yes",(Assumptions!$C$14-1)*D12,1))/M12),1))</x:f>
        <x:v>1</x:v>
      </x:c>
      <x:c r="Q12" s="8" t="n">
        <x:f>$E51*O12</x:f>
        <x:v>0</x:v>
      </x:c>
      <x:c r="R12" s="8" t="n">
        <x:f>D12+Q12</x:f>
        <x:v>0.14443439000151592</x:v>
      </x:c>
      <x:c r="S12" s="16" t="n">
        <x:f>D12*L12</x:f>
        <x:v>1.758317757843676</x:v>
      </x:c>
      <x:c r="T12" s="16" t="n">
        <x:f>R12*L12+MAX(0,Q12)*L12*N12</x:f>
        <x:v>1.758317757843676</x:v>
      </x:c>
      <x:c r="U12" s="16" t="n">
        <x:f>O12*L12+M12*L12*N12</x:f>
        <x:v>0</x:v>
      </x:c>
      <x:c r="V12" s="16" t="n">
        <x:f>D12^2</x:f>
        <x:v>0.020861293015110003</x:v>
      </x:c>
      <x:c r="W12" s="16" t="n">
        <x:f>2*D12*O12</x:f>
        <x:v>0</x:v>
      </x:c>
      <x:c r="X12" s="16" t="n">
        <x:f>O12^2</x:f>
        <x:v>0</x:v>
      </x:c>
      <x:c r="Y12" s="16" t="n">
        <x:f>IF(Candidate_Gates!N12="Pass",MAX(0,Q12),0)</x:f>
        <x:v>0</x:v>
      </x:c>
      <x:c r="Z12" s="16" t="n">
        <x:f>D12*J12</x:f>
        <x:v>1.758317757843676</x:v>
      </x:c>
      <x:c r="AA12" s="16" t="n">
        <x:f>O12*J12+M12*J12*N12</x:f>
        <x:v>0</x:v>
      </x:c>
      <x:c r="AB12" s="16" t="n">
        <x:f>D12*K12</x:f>
        <x:v>1.9693158887849171</x:v>
      </x:c>
      <x:c r="AC12" s="16" t="n">
        <x:f>O12*K12+M12*K12*N12</x:f>
        <x:v>0</x:v>
      </x:c>
      <x:c r="AD12" s="2" t="str">
        <x:f>IF(AND(C12&gt;=0,F12&gt;0,E12&gt;0,ISNUMBER(G12),COUNTIFS(Trade_Periods!$B$6:$B$125,Assumptions!$C$6,Trade_Periods!$C$6:$C$125,B12,Trade_Periods!$D$6:$D$125,A12)=1,COUNTIFS(Tariffs!$B$6:$B$45,B12,Tariffs!$C$6:$C$45,A12)=1),"Ready","Missing data")</x:f>
        <x:v>Ready</x:v>
      </x:c>
      <x:c r="AE12" s="33" t="n">
        <x:f>IF(D12&gt;0,R12/D12,"n.a.")</x:f>
        <x:v>1</x:v>
      </x:c>
      <x:c r="AF12" s="33" t="n">
        <x:f>IF(M12&gt;0,IF(D12&gt;0,R12/D12,IF(R12=0,0,"n.a.")),0)</x:f>
        <x:v>0</x:v>
      </x:c>
      <x:c r="AG12" s="34" t="n">
        <x:f>IF(AND(Assumptions!$F$14="Yes",M12&gt;0),MAX(0,R12-Assumptions!$C$14*D12),0)</x:f>
        <x:v>0</x:v>
      </x:c>
    </x:row>
    <x:row r="13" ht="22" customHeight="1">
      <x:c r="A13" s="2" t="str">
        <x:v>61091000</x:v>
      </x:c>
      <x:c r="B13" s="2" t="str">
        <x:v>Sri Lanka</x:v>
      </x:c>
      <x:c r="C13" s="14" t="n">
        <x:f>SUMIFS(Trade_Periods!$F$6:$F$125,Trade_Periods!$B$6:$B$125,"FY2025",Trade_Periods!$C$6:$C$125,B13,Trade_Periods!$D$6:$D$125,A13)</x:f>
        <x:v>2215013</x:v>
      </x:c>
      <x:c r="D13" s="8" t="n">
        <x:f>C13/SUM(C6:C15)</x:f>
        <x:v>0.02935895126041082</x:v>
      </x:c>
      <x:c r="E13" s="14" t="n">
        <x:f>IF(Assumptions!$C$7="Reported",SUMIFS(Trade_Periods!$E$6:$E$125,Trade_Periods!$B$6:$B$125,Assumptions!$C$6,Trade_Periods!$C$6:$C$125,B13,Trade_Periods!$D$6:$D$125,A13),SUMIFS(Trade_Periods!$L$6:$L$125,Trade_Periods!$B$6:$B$125,Assumptions!$C$6,Trade_Periods!$C$6:$C$125,B13,Trade_Periods!$D$6:$D$125,A13))</x:f>
        <x:v>8791535</x:v>
      </x:c>
      <x:c r="F13" s="14" t="n">
        <x:f>IF(Assumptions!$C$7="Reported",SUMIFS(Trade_Periods!$F$6:$F$125,Trade_Periods!$B$6:$B$125,Assumptions!$C$6,Trade_Periods!$C$6:$C$125,B13,Trade_Periods!$D$6:$D$125,A13),SUMIFS(Trade_Periods!$M$6:$M$125,Trade_Periods!$B$6:$B$125,Assumptions!$C$6,Trade_Periods!$C$6:$C$125,B13,Trade_Periods!$D$6:$D$125,A13))</x:f>
        <x:v>729136</x:v>
      </x:c>
      <x:c r="G13" s="15" t="n">
        <x:f>IF(F13&gt;0,E13/F13,"n.a.")</x:f>
        <x:v>12.057469388426851</x:v>
      </x:c>
      <x:c r="H13" s="8" t="n">
        <x:f>IF(Assumptions!$C$8="2025",SUMIFS(Tariffs!$D$6:$D$45,Tariffs!$B$6:$B$45,B13,Tariffs!$C$6:$C$45,A13),IF(Assumptions!$C$8="1 Jan to 14 Jul 2026",SUMIFS(Tariffs!$E$6:$E$45,Tariffs!$B$6:$B$45,B13,Tariffs!$C$6:$C$45,A13),SUMIFS(Tariffs!$F$6:$F$45,Tariffs!$B$6:$B$45,B13,Tariffs!$C$6:$C$45,A13)))</x:f>
        <x:v>0</x:v>
      </x:c>
      <x:c r="I13" s="8" t="n">
        <x:f>SUMIFS(Tariffs!$G$6:$G$45,Tariffs!$B$6:$B$45,B13,Tariffs!$C$6:$C$45,A13)</x:f>
        <x:v>0.12</x:v>
      </x:c>
      <x:c r="J13" s="15" t="n">
        <x:f>G13*(1+H13)</x:f>
        <x:v>12.057469388426851</x:v>
      </x:c>
      <x:c r="K13" s="15" t="n">
        <x:f>G13*(1+I13)</x:f>
        <x:v>13.504365715038075</x:v>
      </x:c>
      <x:c r="L13" s="15" t="n">
        <x:f>IF(Assumptions!$C$9="Eligible preference",J13,K13)</x:f>
        <x:v>12.057469388426851</x:v>
      </x:c>
      <x:c r="M13" s="8" t="n">
        <x:f>Assumptions!B31</x:f>
        <x:v>0</x:v>
      </x:c>
      <x:c r="N13" s="8" t="n">
        <x:f>Assumptions!C31</x:f>
        <x:v>0</x:v>
      </x:c>
      <x:c r="O13" s="8" t="n">
        <x:f>IF(B13="China",-1,M13)</x:f>
        <x:v>0</x:v>
      </x:c>
      <x:c r="P13" s="8" t="n">
        <x:f>IF(B13="China",D13,IF(M13&gt;0,MAX(0,MIN(Assumptions!$C$10-D13,Assumptions!$C$11,IF(Assumptions!$F$14="Yes",(Assumptions!$C$14-1)*D13,1))/M13),1))</x:f>
        <x:v>1</x:v>
      </x:c>
      <x:c r="Q13" s="8" t="n">
        <x:f>$E51*O13</x:f>
        <x:v>0</x:v>
      </x:c>
      <x:c r="R13" s="8" t="n">
        <x:f>D13+Q13</x:f>
        <x:v>0.02935895126041082</x:v>
      </x:c>
      <x:c r="S13" s="16" t="n">
        <x:f>D13*L13</x:f>
        <x:v>0.3539946560987194</x:v>
      </x:c>
      <x:c r="T13" s="16" t="n">
        <x:f>R13*L13+MAX(0,Q13)*L13*N13</x:f>
        <x:v>0.3539946560987194</x:v>
      </x:c>
      <x:c r="U13" s="16" t="n">
        <x:f>O13*L13+M13*L13*N13</x:f>
        <x:v>0</x:v>
      </x:c>
      <x:c r="V13" s="16" t="n">
        <x:f>D13^2</x:f>
        <x:v>0.000861948019111178</x:v>
      </x:c>
      <x:c r="W13" s="16" t="n">
        <x:f>2*D13*O13</x:f>
        <x:v>0</x:v>
      </x:c>
      <x:c r="X13" s="16" t="n">
        <x:f>O13^2</x:f>
        <x:v>0</x:v>
      </x:c>
      <x:c r="Y13" s="16" t="n">
        <x:f>IF(Candidate_Gates!N13="Pass",MAX(0,Q13),0)</x:f>
        <x:v>0</x:v>
      </x:c>
      <x:c r="Z13" s="16" t="n">
        <x:f>D13*J13</x:f>
        <x:v>0.3539946560987194</x:v>
      </x:c>
      <x:c r="AA13" s="16" t="n">
        <x:f>O13*J13+M13*J13*N13</x:f>
        <x:v>0</x:v>
      </x:c>
      <x:c r="AB13" s="16" t="n">
        <x:f>D13*K13</x:f>
        <x:v>0.39647401483056577</x:v>
      </x:c>
      <x:c r="AC13" s="16" t="n">
        <x:f>O13*K13+M13*K13*N13</x:f>
        <x:v>0</x:v>
      </x:c>
      <x:c r="AD13" s="2" t="str">
        <x:f>IF(AND(C13&gt;=0,F13&gt;0,E13&gt;0,ISNUMBER(G13),COUNTIFS(Trade_Periods!$B$6:$B$125,Assumptions!$C$6,Trade_Periods!$C$6:$C$125,B13,Trade_Periods!$D$6:$D$125,A13)=1,COUNTIFS(Tariffs!$B$6:$B$45,B13,Tariffs!$C$6:$C$45,A13)=1),"Ready","Missing data")</x:f>
        <x:v>Ready</x:v>
      </x:c>
      <x:c r="AE13" s="33" t="n">
        <x:f>IF(D13&gt;0,R13/D13,"n.a.")</x:f>
        <x:v>1</x:v>
      </x:c>
      <x:c r="AF13" s="33" t="n">
        <x:f>IF(M13&gt;0,IF(D13&gt;0,R13/D13,IF(R13=0,0,"n.a.")),0)</x:f>
        <x:v>0</x:v>
      </x:c>
      <x:c r="AG13" s="34" t="n">
        <x:f>IF(AND(Assumptions!$F$14="Yes",M13&gt;0),MAX(0,R13-Assumptions!$C$14*D13),0)</x:f>
        <x:v>0</x:v>
      </x:c>
    </x:row>
    <x:row r="14" ht="22" customHeight="1">
      <x:c r="A14" s="2" t="str">
        <x:v>61091000</x:v>
      </x:c>
      <x:c r="B14" s="2" t="str">
        <x:v>Turkey</x:v>
      </x:c>
      <x:c r="C14" s="14" t="n">
        <x:f>SUMIFS(Trade_Periods!$F$6:$F$125,Trade_Periods!$B$6:$B$125,"FY2025",Trade_Periods!$C$6:$C$125,B14,Trade_Periods!$D$6:$D$125,A14)</x:f>
        <x:v>4927477</x:v>
      </x:c>
      <x:c r="D14" s="8" t="n">
        <x:f>C14/SUM(C6:C15)</x:f>
        <x:v>0.06531138060128555</x:v>
      </x:c>
      <x:c r="E14" s="14" t="n">
        <x:f>IF(Assumptions!$C$7="Reported",SUMIFS(Trade_Periods!$E$6:$E$125,Trade_Periods!$B$6:$B$125,Assumptions!$C$6,Trade_Periods!$C$6:$C$125,B14,Trade_Periods!$D$6:$D$125,A14),SUMIFS(Trade_Periods!$L$6:$L$125,Trade_Periods!$B$6:$B$125,Assumptions!$C$6,Trade_Periods!$C$6:$C$125,B14,Trade_Periods!$D$6:$D$125,A14))</x:f>
        <x:v>58384062</x:v>
      </x:c>
      <x:c r="F14" s="14" t="n">
        <x:f>IF(Assumptions!$C$7="Reported",SUMIFS(Trade_Periods!$F$6:$F$125,Trade_Periods!$B$6:$B$125,Assumptions!$C$6,Trade_Periods!$C$6:$C$125,B14,Trade_Periods!$D$6:$D$125,A14),SUMIFS(Trade_Periods!$M$6:$M$125,Trade_Periods!$B$6:$B$125,Assumptions!$C$6,Trade_Periods!$C$6:$C$125,B14,Trade_Periods!$D$6:$D$125,A14))</x:f>
        <x:v>2450042</x:v>
      </x:c>
      <x:c r="G14" s="15" t="n">
        <x:f>IF(F14&gt;0,E14/F14,"n.a.")</x:f>
        <x:v>23.829820876540076</x:v>
      </x:c>
      <x:c r="H14" s="8" t="n">
        <x:f>IF(Assumptions!$C$8="2025",SUMIFS(Tariffs!$D$6:$D$45,Tariffs!$B$6:$B$45,B14,Tariffs!$C$6:$C$45,A14),IF(Assumptions!$C$8="1 Jan to 14 Jul 2026",SUMIFS(Tariffs!$E$6:$E$45,Tariffs!$B$6:$B$45,B14,Tariffs!$C$6:$C$45,A14),SUMIFS(Tariffs!$F$6:$F$45,Tariffs!$B$6:$B$45,B14,Tariffs!$C$6:$C$45,A14)))</x:f>
        <x:v>0</x:v>
      </x:c>
      <x:c r="I14" s="8" t="n">
        <x:f>SUMIFS(Tariffs!$G$6:$G$45,Tariffs!$B$6:$B$45,B14,Tariffs!$C$6:$C$45,A14)</x:f>
        <x:v>0.12</x:v>
      </x:c>
      <x:c r="J14" s="15" t="n">
        <x:f>G14*(1+H14)</x:f>
        <x:v>23.829820876540076</x:v>
      </x:c>
      <x:c r="K14" s="15" t="n">
        <x:f>G14*(1+I14)</x:f>
        <x:v>26.689399381724886</x:v>
      </x:c>
      <x:c r="L14" s="15" t="n">
        <x:f>IF(Assumptions!$C$9="Eligible preference",J14,K14)</x:f>
        <x:v>23.829820876540076</x:v>
      </x:c>
      <x:c r="M14" s="8" t="n">
        <x:f>Assumptions!B32</x:f>
        <x:v>0.25</x:v>
      </x:c>
      <x:c r="N14" s="8" t="n">
        <x:f>Assumptions!C32</x:f>
        <x:v>0</x:v>
      </x:c>
      <x:c r="O14" s="8" t="n">
        <x:f>IF(B14="China",-1,M14)</x:f>
        <x:v>0.25</x:v>
      </x:c>
      <x:c r="P14" s="8" t="n">
        <x:f>IF(B14="China",D14,IF(M14&gt;0,MAX(0,MIN(Assumptions!$C$10-D14,Assumptions!$C$11,IF(Assumptions!$F$14="Yes",(Assumptions!$C$14-1)*D14,1))/M14),1))</x:f>
        <x:v>0.4</x:v>
      </x:c>
      <x:c r="Q14" s="8" t="n">
        <x:f>$E51*O14</x:f>
        <x:v>0.008055306690751734</x:v>
      </x:c>
      <x:c r="R14" s="8" t="n">
        <x:f>D14+Q14</x:f>
        <x:v>0.07336668729203728</x:v>
      </x:c>
      <x:c r="S14" s="16" t="n">
        <x:f>D14*L14</x:f>
        <x:v>1.5563585009281689</x:v>
      </x:c>
      <x:c r="T14" s="16" t="n">
        <x:f>R14*L14+MAX(0,Q14)*L14*N14</x:f>
        <x:v>1.7483150164743775</x:v>
      </x:c>
      <x:c r="U14" s="16" t="n">
        <x:f>O14*L14+M14*L14*N14</x:f>
        <x:v>5.957455219135019</x:v>
      </x:c>
      <x:c r="V14" s="16" t="n">
        <x:f>D14^2</x:f>
        <x:v>0.004265576436045979</x:v>
      </x:c>
      <x:c r="W14" s="16" t="n">
        <x:f>2*D14*O14</x:f>
        <x:v>0.032655690300642776</x:v>
      </x:c>
      <x:c r="X14" s="16" t="n">
        <x:f>O14^2</x:f>
        <x:v>0.0625</x:v>
      </x:c>
      <x:c r="Y14" s="16" t="n">
        <x:f>IF(Candidate_Gates!N14="Pass",MAX(0,Q14),0)</x:f>
        <x:v>0</x:v>
      </x:c>
      <x:c r="Z14" s="16" t="n">
        <x:f>D14*J14</x:f>
        <x:v>1.5563585009281689</x:v>
      </x:c>
      <x:c r="AA14" s="16" t="n">
        <x:f>O14*J14+M14*J14*N14</x:f>
        <x:v>5.957455219135019</x:v>
      </x:c>
      <x:c r="AB14" s="16" t="n">
        <x:f>D14*K14</x:f>
        <x:v>1.7431215210395494</x:v>
      </x:c>
      <x:c r="AC14" s="16" t="n">
        <x:f>O14*K14+M14*K14*N14</x:f>
        <x:v>6.672349845431222</x:v>
      </x:c>
      <x:c r="AD14" s="2" t="str">
        <x:f>IF(AND(C14&gt;=0,F14&gt;0,E14&gt;0,ISNUMBER(G14),COUNTIFS(Trade_Periods!$B$6:$B$125,Assumptions!$C$6,Trade_Periods!$C$6:$C$125,B14,Trade_Periods!$D$6:$D$125,A14)=1,COUNTIFS(Tariffs!$B$6:$B$45,B14,Tariffs!$C$6:$C$45,A14)=1),"Ready","Missing data")</x:f>
        <x:v>Ready</x:v>
      </x:c>
      <x:c r="AE14" s="33" t="n">
        <x:f>IF(D14&gt;0,R14/D14,"n.a.")</x:f>
        <x:v>1.1233369531709636</x:v>
      </x:c>
      <x:c r="AF14" s="33" t="n">
        <x:f>IF(M14&gt;0,IF(D14&gt;0,R14/D14,IF(R14=0,0,"n.a.")),0)</x:f>
        <x:v>1.1233369531709636</x:v>
      </x:c>
      <x:c r="AG14" s="34" t="n">
        <x:f>IF(AND(Assumptions!$F$14="Yes",M14&gt;0),MAX(0,R14-Assumptions!$C$14*D14),0)</x:f>
        <x:v>0</x:v>
      </x:c>
    </x:row>
    <x:row r="15" ht="22" customHeight="1">
      <x:c r="A15" s="2" t="str">
        <x:v>61091000</x:v>
      </x:c>
      <x:c r="B15" s="2" t="str">
        <x:v>Vietnam</x:v>
      </x:c>
      <x:c r="C15" s="14" t="n">
        <x:f>SUMIFS(Trade_Periods!$F$6:$F$125,Trade_Periods!$B$6:$B$125,"FY2025",Trade_Periods!$C$6:$C$125,B15,Trade_Periods!$D$6:$D$125,A15)</x:f>
        <x:v>1170082</x:v>
      </x:c>
      <x:c r="D15" s="8" t="n">
        <x:f>C15/SUM(C6:C15)</x:f>
        <x:v>0.015508884331010253</x:v>
      </x:c>
      <x:c r="E15" s="14" t="n">
        <x:f>IF(Assumptions!$C$7="Reported",SUMIFS(Trade_Periods!$E$6:$E$125,Trade_Periods!$B$6:$B$125,Assumptions!$C$6,Trade_Periods!$C$6:$C$125,B15,Trade_Periods!$D$6:$D$125,A15),SUMIFS(Trade_Periods!$L$6:$L$125,Trade_Periods!$B$6:$B$125,Assumptions!$C$6,Trade_Periods!$C$6:$C$125,B15,Trade_Periods!$D$6:$D$125,A15))</x:f>
        <x:v>13656174</x:v>
      </x:c>
      <x:c r="F15" s="14" t="n">
        <x:f>IF(Assumptions!$C$7="Reported",SUMIFS(Trade_Periods!$F$6:$F$125,Trade_Periods!$B$6:$B$125,Assumptions!$C$6,Trade_Periods!$C$6:$C$125,B15,Trade_Periods!$D$6:$D$125,A15),SUMIFS(Trade_Periods!$M$6:$M$125,Trade_Periods!$B$6:$B$125,Assumptions!$C$6,Trade_Periods!$C$6:$C$125,B15,Trade_Periods!$D$6:$D$125,A15))</x:f>
        <x:v>532624</x:v>
      </x:c>
      <x:c r="G15" s="15" t="n">
        <x:f>IF(F15&gt;0,E15/F15,"n.a.")</x:f>
        <x:v>25.639426687494367</x:v>
      </x:c>
      <x:c r="H15" s="8" t="n">
        <x:f>IF(Assumptions!$C$8="2025",SUMIFS(Tariffs!$D$6:$D$45,Tariffs!$B$6:$B$45,B15,Tariffs!$C$6:$C$45,A15),IF(Assumptions!$C$8="1 Jan to 14 Jul 2026",SUMIFS(Tariffs!$E$6:$E$45,Tariffs!$B$6:$B$45,B15,Tariffs!$C$6:$C$45,A15),SUMIFS(Tariffs!$F$6:$F$45,Tariffs!$B$6:$B$45,B15,Tariffs!$C$6:$C$45,A15)))</x:f>
        <x:v>0</x:v>
      </x:c>
      <x:c r="I15" s="8" t="n">
        <x:f>SUMIFS(Tariffs!$G$6:$G$45,Tariffs!$B$6:$B$45,B15,Tariffs!$C$6:$C$45,A15)</x:f>
        <x:v>0.12</x:v>
      </x:c>
      <x:c r="J15" s="15" t="n">
        <x:f>G15*(1+H15)</x:f>
        <x:v>25.639426687494367</x:v>
      </x:c>
      <x:c r="K15" s="15" t="n">
        <x:f>G15*(1+I15)</x:f>
        <x:v>28.716157889993696</x:v>
      </x:c>
      <x:c r="L15" s="15" t="n">
        <x:f>IF(Assumptions!$C$9="Eligible preference",J15,K15)</x:f>
        <x:v>25.639426687494367</x:v>
      </x:c>
      <x:c r="M15" s="8" t="n">
        <x:f>Assumptions!B33</x:f>
        <x:v>0.25</x:v>
      </x:c>
      <x:c r="N15" s="8" t="n">
        <x:f>Assumptions!C33</x:f>
        <x:v>0</x:v>
      </x:c>
      <x:c r="O15" s="8" t="n">
        <x:f>IF(B15="China",-1,M15)</x:f>
        <x:v>0.25</x:v>
      </x:c>
      <x:c r="P15" s="8" t="n">
        <x:f>IF(B15="China",D15,IF(M15&gt;0,MAX(0,MIN(Assumptions!$C$10-D15,Assumptions!$C$11,IF(Assumptions!$F$14="Yes",(Assumptions!$C$14-1)*D15,1))/M15),1))</x:f>
        <x:v>0.12407107464808202</x:v>
      </x:c>
      <x:c r="Q15" s="8" t="n">
        <x:f>$E51*O15</x:f>
        <x:v>0.008055306690751734</x:v>
      </x:c>
      <x:c r="R15" s="8" t="n">
        <x:f>D15+Q15</x:f>
        <x:v>0.023564191021761986</x:v>
      </x:c>
      <x:c r="S15" s="16" t="n">
        <x:f>D15*L15</x:f>
        <x:v>0.3976389028097675</x:v>
      </x:c>
      <x:c r="T15" s="16" t="n">
        <x:f>R15*L15+MAX(0,Q15)*L15*N15</x:f>
        <x:v>0.6041723481525795</x:v>
      </x:c>
      <x:c r="U15" s="16" t="n">
        <x:f>O15*L15+M15*L15*N15</x:f>
        <x:v>6.409856671873592</x:v>
      </x:c>
      <x:c r="V15" s="16" t="n">
        <x:f>D15^2</x:f>
        <x:v>0.00024052549319265534</x:v>
      </x:c>
      <x:c r="W15" s="16" t="n">
        <x:f>2*D15*O15</x:f>
        <x:v>0.007754442165505126</x:v>
      </x:c>
      <x:c r="X15" s="16" t="n">
        <x:f>O15^2</x:f>
        <x:v>0.0625</x:v>
      </x:c>
      <x:c r="Y15" s="16" t="n">
        <x:f>IF(Candidate_Gates!N15="Pass",MAX(0,Q15),0)</x:f>
        <x:v>0</x:v>
      </x:c>
      <x:c r="Z15" s="16" t="n">
        <x:f>D15*J15</x:f>
        <x:v>0.3976389028097675</x:v>
      </x:c>
      <x:c r="AA15" s="16" t="n">
        <x:f>O15*J15+M15*J15*N15</x:f>
        <x:v>6.409856671873592</x:v>
      </x:c>
      <x:c r="AB15" s="16" t="n">
        <x:f>D15*K15</x:f>
        <x:v>0.4453555711469397</x:v>
      </x:c>
      <x:c r="AC15" s="16" t="n">
        <x:f>O15*K15+M15*K15*N15</x:f>
        <x:v>7.179039472498424</x:v>
      </x:c>
      <x:c r="AD15" s="2" t="str">
        <x:f>IF(AND(C15&gt;=0,F15&gt;0,E15&gt;0,ISNUMBER(G15),COUNTIFS(Trade_Periods!$B$6:$B$125,Assumptions!$C$6,Trade_Periods!$C$6:$C$125,B15,Trade_Periods!$D$6:$D$125,A15)=1,COUNTIFS(Tariffs!$B$6:$B$45,B15,Tariffs!$C$6:$C$45,A15)=1),"Ready","Missing data")</x:f>
        <x:v>Ready</x:v>
      </x:c>
      <x:c r="AE15" s="33" t="n">
        <x:f>IF(D15&gt;0,R15/D15,"n.a.")</x:f>
        <x:v>1.5193994950781227</x:v>
      </x:c>
      <x:c r="AF15" s="33" t="n">
        <x:f>IF(M15&gt;0,IF(D15&gt;0,R15/D15,IF(R15=0,0,"n.a.")),0)</x:f>
        <x:v>1.5193994950781227</x:v>
      </x:c>
      <x:c r="AG15" s="34" t="n">
        <x:f>IF(AND(Assumptions!$F$14="Yes",M15&gt;0),MAX(0,R15-Assumptions!$C$14*D15),0)</x:f>
        <x:v>0</x:v>
      </x:c>
    </x:row>
    <x:row r="16" ht="22" customHeight="1">
      <x:c r="A16" s="2" t="str">
        <x:v>61103099</x:v>
      </x:c>
      <x:c r="B16" s="2" t="str">
        <x:v>Bangladesh</x:v>
      </x:c>
      <x:c r="C16" s="14" t="n">
        <x:f>SUMIFS(Trade_Periods!$F$6:$F$125,Trade_Periods!$B$6:$B$125,"FY2025",Trade_Periods!$C$6:$C$125,B16,Trade_Periods!$D$6:$D$125,A16)</x:f>
        <x:v>13246692</x:v>
      </x:c>
      <x:c r="D16" s="8" t="n">
        <x:f>C16/SUM(C16:C25)</x:f>
        <x:v>0.2946644518678884</x:v>
      </x:c>
      <x:c r="E16" s="14" t="n">
        <x:f>IF(Assumptions!$C$7="Reported",SUMIFS(Trade_Periods!$E$6:$E$125,Trade_Periods!$B$6:$B$125,Assumptions!$C$6,Trade_Periods!$C$6:$C$125,B16,Trade_Periods!$D$6:$D$125,A16),SUMIFS(Trade_Periods!$L$6:$L$125,Trade_Periods!$B$6:$B$125,Assumptions!$C$6,Trade_Periods!$C$6:$C$125,B16,Trade_Periods!$D$6:$D$125,A16))</x:f>
        <x:v>41106466</x:v>
      </x:c>
      <x:c r="F16" s="14" t="n">
        <x:f>IF(Assumptions!$C$7="Reported",SUMIFS(Trade_Periods!$F$6:$F$125,Trade_Periods!$B$6:$B$125,Assumptions!$C$6,Trade_Periods!$C$6:$C$125,B16,Trade_Periods!$D$6:$D$125,A16),SUMIFS(Trade_Periods!$M$6:$M$125,Trade_Periods!$B$6:$B$125,Assumptions!$C$6,Trade_Periods!$C$6:$C$125,B16,Trade_Periods!$D$6:$D$125,A16))</x:f>
        <x:v>3340374</x:v>
      </x:c>
      <x:c r="G16" s="15" t="n">
        <x:f>IF(F16&gt;0,E16/F16,"n.a.")</x:f>
        <x:v>12.305947178369847</x:v>
      </x:c>
      <x:c r="H16" s="8" t="n">
        <x:f>IF(Assumptions!$C$8="2025",SUMIFS(Tariffs!$D$6:$D$45,Tariffs!$B$6:$B$45,B16,Tariffs!$C$6:$C$45,A16),IF(Assumptions!$C$8="1 Jan to 14 Jul 2026",SUMIFS(Tariffs!$E$6:$E$45,Tariffs!$B$6:$B$45,B16,Tariffs!$C$6:$C$45,A16),SUMIFS(Tariffs!$F$6:$F$45,Tariffs!$B$6:$B$45,B16,Tariffs!$C$6:$C$45,A16)))</x:f>
        <x:v>0</x:v>
      </x:c>
      <x:c r="I16" s="8" t="n">
        <x:f>SUMIFS(Tariffs!$G$6:$G$45,Tariffs!$B$6:$B$45,B16,Tariffs!$C$6:$C$45,A16)</x:f>
        <x:v>0.12</x:v>
      </x:c>
      <x:c r="J16" s="15" t="n">
        <x:f>G16*(1+H16)</x:f>
        <x:v>12.305947178369847</x:v>
      </x:c>
      <x:c r="K16" s="15" t="n">
        <x:f>G16*(1+I16)</x:f>
        <x:v>13.782660839774229</x:v>
      </x:c>
      <x:c r="L16" s="15" t="n">
        <x:f>IF(Assumptions!$C$9="Eligible preference",J16,K16)</x:f>
        <x:v>12.305947178369847</x:v>
      </x:c>
      <x:c r="M16" s="8" t="n">
        <x:f>Assumptions!B24</x:f>
        <x:v>0</x:v>
      </x:c>
      <x:c r="N16" s="8" t="n">
        <x:f>Assumptions!C24</x:f>
        <x:v>0</x:v>
      </x:c>
      <x:c r="O16" s="8" t="n">
        <x:f>IF(B16="China",-1,M16)</x:f>
        <x:v>0</x:v>
      </x:c>
      <x:c r="P16" s="8" t="n">
        <x:f>IF(B16="China",D16,IF(M16&gt;0,MAX(0,MIN(Assumptions!$C$10-D16,Assumptions!$C$11,IF(Assumptions!$F$14="Yes",(Assumptions!$C$14-1)*D16,1))/M16),1))</x:f>
        <x:v>1</x:v>
      </x:c>
      <x:c r="Q16" s="8" t="n">
        <x:f>$E52*O16</x:f>
        <x:v>0</x:v>
      </x:c>
      <x:c r="R16" s="8" t="n">
        <x:f>D16+Q16</x:f>
        <x:v>0.2946644518678884</x:v>
      </x:c>
      <x:c r="S16" s="16" t="n">
        <x:f>D16*L16</x:f>
        <x:v>3.626125180029539</x:v>
      </x:c>
      <x:c r="T16" s="16" t="n">
        <x:f>R16*L16+MAX(0,Q16)*L16*N16</x:f>
        <x:v>3.626125180029539</x:v>
      </x:c>
      <x:c r="U16" s="16" t="n">
        <x:f>O16*L16+M16*L16*N16</x:f>
        <x:v>0</x:v>
      </x:c>
      <x:c r="V16" s="16" t="n">
        <x:f>D16^2</x:f>
        <x:v>0.08682713919460314</x:v>
      </x:c>
      <x:c r="W16" s="16" t="n">
        <x:f>2*D16*O16</x:f>
        <x:v>0</x:v>
      </x:c>
      <x:c r="X16" s="16" t="n">
        <x:f>O16^2</x:f>
        <x:v>0</x:v>
      </x:c>
      <x:c r="Y16" s="16" t="n">
        <x:f>IF(Candidate_Gates!N16="Pass",MAX(0,Q16),0)</x:f>
        <x:v>0</x:v>
      </x:c>
      <x:c r="Z16" s="16" t="n">
        <x:f>D16*J16</x:f>
        <x:v>3.626125180029539</x:v>
      </x:c>
      <x:c r="AA16" s="16" t="n">
        <x:f>O16*J16+M16*J16*N16</x:f>
        <x:v>0</x:v>
      </x:c>
      <x:c r="AB16" s="16" t="n">
        <x:f>D16*K16</x:f>
        <x:v>4.061260201633083</x:v>
      </x:c>
      <x:c r="AC16" s="16" t="n">
        <x:f>O16*K16+M16*K16*N16</x:f>
        <x:v>0</x:v>
      </x:c>
      <x:c r="AD16" s="2" t="str">
        <x:f>IF(AND(C16&gt;=0,F16&gt;0,E16&gt;0,ISNUMBER(G16),COUNTIFS(Trade_Periods!$B$6:$B$125,Assumptions!$C$6,Trade_Periods!$C$6:$C$125,B16,Trade_Periods!$D$6:$D$125,A16)=1,COUNTIFS(Tariffs!$B$6:$B$45,B16,Tariffs!$C$6:$C$45,A16)=1),"Ready","Missing data")</x:f>
        <x:v>Ready</x:v>
      </x:c>
      <x:c r="AE16" s="33" t="n">
        <x:f>IF(D16&gt;0,R16/D16,"n.a.")</x:f>
        <x:v>1</x:v>
      </x:c>
      <x:c r="AF16" s="33" t="n">
        <x:f>IF(M16&gt;0,IF(D16&gt;0,R16/D16,IF(R16=0,0,"n.a.")),0)</x:f>
        <x:v>0</x:v>
      </x:c>
      <x:c r="AG16" s="34" t="n">
        <x:f>IF(AND(Assumptions!$F$14="Yes",M16&gt;0),MAX(0,R16-Assumptions!$C$14*D16),0)</x:f>
        <x:v>0</x:v>
      </x:c>
    </x:row>
    <x:row r="17" ht="22" customHeight="1">
      <x:c r="A17" s="2" t="str">
        <x:v>61103099</x:v>
      </x:c>
      <x:c r="B17" s="2" t="str">
        <x:v>Cambodia</x:v>
      </x:c>
      <x:c r="C17" s="14" t="n">
        <x:f>SUMIFS(Trade_Periods!$F$6:$F$125,Trade_Periods!$B$6:$B$125,"FY2025",Trade_Periods!$C$6:$C$125,B17,Trade_Periods!$D$6:$D$125,A17)</x:f>
        <x:v>6288565</x:v>
      </x:c>
      <x:c r="D17" s="8" t="n">
        <x:f>C17/SUM(C16:C25)</x:f>
        <x:v>0.13988523012089266</x:v>
      </x:c>
      <x:c r="E17" s="14" t="n">
        <x:f>IF(Assumptions!$C$7="Reported",SUMIFS(Trade_Periods!$E$6:$E$125,Trade_Periods!$B$6:$B$125,Assumptions!$C$6,Trade_Periods!$C$6:$C$125,B17,Trade_Periods!$D$6:$D$125,A17),SUMIFS(Trade_Periods!$L$6:$L$125,Trade_Periods!$B$6:$B$125,Assumptions!$C$6,Trade_Periods!$C$6:$C$125,B17,Trade_Periods!$D$6:$D$125,A17))</x:f>
        <x:v>20275618</x:v>
      </x:c>
      <x:c r="F17" s="14" t="n">
        <x:f>IF(Assumptions!$C$7="Reported",SUMIFS(Trade_Periods!$F$6:$F$125,Trade_Periods!$B$6:$B$125,Assumptions!$C$6,Trade_Periods!$C$6:$C$125,B17,Trade_Periods!$D$6:$D$125,A17),SUMIFS(Trade_Periods!$M$6:$M$125,Trade_Periods!$B$6:$B$125,Assumptions!$C$6,Trade_Periods!$C$6:$C$125,B17,Trade_Periods!$D$6:$D$125,A17))</x:f>
        <x:v>1804538</x:v>
      </x:c>
      <x:c r="G17" s="15" t="n">
        <x:f>IF(F17&gt;0,E17/F17,"n.a.")</x:f>
        <x:v>11.235905256636325</x:v>
      </x:c>
      <x:c r="H17" s="8" t="n">
        <x:f>IF(Assumptions!$C$8="2025",SUMIFS(Tariffs!$D$6:$D$45,Tariffs!$B$6:$B$45,B17,Tariffs!$C$6:$C$45,A17),IF(Assumptions!$C$8="1 Jan to 14 Jul 2026",SUMIFS(Tariffs!$E$6:$E$45,Tariffs!$B$6:$B$45,B17,Tariffs!$C$6:$C$45,A17),SUMIFS(Tariffs!$F$6:$F$45,Tariffs!$B$6:$B$45,B17,Tariffs!$C$6:$C$45,A17)))</x:f>
        <x:v>0</x:v>
      </x:c>
      <x:c r="I17" s="8" t="n">
        <x:f>SUMIFS(Tariffs!$G$6:$G$45,Tariffs!$B$6:$B$45,B17,Tariffs!$C$6:$C$45,A17)</x:f>
        <x:v>0.12</x:v>
      </x:c>
      <x:c r="J17" s="15" t="n">
        <x:f>G17*(1+H17)</x:f>
        <x:v>11.235905256636325</x:v>
      </x:c>
      <x:c r="K17" s="15" t="n">
        <x:f>G17*(1+I17)</x:f>
        <x:v>12.584213887432686</x:v>
      </x:c>
      <x:c r="L17" s="15" t="n">
        <x:f>IF(Assumptions!$C$9="Eligible preference",J17,K17)</x:f>
        <x:v>11.235905256636325</x:v>
      </x:c>
      <x:c r="M17" s="8" t="n">
        <x:f>Assumptions!B25</x:f>
        <x:v>0</x:v>
      </x:c>
      <x:c r="N17" s="8" t="n">
        <x:f>Assumptions!C25</x:f>
        <x:v>0</x:v>
      </x:c>
      <x:c r="O17" s="8" t="n">
        <x:f>IF(B17="China",-1,M17)</x:f>
        <x:v>0</x:v>
      </x:c>
      <x:c r="P17" s="8" t="n">
        <x:f>IF(B17="China",D17,IF(M17&gt;0,MAX(0,MIN(Assumptions!$C$10-D17,Assumptions!$C$11,IF(Assumptions!$F$14="Yes",(Assumptions!$C$14-1)*D17,1))/M17),1))</x:f>
        <x:v>1</x:v>
      </x:c>
      <x:c r="Q17" s="8" t="n">
        <x:f>$E52*O17</x:f>
        <x:v>0</x:v>
      </x:c>
      <x:c r="R17" s="8" t="n">
        <x:f>D17+Q17</x:f>
        <x:v>0.13988523012089266</x:v>
      </x:c>
      <x:c r="S17" s="16" t="n">
        <x:f>D17*L17</x:f>
        <x:v>1.5717371924411199</x:v>
      </x:c>
      <x:c r="T17" s="16" t="n">
        <x:f>R17*L17+MAX(0,Q17)*L17*N17</x:f>
        <x:v>1.5717371924411199</x:v>
      </x:c>
      <x:c r="U17" s="16" t="n">
        <x:f>O17*L17+M17*L17*N17</x:f>
        <x:v>0</x:v>
      </x:c>
      <x:c r="V17" s="16" t="n">
        <x:f>D17^2</x:f>
        <x:v>0.019567877605975094</x:v>
      </x:c>
      <x:c r="W17" s="16" t="n">
        <x:f>2*D17*O17</x:f>
        <x:v>0</x:v>
      </x:c>
      <x:c r="X17" s="16" t="n">
        <x:f>O17^2</x:f>
        <x:v>0</x:v>
      </x:c>
      <x:c r="Y17" s="16" t="n">
        <x:f>IF(Candidate_Gates!N17="Pass",MAX(0,Q17),0)</x:f>
        <x:v>0</x:v>
      </x:c>
      <x:c r="Z17" s="16" t="n">
        <x:f>D17*J17</x:f>
        <x:v>1.5717371924411199</x:v>
      </x:c>
      <x:c r="AA17" s="16" t="n">
        <x:f>O17*J17+M17*J17*N17</x:f>
        <x:v>0</x:v>
      </x:c>
      <x:c r="AB17" s="16" t="n">
        <x:f>D17*K17</x:f>
        <x:v>1.7603456555340544</x:v>
      </x:c>
      <x:c r="AC17" s="16" t="n">
        <x:f>O17*K17+M17*K17*N17</x:f>
        <x:v>0</x:v>
      </x:c>
      <x:c r="AD17" s="2" t="str">
        <x:f>IF(AND(C17&gt;=0,F17&gt;0,E17&gt;0,ISNUMBER(G17),COUNTIFS(Trade_Periods!$B$6:$B$125,Assumptions!$C$6,Trade_Periods!$C$6:$C$125,B17,Trade_Periods!$D$6:$D$125,A17)=1,COUNTIFS(Tariffs!$B$6:$B$45,B17,Tariffs!$C$6:$C$45,A17)=1),"Ready","Missing data")</x:f>
        <x:v>Ready</x:v>
      </x:c>
      <x:c r="AE17" s="33" t="n">
        <x:f>IF(D17&gt;0,R17/D17,"n.a.")</x:f>
        <x:v>1</x:v>
      </x:c>
      <x:c r="AF17" s="33" t="n">
        <x:f>IF(M17&gt;0,IF(D17&gt;0,R17/D17,IF(R17=0,0,"n.a.")),0)</x:f>
        <x:v>0</x:v>
      </x:c>
      <x:c r="AG17" s="34" t="n">
        <x:f>IF(AND(Assumptions!$F$14="Yes",M17&gt;0),MAX(0,R17-Assumptions!$C$14*D17),0)</x:f>
        <x:v>0</x:v>
      </x:c>
    </x:row>
    <x:row r="18" ht="22" customHeight="1">
      <x:c r="A18" s="2" t="str">
        <x:v>61103099</x:v>
      </x:c>
      <x:c r="B18" s="2" t="str">
        <x:v>China</x:v>
      </x:c>
      <x:c r="C18" s="14" t="n">
        <x:f>SUMIFS(Trade_Periods!$F$6:$F$125,Trade_Periods!$B$6:$B$125,"FY2025",Trade_Periods!$C$6:$C$125,B18,Trade_Periods!$D$6:$D$125,A18)</x:f>
        <x:v>16459562</x:v>
      </x:c>
      <x:c r="D18" s="8" t="n">
        <x:f>C18/SUM(C16:C25)</x:f>
        <x:v>0.3661327533481963</x:v>
      </x:c>
      <x:c r="E18" s="14" t="n">
        <x:f>IF(Assumptions!$C$7="Reported",SUMIFS(Trade_Periods!$E$6:$E$125,Trade_Periods!$B$6:$B$125,Assumptions!$C$6,Trade_Periods!$C$6:$C$125,B18,Trade_Periods!$D$6:$D$125,A18),SUMIFS(Trade_Periods!$L$6:$L$125,Trade_Periods!$B$6:$B$125,Assumptions!$C$6,Trade_Periods!$C$6:$C$125,B18,Trade_Periods!$D$6:$D$125,A18))</x:f>
        <x:v>44515052</x:v>
      </x:c>
      <x:c r="F18" s="14" t="n">
        <x:f>IF(Assumptions!$C$7="Reported",SUMIFS(Trade_Periods!$F$6:$F$125,Trade_Periods!$B$6:$B$125,Assumptions!$C$6,Trade_Periods!$C$6:$C$125,B18,Trade_Periods!$D$6:$D$125,A18),SUMIFS(Trade_Periods!$M$6:$M$125,Trade_Periods!$B$6:$B$125,Assumptions!$C$6,Trade_Periods!$C$6:$C$125,B18,Trade_Periods!$D$6:$D$125,A18))</x:f>
        <x:v>2608798</x:v>
      </x:c>
      <x:c r="G18" s="15" t="n">
        <x:f>IF(F18&gt;0,E18/F18,"n.a.")</x:f>
        <x:v>17.063433811280138</x:v>
      </x:c>
      <x:c r="H18" s="8" t="n">
        <x:f>IF(Assumptions!$C$8="2025",SUMIFS(Tariffs!$D$6:$D$45,Tariffs!$B$6:$B$45,B18,Tariffs!$C$6:$C$45,A18),IF(Assumptions!$C$8="1 Jan to 14 Jul 2026",SUMIFS(Tariffs!$E$6:$E$45,Tariffs!$B$6:$B$45,B18,Tariffs!$C$6:$C$45,A18),SUMIFS(Tariffs!$F$6:$F$45,Tariffs!$B$6:$B$45,B18,Tariffs!$C$6:$C$45,A18)))</x:f>
        <x:v>0.12</x:v>
      </x:c>
      <x:c r="I18" s="8" t="n">
        <x:f>SUMIFS(Tariffs!$G$6:$G$45,Tariffs!$B$6:$B$45,B18,Tariffs!$C$6:$C$45,A18)</x:f>
        <x:v>0.12</x:v>
      </x:c>
      <x:c r="J18" s="15" t="n">
        <x:f>G18*(1+H18)</x:f>
        <x:v>19.111045868633756</x:v>
      </x:c>
      <x:c r="K18" s="15" t="n">
        <x:f>G18*(1+I18)</x:f>
        <x:v>19.111045868633756</x:v>
      </x:c>
      <x:c r="L18" s="15" t="n">
        <x:f>IF(Assumptions!$C$9="Eligible preference",J18,K18)</x:f>
        <x:v>19.111045868633756</x:v>
      </x:c>
      <x:c r="M18" s="8" t="n">
        <x:f>Assumptions!B26</x:f>
        <x:v>0</x:v>
      </x:c>
      <x:c r="N18" s="8" t="n">
        <x:f>Assumptions!C26</x:f>
        <x:v>0</x:v>
      </x:c>
      <x:c r="O18" s="8" t="n">
        <x:f>IF(B18="China",-1,M18)</x:f>
        <x:v>-1</x:v>
      </x:c>
      <x:c r="P18" s="8" t="n">
        <x:f>IF(B18="China",D18,IF(M18&gt;0,MAX(0,MIN(Assumptions!$C$10-D18,Assumptions!$C$11,IF(Assumptions!$F$14="Yes",(Assumptions!$C$14-1)*D18,1))/M18),1))</x:f>
        <x:v>0.3661327533481963</x:v>
      </x:c>
      <x:c r="Q18" s="8" t="n">
        <x:f>$E52*O18</x:f>
        <x:v>-0.014153298257653319</x:v>
      </x:c>
      <x:c r="R18" s="8" t="n">
        <x:f>D18+Q18</x:f>
        <x:v>0.35197945509054296</x:v>
      </x:c>
      <x:c r="S18" s="16" t="n">
        <x:f>D18*L18</x:f>
        <x:v>6.997179843246548</x:v>
      </x:c>
      <x:c r="T18" s="16" t="n">
        <x:f>R18*L18+MAX(0,Q18)*L18*N18</x:f>
        <x:v>6.726695511052082</x:v>
      </x:c>
      <x:c r="U18" s="16" t="n">
        <x:f>O18*L18+M18*L18*N18</x:f>
        <x:v>-19.111045868633756</x:v>
      </x:c>
      <x:c r="V18" s="16" t="n">
        <x:f>D18^2</x:f>
        <x:v>0.13405319307433114</x:v>
      </x:c>
      <x:c r="W18" s="16" t="n">
        <x:f>2*D18*O18</x:f>
        <x:v>-0.7322655066963926</x:v>
      </x:c>
      <x:c r="X18" s="16" t="n">
        <x:f>O18^2</x:f>
        <x:v>1</x:v>
      </x:c>
      <x:c r="Y18" s="16" t="n">
        <x:f>IF(Candidate_Gates!N18="Pass",MAX(0,Q18),0)</x:f>
        <x:v>0</x:v>
      </x:c>
      <x:c r="Z18" s="16" t="n">
        <x:f>D18*J18</x:f>
        <x:v>6.997179843246548</x:v>
      </x:c>
      <x:c r="AA18" s="16" t="n">
        <x:f>O18*J18+M18*J18*N18</x:f>
        <x:v>-19.111045868633756</x:v>
      </x:c>
      <x:c r="AB18" s="16" t="n">
        <x:f>D18*K18</x:f>
        <x:v>6.997179843246548</x:v>
      </x:c>
      <x:c r="AC18" s="16" t="n">
        <x:f>O18*K18+M18*K18*N18</x:f>
        <x:v>-19.111045868633756</x:v>
      </x:c>
      <x:c r="AD18" s="2" t="str">
        <x:f>IF(AND(C18&gt;=0,F18&gt;0,E18&gt;0,ISNUMBER(G18),COUNTIFS(Trade_Periods!$B$6:$B$125,Assumptions!$C$6,Trade_Periods!$C$6:$C$125,B18,Trade_Periods!$D$6:$D$125,A18)=1,COUNTIFS(Tariffs!$B$6:$B$45,B18,Tariffs!$C$6:$C$45,A18)=1),"Ready","Missing data")</x:f>
        <x:v>Ready</x:v>
      </x:c>
      <x:c r="AE18" s="33" t="n">
        <x:f>IF(D18&gt;0,R18/D18,"n.a.")</x:f>
        <x:v>0.9613438073261001</x:v>
      </x:c>
      <x:c r="AF18" s="33" t="n">
        <x:f>IF(M18&gt;0,IF(D18&gt;0,R18/D18,IF(R18=0,0,"n.a.")),0)</x:f>
        <x:v>0</x:v>
      </x:c>
      <x:c r="AG18" s="34" t="n">
        <x:f>IF(AND(Assumptions!$F$14="Yes",M18&gt;0),MAX(0,R18-Assumptions!$C$14*D18),0)</x:f>
        <x:v>0</x:v>
      </x:c>
    </x:row>
    <x:row r="19" ht="22" customHeight="1">
      <x:c r="A19" s="2" t="str">
        <x:v>61103099</x:v>
      </x:c>
      <x:c r="B19" s="2" t="str">
        <x:v>India</x:v>
      </x:c>
      <x:c r="C19" s="14" t="n">
        <x:f>SUMIFS(Trade_Periods!$F$6:$F$125,Trade_Periods!$B$6:$B$125,"FY2025",Trade_Periods!$C$6:$C$125,B19,Trade_Periods!$D$6:$D$125,A19)</x:f>
        <x:v>159066</x:v>
      </x:c>
      <x:c r="D19" s="8" t="n">
        <x:f>C19/SUM(C16:C25)</x:f>
        <x:v>0.0035383245644133297</x:v>
      </x:c>
      <x:c r="E19" s="14" t="n">
        <x:f>IF(Assumptions!$C$7="Reported",SUMIFS(Trade_Periods!$E$6:$E$125,Trade_Periods!$B$6:$B$125,Assumptions!$C$6,Trade_Periods!$C$6:$C$125,B19,Trade_Periods!$D$6:$D$125,A19),SUMIFS(Trade_Periods!$L$6:$L$125,Trade_Periods!$B$6:$B$125,Assumptions!$C$6,Trade_Periods!$C$6:$C$125,B19,Trade_Periods!$D$6:$D$125,A19))</x:f>
        <x:v>709744</x:v>
      </x:c>
      <x:c r="F19" s="14" t="n">
        <x:f>IF(Assumptions!$C$7="Reported",SUMIFS(Trade_Periods!$F$6:$F$125,Trade_Periods!$B$6:$B$125,Assumptions!$C$6,Trade_Periods!$C$6:$C$125,B19,Trade_Periods!$D$6:$D$125,A19),SUMIFS(Trade_Periods!$M$6:$M$125,Trade_Periods!$B$6:$B$125,Assumptions!$C$6,Trade_Periods!$C$6:$C$125,B19,Trade_Periods!$D$6:$D$125,A19))</x:f>
        <x:v>46899</x:v>
      </x:c>
      <x:c r="G19" s="15" t="n">
        <x:f>IF(F19&gt;0,E19/F19,"n.a.")</x:f>
        <x:v>15.133457003347619</x:v>
      </x:c>
      <x:c r="H19" s="8" t="n">
        <x:f>IF(Assumptions!$C$8="2025",SUMIFS(Tariffs!$D$6:$D$45,Tariffs!$B$6:$B$45,B19,Tariffs!$C$6:$C$45,A19),IF(Assumptions!$C$8="1 Jan to 14 Jul 2026",SUMIFS(Tariffs!$E$6:$E$45,Tariffs!$B$6:$B$45,B19,Tariffs!$C$6:$C$45,A19),SUMIFS(Tariffs!$F$6:$F$45,Tariffs!$B$6:$B$45,B19,Tariffs!$C$6:$C$45,A19)))</x:f>
        <x:v>0</x:v>
      </x:c>
      <x:c r="I19" s="8" t="n">
        <x:f>SUMIFS(Tariffs!$G$6:$G$45,Tariffs!$B$6:$B$45,B19,Tariffs!$C$6:$C$45,A19)</x:f>
        <x:v>0.12</x:v>
      </x:c>
      <x:c r="J19" s="15" t="n">
        <x:f>G19*(1+H19)</x:f>
        <x:v>15.133457003347619</x:v>
      </x:c>
      <x:c r="K19" s="15" t="n">
        <x:f>G19*(1+I19)</x:f>
        <x:v>16.949471843749336</x:v>
      </x:c>
      <x:c r="L19" s="15" t="n">
        <x:f>IF(Assumptions!$C$9="Eligible preference",J19,K19)</x:f>
        <x:v>15.133457003347619</x:v>
      </x:c>
      <x:c r="M19" s="8" t="n">
        <x:f>Assumptions!B27</x:f>
        <x:v>0.5</x:v>
      </x:c>
      <x:c r="N19" s="8" t="n">
        <x:f>Assumptions!C27</x:f>
        <x:v>0</x:v>
      </x:c>
      <x:c r="O19" s="8" t="n">
        <x:f>IF(B19="China",-1,M19)</x:f>
        <x:v>0.5</x:v>
      </x:c>
      <x:c r="P19" s="8" t="n">
        <x:f>IF(B19="China",D19,IF(M19&gt;0,MAX(0,MIN(Assumptions!$C$10-D19,Assumptions!$C$11,IF(Assumptions!$F$14="Yes",(Assumptions!$C$14-1)*D19,1))/M19),1))</x:f>
        <x:v>0.014153298257653319</x:v>
      </x:c>
      <x:c r="Q19" s="8" t="n">
        <x:f>$E52*O19</x:f>
        <x:v>0.007076649128826659</x:v>
      </x:c>
      <x:c r="R19" s="8" t="n">
        <x:f>D19+Q19</x:f>
        <x:v>0.01061497369323999</x:v>
      </x:c>
      <x:c r="S19" s="16" t="n">
        <x:f>D19*L19</x:f>
        <x:v>0.05354708265943782</x:v>
      </x:c>
      <x:c r="T19" s="16" t="n">
        <x:f>R19*L19+MAX(0,Q19)*L19*N19</x:f>
        <x:v>0.16064124797831347</x:v>
      </x:c>
      <x:c r="U19" s="16" t="n">
        <x:f>O19*L19+M19*L19*N19</x:f>
        <x:v>7.5667285016738095</x:v>
      </x:c>
      <x:c r="V19" s="16" t="n">
        <x:f>D19^2</x:f>
        <x:v>0.00001251974072313078</x:v>
      </x:c>
      <x:c r="W19" s="16" t="n">
        <x:f>2*D19*O19</x:f>
        <x:v>0.0035383245644133297</x:v>
      </x:c>
      <x:c r="X19" s="16" t="n">
        <x:f>O19^2</x:f>
        <x:v>0.25</x:v>
      </x:c>
      <x:c r="Y19" s="16" t="n">
        <x:f>IF(Candidate_Gates!N19="Pass",MAX(0,Q19),0)</x:f>
        <x:v>0</x:v>
      </x:c>
      <x:c r="Z19" s="16" t="n">
        <x:f>D19*J19</x:f>
        <x:v>0.05354708265943782</x:v>
      </x:c>
      <x:c r="AA19" s="16" t="n">
        <x:f>O19*J19+M19*J19*N19</x:f>
        <x:v>7.5667285016738095</x:v>
      </x:c>
      <x:c r="AB19" s="16" t="n">
        <x:f>D19*K19</x:f>
        <x:v>0.059972732578570366</x:v>
      </x:c>
      <x:c r="AC19" s="16" t="n">
        <x:f>O19*K19+M19*K19*N19</x:f>
        <x:v>8.474735921874668</x:v>
      </x:c>
      <x:c r="AD19" s="2" t="str">
        <x:f>IF(AND(C19&gt;=0,F19&gt;0,E19&gt;0,ISNUMBER(G19),COUNTIFS(Trade_Periods!$B$6:$B$125,Assumptions!$C$6,Trade_Periods!$C$6:$C$125,B19,Trade_Periods!$D$6:$D$125,A19)=1,COUNTIFS(Tariffs!$B$6:$B$45,B19,Tariffs!$C$6:$C$45,A19)=1),"Ready","Missing data")</x:f>
        <x:v>Ready</x:v>
      </x:c>
      <x:c r="AE19" s="33" t="n">
        <x:f>IF(D19&gt;0,R19/D19,"n.a.")</x:f>
        <x:v>3</x:v>
      </x:c>
      <x:c r="AF19" s="33" t="n">
        <x:f>IF(M19&gt;0,IF(D19&gt;0,R19/D19,IF(R19=0,0,"n.a.")),0)</x:f>
        <x:v>3</x:v>
      </x:c>
      <x:c r="AG19" s="34" t="n">
        <x:f>IF(AND(Assumptions!$F$14="Yes",M19&gt;0),MAX(0,R19-Assumptions!$C$14*D19),0)</x:f>
        <x:v>0</x:v>
      </x:c>
    </x:row>
    <x:row r="20" ht="22" customHeight="1">
      <x:c r="A20" s="2" t="str">
        <x:v>61103099</x:v>
      </x:c>
      <x:c r="B20" s="2" t="str">
        <x:v>Morocco</x:v>
      </x:c>
      <x:c r="C20" s="14" t="n">
        <x:f>SUMIFS(Trade_Periods!$F$6:$F$125,Trade_Periods!$B$6:$B$125,"FY2025",Trade_Periods!$C$6:$C$125,B20,Trade_Periods!$D$6:$D$125,A20)</x:f>
        <x:v>19704</x:v>
      </x:c>
      <x:c r="D20" s="8" t="n">
        <x:f>C20/SUM(C16:C25)</x:f>
        <x:v>0.0004383032654193872</x:v>
      </x:c>
      <x:c r="E20" s="14" t="n">
        <x:f>IF(Assumptions!$C$7="Reported",SUMIFS(Trade_Periods!$E$6:$E$125,Trade_Periods!$B$6:$B$125,Assumptions!$C$6,Trade_Periods!$C$6:$C$125,B20,Trade_Periods!$D$6:$D$125,A20),SUMIFS(Trade_Periods!$L$6:$L$125,Trade_Periods!$B$6:$B$125,Assumptions!$C$6,Trade_Periods!$C$6:$C$125,B20,Trade_Periods!$D$6:$D$125,A20))</x:f>
        <x:v>94543</x:v>
      </x:c>
      <x:c r="F20" s="14" t="n">
        <x:f>IF(Assumptions!$C$7="Reported",SUMIFS(Trade_Periods!$F$6:$F$125,Trade_Periods!$B$6:$B$125,Assumptions!$C$6,Trade_Periods!$C$6:$C$125,B20,Trade_Periods!$D$6:$D$125,A20),SUMIFS(Trade_Periods!$M$6:$M$125,Trade_Periods!$B$6:$B$125,Assumptions!$C$6,Trade_Periods!$C$6:$C$125,B20,Trade_Periods!$D$6:$D$125,A20))</x:f>
        <x:v>3440</x:v>
      </x:c>
      <x:c r="G20" s="15" t="n">
        <x:f>IF(F20&gt;0,E20/F20,"n.a.")</x:f>
        <x:v>27.48343023255814</x:v>
      </x:c>
      <x:c r="H20" s="8" t="n">
        <x:f>IF(Assumptions!$C$8="2025",SUMIFS(Tariffs!$D$6:$D$45,Tariffs!$B$6:$B$45,B20,Tariffs!$C$6:$C$45,A20),IF(Assumptions!$C$8="1 Jan to 14 Jul 2026",SUMIFS(Tariffs!$E$6:$E$45,Tariffs!$B$6:$B$45,B20,Tariffs!$C$6:$C$45,A20),SUMIFS(Tariffs!$F$6:$F$45,Tariffs!$B$6:$B$45,B20,Tariffs!$C$6:$C$45,A20)))</x:f>
        <x:v>0</x:v>
      </x:c>
      <x:c r="I20" s="8" t="n">
        <x:f>SUMIFS(Tariffs!$G$6:$G$45,Tariffs!$B$6:$B$45,B20,Tariffs!$C$6:$C$45,A20)</x:f>
        <x:v>0.12</x:v>
      </x:c>
      <x:c r="J20" s="15" t="n">
        <x:f>G20*(1+H20)</x:f>
        <x:v>27.48343023255814</x:v>
      </x:c>
      <x:c r="K20" s="15" t="n">
        <x:f>G20*(1+I20)</x:f>
        <x:v>30.78144186046512</x:v>
      </x:c>
      <x:c r="L20" s="15" t="n">
        <x:f>IF(Assumptions!$C$9="Eligible preference",J20,K20)</x:f>
        <x:v>27.48343023255814</x:v>
      </x:c>
      <x:c r="M20" s="8" t="n">
        <x:f>Assumptions!B28</x:f>
        <x:v>0</x:v>
      </x:c>
      <x:c r="N20" s="8" t="n">
        <x:f>Assumptions!C28</x:f>
        <x:v>0</x:v>
      </x:c>
      <x:c r="O20" s="8" t="n">
        <x:f>IF(B20="China",-1,M20)</x:f>
        <x:v>0</x:v>
      </x:c>
      <x:c r="P20" s="8" t="n">
        <x:f>IF(B20="China",D20,IF(M20&gt;0,MAX(0,MIN(Assumptions!$C$10-D20,Assumptions!$C$11,IF(Assumptions!$F$14="Yes",(Assumptions!$C$14-1)*D20,1))/M20),1))</x:f>
        <x:v>1</x:v>
      </x:c>
      <x:c r="Q20" s="8" t="n">
        <x:f>$E52*O20</x:f>
        <x:v>0</x:v>
      </x:c>
      <x:c r="R20" s="8" t="n">
        <x:f>D20+Q20</x:f>
        <x:v>0.0004383032654193872</x:v>
      </x:c>
      <x:c r="S20" s="16" t="n">
        <x:f>D20*L20</x:f>
        <x:v>0.012046077215856139</x:v>
      </x:c>
      <x:c r="T20" s="16" t="n">
        <x:f>R20*L20+MAX(0,Q20)*L20*N20</x:f>
        <x:v>0.012046077215856139</x:v>
      </x:c>
      <x:c r="U20" s="16" t="n">
        <x:f>O20*L20+M20*L20*N20</x:f>
        <x:v>0</x:v>
      </x:c>
      <x:c r="V20" s="16" t="n">
        <x:f>D20^2</x:f>
        <x:v>1.9210975247729776e-7</x:v>
      </x:c>
      <x:c r="W20" s="16" t="n">
        <x:f>2*D20*O20</x:f>
        <x:v>0</x:v>
      </x:c>
      <x:c r="X20" s="16" t="n">
        <x:f>O20^2</x:f>
        <x:v>0</x:v>
      </x:c>
      <x:c r="Y20" s="16" t="n">
        <x:f>IF(Candidate_Gates!N20="Pass",MAX(0,Q20),0)</x:f>
        <x:v>0</x:v>
      </x:c>
      <x:c r="Z20" s="16" t="n">
        <x:f>D20*J20</x:f>
        <x:v>0.012046077215856139</x:v>
      </x:c>
      <x:c r="AA20" s="16" t="n">
        <x:f>O20*J20+M20*J20*N20</x:f>
        <x:v>0</x:v>
      </x:c>
      <x:c r="AB20" s="16" t="n">
        <x:f>D20*K20</x:f>
        <x:v>0.013491606481758877</x:v>
      </x:c>
      <x:c r="AC20" s="16" t="n">
        <x:f>O20*K20+M20*K20*N20</x:f>
        <x:v>0</x:v>
      </x:c>
      <x:c r="AD20" s="2" t="str">
        <x:f>IF(AND(C20&gt;=0,F20&gt;0,E20&gt;0,ISNUMBER(G20),COUNTIFS(Trade_Periods!$B$6:$B$125,Assumptions!$C$6,Trade_Periods!$C$6:$C$125,B20,Trade_Periods!$D$6:$D$125,A20)=1,COUNTIFS(Tariffs!$B$6:$B$45,B20,Tariffs!$C$6:$C$45,A20)=1),"Ready","Missing data")</x:f>
        <x:v>Ready</x:v>
      </x:c>
      <x:c r="AE20" s="33" t="n">
        <x:f>IF(D20&gt;0,R20/D20,"n.a.")</x:f>
        <x:v>1</x:v>
      </x:c>
      <x:c r="AF20" s="33" t="n">
        <x:f>IF(M20&gt;0,IF(D20&gt;0,R20/D20,IF(R20=0,0,"n.a.")),0)</x:f>
        <x:v>0</x:v>
      </x:c>
      <x:c r="AG20" s="34" t="n">
        <x:f>IF(AND(Assumptions!$F$14="Yes",M20&gt;0),MAX(0,R20-Assumptions!$C$14*D20),0)</x:f>
        <x:v>0</x:v>
      </x:c>
    </x:row>
    <x:row r="21" ht="22" customHeight="1">
      <x:c r="A21" s="2" t="str">
        <x:v>61103099</x:v>
      </x:c>
      <x:c r="B21" s="2" t="str">
        <x:v>Myanmar</x:v>
      </x:c>
      <x:c r="C21" s="14" t="n">
        <x:f>SUMIFS(Trade_Periods!$F$6:$F$125,Trade_Periods!$B$6:$B$125,"FY2025",Trade_Periods!$C$6:$C$125,B21,Trade_Periods!$D$6:$D$125,A21)</x:f>
        <x:v>508754</x:v>
      </x:c>
      <x:c r="D21" s="8" t="n">
        <x:f>C21/SUM(C16:C25)</x:f>
        <x:v>0.011316917351561862</x:v>
      </x:c>
      <x:c r="E21" s="14" t="n">
        <x:f>IF(Assumptions!$C$7="Reported",SUMIFS(Trade_Periods!$E$6:$E$125,Trade_Periods!$B$6:$B$125,Assumptions!$C$6,Trade_Periods!$C$6:$C$125,B21,Trade_Periods!$D$6:$D$125,A21),SUMIFS(Trade_Periods!$L$6:$L$125,Trade_Periods!$B$6:$B$125,Assumptions!$C$6,Trade_Periods!$C$6:$C$125,B21,Trade_Periods!$D$6:$D$125,A21))</x:f>
        <x:v>1019595</x:v>
      </x:c>
      <x:c r="F21" s="14" t="n">
        <x:f>IF(Assumptions!$C$7="Reported",SUMIFS(Trade_Periods!$F$6:$F$125,Trade_Periods!$B$6:$B$125,Assumptions!$C$6,Trade_Periods!$C$6:$C$125,B21,Trade_Periods!$D$6:$D$125,A21),SUMIFS(Trade_Periods!$M$6:$M$125,Trade_Periods!$B$6:$B$125,Assumptions!$C$6,Trade_Periods!$C$6:$C$125,B21,Trade_Periods!$D$6:$D$125,A21))</x:f>
        <x:v>72000</x:v>
      </x:c>
      <x:c r="G21" s="15" t="n">
        <x:f>IF(F21&gt;0,E21/F21,"n.a.")</x:f>
        <x:v>14.161041666666666</x:v>
      </x:c>
      <x:c r="H21" s="8" t="n">
        <x:f>IF(Assumptions!$C$8="2025",SUMIFS(Tariffs!$D$6:$D$45,Tariffs!$B$6:$B$45,B21,Tariffs!$C$6:$C$45,A21),IF(Assumptions!$C$8="1 Jan to 14 Jul 2026",SUMIFS(Tariffs!$E$6:$E$45,Tariffs!$B$6:$B$45,B21,Tariffs!$C$6:$C$45,A21),SUMIFS(Tariffs!$F$6:$F$45,Tariffs!$B$6:$B$45,B21,Tariffs!$C$6:$C$45,A21)))</x:f>
        <x:v>0</x:v>
      </x:c>
      <x:c r="I21" s="8" t="n">
        <x:f>SUMIFS(Tariffs!$G$6:$G$45,Tariffs!$B$6:$B$45,B21,Tariffs!$C$6:$C$45,A21)</x:f>
        <x:v>0.12</x:v>
      </x:c>
      <x:c r="J21" s="15" t="n">
        <x:f>G21*(1+H21)</x:f>
        <x:v>14.161041666666666</x:v>
      </x:c>
      <x:c r="K21" s="15" t="n">
        <x:f>G21*(1+I21)</x:f>
        <x:v>15.860366666666668</x:v>
      </x:c>
      <x:c r="L21" s="15" t="n">
        <x:f>IF(Assumptions!$C$9="Eligible preference",J21,K21)</x:f>
        <x:v>14.161041666666666</x:v>
      </x:c>
      <x:c r="M21" s="8" t="n">
        <x:f>Assumptions!B29</x:f>
        <x:v>0</x:v>
      </x:c>
      <x:c r="N21" s="8" t="n">
        <x:f>Assumptions!C29</x:f>
        <x:v>0</x:v>
      </x:c>
      <x:c r="O21" s="8" t="n">
        <x:f>IF(B21="China",-1,M21)</x:f>
        <x:v>0</x:v>
      </x:c>
      <x:c r="P21" s="8" t="n">
        <x:f>IF(B21="China",D21,IF(M21&gt;0,MAX(0,MIN(Assumptions!$C$10-D21,Assumptions!$C$11,IF(Assumptions!$F$14="Yes",(Assumptions!$C$14-1)*D21,1))/M21),1))</x:f>
        <x:v>1</x:v>
      </x:c>
      <x:c r="Q21" s="8" t="n">
        <x:f>$E52*O21</x:f>
        <x:v>0</x:v>
      </x:c>
      <x:c r="R21" s="8" t="n">
        <x:f>D21+Q21</x:f>
        <x:v>0.011316917351561862</x:v>
      </x:c>
      <x:c r="S21" s="16" t="n">
        <x:f>D21*L21</x:f>
        <x:v>0.1602593381536905</x:v>
      </x:c>
      <x:c r="T21" s="16" t="n">
        <x:f>R21*L21+MAX(0,Q21)*L21*N21</x:f>
        <x:v>0.1602593381536905</x:v>
      </x:c>
      <x:c r="U21" s="16" t="n">
        <x:f>O21*L21+M21*L21*N21</x:f>
        <x:v>0</x:v>
      </x:c>
      <x:c r="V21" s="16" t="n">
        <x:f>D21^2</x:f>
        <x:v>0.00012807261834208195</x:v>
      </x:c>
      <x:c r="W21" s="16" t="n">
        <x:f>2*D21*O21</x:f>
        <x:v>0</x:v>
      </x:c>
      <x:c r="X21" s="16" t="n">
        <x:f>O21^2</x:f>
        <x:v>0</x:v>
      </x:c>
      <x:c r="Y21" s="16" t="n">
        <x:f>IF(Candidate_Gates!N21="Pass",MAX(0,Q21),0)</x:f>
        <x:v>0</x:v>
      </x:c>
      <x:c r="Z21" s="16" t="n">
        <x:f>D21*J21</x:f>
        <x:v>0.1602593381536905</x:v>
      </x:c>
      <x:c r="AA21" s="16" t="n">
        <x:f>O21*J21+M21*J21*N21</x:f>
        <x:v>0</x:v>
      </x:c>
      <x:c r="AB21" s="16" t="n">
        <x:f>D21*K21</x:f>
        <x:v>0.17949045873213337</x:v>
      </x:c>
      <x:c r="AC21" s="16" t="n">
        <x:f>O21*K21+M21*K21*N21</x:f>
        <x:v>0</x:v>
      </x:c>
      <x:c r="AD21" s="2" t="str">
        <x:f>IF(AND(C21&gt;=0,F21&gt;0,E21&gt;0,ISNUMBER(G21),COUNTIFS(Trade_Periods!$B$6:$B$125,Assumptions!$C$6,Trade_Periods!$C$6:$C$125,B21,Trade_Periods!$D$6:$D$125,A21)=1,COUNTIFS(Tariffs!$B$6:$B$45,B21,Tariffs!$C$6:$C$45,A21)=1),"Ready","Missing data")</x:f>
        <x:v>Ready</x:v>
      </x:c>
      <x:c r="AE21" s="33" t="n">
        <x:f>IF(D21&gt;0,R21/D21,"n.a.")</x:f>
        <x:v>1</x:v>
      </x:c>
      <x:c r="AF21" s="33" t="n">
        <x:f>IF(M21&gt;0,IF(D21&gt;0,R21/D21,IF(R21=0,0,"n.a.")),0)</x:f>
        <x:v>0</x:v>
      </x:c>
      <x:c r="AG21" s="34" t="n">
        <x:f>IF(AND(Assumptions!$F$14="Yes",M21&gt;0),MAX(0,R21-Assumptions!$C$14*D21),0)</x:f>
        <x:v>0</x:v>
      </x:c>
    </x:row>
    <x:row r="22" ht="22" customHeight="1">
      <x:c r="A22" s="2" t="str">
        <x:v>61103099</x:v>
      </x:c>
      <x:c r="B22" s="2" t="str">
        <x:v>Pakistan</x:v>
      </x:c>
      <x:c r="C22" s="14" t="n">
        <x:f>SUMIFS(Trade_Periods!$F$6:$F$125,Trade_Periods!$B$6:$B$125,"FY2025",Trade_Periods!$C$6:$C$125,B22,Trade_Periods!$D$6:$D$125,A22)</x:f>
        <x:v>427235</x:v>
      </x:c>
      <x:c r="D22" s="8" t="n">
        <x:f>C22/SUM(C16:C25)</x:f>
        <x:v>0.009503577730483754</x:v>
      </x:c>
      <x:c r="E22" s="14" t="n">
        <x:f>IF(Assumptions!$C$7="Reported",SUMIFS(Trade_Periods!$E$6:$E$125,Trade_Periods!$B$6:$B$125,Assumptions!$C$6,Trade_Periods!$C$6:$C$125,B22,Trade_Periods!$D$6:$D$125,A22),SUMIFS(Trade_Periods!$L$6:$L$125,Trade_Periods!$B$6:$B$125,Assumptions!$C$6,Trade_Periods!$C$6:$C$125,B22,Trade_Periods!$D$6:$D$125,A22))</x:f>
        <x:v>2797761</x:v>
      </x:c>
      <x:c r="F22" s="14" t="n">
        <x:f>IF(Assumptions!$C$7="Reported",SUMIFS(Trade_Periods!$F$6:$F$125,Trade_Periods!$B$6:$B$125,Assumptions!$C$6,Trade_Periods!$C$6:$C$125,B22,Trade_Periods!$D$6:$D$125,A22),SUMIFS(Trade_Periods!$M$6:$M$125,Trade_Periods!$B$6:$B$125,Assumptions!$C$6,Trade_Periods!$C$6:$C$125,B22,Trade_Periods!$D$6:$D$125,A22))</x:f>
        <x:v>189105</x:v>
      </x:c>
      <x:c r="G22" s="15" t="n">
        <x:f>IF(F22&gt;0,E22/F22,"n.a.")</x:f>
        <x:v>14.79474894899659</x:v>
      </x:c>
      <x:c r="H22" s="8" t="n">
        <x:f>IF(Assumptions!$C$8="2025",SUMIFS(Tariffs!$D$6:$D$45,Tariffs!$B$6:$B$45,B22,Tariffs!$C$6:$C$45,A22),IF(Assumptions!$C$8="1 Jan to 14 Jul 2026",SUMIFS(Tariffs!$E$6:$E$45,Tariffs!$B$6:$B$45,B22,Tariffs!$C$6:$C$45,A22),SUMIFS(Tariffs!$F$6:$F$45,Tariffs!$B$6:$B$45,B22,Tariffs!$C$6:$C$45,A22)))</x:f>
        <x:v>0</x:v>
      </x:c>
      <x:c r="I22" s="8" t="n">
        <x:f>SUMIFS(Tariffs!$G$6:$G$45,Tariffs!$B$6:$B$45,B22,Tariffs!$C$6:$C$45,A22)</x:f>
        <x:v>0.12</x:v>
      </x:c>
      <x:c r="J22" s="15" t="n">
        <x:f>G22*(1+H22)</x:f>
        <x:v>14.79474894899659</x:v>
      </x:c>
      <x:c r="K22" s="15" t="n">
        <x:f>G22*(1+I22)</x:f>
        <x:v>16.570118822876182</x:v>
      </x:c>
      <x:c r="L22" s="15" t="n">
        <x:f>IF(Assumptions!$C$9="Eligible preference",J22,K22)</x:f>
        <x:v>14.79474894899659</x:v>
      </x:c>
      <x:c r="M22" s="8" t="n">
        <x:f>Assumptions!B30</x:f>
        <x:v>0</x:v>
      </x:c>
      <x:c r="N22" s="8" t="n">
        <x:f>Assumptions!C30</x:f>
        <x:v>0</x:v>
      </x:c>
      <x:c r="O22" s="8" t="n">
        <x:f>IF(B22="China",-1,M22)</x:f>
        <x:v>0</x:v>
      </x:c>
      <x:c r="P22" s="8" t="n">
        <x:f>IF(B22="China",D22,IF(M22&gt;0,MAX(0,MIN(Assumptions!$C$10-D22,Assumptions!$C$11,IF(Assumptions!$F$14="Yes",(Assumptions!$C$14-1)*D22,1))/M22),1))</x:f>
        <x:v>1</x:v>
      </x:c>
      <x:c r="Q22" s="8" t="n">
        <x:f>$E52*O22</x:f>
        <x:v>0</x:v>
      </x:c>
      <x:c r="R22" s="8" t="n">
        <x:f>D22+Q22</x:f>
        <x:v>0.009503577730483754</x:v>
      </x:c>
      <x:c r="S22" s="16" t="n">
        <x:f>D22*L22</x:f>
        <x:v>0.14060304663978193</x:v>
      </x:c>
      <x:c r="T22" s="16" t="n">
        <x:f>R22*L22+MAX(0,Q22)*L22*N22</x:f>
        <x:v>0.14060304663978193</x:v>
      </x:c>
      <x:c r="U22" s="16" t="n">
        <x:f>O22*L22+M22*L22*N22</x:f>
        <x:v>0</x:v>
      </x:c>
      <x:c r="V22" s="16" t="n">
        <x:f>D22^2</x:f>
        <x:v>0.00009031798967934674</x:v>
      </x:c>
      <x:c r="W22" s="16" t="n">
        <x:f>2*D22*O22</x:f>
        <x:v>0</x:v>
      </x:c>
      <x:c r="X22" s="16" t="n">
        <x:f>O22^2</x:f>
        <x:v>0</x:v>
      </x:c>
      <x:c r="Y22" s="16" t="n">
        <x:f>IF(Candidate_Gates!N22="Pass",MAX(0,Q22),0)</x:f>
        <x:v>0</x:v>
      </x:c>
      <x:c r="Z22" s="16" t="n">
        <x:f>D22*J22</x:f>
        <x:v>0.14060304663978193</x:v>
      </x:c>
      <x:c r="AA22" s="16" t="n">
        <x:f>O22*J22+M22*J22*N22</x:f>
        <x:v>0</x:v>
      </x:c>
      <x:c r="AB22" s="16" t="n">
        <x:f>D22*K22</x:f>
        <x:v>0.15747541223655576</x:v>
      </x:c>
      <x:c r="AC22" s="16" t="n">
        <x:f>O22*K22+M22*K22*N22</x:f>
        <x:v>0</x:v>
      </x:c>
      <x:c r="AD22" s="2" t="str">
        <x:f>IF(AND(C22&gt;=0,F22&gt;0,E22&gt;0,ISNUMBER(G22),COUNTIFS(Trade_Periods!$B$6:$B$125,Assumptions!$C$6,Trade_Periods!$C$6:$C$125,B22,Trade_Periods!$D$6:$D$125,A22)=1,COUNTIFS(Tariffs!$B$6:$B$45,B22,Tariffs!$C$6:$C$45,A22)=1),"Ready","Missing data")</x:f>
        <x:v>Ready</x:v>
      </x:c>
      <x:c r="AE22" s="33" t="n">
        <x:f>IF(D22&gt;0,R22/D22,"n.a.")</x:f>
        <x:v>1</x:v>
      </x:c>
      <x:c r="AF22" s="33" t="n">
        <x:f>IF(M22&gt;0,IF(D22&gt;0,R22/D22,IF(R22=0,0,"n.a.")),0)</x:f>
        <x:v>0</x:v>
      </x:c>
      <x:c r="AG22" s="34" t="n">
        <x:f>IF(AND(Assumptions!$F$14="Yes",M22&gt;0),MAX(0,R22-Assumptions!$C$14*D22),0)</x:f>
        <x:v>0</x:v>
      </x:c>
    </x:row>
    <x:row r="23" ht="22" customHeight="1">
      <x:c r="A23" s="2" t="str">
        <x:v>61103099</x:v>
      </x:c>
      <x:c r="B23" s="2" t="str">
        <x:v>Sri Lanka</x:v>
      </x:c>
      <x:c r="C23" s="14" t="n">
        <x:f>SUMIFS(Trade_Periods!$F$6:$F$125,Trade_Periods!$B$6:$B$125,"FY2025",Trade_Periods!$C$6:$C$125,B23,Trade_Periods!$D$6:$D$125,A23)</x:f>
        <x:v>100905</x:v>
      </x:c>
      <x:c r="D23" s="8" t="n">
        <x:f>C23/SUM(C16:C25)</x:f>
        <x:v>0.0022445691736268404</x:v>
      </x:c>
      <x:c r="E23" s="14" t="n">
        <x:f>IF(Assumptions!$C$7="Reported",SUMIFS(Trade_Periods!$E$6:$E$125,Trade_Periods!$B$6:$B$125,Assumptions!$C$6,Trade_Periods!$C$6:$C$125,B23,Trade_Periods!$D$6:$D$125,A23),SUMIFS(Trade_Periods!$L$6:$L$125,Trade_Periods!$B$6:$B$125,Assumptions!$C$6,Trade_Periods!$C$6:$C$125,B23,Trade_Periods!$D$6:$D$125,A23))</x:f>
        <x:v>732589</x:v>
      </x:c>
      <x:c r="F23" s="14" t="n">
        <x:f>IF(Assumptions!$C$7="Reported",SUMIFS(Trade_Periods!$F$6:$F$125,Trade_Periods!$B$6:$B$125,Assumptions!$C$6,Trade_Periods!$C$6:$C$125,B23,Trade_Periods!$D$6:$D$125,A23),SUMIFS(Trade_Periods!$M$6:$M$125,Trade_Periods!$B$6:$B$125,Assumptions!$C$6,Trade_Periods!$C$6:$C$125,B23,Trade_Periods!$D$6:$D$125,A23))</x:f>
        <x:v>34757</x:v>
      </x:c>
      <x:c r="G23" s="15" t="n">
        <x:f>IF(F23&gt;0,E23/F23,"n.a.")</x:f>
        <x:v>21.077452024052707</x:v>
      </x:c>
      <x:c r="H23" s="8" t="n">
        <x:f>IF(Assumptions!$C$8="2025",SUMIFS(Tariffs!$D$6:$D$45,Tariffs!$B$6:$B$45,B23,Tariffs!$C$6:$C$45,A23),IF(Assumptions!$C$8="1 Jan to 14 Jul 2026",SUMIFS(Tariffs!$E$6:$E$45,Tariffs!$B$6:$B$45,B23,Tariffs!$C$6:$C$45,A23),SUMIFS(Tariffs!$F$6:$F$45,Tariffs!$B$6:$B$45,B23,Tariffs!$C$6:$C$45,A23)))</x:f>
        <x:v>0</x:v>
      </x:c>
      <x:c r="I23" s="8" t="n">
        <x:f>SUMIFS(Tariffs!$G$6:$G$45,Tariffs!$B$6:$B$45,B23,Tariffs!$C$6:$C$45,A23)</x:f>
        <x:v>0.12</x:v>
      </x:c>
      <x:c r="J23" s="15" t="n">
        <x:f>G23*(1+H23)</x:f>
        <x:v>21.077452024052707</x:v>
      </x:c>
      <x:c r="K23" s="15" t="n">
        <x:f>G23*(1+I23)</x:f>
        <x:v>23.606746266939034</x:v>
      </x:c>
      <x:c r="L23" s="15" t="n">
        <x:f>IF(Assumptions!$C$9="Eligible preference",J23,K23)</x:f>
        <x:v>21.077452024052707</x:v>
      </x:c>
      <x:c r="M23" s="8" t="n">
        <x:f>Assumptions!B31</x:f>
        <x:v>0</x:v>
      </x:c>
      <x:c r="N23" s="8" t="n">
        <x:f>Assumptions!C31</x:f>
        <x:v>0</x:v>
      </x:c>
      <x:c r="O23" s="8" t="n">
        <x:f>IF(B23="China",-1,M23)</x:f>
        <x:v>0</x:v>
      </x:c>
      <x:c r="P23" s="8" t="n">
        <x:f>IF(B23="China",D23,IF(M23&gt;0,MAX(0,MIN(Assumptions!$C$10-D23,Assumptions!$C$11,IF(Assumptions!$F$14="Yes",(Assumptions!$C$14-1)*D23,1))/M23),1))</x:f>
        <x:v>1</x:v>
      </x:c>
      <x:c r="Q23" s="8" t="n">
        <x:f>$E52*O23</x:f>
        <x:v>0</x:v>
      </x:c>
      <x:c r="R23" s="8" t="n">
        <x:f>D23+Q23</x:f>
        <x:v>0.0022445691736268404</x:v>
      </x:c>
      <x:c r="S23" s="16" t="n">
        <x:f>D23*L23</x:f>
        <x:v>0.04730979907178736</x:v>
      </x:c>
      <x:c r="T23" s="16" t="n">
        <x:f>R23*L23+MAX(0,Q23)*L23*N23</x:f>
        <x:v>0.04730979907178736</x:v>
      </x:c>
      <x:c r="U23" s="16" t="n">
        <x:f>O23*L23+M23*L23*N23</x:f>
        <x:v>0</x:v>
      </x:c>
      <x:c r="V23" s="16" t="n">
        <x:f>D23^2</x:f>
        <x:v>0.000005038090775195877</x:v>
      </x:c>
      <x:c r="W23" s="16" t="n">
        <x:f>2*D23*O23</x:f>
        <x:v>0</x:v>
      </x:c>
      <x:c r="X23" s="16" t="n">
        <x:f>O23^2</x:f>
        <x:v>0</x:v>
      </x:c>
      <x:c r="Y23" s="16" t="n">
        <x:f>IF(Candidate_Gates!N23="Pass",MAX(0,Q23),0)</x:f>
        <x:v>0</x:v>
      </x:c>
      <x:c r="Z23" s="16" t="n">
        <x:f>D23*J23</x:f>
        <x:v>0.04730979907178736</x:v>
      </x:c>
      <x:c r="AA23" s="16" t="n">
        <x:f>O23*J23+M23*J23*N23</x:f>
        <x:v>0</x:v>
      </x:c>
      <x:c r="AB23" s="16" t="n">
        <x:f>D23*K23</x:f>
        <x:v>0.05298697496040185</x:v>
      </x:c>
      <x:c r="AC23" s="16" t="n">
        <x:f>O23*K23+M23*K23*N23</x:f>
        <x:v>0</x:v>
      </x:c>
      <x:c r="AD23" s="2" t="str">
        <x:f>IF(AND(C23&gt;=0,F23&gt;0,E23&gt;0,ISNUMBER(G23),COUNTIFS(Trade_Periods!$B$6:$B$125,Assumptions!$C$6,Trade_Periods!$C$6:$C$125,B23,Trade_Periods!$D$6:$D$125,A23)=1,COUNTIFS(Tariffs!$B$6:$B$45,B23,Tariffs!$C$6:$C$45,A23)=1),"Ready","Missing data")</x:f>
        <x:v>Ready</x:v>
      </x:c>
      <x:c r="AE23" s="33" t="n">
        <x:f>IF(D23&gt;0,R23/D23,"n.a.")</x:f>
        <x:v>1</x:v>
      </x:c>
      <x:c r="AF23" s="33" t="n">
        <x:f>IF(M23&gt;0,IF(D23&gt;0,R23/D23,IF(R23=0,0,"n.a.")),0)</x:f>
        <x:v>0</x:v>
      </x:c>
      <x:c r="AG23" s="34" t="n">
        <x:f>IF(AND(Assumptions!$F$14="Yes",M23&gt;0),MAX(0,R23-Assumptions!$C$14*D23),0)</x:f>
        <x:v>0</x:v>
      </x:c>
    </x:row>
    <x:row r="24" ht="22" customHeight="1">
      <x:c r="A24" s="2" t="str">
        <x:v>61103099</x:v>
      </x:c>
      <x:c r="B24" s="2" t="str">
        <x:v>Turkey</x:v>
      </x:c>
      <x:c r="C24" s="14" t="n">
        <x:f>SUMIFS(Trade_Periods!$F$6:$F$125,Trade_Periods!$B$6:$B$125,"FY2025",Trade_Periods!$C$6:$C$125,B24,Trade_Periods!$D$6:$D$125,A24)</x:f>
        <x:v>7348045</x:v>
      </x:c>
      <x:c r="D24" s="8" t="n">
        <x:f>C24/SUM(C16:C25)</x:f>
        <x:v>0.1634527059454223</x:v>
      </x:c>
      <x:c r="E24" s="14" t="n">
        <x:f>IF(Assumptions!$C$7="Reported",SUMIFS(Trade_Periods!$E$6:$E$125,Trade_Periods!$B$6:$B$125,Assumptions!$C$6,Trade_Periods!$C$6:$C$125,B24,Trade_Periods!$D$6:$D$125,A24),SUMIFS(Trade_Periods!$L$6:$L$125,Trade_Periods!$B$6:$B$125,Assumptions!$C$6,Trade_Periods!$C$6:$C$125,B24,Trade_Periods!$D$6:$D$125,A24))</x:f>
        <x:v>15949155</x:v>
      </x:c>
      <x:c r="F24" s="14" t="n">
        <x:f>IF(Assumptions!$C$7="Reported",SUMIFS(Trade_Periods!$F$6:$F$125,Trade_Periods!$B$6:$B$125,Assumptions!$C$6,Trade_Periods!$C$6:$C$125,B24,Trade_Periods!$D$6:$D$125,A24),SUMIFS(Trade_Periods!$M$6:$M$125,Trade_Periods!$B$6:$B$125,Assumptions!$C$6,Trade_Periods!$C$6:$C$125,B24,Trade_Periods!$D$6:$D$125,A24))</x:f>
        <x:v>2413703</x:v>
      </x:c>
      <x:c r="G24" s="15" t="n">
        <x:f>IF(F24&gt;0,E24/F24,"n.a.")</x:f>
        <x:v>6.607753729435643</x:v>
      </x:c>
      <x:c r="H24" s="8" t="n">
        <x:f>IF(Assumptions!$C$8="2025",SUMIFS(Tariffs!$D$6:$D$45,Tariffs!$B$6:$B$45,B24,Tariffs!$C$6:$C$45,A24),IF(Assumptions!$C$8="1 Jan to 14 Jul 2026",SUMIFS(Tariffs!$E$6:$E$45,Tariffs!$B$6:$B$45,B24,Tariffs!$C$6:$C$45,A24),SUMIFS(Tariffs!$F$6:$F$45,Tariffs!$B$6:$B$45,B24,Tariffs!$C$6:$C$45,A24)))</x:f>
        <x:v>0</x:v>
      </x:c>
      <x:c r="I24" s="8" t="n">
        <x:f>SUMIFS(Tariffs!$G$6:$G$45,Tariffs!$B$6:$B$45,B24,Tariffs!$C$6:$C$45,A24)</x:f>
        <x:v>0.12</x:v>
      </x:c>
      <x:c r="J24" s="15" t="n">
        <x:f>G24*(1+H24)</x:f>
        <x:v>6.607753729435643</x:v>
      </x:c>
      <x:c r="K24" s="15" t="n">
        <x:f>G24*(1+I24)</x:f>
        <x:v>7.400684176967921</x:v>
      </x:c>
      <x:c r="L24" s="15" t="n">
        <x:f>IF(Assumptions!$C$9="Eligible preference",J24,K24)</x:f>
        <x:v>6.607753729435643</x:v>
      </x:c>
      <x:c r="M24" s="8" t="n">
        <x:f>Assumptions!B32</x:f>
        <x:v>0.25</x:v>
      </x:c>
      <x:c r="N24" s="8" t="n">
        <x:f>Assumptions!C32</x:f>
        <x:v>0</x:v>
      </x:c>
      <x:c r="O24" s="8" t="n">
        <x:f>IF(B24="China",-1,M24)</x:f>
        <x:v>0.25</x:v>
      </x:c>
      <x:c r="P24" s="8" t="n">
        <x:f>IF(B24="China",D24,IF(M24&gt;0,MAX(0,MIN(Assumptions!$C$10-D24,Assumptions!$C$11,IF(Assumptions!$F$14="Yes",(Assumptions!$C$14-1)*D24,1))/M24),1))</x:f>
        <x:v>0.4</x:v>
      </x:c>
      <x:c r="Q24" s="8" t="n">
        <x:f>$E52*O24</x:f>
        <x:v>0.0035383245644133297</x:v>
      </x:c>
      <x:c r="R24" s="8" t="n">
        <x:f>D24+Q24</x:f>
        <x:v>0.16699103050983563</x:v>
      </x:c>
      <x:c r="S24" s="16" t="n">
        <x:f>D24*L24</x:f>
        <x:v>1.0800552272972117</x:v>
      </x:c>
      <x:c r="T24" s="16" t="n">
        <x:f>R24*L24+MAX(0,Q24)*L24*N24</x:f>
        <x:v>1.1034356046336677</x:v>
      </x:c>
      <x:c r="U24" s="16" t="n">
        <x:f>O24*L24+M24*L24*N24</x:f>
        <x:v>1.6519384323589108</x:v>
      </x:c>
      <x:c r="V24" s="16" t="n">
        <x:f>D24^2</x:f>
        <x:v>0.02671678708088069</x:v>
      </x:c>
      <x:c r="W24" s="16" t="n">
        <x:f>2*D24*O24</x:f>
        <x:v>0.08172635297271115</x:v>
      </x:c>
      <x:c r="X24" s="16" t="n">
        <x:f>O24^2</x:f>
        <x:v>0.0625</x:v>
      </x:c>
      <x:c r="Y24" s="16" t="n">
        <x:f>IF(Candidate_Gates!N24="Pass",MAX(0,Q24),0)</x:f>
        <x:v>0</x:v>
      </x:c>
      <x:c r="Z24" s="16" t="n">
        <x:f>D24*J24</x:f>
        <x:v>1.0800552272972117</x:v>
      </x:c>
      <x:c r="AA24" s="16" t="n">
        <x:f>O24*J24+M24*J24*N24</x:f>
        <x:v>1.6519384323589108</x:v>
      </x:c>
      <x:c r="AB24" s="16" t="n">
        <x:f>D24*K24</x:f>
        <x:v>1.2096618545728772</x:v>
      </x:c>
      <x:c r="AC24" s="16" t="n">
        <x:f>O24*K24+M24*K24*N24</x:f>
        <x:v>1.8501710442419803</x:v>
      </x:c>
      <x:c r="AD24" s="2" t="str">
        <x:f>IF(AND(C24&gt;=0,F24&gt;0,E24&gt;0,ISNUMBER(G24),COUNTIFS(Trade_Periods!$B$6:$B$125,Assumptions!$C$6,Trade_Periods!$C$6:$C$125,B24,Trade_Periods!$D$6:$D$125,A24)=1,COUNTIFS(Tariffs!$B$6:$B$45,B24,Tariffs!$C$6:$C$45,A24)=1),"Ready","Missing data")</x:f>
        <x:v>Ready</x:v>
      </x:c>
      <x:c r="AE24" s="33" t="n">
        <x:f>IF(D24&gt;0,R24/D24,"n.a.")</x:f>
        <x:v>1.021647390564429</x:v>
      </x:c>
      <x:c r="AF24" s="33" t="n">
        <x:f>IF(M24&gt;0,IF(D24&gt;0,R24/D24,IF(R24=0,0,"n.a.")),0)</x:f>
        <x:v>1.021647390564429</x:v>
      </x:c>
      <x:c r="AG24" s="34" t="n">
        <x:f>IF(AND(Assumptions!$F$14="Yes",M24&gt;0),MAX(0,R24-Assumptions!$C$14*D24),0)</x:f>
        <x:v>0</x:v>
      </x:c>
    </x:row>
    <x:row r="25" ht="22" customHeight="1">
      <x:c r="A25" s="2" t="str">
        <x:v>61103099</x:v>
      </x:c>
      <x:c r="B25" s="2" t="str">
        <x:v>Vietnam</x:v>
      </x:c>
      <x:c r="C25" s="14" t="n">
        <x:f>SUMIFS(Trade_Periods!$F$6:$F$125,Trade_Periods!$B$6:$B$125,"FY2025",Trade_Periods!$C$6:$C$125,B25,Trade_Periods!$D$6:$D$125,A25)</x:f>
        <x:v>396647</x:v>
      </x:c>
      <x:c r="D25" s="8" t="n">
        <x:f>C25/SUM(C16:C25)</x:f>
        <x:v>0.008823166632095193</x:v>
      </x:c>
      <x:c r="E25" s="14" t="n">
        <x:f>IF(Assumptions!$C$7="Reported",SUMIFS(Trade_Periods!$E$6:$E$125,Trade_Periods!$B$6:$B$125,Assumptions!$C$6,Trade_Periods!$C$6:$C$125,B25,Trade_Periods!$D$6:$D$125,A25),SUMIFS(Trade_Periods!$L$6:$L$125,Trade_Periods!$B$6:$B$125,Assumptions!$C$6,Trade_Periods!$C$6:$C$125,B25,Trade_Periods!$D$6:$D$125,A25))</x:f>
        <x:v>6261277</x:v>
      </x:c>
      <x:c r="F25" s="14" t="n">
        <x:f>IF(Assumptions!$C$7="Reported",SUMIFS(Trade_Periods!$F$6:$F$125,Trade_Periods!$B$6:$B$125,Assumptions!$C$6,Trade_Periods!$C$6:$C$125,B25,Trade_Periods!$D$6:$D$125,A25),SUMIFS(Trade_Periods!$M$6:$M$125,Trade_Periods!$B$6:$B$125,Assumptions!$C$6,Trade_Periods!$C$6:$C$125,B25,Trade_Periods!$D$6:$D$125,A25))</x:f>
        <x:v>292287</x:v>
      </x:c>
      <x:c r="G25" s="15" t="n">
        <x:f>IF(F25&gt;0,E25/F25,"n.a.")</x:f>
        <x:v>21.421674586964183</x:v>
      </x:c>
      <x:c r="H25" s="8" t="n">
        <x:f>IF(Assumptions!$C$8="2025",SUMIFS(Tariffs!$D$6:$D$45,Tariffs!$B$6:$B$45,B25,Tariffs!$C$6:$C$45,A25),IF(Assumptions!$C$8="1 Jan to 14 Jul 2026",SUMIFS(Tariffs!$E$6:$E$45,Tariffs!$B$6:$B$45,B25,Tariffs!$C$6:$C$45,A25),SUMIFS(Tariffs!$F$6:$F$45,Tariffs!$B$6:$B$45,B25,Tariffs!$C$6:$C$45,A25)))</x:f>
        <x:v>0</x:v>
      </x:c>
      <x:c r="I25" s="8" t="n">
        <x:f>SUMIFS(Tariffs!$G$6:$G$45,Tariffs!$B$6:$B$45,B25,Tariffs!$C$6:$C$45,A25)</x:f>
        <x:v>0.12</x:v>
      </x:c>
      <x:c r="J25" s="15" t="n">
        <x:f>G25*(1+H25)</x:f>
        <x:v>21.421674586964183</x:v>
      </x:c>
      <x:c r="K25" s="15" t="n">
        <x:f>G25*(1+I25)</x:f>
        <x:v>23.992275537399887</x:v>
      </x:c>
      <x:c r="L25" s="15" t="n">
        <x:f>IF(Assumptions!$C$9="Eligible preference",J25,K25)</x:f>
        <x:v>21.421674586964183</x:v>
      </x:c>
      <x:c r="M25" s="8" t="n">
        <x:f>Assumptions!B33</x:f>
        <x:v>0.25</x:v>
      </x:c>
      <x:c r="N25" s="8" t="n">
        <x:f>Assumptions!C33</x:f>
        <x:v>0</x:v>
      </x:c>
      <x:c r="O25" s="8" t="n">
        <x:f>IF(B25="China",-1,M25)</x:f>
        <x:v>0.25</x:v>
      </x:c>
      <x:c r="P25" s="8" t="n">
        <x:f>IF(B25="China",D25,IF(M25&gt;0,MAX(0,MIN(Assumptions!$C$10-D25,Assumptions!$C$11,IF(Assumptions!$F$14="Yes",(Assumptions!$C$14-1)*D25,1))/M25),1))</x:f>
        <x:v>0.07058533305676154</x:v>
      </x:c>
      <x:c r="Q25" s="8" t="n">
        <x:f>$E52*O25</x:f>
        <x:v>0.0035383245644133297</x:v>
      </x:c>
      <x:c r="R25" s="8" t="n">
        <x:f>D25+Q25</x:f>
        <x:v>0.012361491196508522</x:v>
      </x:c>
      <x:c r="S25" s="16" t="n">
        <x:f>D25*L25</x:f>
        <x:v>0.18900700441930396</x:v>
      </x:c>
      <x:c r="T25" s="16" t="n">
        <x:f>R25*L25+MAX(0,Q25)*L25*N25</x:f>
        <x:v>0.26480384182122807</x:v>
      </x:c>
      <x:c r="U25" s="16" t="n">
        <x:f>O25*L25+M25*L25*N25</x:f>
        <x:v>5.355418646741046</x:v>
      </x:c>
      <x:c r="V25" s="16" t="n">
        <x:f>D25^2</x:f>
        <x:v>0.00007784826941771802</x:v>
      </x:c>
      <x:c r="W25" s="16" t="n">
        <x:f>2*D25*O25</x:f>
        <x:v>0.004411583316047596</x:v>
      </x:c>
      <x:c r="X25" s="16" t="n">
        <x:f>O25^2</x:f>
        <x:v>0.0625</x:v>
      </x:c>
      <x:c r="Y25" s="16" t="n">
        <x:f>IF(Candidate_Gates!N25="Pass",MAX(0,Q25),0)</x:f>
        <x:v>0</x:v>
      </x:c>
      <x:c r="Z25" s="16" t="n">
        <x:f>D25*J25</x:f>
        <x:v>0.18900700441930396</x:v>
      </x:c>
      <x:c r="AA25" s="16" t="n">
        <x:f>O25*J25+M25*J25*N25</x:f>
        <x:v>5.355418646741046</x:v>
      </x:c>
      <x:c r="AB25" s="16" t="n">
        <x:f>D25*K25</x:f>
        <x:v>0.21168784494962045</x:v>
      </x:c>
      <x:c r="AC25" s="16" t="n">
        <x:f>O25*K25+M25*K25*N25</x:f>
        <x:v>5.998068884349972</x:v>
      </x:c>
      <x:c r="AD25" s="2" t="str">
        <x:f>IF(AND(C25&gt;=0,F25&gt;0,E25&gt;0,ISNUMBER(G25),COUNTIFS(Trade_Periods!$B$6:$B$125,Assumptions!$C$6,Trade_Periods!$C$6:$C$125,B25,Trade_Periods!$D$6:$D$125,A25)=1,COUNTIFS(Tariffs!$B$6:$B$45,B25,Tariffs!$C$6:$C$45,A25)=1),"Ready","Missing data")</x:f>
        <x:v>Ready</x:v>
      </x:c>
      <x:c r="AE25" s="33" t="n">
        <x:f>IF(D25&gt;0,R25/D25,"n.a.")</x:f>
        <x:v>1.4010266055207778</x:v>
      </x:c>
      <x:c r="AF25" s="33" t="n">
        <x:f>IF(M25&gt;0,IF(D25&gt;0,R25/D25,IF(R25=0,0,"n.a.")),0)</x:f>
        <x:v>1.4010266055207778</x:v>
      </x:c>
      <x:c r="AG25" s="34" t="n">
        <x:f>IF(AND(Assumptions!$F$14="Yes",M25&gt;0),MAX(0,R25-Assumptions!$C$14*D25),0)</x:f>
        <x:v>0</x:v>
      </x:c>
    </x:row>
    <x:row r="26" ht="22" customHeight="1">
      <x:c r="A26" s="2" t="str">
        <x:v>62044300</x:v>
      </x:c>
      <x:c r="B26" s="2" t="str">
        <x:v>Bangladesh</x:v>
      </x:c>
      <x:c r="C26" s="14" t="n">
        <x:f>SUMIFS(Trade_Periods!$F$6:$F$125,Trade_Periods!$B$6:$B$125,"FY2025",Trade_Periods!$C$6:$C$125,B26,Trade_Periods!$D$6:$D$125,A26)</x:f>
        <x:v>788304</x:v>
      </x:c>
      <x:c r="D26" s="8" t="n">
        <x:f>C26/SUM(C26:C35)</x:f>
        <x:v>0.10006297220426452</x:v>
      </x:c>
      <x:c r="E26" s="14" t="n">
        <x:f>IF(Assumptions!$C$7="Reported",SUMIFS(Trade_Periods!$E$6:$E$125,Trade_Periods!$B$6:$B$125,Assumptions!$C$6,Trade_Periods!$C$6:$C$125,B26,Trade_Periods!$D$6:$D$125,A26),SUMIFS(Trade_Periods!$L$6:$L$125,Trade_Periods!$B$6:$B$125,Assumptions!$C$6,Trade_Periods!$C$6:$C$125,B26,Trade_Periods!$D$6:$D$125,A26))</x:f>
        <x:v>6924029</x:v>
      </x:c>
      <x:c r="F26" s="14" t="n">
        <x:f>IF(Assumptions!$C$7="Reported",SUMIFS(Trade_Periods!$F$6:$F$125,Trade_Periods!$B$6:$B$125,Assumptions!$C$6,Trade_Periods!$C$6:$C$125,B26,Trade_Periods!$D$6:$D$125,A26),SUMIFS(Trade_Periods!$M$6:$M$125,Trade_Periods!$B$6:$B$125,Assumptions!$C$6,Trade_Periods!$C$6:$C$125,B26,Trade_Periods!$D$6:$D$125,A26))</x:f>
        <x:v>450236</x:v>
      </x:c>
      <x:c r="G26" s="15" t="n">
        <x:f>IF(F26&gt;0,E26/F26,"n.a.")</x:f>
        <x:v>15.378665855240364</x:v>
      </x:c>
      <x:c r="H26" s="8" t="n">
        <x:f>IF(Assumptions!$C$8="2025",SUMIFS(Tariffs!$D$6:$D$45,Tariffs!$B$6:$B$45,B26,Tariffs!$C$6:$C$45,A26),IF(Assumptions!$C$8="1 Jan to 14 Jul 2026",SUMIFS(Tariffs!$E$6:$E$45,Tariffs!$B$6:$B$45,B26,Tariffs!$C$6:$C$45,A26),SUMIFS(Tariffs!$F$6:$F$45,Tariffs!$B$6:$B$45,B26,Tariffs!$C$6:$C$45,A26)))</x:f>
        <x:v>0</x:v>
      </x:c>
      <x:c r="I26" s="8" t="n">
        <x:f>SUMIFS(Tariffs!$G$6:$G$45,Tariffs!$B$6:$B$45,B26,Tariffs!$C$6:$C$45,A26)</x:f>
        <x:v>0.12</x:v>
      </x:c>
      <x:c r="J26" s="15" t="n">
        <x:f>G26*(1+H26)</x:f>
        <x:v>15.378665855240364</x:v>
      </x:c>
      <x:c r="K26" s="15" t="n">
        <x:f>G26*(1+I26)</x:f>
        <x:v>17.22410575786921</x:v>
      </x:c>
      <x:c r="L26" s="15" t="n">
        <x:f>IF(Assumptions!$C$9="Eligible preference",J26,K26)</x:f>
        <x:v>15.378665855240364</x:v>
      </x:c>
      <x:c r="M26" s="8" t="n">
        <x:f>Assumptions!B24</x:f>
        <x:v>0</x:v>
      </x:c>
      <x:c r="N26" s="8" t="n">
        <x:f>Assumptions!C24</x:f>
        <x:v>0</x:v>
      </x:c>
      <x:c r="O26" s="8" t="n">
        <x:f>IF(B26="China",-1,M26)</x:f>
        <x:v>0</x:v>
      </x:c>
      <x:c r="P26" s="8" t="n">
        <x:f>IF(B26="China",D26,IF(M26&gt;0,MAX(0,MIN(Assumptions!$C$10-D26,Assumptions!$C$11,IF(Assumptions!$F$14="Yes",(Assumptions!$C$14-1)*D26,1))/M26),1))</x:f>
        <x:v>1</x:v>
      </x:c>
      <x:c r="Q26" s="8" t="n">
        <x:f>$E53*O26</x:f>
        <x:v>0</x:v>
      </x:c>
      <x:c r="R26" s="8" t="n">
        <x:f>D26+Q26</x:f>
        <x:v>0.10006297220426452</x:v>
      </x:c>
      <x:c r="S26" s="16" t="n">
        <x:f>D26*L26</x:f>
        <x:v>1.5388350140115883</x:v>
      </x:c>
      <x:c r="T26" s="16" t="n">
        <x:f>R26*L26+MAX(0,Q26)*L26*N26</x:f>
        <x:v>1.5388350140115883</x:v>
      </x:c>
      <x:c r="U26" s="16" t="n">
        <x:f>O26*L26+M26*L26*N26</x:f>
        <x:v>0</x:v>
      </x:c>
      <x:c r="V26" s="16" t="n">
        <x:f>D26^2</x:f>
        <x:v>0.010012598406351414</x:v>
      </x:c>
      <x:c r="W26" s="16" t="n">
        <x:f>2*D26*O26</x:f>
        <x:v>0</x:v>
      </x:c>
      <x:c r="X26" s="16" t="n">
        <x:f>O26^2</x:f>
        <x:v>0</x:v>
      </x:c>
      <x:c r="Y26" s="16" t="n">
        <x:f>IF(Candidate_Gates!N26="Pass",MAX(0,Q26),0)</x:f>
        <x:v>0</x:v>
      </x:c>
      <x:c r="Z26" s="16" t="n">
        <x:f>D26*J26</x:f>
        <x:v>1.5388350140115883</x:v>
      </x:c>
      <x:c r="AA26" s="16" t="n">
        <x:f>O26*J26+M26*J26*N26</x:f>
        <x:v>0</x:v>
      </x:c>
      <x:c r="AB26" s="16" t="n">
        <x:f>D26*K26</x:f>
        <x:v>1.7234952156929793</x:v>
      </x:c>
      <x:c r="AC26" s="16" t="n">
        <x:f>O26*K26+M26*K26*N26</x:f>
        <x:v>0</x:v>
      </x:c>
      <x:c r="AD26" s="2" t="str">
        <x:f>IF(AND(C26&gt;=0,F26&gt;0,E26&gt;0,ISNUMBER(G26),COUNTIFS(Trade_Periods!$B$6:$B$125,Assumptions!$C$6,Trade_Periods!$C$6:$C$125,B26,Trade_Periods!$D$6:$D$125,A26)=1,COUNTIFS(Tariffs!$B$6:$B$45,B26,Tariffs!$C$6:$C$45,A26)=1),"Ready","Missing data")</x:f>
        <x:v>Ready</x:v>
      </x:c>
      <x:c r="AE26" s="33" t="n">
        <x:f>IF(D26&gt;0,R26/D26,"n.a.")</x:f>
        <x:v>1</x:v>
      </x:c>
      <x:c r="AF26" s="33" t="n">
        <x:f>IF(M26&gt;0,IF(D26&gt;0,R26/D26,IF(R26=0,0,"n.a.")),0)</x:f>
        <x:v>0</x:v>
      </x:c>
      <x:c r="AG26" s="34" t="n">
        <x:f>IF(AND(Assumptions!$F$14="Yes",M26&gt;0),MAX(0,R26-Assumptions!$C$14*D26),0)</x:f>
        <x:v>0</x:v>
      </x:c>
    </x:row>
    <x:row r="27" ht="22" customHeight="1">
      <x:c r="A27" s="2" t="str">
        <x:v>62044300</x:v>
      </x:c>
      <x:c r="B27" s="2" t="str">
        <x:v>Cambodia</x:v>
      </x:c>
      <x:c r="C27" s="14" t="n">
        <x:f>SUMIFS(Trade_Periods!$F$6:$F$125,Trade_Periods!$B$6:$B$125,"FY2025",Trade_Periods!$C$6:$C$125,B27,Trade_Periods!$D$6:$D$125,A27)</x:f>
        <x:v>193821</x:v>
      </x:c>
      <x:c r="D27" s="8" t="n">
        <x:f>C27/SUM(C26:C35)</x:f>
        <x:v>0.024602571261344294</x:v>
      </x:c>
      <x:c r="E27" s="14" t="n">
        <x:f>IF(Assumptions!$C$7="Reported",SUMIFS(Trade_Periods!$E$6:$E$125,Trade_Periods!$B$6:$B$125,Assumptions!$C$6,Trade_Periods!$C$6:$C$125,B27,Trade_Periods!$D$6:$D$125,A27),SUMIFS(Trade_Periods!$L$6:$L$125,Trade_Periods!$B$6:$B$125,Assumptions!$C$6,Trade_Periods!$C$6:$C$125,B27,Trade_Periods!$D$6:$D$125,A27))</x:f>
        <x:v>2808404</x:v>
      </x:c>
      <x:c r="F27" s="14" t="n">
        <x:f>IF(Assumptions!$C$7="Reported",SUMIFS(Trade_Periods!$F$6:$F$125,Trade_Periods!$B$6:$B$125,Assumptions!$C$6,Trade_Periods!$C$6:$C$125,B27,Trade_Periods!$D$6:$D$125,A27),SUMIFS(Trade_Periods!$M$6:$M$125,Trade_Periods!$B$6:$B$125,Assumptions!$C$6,Trade_Periods!$C$6:$C$125,B27,Trade_Periods!$D$6:$D$125,A27))</x:f>
        <x:v>150870</x:v>
      </x:c>
      <x:c r="G27" s="15" t="n">
        <x:f>IF(F27&gt;0,E27/F27,"n.a.")</x:f>
        <x:v>18.61472791144694</x:v>
      </x:c>
      <x:c r="H27" s="8" t="n">
        <x:f>IF(Assumptions!$C$8="2025",SUMIFS(Tariffs!$D$6:$D$45,Tariffs!$B$6:$B$45,B27,Tariffs!$C$6:$C$45,A27),IF(Assumptions!$C$8="1 Jan to 14 Jul 2026",SUMIFS(Tariffs!$E$6:$E$45,Tariffs!$B$6:$B$45,B27,Tariffs!$C$6:$C$45,A27),SUMIFS(Tariffs!$F$6:$F$45,Tariffs!$B$6:$B$45,B27,Tariffs!$C$6:$C$45,A27)))</x:f>
        <x:v>0</x:v>
      </x:c>
      <x:c r="I27" s="8" t="n">
        <x:f>SUMIFS(Tariffs!$G$6:$G$45,Tariffs!$B$6:$B$45,B27,Tariffs!$C$6:$C$45,A27)</x:f>
        <x:v>0.12</x:v>
      </x:c>
      <x:c r="J27" s="15" t="n">
        <x:f>G27*(1+H27)</x:f>
        <x:v>18.61472791144694</x:v>
      </x:c>
      <x:c r="K27" s="15" t="n">
        <x:f>G27*(1+I27)</x:f>
        <x:v>20.848495260820577</x:v>
      </x:c>
      <x:c r="L27" s="15" t="n">
        <x:f>IF(Assumptions!$C$9="Eligible preference",J27,K27)</x:f>
        <x:v>18.61472791144694</x:v>
      </x:c>
      <x:c r="M27" s="8" t="n">
        <x:f>Assumptions!B25</x:f>
        <x:v>0</x:v>
      </x:c>
      <x:c r="N27" s="8" t="n">
        <x:f>Assumptions!C25</x:f>
        <x:v>0</x:v>
      </x:c>
      <x:c r="O27" s="8" t="n">
        <x:f>IF(B27="China",-1,M27)</x:f>
        <x:v>0</x:v>
      </x:c>
      <x:c r="P27" s="8" t="n">
        <x:f>IF(B27="China",D27,IF(M27&gt;0,MAX(0,MIN(Assumptions!$C$10-D27,Assumptions!$C$11,IF(Assumptions!$F$14="Yes",(Assumptions!$C$14-1)*D27,1))/M27),1))</x:f>
        <x:v>1</x:v>
      </x:c>
      <x:c r="Q27" s="8" t="n">
        <x:f>$E53*O27</x:f>
        <x:v>0</x:v>
      </x:c>
      <x:c r="R27" s="8" t="n">
        <x:f>D27+Q27</x:f>
        <x:v>0.024602571261344294</x:v>
      </x:c>
      <x:c r="S27" s="16" t="n">
        <x:f>D27*L27</x:f>
        <x:v>0.457970169951908</x:v>
      </x:c>
      <x:c r="T27" s="16" t="n">
        <x:f>R27*L27+MAX(0,Q27)*L27*N27</x:f>
        <x:v>0.457970169951908</x:v>
      </x:c>
      <x:c r="U27" s="16" t="n">
        <x:f>O27*L27+M27*L27*N27</x:f>
        <x:v>0</x:v>
      </x:c>
      <x:c r="V27" s="16" t="n">
        <x:f>D27^2</x:f>
        <x:v>0.0006052865126695241</x:v>
      </x:c>
      <x:c r="W27" s="16" t="n">
        <x:f>2*D27*O27</x:f>
        <x:v>0</x:v>
      </x:c>
      <x:c r="X27" s="16" t="n">
        <x:f>O27^2</x:f>
        <x:v>0</x:v>
      </x:c>
      <x:c r="Y27" s="16" t="n">
        <x:f>IF(Candidate_Gates!N27="Pass",MAX(0,Q27),0)</x:f>
        <x:v>0</x:v>
      </x:c>
      <x:c r="Z27" s="16" t="n">
        <x:f>D27*J27</x:f>
        <x:v>0.457970169951908</x:v>
      </x:c>
      <x:c r="AA27" s="16" t="n">
        <x:f>O27*J27+M27*J27*N27</x:f>
        <x:v>0</x:v>
      </x:c>
      <x:c r="AB27" s="16" t="n">
        <x:f>D27*K27</x:f>
        <x:v>0.5129265903461371</x:v>
      </x:c>
      <x:c r="AC27" s="16" t="n">
        <x:f>O27*K27+M27*K27*N27</x:f>
        <x:v>0</x:v>
      </x:c>
      <x:c r="AD27" s="2" t="str">
        <x:f>IF(AND(C27&gt;=0,F27&gt;0,E27&gt;0,ISNUMBER(G27),COUNTIFS(Trade_Periods!$B$6:$B$125,Assumptions!$C$6,Trade_Periods!$C$6:$C$125,B27,Trade_Periods!$D$6:$D$125,A27)=1,COUNTIFS(Tariffs!$B$6:$B$45,B27,Tariffs!$C$6:$C$45,A27)=1),"Ready","Missing data")</x:f>
        <x:v>Ready</x:v>
      </x:c>
      <x:c r="AE27" s="33" t="n">
        <x:f>IF(D27&gt;0,R27/D27,"n.a.")</x:f>
        <x:v>1</x:v>
      </x:c>
      <x:c r="AF27" s="33" t="n">
        <x:f>IF(M27&gt;0,IF(D27&gt;0,R27/D27,IF(R27=0,0,"n.a.")),0)</x:f>
        <x:v>0</x:v>
      </x:c>
      <x:c r="AG27" s="34" t="n">
        <x:f>IF(AND(Assumptions!$F$14="Yes",M27&gt;0),MAX(0,R27-Assumptions!$C$14*D27),0)</x:f>
        <x:v>0</x:v>
      </x:c>
    </x:row>
    <x:row r="28" ht="22" customHeight="1">
      <x:c r="A28" s="2" t="str">
        <x:v>62044300</x:v>
      </x:c>
      <x:c r="B28" s="2" t="str">
        <x:v>China</x:v>
      </x:c>
      <x:c r="C28" s="14" t="n">
        <x:f>SUMIFS(Trade_Periods!$F$6:$F$125,Trade_Periods!$B$6:$B$125,"FY2025",Trade_Periods!$C$6:$C$125,B28,Trade_Periods!$D$6:$D$125,A28)</x:f>
        <x:v>3777711</x:v>
      </x:c>
      <x:c r="D28" s="8" t="n">
        <x:f>C28/SUM(C26:C35)</x:f>
        <x:v>0.47952184790226143</x:v>
      </x:c>
      <x:c r="E28" s="14" t="n">
        <x:f>IF(Assumptions!$C$7="Reported",SUMIFS(Trade_Periods!$E$6:$E$125,Trade_Periods!$B$6:$B$125,Assumptions!$C$6,Trade_Periods!$C$6:$C$125,B28,Trade_Periods!$D$6:$D$125,A28),SUMIFS(Trade_Periods!$L$6:$L$125,Trade_Periods!$B$6:$B$125,Assumptions!$C$6,Trade_Periods!$C$6:$C$125,B28,Trade_Periods!$D$6:$D$125,A28))</x:f>
        <x:v>52333750</x:v>
      </x:c>
      <x:c r="F28" s="14" t="n">
        <x:f>IF(Assumptions!$C$7="Reported",SUMIFS(Trade_Periods!$F$6:$F$125,Trade_Periods!$B$6:$B$125,Assumptions!$C$6,Trade_Periods!$C$6:$C$125,B28,Trade_Periods!$D$6:$D$125,A28),SUMIFS(Trade_Periods!$M$6:$M$125,Trade_Periods!$B$6:$B$125,Assumptions!$C$6,Trade_Periods!$C$6:$C$125,B28,Trade_Periods!$D$6:$D$125,A28))</x:f>
        <x:v>1892903</x:v>
      </x:c>
      <x:c r="G28" s="15" t="n">
        <x:f>IF(F28&gt;0,E28/F28,"n.a.")</x:f>
        <x:v>27.647349071769657</x:v>
      </x:c>
      <x:c r="H28" s="8" t="n">
        <x:f>IF(Assumptions!$C$8="2025",SUMIFS(Tariffs!$D$6:$D$45,Tariffs!$B$6:$B$45,B28,Tariffs!$C$6:$C$45,A28),IF(Assumptions!$C$8="1 Jan to 14 Jul 2026",SUMIFS(Tariffs!$E$6:$E$45,Tariffs!$B$6:$B$45,B28,Tariffs!$C$6:$C$45,A28),SUMIFS(Tariffs!$F$6:$F$45,Tariffs!$B$6:$B$45,B28,Tariffs!$C$6:$C$45,A28)))</x:f>
        <x:v>0.12</x:v>
      </x:c>
      <x:c r="I28" s="8" t="n">
        <x:f>SUMIFS(Tariffs!$G$6:$G$45,Tariffs!$B$6:$B$45,B28,Tariffs!$C$6:$C$45,A28)</x:f>
        <x:v>0.12</x:v>
      </x:c>
      <x:c r="J28" s="15" t="n">
        <x:f>G28*(1+H28)</x:f>
        <x:v>30.96503096038202</x:v>
      </x:c>
      <x:c r="K28" s="15" t="n">
        <x:f>G28*(1+I28)</x:f>
        <x:v>30.96503096038202</x:v>
      </x:c>
      <x:c r="L28" s="15" t="n">
        <x:f>IF(Assumptions!$C$9="Eligible preference",J28,K28)</x:f>
        <x:v>30.96503096038202</x:v>
      </x:c>
      <x:c r="M28" s="8" t="n">
        <x:f>Assumptions!B26</x:f>
        <x:v>0</x:v>
      </x:c>
      <x:c r="N28" s="8" t="n">
        <x:f>Assumptions!C26</x:f>
        <x:v>0</x:v>
      </x:c>
      <x:c r="O28" s="8" t="n">
        <x:f>IF(B28="China",-1,M28)</x:f>
        <x:v>-1</x:v>
      </x:c>
      <x:c r="P28" s="8" t="n">
        <x:f>IF(B28="China",D28,IF(M28&gt;0,MAX(0,MIN(Assumptions!$C$10-D28,Assumptions!$C$11,IF(Assumptions!$F$14="Yes",(Assumptions!$C$14-1)*D28,1))/M28),1))</x:f>
        <x:v>0.47952184790226143</x:v>
      </x:c>
      <x:c r="Q28" s="8" t="n">
        <x:f>$E53*O28</x:f>
        <x:v>-0.1</x:v>
      </x:c>
      <x:c r="R28" s="8" t="n">
        <x:f>D28+Q28</x:f>
        <x:v>0.3795218479022614</x:v>
      </x:c>
      <x:c r="S28" s="16" t="n">
        <x:f>D28*L28</x:f>
        <x:v>14.848408866473124</x:v>
      </x:c>
      <x:c r="T28" s="16" t="n">
        <x:f>R28*L28+MAX(0,Q28)*L28*N28</x:f>
        <x:v>11.75190577043492</x:v>
      </x:c>
      <x:c r="U28" s="16" t="n">
        <x:f>O28*L28+M28*L28*N28</x:f>
        <x:v>-30.96503096038202</x:v>
      </x:c>
      <x:c r="V28" s="16" t="n">
        <x:f>D28^2</x:f>
        <x:v>0.22994120261559955</x:v>
      </x:c>
      <x:c r="W28" s="16" t="n">
        <x:f>2*D28*O28</x:f>
        <x:v>-0.9590436958045229</x:v>
      </x:c>
      <x:c r="X28" s="16" t="n">
        <x:f>O28^2</x:f>
        <x:v>1</x:v>
      </x:c>
      <x:c r="Y28" s="16" t="n">
        <x:f>IF(Candidate_Gates!N28="Pass",MAX(0,Q28),0)</x:f>
        <x:v>0</x:v>
      </x:c>
      <x:c r="Z28" s="16" t="n">
        <x:f>D28*J28</x:f>
        <x:v>14.848408866473124</x:v>
      </x:c>
      <x:c r="AA28" s="16" t="n">
        <x:f>O28*J28+M28*J28*N28</x:f>
        <x:v>-30.96503096038202</x:v>
      </x:c>
      <x:c r="AB28" s="16" t="n">
        <x:f>D28*K28</x:f>
        <x:v>14.848408866473124</x:v>
      </x:c>
      <x:c r="AC28" s="16" t="n">
        <x:f>O28*K28+M28*K28*N28</x:f>
        <x:v>-30.96503096038202</x:v>
      </x:c>
      <x:c r="AD28" s="2" t="str">
        <x:f>IF(AND(C28&gt;=0,F28&gt;0,E28&gt;0,ISNUMBER(G28),COUNTIFS(Trade_Periods!$B$6:$B$125,Assumptions!$C$6,Trade_Periods!$C$6:$C$125,B28,Trade_Periods!$D$6:$D$125,A28)=1,COUNTIFS(Tariffs!$B$6:$B$45,B28,Tariffs!$C$6:$C$45,A28)=1),"Ready","Missing data")</x:f>
        <x:v>Ready</x:v>
      </x:c>
      <x:c r="AE28" s="33" t="n">
        <x:f>IF(D28&gt;0,R28/D28,"n.a.")</x:f>
        <x:v>0.7914589284357644</x:v>
      </x:c>
      <x:c r="AF28" s="33" t="n">
        <x:f>IF(M28&gt;0,IF(D28&gt;0,R28/D28,IF(R28=0,0,"n.a.")),0)</x:f>
        <x:v>0</x:v>
      </x:c>
      <x:c r="AG28" s="34" t="n">
        <x:f>IF(AND(Assumptions!$F$14="Yes",M28&gt;0),MAX(0,R28-Assumptions!$C$14*D28),0)</x:f>
        <x:v>0</x:v>
      </x:c>
    </x:row>
    <x:row r="29" ht="22" customHeight="1">
      <x:c r="A29" s="2" t="str">
        <x:v>62044300</x:v>
      </x:c>
      <x:c r="B29" s="2" t="str">
        <x:v>India</x:v>
      </x:c>
      <x:c r="C29" s="14" t="n">
        <x:f>SUMIFS(Trade_Periods!$F$6:$F$125,Trade_Periods!$B$6:$B$125,"FY2025",Trade_Periods!$C$6:$C$125,B29,Trade_Periods!$D$6:$D$125,A29)</x:f>
        <x:v>1191708</x:v>
      </x:c>
      <x:c r="D29" s="8" t="n">
        <x:f>C29/SUM(C26:C35)</x:f>
        <x:v>0.15126885627828815</x:v>
      </x:c>
      <x:c r="E29" s="14" t="n">
        <x:f>IF(Assumptions!$C$7="Reported",SUMIFS(Trade_Periods!$E$6:$E$125,Trade_Periods!$B$6:$B$125,Assumptions!$C$6,Trade_Periods!$C$6:$C$125,B29,Trade_Periods!$D$6:$D$125,A29),SUMIFS(Trade_Periods!$L$6:$L$125,Trade_Periods!$B$6:$B$125,Assumptions!$C$6,Trade_Periods!$C$6:$C$125,B29,Trade_Periods!$D$6:$D$125,A29))</x:f>
        <x:v>20258876</x:v>
      </x:c>
      <x:c r="F29" s="14" t="n">
        <x:f>IF(Assumptions!$C$7="Reported",SUMIFS(Trade_Periods!$F$6:$F$125,Trade_Periods!$B$6:$B$125,Assumptions!$C$6,Trade_Periods!$C$6:$C$125,B29,Trade_Periods!$D$6:$D$125,A29),SUMIFS(Trade_Periods!$M$6:$M$125,Trade_Periods!$B$6:$B$125,Assumptions!$C$6,Trade_Periods!$C$6:$C$125,B29,Trade_Periods!$D$6:$D$125,A29))</x:f>
        <x:v>721170</x:v>
      </x:c>
      <x:c r="G29" s="15" t="n">
        <x:f>IF(F29&gt;0,E29/F29,"n.a.")</x:f>
        <x:v>28.091678799728218</x:v>
      </x:c>
      <x:c r="H29" s="8" t="n">
        <x:f>IF(Assumptions!$C$8="2025",SUMIFS(Tariffs!$D$6:$D$45,Tariffs!$B$6:$B$45,B29,Tariffs!$C$6:$C$45,A29),IF(Assumptions!$C$8="1 Jan to 14 Jul 2026",SUMIFS(Tariffs!$E$6:$E$45,Tariffs!$B$6:$B$45,B29,Tariffs!$C$6:$C$45,A29),SUMIFS(Tariffs!$F$6:$F$45,Tariffs!$B$6:$B$45,B29,Tariffs!$C$6:$C$45,A29)))</x:f>
        <x:v>0</x:v>
      </x:c>
      <x:c r="I29" s="8" t="n">
        <x:f>SUMIFS(Tariffs!$G$6:$G$45,Tariffs!$B$6:$B$45,B29,Tariffs!$C$6:$C$45,A29)</x:f>
        <x:v>0.12</x:v>
      </x:c>
      <x:c r="J29" s="15" t="n">
        <x:f>G29*(1+H29)</x:f>
        <x:v>28.091678799728218</x:v>
      </x:c>
      <x:c r="K29" s="15" t="n">
        <x:f>G29*(1+I29)</x:f>
        <x:v>31.462680255695606</x:v>
      </x:c>
      <x:c r="L29" s="15" t="n">
        <x:f>IF(Assumptions!$C$9="Eligible preference",J29,K29)</x:f>
        <x:v>28.091678799728218</x:v>
      </x:c>
      <x:c r="M29" s="8" t="n">
        <x:f>Assumptions!B27</x:f>
        <x:v>0.5</x:v>
      </x:c>
      <x:c r="N29" s="8" t="n">
        <x:f>Assumptions!C27</x:f>
        <x:v>0</x:v>
      </x:c>
      <x:c r="O29" s="8" t="n">
        <x:f>IF(B29="China",-1,M29)</x:f>
        <x:v>0.5</x:v>
      </x:c>
      <x:c r="P29" s="8" t="n">
        <x:f>IF(B29="China",D29,IF(M29&gt;0,MAX(0,MIN(Assumptions!$C$10-D29,Assumptions!$C$11,IF(Assumptions!$F$14="Yes",(Assumptions!$C$14-1)*D29,1))/M29),1))</x:f>
        <x:v>0.2</x:v>
      </x:c>
      <x:c r="Q29" s="8" t="n">
        <x:f>$E53*O29</x:f>
        <x:v>0.05</x:v>
      </x:c>
      <x:c r="R29" s="8" t="n">
        <x:f>D29+Q29</x:f>
        <x:v>0.20126885627828817</x:v>
      </x:c>
      <x:c r="S29" s="16" t="n">
        <x:f>D29*L29</x:f>
        <x:v>4.249396122971922</x:v>
      </x:c>
      <x:c r="T29" s="16" t="n">
        <x:f>R29*L29+MAX(0,Q29)*L29*N29</x:f>
        <x:v>5.653980062958333</x:v>
      </x:c>
      <x:c r="U29" s="16" t="n">
        <x:f>O29*L29+M29*L29*N29</x:f>
        <x:v>14.045839399864109</x:v>
      </x:c>
      <x:c r="V29" s="16" t="n">
        <x:f>D29^2</x:f>
        <x:v>0.022882266879741396</x:v>
      </x:c>
      <x:c r="W29" s="16" t="n">
        <x:f>2*D29*O29</x:f>
        <x:v>0.15126885627828815</x:v>
      </x:c>
      <x:c r="X29" s="16" t="n">
        <x:f>O29^2</x:f>
        <x:v>0.25</x:v>
      </x:c>
      <x:c r="Y29" s="16" t="n">
        <x:f>IF(Candidate_Gates!N29="Pass",MAX(0,Q29),0)</x:f>
        <x:v>0</x:v>
      </x:c>
      <x:c r="Z29" s="16" t="n">
        <x:f>D29*J29</x:f>
        <x:v>4.249396122971922</x:v>
      </x:c>
      <x:c r="AA29" s="16" t="n">
        <x:f>O29*J29+M29*J29*N29</x:f>
        <x:v>14.045839399864109</x:v>
      </x:c>
      <x:c r="AB29" s="16" t="n">
        <x:f>D29*K29</x:f>
        <x:v>4.759323657728553</x:v>
      </x:c>
      <x:c r="AC29" s="16" t="n">
        <x:f>O29*K29+M29*K29*N29</x:f>
        <x:v>15.731340127847803</x:v>
      </x:c>
      <x:c r="AD29" s="2" t="str">
        <x:f>IF(AND(C29&gt;=0,F29&gt;0,E29&gt;0,ISNUMBER(G29),COUNTIFS(Trade_Periods!$B$6:$B$125,Assumptions!$C$6,Trade_Periods!$C$6:$C$125,B29,Trade_Periods!$D$6:$D$125,A29)=1,COUNTIFS(Tariffs!$B$6:$B$45,B29,Tariffs!$C$6:$C$45,A29)=1),"Ready","Missing data")</x:f>
        <x:v>Ready</x:v>
      </x:c>
      <x:c r="AE29" s="33" t="n">
        <x:f>IF(D29&gt;0,R29/D29,"n.a.")</x:f>
        <x:v>1.3305373044403497</x:v>
      </x:c>
      <x:c r="AF29" s="33" t="n">
        <x:f>IF(M29&gt;0,IF(D29&gt;0,R29/D29,IF(R29=0,0,"n.a.")),0)</x:f>
        <x:v>1.3305373044403497</x:v>
      </x:c>
      <x:c r="AG29" s="34" t="n">
        <x:f>IF(AND(Assumptions!$F$14="Yes",M29&gt;0),MAX(0,R29-Assumptions!$C$14*D29),0)</x:f>
        <x:v>0</x:v>
      </x:c>
    </x:row>
    <x:row r="30" ht="22" customHeight="1">
      <x:c r="A30" s="2" t="str">
        <x:v>62044300</x:v>
      </x:c>
      <x:c r="B30" s="2" t="str">
        <x:v>Morocco</x:v>
      </x:c>
      <x:c r="C30" s="14" t="n">
        <x:f>SUMIFS(Trade_Periods!$F$6:$F$125,Trade_Periods!$B$6:$B$125,"FY2025",Trade_Periods!$C$6:$C$125,B30,Trade_Periods!$D$6:$D$125,A30)</x:f>
        <x:v>483259</x:v>
      </x:c>
      <x:c r="D30" s="8" t="n">
        <x:f>C30/SUM(C26:C35)</x:f>
        <x:v>0.06134223838070169</x:v>
      </x:c>
      <x:c r="E30" s="14" t="n">
        <x:f>IF(Assumptions!$C$7="Reported",SUMIFS(Trade_Periods!$E$6:$E$125,Trade_Periods!$B$6:$B$125,Assumptions!$C$6,Trade_Periods!$C$6:$C$125,B30,Trade_Periods!$D$6:$D$125,A30),SUMIFS(Trade_Periods!$L$6:$L$125,Trade_Periods!$B$6:$B$125,Assumptions!$C$6,Trade_Periods!$C$6:$C$125,B30,Trade_Periods!$D$6:$D$125,A30))</x:f>
        <x:v>5511176</x:v>
      </x:c>
      <x:c r="F30" s="14" t="n">
        <x:f>IF(Assumptions!$C$7="Reported",SUMIFS(Trade_Periods!$F$6:$F$125,Trade_Periods!$B$6:$B$125,Assumptions!$C$6,Trade_Periods!$C$6:$C$125,B30,Trade_Periods!$D$6:$D$125,A30),SUMIFS(Trade_Periods!$M$6:$M$125,Trade_Periods!$B$6:$B$125,Assumptions!$C$6,Trade_Periods!$C$6:$C$125,B30,Trade_Periods!$D$6:$D$125,A30))</x:f>
        <x:v>218537</x:v>
      </x:c>
      <x:c r="G30" s="15" t="n">
        <x:f>IF(F30&gt;0,E30/F30,"n.a.")</x:f>
        <x:v>25.21850304525092</x:v>
      </x:c>
      <x:c r="H30" s="8" t="n">
        <x:f>IF(Assumptions!$C$8="2025",SUMIFS(Tariffs!$D$6:$D$45,Tariffs!$B$6:$B$45,B30,Tariffs!$C$6:$C$45,A30),IF(Assumptions!$C$8="1 Jan to 14 Jul 2026",SUMIFS(Tariffs!$E$6:$E$45,Tariffs!$B$6:$B$45,B30,Tariffs!$C$6:$C$45,A30),SUMIFS(Tariffs!$F$6:$F$45,Tariffs!$B$6:$B$45,B30,Tariffs!$C$6:$C$45,A30)))</x:f>
        <x:v>0</x:v>
      </x:c>
      <x:c r="I30" s="8" t="n">
        <x:f>SUMIFS(Tariffs!$G$6:$G$45,Tariffs!$B$6:$B$45,B30,Tariffs!$C$6:$C$45,A30)</x:f>
        <x:v>0.12</x:v>
      </x:c>
      <x:c r="J30" s="15" t="n">
        <x:f>G30*(1+H30)</x:f>
        <x:v>25.21850304525092</x:v>
      </x:c>
      <x:c r="K30" s="15" t="n">
        <x:f>G30*(1+I30)</x:f>
        <x:v>28.244723410681033</x:v>
      </x:c>
      <x:c r="L30" s="15" t="n">
        <x:f>IF(Assumptions!$C$9="Eligible preference",J30,K30)</x:f>
        <x:v>25.21850304525092</x:v>
      </x:c>
      <x:c r="M30" s="8" t="n">
        <x:f>Assumptions!B28</x:f>
        <x:v>0</x:v>
      </x:c>
      <x:c r="N30" s="8" t="n">
        <x:f>Assumptions!C28</x:f>
        <x:v>0</x:v>
      </x:c>
      <x:c r="O30" s="8" t="n">
        <x:f>IF(B30="China",-1,M30)</x:f>
        <x:v>0</x:v>
      </x:c>
      <x:c r="P30" s="8" t="n">
        <x:f>IF(B30="China",D30,IF(M30&gt;0,MAX(0,MIN(Assumptions!$C$10-D30,Assumptions!$C$11,IF(Assumptions!$F$14="Yes",(Assumptions!$C$14-1)*D30,1))/M30),1))</x:f>
        <x:v>1</x:v>
      </x:c>
      <x:c r="Q30" s="8" t="n">
        <x:f>$E53*O30</x:f>
        <x:v>0</x:v>
      </x:c>
      <x:c r="R30" s="8" t="n">
        <x:f>D30+Q30</x:f>
        <x:v>0.06134223838070169</x:v>
      </x:c>
      <x:c r="S30" s="16" t="n">
        <x:f>D30*L30</x:f>
        <x:v>1.5469594254062335</x:v>
      </x:c>
      <x:c r="T30" s="16" t="n">
        <x:f>R30*L30+MAX(0,Q30)*L30*N30</x:f>
        <x:v>1.5469594254062335</x:v>
      </x:c>
      <x:c r="U30" s="16" t="n">
        <x:f>O30*L30+M30*L30*N30</x:f>
        <x:v>0</x:v>
      </x:c>
      <x:c r="V30" s="16" t="n">
        <x:f>D30^2</x:f>
        <x:v>0.003762870209554832</x:v>
      </x:c>
      <x:c r="W30" s="16" t="n">
        <x:f>2*D30*O30</x:f>
        <x:v>0</x:v>
      </x:c>
      <x:c r="X30" s="16" t="n">
        <x:f>O30^2</x:f>
        <x:v>0</x:v>
      </x:c>
      <x:c r="Y30" s="16" t="n">
        <x:f>IF(Candidate_Gates!N30="Pass",MAX(0,Q30),0)</x:f>
        <x:v>0</x:v>
      </x:c>
      <x:c r="Z30" s="16" t="n">
        <x:f>D30*J30</x:f>
        <x:v>1.5469594254062335</x:v>
      </x:c>
      <x:c r="AA30" s="16" t="n">
        <x:f>O30*J30+M30*J30*N30</x:f>
        <x:v>0</x:v>
      </x:c>
      <x:c r="AB30" s="16" t="n">
        <x:f>D30*K30</x:f>
        <x:v>1.7325945564549816</x:v>
      </x:c>
      <x:c r="AC30" s="16" t="n">
        <x:f>O30*K30+M30*K30*N30</x:f>
        <x:v>0</x:v>
      </x:c>
      <x:c r="AD30" s="2" t="str">
        <x:f>IF(AND(C30&gt;=0,F30&gt;0,E30&gt;0,ISNUMBER(G30),COUNTIFS(Trade_Periods!$B$6:$B$125,Assumptions!$C$6,Trade_Periods!$C$6:$C$125,B30,Trade_Periods!$D$6:$D$125,A30)=1,COUNTIFS(Tariffs!$B$6:$B$45,B30,Tariffs!$C$6:$C$45,A30)=1),"Ready","Missing data")</x:f>
        <x:v>Ready</x:v>
      </x:c>
      <x:c r="AE30" s="33" t="n">
        <x:f>IF(D30&gt;0,R30/D30,"n.a.")</x:f>
        <x:v>1</x:v>
      </x:c>
      <x:c r="AF30" s="33" t="n">
        <x:f>IF(M30&gt;0,IF(D30&gt;0,R30/D30,IF(R30=0,0,"n.a.")),0)</x:f>
        <x:v>0</x:v>
      </x:c>
      <x:c r="AG30" s="34" t="n">
        <x:f>IF(AND(Assumptions!$F$14="Yes",M30&gt;0),MAX(0,R30-Assumptions!$C$14*D30),0)</x:f>
        <x:v>0</x:v>
      </x:c>
    </x:row>
    <x:row r="31" ht="22" customHeight="1">
      <x:c r="A31" s="2" t="str">
        <x:v>62044300</x:v>
      </x:c>
      <x:c r="B31" s="2" t="str">
        <x:v>Myanmar</x:v>
      </x:c>
      <x:c r="C31" s="14" t="n">
        <x:f>SUMIFS(Trade_Periods!$F$6:$F$125,Trade_Periods!$B$6:$B$125,"FY2025",Trade_Periods!$C$6:$C$125,B31,Trade_Periods!$D$6:$D$125,A31)</x:f>
        <x:v>138284</x:v>
      </x:c>
      <x:c r="D31" s="8" t="n">
        <x:f>C31/SUM(C26:C35)</x:f>
        <x:v>0.01755301006755581</x:v>
      </x:c>
      <x:c r="E31" s="14" t="n">
        <x:f>IF(Assumptions!$C$7="Reported",SUMIFS(Trade_Periods!$E$6:$E$125,Trade_Periods!$B$6:$B$125,Assumptions!$C$6,Trade_Periods!$C$6:$C$125,B31,Trade_Periods!$D$6:$D$125,A31),SUMIFS(Trade_Periods!$L$6:$L$125,Trade_Periods!$B$6:$B$125,Assumptions!$C$6,Trade_Periods!$C$6:$C$125,B31,Trade_Periods!$D$6:$D$125,A31))</x:f>
        <x:v>2412796</x:v>
      </x:c>
      <x:c r="F31" s="14" t="n">
        <x:f>IF(Assumptions!$C$7="Reported",SUMIFS(Trade_Periods!$F$6:$F$125,Trade_Periods!$B$6:$B$125,Assumptions!$C$6,Trade_Periods!$C$6:$C$125,B31,Trade_Periods!$D$6:$D$125,A31),SUMIFS(Trade_Periods!$M$6:$M$125,Trade_Periods!$B$6:$B$125,Assumptions!$C$6,Trade_Periods!$C$6:$C$125,B31,Trade_Periods!$D$6:$D$125,A31))</x:f>
        <x:v>37986</x:v>
      </x:c>
      <x:c r="G31" s="15" t="n">
        <x:f>IF(F31&gt;0,E31/F31,"n.a.")</x:f>
        <x:v>63.5180329595114</x:v>
      </x:c>
      <x:c r="H31" s="8" t="n">
        <x:f>IF(Assumptions!$C$8="2025",SUMIFS(Tariffs!$D$6:$D$45,Tariffs!$B$6:$B$45,B31,Tariffs!$C$6:$C$45,A31),IF(Assumptions!$C$8="1 Jan to 14 Jul 2026",SUMIFS(Tariffs!$E$6:$E$45,Tariffs!$B$6:$B$45,B31,Tariffs!$C$6:$C$45,A31),SUMIFS(Tariffs!$F$6:$F$45,Tariffs!$B$6:$B$45,B31,Tariffs!$C$6:$C$45,A31)))</x:f>
        <x:v>0</x:v>
      </x:c>
      <x:c r="I31" s="8" t="n">
        <x:f>SUMIFS(Tariffs!$G$6:$G$45,Tariffs!$B$6:$B$45,B31,Tariffs!$C$6:$C$45,A31)</x:f>
        <x:v>0.12</x:v>
      </x:c>
      <x:c r="J31" s="15" t="n">
        <x:f>G31*(1+H31)</x:f>
        <x:v>63.5180329595114</x:v>
      </x:c>
      <x:c r="K31" s="15" t="n">
        <x:f>G31*(1+I31)</x:f>
        <x:v>71.14019691465278</x:v>
      </x:c>
      <x:c r="L31" s="15" t="n">
        <x:f>IF(Assumptions!$C$9="Eligible preference",J31,K31)</x:f>
        <x:v>63.5180329595114</x:v>
      </x:c>
      <x:c r="M31" s="8" t="n">
        <x:f>Assumptions!B29</x:f>
        <x:v>0</x:v>
      </x:c>
      <x:c r="N31" s="8" t="n">
        <x:f>Assumptions!C29</x:f>
        <x:v>0</x:v>
      </x:c>
      <x:c r="O31" s="8" t="n">
        <x:f>IF(B31="China",-1,M31)</x:f>
        <x:v>0</x:v>
      </x:c>
      <x:c r="P31" s="8" t="n">
        <x:f>IF(B31="China",D31,IF(M31&gt;0,MAX(0,MIN(Assumptions!$C$10-D31,Assumptions!$C$11,IF(Assumptions!$F$14="Yes",(Assumptions!$C$14-1)*D31,1))/M31),1))</x:f>
        <x:v>1</x:v>
      </x:c>
      <x:c r="Q31" s="8" t="n">
        <x:f>$E53*O31</x:f>
        <x:v>0</x:v>
      </x:c>
      <x:c r="R31" s="8" t="n">
        <x:f>D31+Q31</x:f>
        <x:v>0.01755301006755581</x:v>
      </x:c>
      <x:c r="S31" s="16" t="n">
        <x:f>D31*L31</x:f>
        <x:v>1.1149326720096453</x:v>
      </x:c>
      <x:c r="T31" s="16" t="n">
        <x:f>R31*L31+MAX(0,Q31)*L31*N31</x:f>
        <x:v>1.1149326720096453</x:v>
      </x:c>
      <x:c r="U31" s="16" t="n">
        <x:f>O31*L31+M31*L31*N31</x:f>
        <x:v>0</x:v>
      </x:c>
      <x:c r="V31" s="16" t="n">
        <x:f>D31^2</x:f>
        <x:v>0.00030810816243171556</x:v>
      </x:c>
      <x:c r="W31" s="16" t="n">
        <x:f>2*D31*O31</x:f>
        <x:v>0</x:v>
      </x:c>
      <x:c r="X31" s="16" t="n">
        <x:f>O31^2</x:f>
        <x:v>0</x:v>
      </x:c>
      <x:c r="Y31" s="16" t="n">
        <x:f>IF(Candidate_Gates!N31="Pass",MAX(0,Q31),0)</x:f>
        <x:v>0</x:v>
      </x:c>
      <x:c r="Z31" s="16" t="n">
        <x:f>D31*J31</x:f>
        <x:v>1.1149326720096453</x:v>
      </x:c>
      <x:c r="AA31" s="16" t="n">
        <x:f>O31*J31+M31*J31*N31</x:f>
        <x:v>0</x:v>
      </x:c>
      <x:c r="AB31" s="16" t="n">
        <x:f>D31*K31</x:f>
        <x:v>1.2487245926508028</x:v>
      </x:c>
      <x:c r="AC31" s="16" t="n">
        <x:f>O31*K31+M31*K31*N31</x:f>
        <x:v>0</x:v>
      </x:c>
      <x:c r="AD31" s="2" t="str">
        <x:f>IF(AND(C31&gt;=0,F31&gt;0,E31&gt;0,ISNUMBER(G31),COUNTIFS(Trade_Periods!$B$6:$B$125,Assumptions!$C$6,Trade_Periods!$C$6:$C$125,B31,Trade_Periods!$D$6:$D$125,A31)=1,COUNTIFS(Tariffs!$B$6:$B$45,B31,Tariffs!$C$6:$C$45,A31)=1),"Ready","Missing data")</x:f>
        <x:v>Ready</x:v>
      </x:c>
      <x:c r="AE31" s="33" t="n">
        <x:f>IF(D31&gt;0,R31/D31,"n.a.")</x:f>
        <x:v>1</x:v>
      </x:c>
      <x:c r="AF31" s="33" t="n">
        <x:f>IF(M31&gt;0,IF(D31&gt;0,R31/D31,IF(R31=0,0,"n.a.")),0)</x:f>
        <x:v>0</x:v>
      </x:c>
      <x:c r="AG31" s="34" t="n">
        <x:f>IF(AND(Assumptions!$F$14="Yes",M31&gt;0),MAX(0,R31-Assumptions!$C$14*D31),0)</x:f>
        <x:v>0</x:v>
      </x:c>
    </x:row>
    <x:row r="32" ht="22" customHeight="1">
      <x:c r="A32" s="2" t="str">
        <x:v>62044300</x:v>
      </x:c>
      <x:c r="B32" s="2" t="str">
        <x:v>Pakistan</x:v>
      </x:c>
      <x:c r="C32" s="14" t="n">
        <x:f>SUMIFS(Trade_Periods!$F$6:$F$125,Trade_Periods!$B$6:$B$125,"FY2025",Trade_Periods!$C$6:$C$125,B32,Trade_Periods!$D$6:$D$125,A32)</x:f>
        <x:v>78305</x:v>
      </x:c>
      <x:c r="D32" s="8" t="n">
        <x:f>C32/SUM(C26:C35)</x:f>
        <x:v>0.00993960583538195</x:v>
      </x:c>
      <x:c r="E32" s="14" t="n">
        <x:f>IF(Assumptions!$C$7="Reported",SUMIFS(Trade_Periods!$E$6:$E$125,Trade_Periods!$B$6:$B$125,Assumptions!$C$6,Trade_Periods!$C$6:$C$125,B32,Trade_Periods!$D$6:$D$125,A32),SUMIFS(Trade_Periods!$L$6:$L$125,Trade_Periods!$B$6:$B$125,Assumptions!$C$6,Trade_Periods!$C$6:$C$125,B32,Trade_Periods!$D$6:$D$125,A32))</x:f>
        <x:v>496523</x:v>
      </x:c>
      <x:c r="F32" s="14" t="n">
        <x:f>IF(Assumptions!$C$7="Reported",SUMIFS(Trade_Periods!$F$6:$F$125,Trade_Periods!$B$6:$B$125,Assumptions!$C$6,Trade_Periods!$C$6:$C$125,B32,Trade_Periods!$D$6:$D$125,A32),SUMIFS(Trade_Periods!$M$6:$M$125,Trade_Periods!$B$6:$B$125,Assumptions!$C$6,Trade_Periods!$C$6:$C$125,B32,Trade_Periods!$D$6:$D$125,A32))</x:f>
        <x:v>26975</x:v>
      </x:c>
      <x:c r="G32" s="15" t="n">
        <x:f>IF(F32&gt;0,E32/F32,"n.a.")</x:f>
        <x:v>18.40678405931418</x:v>
      </x:c>
      <x:c r="H32" s="8" t="n">
        <x:f>IF(Assumptions!$C$8="2025",SUMIFS(Tariffs!$D$6:$D$45,Tariffs!$B$6:$B$45,B32,Tariffs!$C$6:$C$45,A32),IF(Assumptions!$C$8="1 Jan to 14 Jul 2026",SUMIFS(Tariffs!$E$6:$E$45,Tariffs!$B$6:$B$45,B32,Tariffs!$C$6:$C$45,A32),SUMIFS(Tariffs!$F$6:$F$45,Tariffs!$B$6:$B$45,B32,Tariffs!$C$6:$C$45,A32)))</x:f>
        <x:v>0</x:v>
      </x:c>
      <x:c r="I32" s="8" t="n">
        <x:f>SUMIFS(Tariffs!$G$6:$G$45,Tariffs!$B$6:$B$45,B32,Tariffs!$C$6:$C$45,A32)</x:f>
        <x:v>0.12</x:v>
      </x:c>
      <x:c r="J32" s="15" t="n">
        <x:f>G32*(1+H32)</x:f>
        <x:v>18.40678405931418</x:v>
      </x:c>
      <x:c r="K32" s="15" t="n">
        <x:f>G32*(1+I32)</x:f>
        <x:v>20.615598146431886</x:v>
      </x:c>
      <x:c r="L32" s="15" t="n">
        <x:f>IF(Assumptions!$C$9="Eligible preference",J32,K32)</x:f>
        <x:v>18.40678405931418</x:v>
      </x:c>
      <x:c r="M32" s="8" t="n">
        <x:f>Assumptions!B30</x:f>
        <x:v>0</x:v>
      </x:c>
      <x:c r="N32" s="8" t="n">
        <x:f>Assumptions!C30</x:f>
        <x:v>0</x:v>
      </x:c>
      <x:c r="O32" s="8" t="n">
        <x:f>IF(B32="China",-1,M32)</x:f>
        <x:v>0</x:v>
      </x:c>
      <x:c r="P32" s="8" t="n">
        <x:f>IF(B32="China",D32,IF(M32&gt;0,MAX(0,MIN(Assumptions!$C$10-D32,Assumptions!$C$11,IF(Assumptions!$F$14="Yes",(Assumptions!$C$14-1)*D32,1))/M32),1))</x:f>
        <x:v>1</x:v>
      </x:c>
      <x:c r="Q32" s="8" t="n">
        <x:f>$E53*O32</x:f>
        <x:v>0</x:v>
      </x:c>
      <x:c r="R32" s="8" t="n">
        <x:f>D32+Q32</x:f>
        <x:v>0.00993960583538195</x:v>
      </x:c>
      <x:c r="S32" s="16" t="n">
        <x:f>D32*L32</x:f>
        <x:v>0.18295617824657467</x:v>
      </x:c>
      <x:c r="T32" s="16" t="n">
        <x:f>R32*L32+MAX(0,Q32)*L32*N32</x:f>
        <x:v>0.18295617824657467</x:v>
      </x:c>
      <x:c r="U32" s="16" t="n">
        <x:f>O32*L32+M32*L32*N32</x:f>
        <x:v>0</x:v>
      </x:c>
      <x:c r="V32" s="16" t="n">
        <x:f>D32^2</x:f>
        <x:v>0.00009879576416275891</x:v>
      </x:c>
      <x:c r="W32" s="16" t="n">
        <x:f>2*D32*O32</x:f>
        <x:v>0</x:v>
      </x:c>
      <x:c r="X32" s="16" t="n">
        <x:f>O32^2</x:f>
        <x:v>0</x:v>
      </x:c>
      <x:c r="Y32" s="16" t="n">
        <x:f>IF(Candidate_Gates!N32="Pass",MAX(0,Q32),0)</x:f>
        <x:v>0</x:v>
      </x:c>
      <x:c r="Z32" s="16" t="n">
        <x:f>D32*J32</x:f>
        <x:v>0.18295617824657467</x:v>
      </x:c>
      <x:c r="AA32" s="16" t="n">
        <x:f>O32*J32+M32*J32*N32</x:f>
        <x:v>0</x:v>
      </x:c>
      <x:c r="AB32" s="16" t="n">
        <x:f>D32*K32</x:f>
        <x:v>0.20491091963616367</x:v>
      </x:c>
      <x:c r="AC32" s="16" t="n">
        <x:f>O32*K32+M32*K32*N32</x:f>
        <x:v>0</x:v>
      </x:c>
      <x:c r="AD32" s="2" t="str">
        <x:f>IF(AND(C32&gt;=0,F32&gt;0,E32&gt;0,ISNUMBER(G32),COUNTIFS(Trade_Periods!$B$6:$B$125,Assumptions!$C$6,Trade_Periods!$C$6:$C$125,B32,Trade_Periods!$D$6:$D$125,A32)=1,COUNTIFS(Tariffs!$B$6:$B$45,B32,Tariffs!$C$6:$C$45,A32)=1),"Ready","Missing data")</x:f>
        <x:v>Ready</x:v>
      </x:c>
      <x:c r="AE32" s="33" t="n">
        <x:f>IF(D32&gt;0,R32/D32,"n.a.")</x:f>
        <x:v>1</x:v>
      </x:c>
      <x:c r="AF32" s="33" t="n">
        <x:f>IF(M32&gt;0,IF(D32&gt;0,R32/D32,IF(R32=0,0,"n.a.")),0)</x:f>
        <x:v>0</x:v>
      </x:c>
      <x:c r="AG32" s="34" t="n">
        <x:f>IF(AND(Assumptions!$F$14="Yes",M32&gt;0),MAX(0,R32-Assumptions!$C$14*D32),0)</x:f>
        <x:v>0</x:v>
      </x:c>
    </x:row>
    <x:row r="33" ht="22" customHeight="1">
      <x:c r="A33" s="2" t="str">
        <x:v>62044300</x:v>
      </x:c>
      <x:c r="B33" s="2" t="str">
        <x:v>Sri Lanka</x:v>
      </x:c>
      <x:c r="C33" s="14" t="n">
        <x:f>SUMIFS(Trade_Periods!$F$6:$F$125,Trade_Periods!$B$6:$B$125,"FY2025",Trade_Periods!$C$6:$C$125,B33,Trade_Periods!$D$6:$D$125,A33)</x:f>
        <x:v>683522</x:v>
      </x:c>
      <x:c r="D33" s="8" t="n">
        <x:f>C33/SUM(C26:C35)</x:f>
        <x:v>0.08676252167565215</x:v>
      </x:c>
      <x:c r="E33" s="14" t="n">
        <x:f>IF(Assumptions!$C$7="Reported",SUMIFS(Trade_Periods!$E$6:$E$125,Trade_Periods!$B$6:$B$125,Assumptions!$C$6,Trade_Periods!$C$6:$C$125,B33,Trade_Periods!$D$6:$D$125,A33),SUMIFS(Trade_Periods!$L$6:$L$125,Trade_Periods!$B$6:$B$125,Assumptions!$C$6,Trade_Periods!$C$6:$C$125,B33,Trade_Periods!$D$6:$D$125,A33))</x:f>
        <x:v>7697741</x:v>
      </x:c>
      <x:c r="F33" s="14" t="n">
        <x:f>IF(Assumptions!$C$7="Reported",SUMIFS(Trade_Periods!$F$6:$F$125,Trade_Periods!$B$6:$B$125,Assumptions!$C$6,Trade_Periods!$C$6:$C$125,B33,Trade_Periods!$D$6:$D$125,A33),SUMIFS(Trade_Periods!$M$6:$M$125,Trade_Periods!$B$6:$B$125,Assumptions!$C$6,Trade_Periods!$C$6:$C$125,B33,Trade_Periods!$D$6:$D$125,A33))</x:f>
        <x:v>462849</x:v>
      </x:c>
      <x:c r="G33" s="15" t="n">
        <x:f>IF(F33&gt;0,E33/F33,"n.a.")</x:f>
        <x:v>16.63121449976126</x:v>
      </x:c>
      <x:c r="H33" s="8" t="n">
        <x:f>IF(Assumptions!$C$8="2025",SUMIFS(Tariffs!$D$6:$D$45,Tariffs!$B$6:$B$45,B33,Tariffs!$C$6:$C$45,A33),IF(Assumptions!$C$8="1 Jan to 14 Jul 2026",SUMIFS(Tariffs!$E$6:$E$45,Tariffs!$B$6:$B$45,B33,Tariffs!$C$6:$C$45,A33),SUMIFS(Tariffs!$F$6:$F$45,Tariffs!$B$6:$B$45,B33,Tariffs!$C$6:$C$45,A33)))</x:f>
        <x:v>0</x:v>
      </x:c>
      <x:c r="I33" s="8" t="n">
        <x:f>SUMIFS(Tariffs!$G$6:$G$45,Tariffs!$B$6:$B$45,B33,Tariffs!$C$6:$C$45,A33)</x:f>
        <x:v>0.12</x:v>
      </x:c>
      <x:c r="J33" s="15" t="n">
        <x:f>G33*(1+H33)</x:f>
        <x:v>16.63121449976126</x:v>
      </x:c>
      <x:c r="K33" s="15" t="n">
        <x:f>G33*(1+I33)</x:f>
        <x:v>18.62696023973261</x:v>
      </x:c>
      <x:c r="L33" s="15" t="n">
        <x:f>IF(Assumptions!$C$9="Eligible preference",J33,K33)</x:f>
        <x:v>16.63121449976126</x:v>
      </x:c>
      <x:c r="M33" s="8" t="n">
        <x:f>Assumptions!B31</x:f>
        <x:v>0</x:v>
      </x:c>
      <x:c r="N33" s="8" t="n">
        <x:f>Assumptions!C31</x:f>
        <x:v>0</x:v>
      </x:c>
      <x:c r="O33" s="8" t="n">
        <x:f>IF(B33="China",-1,M33)</x:f>
        <x:v>0</x:v>
      </x:c>
      <x:c r="P33" s="8" t="n">
        <x:f>IF(B33="China",D33,IF(M33&gt;0,MAX(0,MIN(Assumptions!$C$10-D33,Assumptions!$C$11,IF(Assumptions!$F$14="Yes",(Assumptions!$C$14-1)*D33,1))/M33),1))</x:f>
        <x:v>1</x:v>
      </x:c>
      <x:c r="Q33" s="8" t="n">
        <x:f>$E53*O33</x:f>
        <x:v>0</x:v>
      </x:c>
      <x:c r="R33" s="8" t="n">
        <x:f>D33+Q33</x:f>
        <x:v>0.08676252167565215</x:v>
      </x:c>
      <x:c r="S33" s="16" t="n">
        <x:f>D33*L33</x:f>
        <x:v>1.4429661085279568</x:v>
      </x:c>
      <x:c r="T33" s="16" t="n">
        <x:f>R33*L33+MAX(0,Q33)*L33*N33</x:f>
        <x:v>1.4429661085279568</x:v>
      </x:c>
      <x:c r="U33" s="16" t="n">
        <x:f>O33*L33+M33*L33*N33</x:f>
        <x:v>0</x:v>
      </x:c>
      <x:c r="V33" s="16" t="n">
        <x:f>D33^2</x:f>
        <x:v>0.00752773516751801</x:v>
      </x:c>
      <x:c r="W33" s="16" t="n">
        <x:f>2*D33*O33</x:f>
        <x:v>0</x:v>
      </x:c>
      <x:c r="X33" s="16" t="n">
        <x:f>O33^2</x:f>
        <x:v>0</x:v>
      </x:c>
      <x:c r="Y33" s="16" t="n">
        <x:f>IF(Candidate_Gates!N33="Pass",MAX(0,Q33),0)</x:f>
        <x:v>0</x:v>
      </x:c>
      <x:c r="Z33" s="16" t="n">
        <x:f>D33*J33</x:f>
        <x:v>1.4429661085279568</x:v>
      </x:c>
      <x:c r="AA33" s="16" t="n">
        <x:f>O33*J33+M33*J33*N33</x:f>
        <x:v>0</x:v>
      </x:c>
      <x:c r="AB33" s="16" t="n">
        <x:f>D33*K33</x:f>
        <x:v>1.6161220415513116</x:v>
      </x:c>
      <x:c r="AC33" s="16" t="n">
        <x:f>O33*K33+M33*K33*N33</x:f>
        <x:v>0</x:v>
      </x:c>
      <x:c r="AD33" s="2" t="str">
        <x:f>IF(AND(C33&gt;=0,F33&gt;0,E33&gt;0,ISNUMBER(G33),COUNTIFS(Trade_Periods!$B$6:$B$125,Assumptions!$C$6,Trade_Periods!$C$6:$C$125,B33,Trade_Periods!$D$6:$D$125,A33)=1,COUNTIFS(Tariffs!$B$6:$B$45,B33,Tariffs!$C$6:$C$45,A33)=1),"Ready","Missing data")</x:f>
        <x:v>Ready</x:v>
      </x:c>
      <x:c r="AE33" s="33" t="n">
        <x:f>IF(D33&gt;0,R33/D33,"n.a.")</x:f>
        <x:v>1</x:v>
      </x:c>
      <x:c r="AF33" s="33" t="n">
        <x:f>IF(M33&gt;0,IF(D33&gt;0,R33/D33,IF(R33=0,0,"n.a.")),0)</x:f>
        <x:v>0</x:v>
      </x:c>
      <x:c r="AG33" s="34" t="n">
        <x:f>IF(AND(Assumptions!$F$14="Yes",M33&gt;0),MAX(0,R33-Assumptions!$C$14*D33),0)</x:f>
        <x:v>0</x:v>
      </x:c>
    </x:row>
    <x:row r="34" ht="22" customHeight="1">
      <x:c r="A34" s="2" t="str">
        <x:v>62044300</x:v>
      </x:c>
      <x:c r="B34" s="2" t="str">
        <x:v>Turkey</x:v>
      </x:c>
      <x:c r="C34" s="14" t="n">
        <x:f>SUMIFS(Trade_Periods!$F$6:$F$125,Trade_Periods!$B$6:$B$125,"FY2025",Trade_Periods!$C$6:$C$125,B34,Trade_Periods!$D$6:$D$125,A34)</x:f>
        <x:v>268083</x:v>
      </x:c>
      <x:c r="D34" s="8" t="n">
        <x:f>C34/SUM(C26:C35)</x:f>
        <x:v>0.03402898092288742</x:v>
      </x:c>
      <x:c r="E34" s="14" t="n">
        <x:f>IF(Assumptions!$C$7="Reported",SUMIFS(Trade_Periods!$E$6:$E$125,Trade_Periods!$B$6:$B$125,Assumptions!$C$6,Trade_Periods!$C$6:$C$125,B34,Trade_Periods!$D$6:$D$125,A34),SUMIFS(Trade_Periods!$L$6:$L$125,Trade_Periods!$B$6:$B$125,Assumptions!$C$6,Trade_Periods!$C$6:$C$125,B34,Trade_Periods!$D$6:$D$125,A34))</x:f>
        <x:v>2652697</x:v>
      </x:c>
      <x:c r="F34" s="14" t="n">
        <x:f>IF(Assumptions!$C$7="Reported",SUMIFS(Trade_Periods!$F$6:$F$125,Trade_Periods!$B$6:$B$125,Assumptions!$C$6,Trade_Periods!$C$6:$C$125,B34,Trade_Periods!$D$6:$D$125,A34),SUMIFS(Trade_Periods!$M$6:$M$125,Trade_Periods!$B$6:$B$125,Assumptions!$C$6,Trade_Periods!$C$6:$C$125,B34,Trade_Periods!$D$6:$D$125,A34))</x:f>
        <x:v>68957</x:v>
      </x:c>
      <x:c r="G34" s="15" t="n">
        <x:f>IF(F34&gt;0,E34/F34,"n.a.")</x:f>
        <x:v>38.46885740388938</x:v>
      </x:c>
      <x:c r="H34" s="8" t="n">
        <x:f>IF(Assumptions!$C$8="2025",SUMIFS(Tariffs!$D$6:$D$45,Tariffs!$B$6:$B$45,B34,Tariffs!$C$6:$C$45,A34),IF(Assumptions!$C$8="1 Jan to 14 Jul 2026",SUMIFS(Tariffs!$E$6:$E$45,Tariffs!$B$6:$B$45,B34,Tariffs!$C$6:$C$45,A34),SUMIFS(Tariffs!$F$6:$F$45,Tariffs!$B$6:$B$45,B34,Tariffs!$C$6:$C$45,A34)))</x:f>
        <x:v>0</x:v>
      </x:c>
      <x:c r="I34" s="8" t="n">
        <x:f>SUMIFS(Tariffs!$G$6:$G$45,Tariffs!$B$6:$B$45,B34,Tariffs!$C$6:$C$45,A34)</x:f>
        <x:v>0.12</x:v>
      </x:c>
      <x:c r="J34" s="15" t="n">
        <x:f>G34*(1+H34)</x:f>
        <x:v>38.46885740388938</x:v>
      </x:c>
      <x:c r="K34" s="15" t="n">
        <x:f>G34*(1+I34)</x:f>
        <x:v>43.08512029235611</x:v>
      </x:c>
      <x:c r="L34" s="15" t="n">
        <x:f>IF(Assumptions!$C$9="Eligible preference",J34,K34)</x:f>
        <x:v>38.46885740388938</x:v>
      </x:c>
      <x:c r="M34" s="8" t="n">
        <x:f>Assumptions!B32</x:f>
        <x:v>0.25</x:v>
      </x:c>
      <x:c r="N34" s="8" t="n">
        <x:f>Assumptions!C32</x:f>
        <x:v>0</x:v>
      </x:c>
      <x:c r="O34" s="8" t="n">
        <x:f>IF(B34="China",-1,M34)</x:f>
        <x:v>0.25</x:v>
      </x:c>
      <x:c r="P34" s="8" t="n">
        <x:f>IF(B34="China",D34,IF(M34&gt;0,MAX(0,MIN(Assumptions!$C$10-D34,Assumptions!$C$11,IF(Assumptions!$F$14="Yes",(Assumptions!$C$14-1)*D34,1))/M34),1))</x:f>
        <x:v>0.27223184738309936</x:v>
      </x:c>
      <x:c r="Q34" s="8" t="n">
        <x:f>$E53*O34</x:f>
        <x:v>0.025</x:v>
      </x:c>
      <x:c r="R34" s="8" t="n">
        <x:f>D34+Q34</x:f>
        <x:v>0.05902898092288742</x:v>
      </x:c>
      <x:c r="S34" s="16" t="n">
        <x:f>D34*L34</x:f>
        <x:v>1.309056014722228</x:v>
      </x:c>
      <x:c r="T34" s="16" t="n">
        <x:f>R34*L34+MAX(0,Q34)*L34*N34</x:f>
        <x:v>2.270777449819463</x:v>
      </x:c>
      <x:c r="U34" s="16" t="n">
        <x:f>O34*L34+M34*L34*N34</x:f>
        <x:v>9.617214350972345</x:v>
      </x:c>
      <x:c r="V34" s="16" t="n">
        <x:f>D34^2</x:f>
        <x:v>0.001157971542650236</x:v>
      </x:c>
      <x:c r="W34" s="16" t="n">
        <x:f>2*D34*O34</x:f>
        <x:v>0.01701449046144371</x:v>
      </x:c>
      <x:c r="X34" s="16" t="n">
        <x:f>O34^2</x:f>
        <x:v>0.0625</x:v>
      </x:c>
      <x:c r="Y34" s="16" t="n">
        <x:f>IF(Candidate_Gates!N34="Pass",MAX(0,Q34),0)</x:f>
        <x:v>0</x:v>
      </x:c>
      <x:c r="Z34" s="16" t="n">
        <x:f>D34*J34</x:f>
        <x:v>1.309056014722228</x:v>
      </x:c>
      <x:c r="AA34" s="16" t="n">
        <x:f>O34*J34+M34*J34*N34</x:f>
        <x:v>9.617214350972345</x:v>
      </x:c>
      <x:c r="AB34" s="16" t="n">
        <x:f>D34*K34</x:f>
        <x:v>1.4661427364888957</x:v>
      </x:c>
      <x:c r="AC34" s="16" t="n">
        <x:f>O34*K34+M34*K34*N34</x:f>
        <x:v>10.771280073089027</x:v>
      </x:c>
      <x:c r="AD34" s="2" t="str">
        <x:f>IF(AND(C34&gt;=0,F34&gt;0,E34&gt;0,ISNUMBER(G34),COUNTIFS(Trade_Periods!$B$6:$B$125,Assumptions!$C$6,Trade_Periods!$C$6:$C$125,B34,Trade_Periods!$D$6:$D$125,A34)=1,COUNTIFS(Tariffs!$B$6:$B$45,B34,Tariffs!$C$6:$C$45,A34)=1),"Ready","Missing data")</x:f>
        <x:v>Ready</x:v>
      </x:c>
      <x:c r="AE34" s="33" t="n">
        <x:f>IF(D34&gt;0,R34/D34,"n.a.")</x:f>
        <x:v>1.7346679013589075</x:v>
      </x:c>
      <x:c r="AF34" s="33" t="n">
        <x:f>IF(M34&gt;0,IF(D34&gt;0,R34/D34,IF(R34=0,0,"n.a.")),0)</x:f>
        <x:v>1.7346679013589075</x:v>
      </x:c>
      <x:c r="AG34" s="34" t="n">
        <x:f>IF(AND(Assumptions!$F$14="Yes",M34&gt;0),MAX(0,R34-Assumptions!$C$14*D34),0)</x:f>
        <x:v>0</x:v>
      </x:c>
    </x:row>
    <x:row r="35" ht="22" customHeight="1">
      <x:c r="A35" s="2" t="str">
        <x:v>62044300</x:v>
      </x:c>
      <x:c r="B35" s="2" t="str">
        <x:v>Vietnam</x:v>
      </x:c>
      <x:c r="C35" s="14" t="n">
        <x:f>SUMIFS(Trade_Periods!$F$6:$F$125,Trade_Periods!$B$6:$B$125,"FY2025",Trade_Periods!$C$6:$C$125,B35,Trade_Periods!$D$6:$D$125,A35)</x:f>
        <x:v>275082</x:v>
      </x:c>
      <x:c r="D35" s="8" t="n">
        <x:f>C35/SUM(C26:C35)</x:f>
        <x:v>0.034917395471662574</x:v>
      </x:c>
      <x:c r="E35" s="14" t="n">
        <x:f>IF(Assumptions!$C$7="Reported",SUMIFS(Trade_Periods!$E$6:$E$125,Trade_Periods!$B$6:$B$125,Assumptions!$C$6,Trade_Periods!$C$6:$C$125,B35,Trade_Periods!$D$6:$D$125,A35),SUMIFS(Trade_Periods!$L$6:$L$125,Trade_Periods!$B$6:$B$125,Assumptions!$C$6,Trade_Periods!$C$6:$C$125,B35,Trade_Periods!$D$6:$D$125,A35))</x:f>
        <x:v>4252865</x:v>
      </x:c>
      <x:c r="F35" s="14" t="n">
        <x:f>IF(Assumptions!$C$7="Reported",SUMIFS(Trade_Periods!$F$6:$F$125,Trade_Periods!$B$6:$B$125,Assumptions!$C$6,Trade_Periods!$C$6:$C$125,B35,Trade_Periods!$D$6:$D$125,A35),SUMIFS(Trade_Periods!$M$6:$M$125,Trade_Periods!$B$6:$B$125,Assumptions!$C$6,Trade_Periods!$C$6:$C$125,B35,Trade_Periods!$D$6:$D$125,A35))</x:f>
        <x:v>181343</x:v>
      </x:c>
      <x:c r="G35" s="15" t="n">
        <x:f>IF(F35&gt;0,E35/F35,"n.a.")</x:f>
        <x:v>23.45204943118841</x:v>
      </x:c>
      <x:c r="H35" s="8" t="n">
        <x:f>IF(Assumptions!$C$8="2025",SUMIFS(Tariffs!$D$6:$D$45,Tariffs!$B$6:$B$45,B35,Tariffs!$C$6:$C$45,A35),IF(Assumptions!$C$8="1 Jan to 14 Jul 2026",SUMIFS(Tariffs!$E$6:$E$45,Tariffs!$B$6:$B$45,B35,Tariffs!$C$6:$C$45,A35),SUMIFS(Tariffs!$F$6:$F$45,Tariffs!$B$6:$B$45,B35,Tariffs!$C$6:$C$45,A35)))</x:f>
        <x:v>0.015</x:v>
      </x:c>
      <x:c r="I35" s="8" t="n">
        <x:f>SUMIFS(Tariffs!$G$6:$G$45,Tariffs!$B$6:$B$45,B35,Tariffs!$C$6:$C$45,A35)</x:f>
        <x:v>0.12</x:v>
      </x:c>
      <x:c r="J35" s="15" t="n">
        <x:f>G35*(1+H35)</x:f>
        <x:v>23.803830172656234</x:v>
      </x:c>
      <x:c r="K35" s="15" t="n">
        <x:f>G35*(1+I35)</x:f>
        <x:v>26.26629536293102</x:v>
      </x:c>
      <x:c r="L35" s="15" t="n">
        <x:f>IF(Assumptions!$C$9="Eligible preference",J35,K35)</x:f>
        <x:v>23.803830172656234</x:v>
      </x:c>
      <x:c r="M35" s="8" t="n">
        <x:f>Assumptions!B33</x:f>
        <x:v>0.25</x:v>
      </x:c>
      <x:c r="N35" s="8" t="n">
        <x:f>Assumptions!C33</x:f>
        <x:v>0</x:v>
      </x:c>
      <x:c r="O35" s="8" t="n">
        <x:f>IF(B35="China",-1,M35)</x:f>
        <x:v>0.25</x:v>
      </x:c>
      <x:c r="P35" s="8" t="n">
        <x:f>IF(B35="China",D35,IF(M35&gt;0,MAX(0,MIN(Assumptions!$C$10-D35,Assumptions!$C$11,IF(Assumptions!$F$14="Yes",(Assumptions!$C$14-1)*D35,1))/M35),1))</x:f>
        <x:v>0.2793391637733006</x:v>
      </x:c>
      <x:c r="Q35" s="8" t="n">
        <x:f>$E53*O35</x:f>
        <x:v>0.025</x:v>
      </x:c>
      <x:c r="R35" s="8" t="n">
        <x:f>D35+Q35</x:f>
        <x:v>0.059917395471662575</x:v>
      </x:c>
      <x:c r="S35" s="16" t="n">
        <x:f>D35*L35</x:f>
        <x:v>0.8311677518789318</x:v>
      </x:c>
      <x:c r="T35" s="16" t="n">
        <x:f>R35*L35+MAX(0,Q35)*L35*N35</x:f>
        <x:v>1.4262635061953377</x:v>
      </x:c>
      <x:c r="U35" s="16" t="n">
        <x:f>O35*L35+M35*L35*N35</x:f>
        <x:v>5.9509575431640584</x:v>
      </x:c>
      <x:c r="V35" s="16" t="n">
        <x:f>D35^2</x:f>
        <x:v>0.001219224506524482</x:v>
      </x:c>
      <x:c r="W35" s="16" t="n">
        <x:f>2*D35*O35</x:f>
        <x:v>0.017458697735831287</x:v>
      </x:c>
      <x:c r="X35" s="16" t="n">
        <x:f>O35^2</x:f>
        <x:v>0.0625</x:v>
      </x:c>
      <x:c r="Y35" s="16" t="n">
        <x:f>IF(Candidate_Gates!N35="Pass",MAX(0,Q35),0)</x:f>
        <x:v>0</x:v>
      </x:c>
      <x:c r="Z35" s="16" t="n">
        <x:f>D35*J35</x:f>
        <x:v>0.8311677518789318</x:v>
      </x:c>
      <x:c r="AA35" s="16" t="n">
        <x:f>O35*J35+M35*J35*N35</x:f>
        <x:v>5.9509575431640584</x:v>
      </x:c>
      <x:c r="AB35" s="16" t="n">
        <x:f>D35*K35</x:f>
        <x:v>0.9171506227629593</x:v>
      </x:c>
      <x:c r="AC35" s="16" t="n">
        <x:f>O35*K35+M35*K35*N35</x:f>
        <x:v>6.566573840732755</x:v>
      </x:c>
      <x:c r="AD35" s="2" t="str">
        <x:f>IF(AND(C35&gt;=0,F35&gt;0,E35&gt;0,ISNUMBER(G35),COUNTIFS(Trade_Periods!$B$6:$B$125,Assumptions!$C$6,Trade_Periods!$C$6:$C$125,B35,Trade_Periods!$D$6:$D$125,A35)=1,COUNTIFS(Tariffs!$B$6:$B$45,B35,Tariffs!$C$6:$C$45,A35)=1),"Ready","Missing data")</x:f>
        <x:v>Ready</x:v>
      </x:c>
      <x:c r="AE35" s="33" t="n">
        <x:f>IF(D35&gt;0,R35/D35,"n.a.")</x:f>
        <x:v>1.7159755091209166</x:v>
      </x:c>
      <x:c r="AF35" s="33" t="n">
        <x:f>IF(M35&gt;0,IF(D35&gt;0,R35/D35,IF(R35=0,0,"n.a.")),0)</x:f>
        <x:v>1.7159755091209166</x:v>
      </x:c>
      <x:c r="AG35" s="34" t="n">
        <x:f>IF(AND(Assumptions!$F$14="Yes",M35&gt;0),MAX(0,R35-Assumptions!$C$14*D35),0)</x:f>
        <x:v>0</x:v>
      </x:c>
    </x:row>
    <x:row r="36" ht="22" customHeight="1">
      <x:c r="A36" s="2" t="str">
        <x:v>62052000</x:v>
      </x:c>
      <x:c r="B36" s="2" t="str">
        <x:v>Bangladesh</x:v>
      </x:c>
      <x:c r="C36" s="14" t="n">
        <x:f>SUMIFS(Trade_Periods!$F$6:$F$125,Trade_Periods!$B$6:$B$125,"FY2025",Trade_Periods!$C$6:$C$125,B36,Trade_Periods!$D$6:$D$125,A36)</x:f>
        <x:v>4630717</x:v>
      </x:c>
      <x:c r="D36" s="8" t="n">
        <x:f>C36/SUM(C36:C45)</x:f>
        <x:v>0.5474809431056753</x:v>
      </x:c>
      <x:c r="E36" s="14" t="n">
        <x:f>IF(Assumptions!$C$7="Reported",SUMIFS(Trade_Periods!$E$6:$E$125,Trade_Periods!$B$6:$B$125,Assumptions!$C$6,Trade_Periods!$C$6:$C$125,B36,Trade_Periods!$D$6:$D$125,A36),SUMIFS(Trade_Periods!$L$6:$L$125,Trade_Periods!$B$6:$B$125,Assumptions!$C$6,Trade_Periods!$C$6:$C$125,B36,Trade_Periods!$D$6:$D$125,A36))</x:f>
        <x:v>36256449</x:v>
      </x:c>
      <x:c r="F36" s="14" t="n">
        <x:f>IF(Assumptions!$C$7="Reported",SUMIFS(Trade_Periods!$F$6:$F$125,Trade_Periods!$B$6:$B$125,Assumptions!$C$6,Trade_Periods!$C$6:$C$125,B36,Trade_Periods!$D$6:$D$125,A36),SUMIFS(Trade_Periods!$M$6:$M$125,Trade_Periods!$B$6:$B$125,Assumptions!$C$6,Trade_Periods!$C$6:$C$125,B36,Trade_Periods!$D$6:$D$125,A36))</x:f>
        <x:v>2116872</x:v>
      </x:c>
      <x:c r="G36" s="15" t="n">
        <x:f>IF(F36&gt;0,E36/F36,"n.a.")</x:f>
        <x:v>17.12736953391608</x:v>
      </x:c>
      <x:c r="H36" s="8" t="n">
        <x:f>IF(Assumptions!$C$8="2025",SUMIFS(Tariffs!$D$6:$D$45,Tariffs!$B$6:$B$45,B36,Tariffs!$C$6:$C$45,A36),IF(Assumptions!$C$8="1 Jan to 14 Jul 2026",SUMIFS(Tariffs!$E$6:$E$45,Tariffs!$B$6:$B$45,B36,Tariffs!$C$6:$C$45,A36),SUMIFS(Tariffs!$F$6:$F$45,Tariffs!$B$6:$B$45,B36,Tariffs!$C$6:$C$45,A36)))</x:f>
        <x:v>0</x:v>
      </x:c>
      <x:c r="I36" s="8" t="n">
        <x:f>SUMIFS(Tariffs!$G$6:$G$45,Tariffs!$B$6:$B$45,B36,Tariffs!$C$6:$C$45,A36)</x:f>
        <x:v>0.12</x:v>
      </x:c>
      <x:c r="J36" s="15" t="n">
        <x:f>G36*(1+H36)</x:f>
        <x:v>17.12736953391608</x:v>
      </x:c>
      <x:c r="K36" s="15" t="n">
        <x:f>G36*(1+I36)</x:f>
        <x:v>19.182653877986013</x:v>
      </x:c>
      <x:c r="L36" s="15" t="n">
        <x:f>IF(Assumptions!$C$9="Eligible preference",J36,K36)</x:f>
        <x:v>17.12736953391608</x:v>
      </x:c>
      <x:c r="M36" s="8" t="n">
        <x:f>Assumptions!B24</x:f>
        <x:v>0</x:v>
      </x:c>
      <x:c r="N36" s="8" t="n">
        <x:f>Assumptions!C24</x:f>
        <x:v>0</x:v>
      </x:c>
      <x:c r="O36" s="8" t="n">
        <x:f>IF(B36="China",-1,M36)</x:f>
        <x:v>0</x:v>
      </x:c>
      <x:c r="P36" s="8" t="n">
        <x:f>IF(B36="China",D36,IF(M36&gt;0,MAX(0,MIN(Assumptions!$C$10-D36,Assumptions!$C$11,IF(Assumptions!$F$14="Yes",(Assumptions!$C$14-1)*D36,1))/M36),1))</x:f>
        <x:v>1</x:v>
      </x:c>
      <x:c r="Q36" s="8" t="n">
        <x:f>$E54*O36</x:f>
        <x:v>0</x:v>
      </x:c>
      <x:c r="R36" s="8" t="n">
        <x:f>D36+Q36</x:f>
        <x:v>0.5474809431056753</x:v>
      </x:c>
      <x:c r="S36" s="16" t="n">
        <x:f>D36*L36</x:f>
        <x:v>9.376908425347786</x:v>
      </x:c>
      <x:c r="T36" s="16" t="n">
        <x:f>R36*L36+MAX(0,Q36)*L36*N36</x:f>
        <x:v>9.376908425347786</x:v>
      </x:c>
      <x:c r="U36" s="16" t="n">
        <x:f>O36*L36+M36*L36*N36</x:f>
        <x:v>0</x:v>
      </x:c>
      <x:c r="V36" s="16" t="n">
        <x:f>D36^2</x:f>
        <x:v>0.2997353830638797</x:v>
      </x:c>
      <x:c r="W36" s="16" t="n">
        <x:f>2*D36*O36</x:f>
        <x:v>0</x:v>
      </x:c>
      <x:c r="X36" s="16" t="n">
        <x:f>O36^2</x:f>
        <x:v>0</x:v>
      </x:c>
      <x:c r="Y36" s="16" t="n">
        <x:f>IF(Candidate_Gates!N36="Pass",MAX(0,Q36),0)</x:f>
        <x:v>0</x:v>
      </x:c>
      <x:c r="Z36" s="16" t="n">
        <x:f>D36*J36</x:f>
        <x:v>9.376908425347786</x:v>
      </x:c>
      <x:c r="AA36" s="16" t="n">
        <x:f>O36*J36+M36*J36*N36</x:f>
        <x:v>0</x:v>
      </x:c>
      <x:c r="AB36" s="16" t="n">
        <x:f>D36*K36</x:f>
        <x:v>10.502137436389521</x:v>
      </x:c>
      <x:c r="AC36" s="16" t="n">
        <x:f>O36*K36+M36*K36*N36</x:f>
        <x:v>0</x:v>
      </x:c>
      <x:c r="AD36" s="2" t="str">
        <x:f>IF(AND(C36&gt;=0,F36&gt;0,E36&gt;0,ISNUMBER(G36),COUNTIFS(Trade_Periods!$B$6:$B$125,Assumptions!$C$6,Trade_Periods!$C$6:$C$125,B36,Trade_Periods!$D$6:$D$125,A36)=1,COUNTIFS(Tariffs!$B$6:$B$45,B36,Tariffs!$C$6:$C$45,A36)=1),"Ready","Missing data")</x:f>
        <x:v>Ready</x:v>
      </x:c>
      <x:c r="AE36" s="33" t="n">
        <x:f>IF(D36&gt;0,R36/D36,"n.a.")</x:f>
        <x:v>1</x:v>
      </x:c>
      <x:c r="AF36" s="33" t="n">
        <x:f>IF(M36&gt;0,IF(D36&gt;0,R36/D36,IF(R36=0,0,"n.a.")),0)</x:f>
        <x:v>0</x:v>
      </x:c>
      <x:c r="AG36" s="34" t="n">
        <x:f>IF(AND(Assumptions!$F$14="Yes",M36&gt;0),MAX(0,R36-Assumptions!$C$14*D36),0)</x:f>
        <x:v>0</x:v>
      </x:c>
    </x:row>
    <x:row r="37" ht="22" customHeight="1">
      <x:c r="A37" s="2" t="str">
        <x:v>62052000</x:v>
      </x:c>
      <x:c r="B37" s="2" t="str">
        <x:v>Cambodia</x:v>
      </x:c>
      <x:c r="C37" s="14" t="n">
        <x:f>SUMIFS(Trade_Periods!$F$6:$F$125,Trade_Periods!$B$6:$B$125,"FY2025",Trade_Periods!$C$6:$C$125,B37,Trade_Periods!$D$6:$D$125,A37)</x:f>
        <x:v>674204</x:v>
      </x:c>
      <x:c r="D37" s="8" t="n">
        <x:f>C37/SUM(C36:C45)</x:f>
        <x:v>0.07970986820520853</x:v>
      </x:c>
      <x:c r="E37" s="14" t="n">
        <x:f>IF(Assumptions!$C$7="Reported",SUMIFS(Trade_Periods!$E$6:$E$125,Trade_Periods!$B$6:$B$125,Assumptions!$C$6,Trade_Periods!$C$6:$C$125,B37,Trade_Periods!$D$6:$D$125,A37),SUMIFS(Trade_Periods!$L$6:$L$125,Trade_Periods!$B$6:$B$125,Assumptions!$C$6,Trade_Periods!$C$6:$C$125,B37,Trade_Periods!$D$6:$D$125,A37))</x:f>
        <x:v>6216726</x:v>
      </x:c>
      <x:c r="F37" s="14" t="n">
        <x:f>IF(Assumptions!$C$7="Reported",SUMIFS(Trade_Periods!$F$6:$F$125,Trade_Periods!$B$6:$B$125,Assumptions!$C$6,Trade_Periods!$C$6:$C$125,B37,Trade_Periods!$D$6:$D$125,A37),SUMIFS(Trade_Periods!$M$6:$M$125,Trade_Periods!$B$6:$B$125,Assumptions!$C$6,Trade_Periods!$C$6:$C$125,B37,Trade_Periods!$D$6:$D$125,A37))</x:f>
        <x:v>285166</x:v>
      </x:c>
      <x:c r="G37" s="15" t="n">
        <x:f>IF(F37&gt;0,E37/F37,"n.a.")</x:f>
        <x:v>21.800375921393154</x:v>
      </x:c>
      <x:c r="H37" s="8" t="n">
        <x:f>IF(Assumptions!$C$8="2025",SUMIFS(Tariffs!$D$6:$D$45,Tariffs!$B$6:$B$45,B37,Tariffs!$C$6:$C$45,A37),IF(Assumptions!$C$8="1 Jan to 14 Jul 2026",SUMIFS(Tariffs!$E$6:$E$45,Tariffs!$B$6:$B$45,B37,Tariffs!$C$6:$C$45,A37),SUMIFS(Tariffs!$F$6:$F$45,Tariffs!$B$6:$B$45,B37,Tariffs!$C$6:$C$45,A37)))</x:f>
        <x:v>0</x:v>
      </x:c>
      <x:c r="I37" s="8" t="n">
        <x:f>SUMIFS(Tariffs!$G$6:$G$45,Tariffs!$B$6:$B$45,B37,Tariffs!$C$6:$C$45,A37)</x:f>
        <x:v>0.12</x:v>
      </x:c>
      <x:c r="J37" s="15" t="n">
        <x:f>G37*(1+H37)</x:f>
        <x:v>21.800375921393154</x:v>
      </x:c>
      <x:c r="K37" s="15" t="n">
        <x:f>G37*(1+I37)</x:f>
        <x:v>24.416421031960336</x:v>
      </x:c>
      <x:c r="L37" s="15" t="n">
        <x:f>IF(Assumptions!$C$9="Eligible preference",J37,K37)</x:f>
        <x:v>21.800375921393154</x:v>
      </x:c>
      <x:c r="M37" s="8" t="n">
        <x:f>Assumptions!B25</x:f>
        <x:v>0</x:v>
      </x:c>
      <x:c r="N37" s="8" t="n">
        <x:f>Assumptions!C25</x:f>
        <x:v>0</x:v>
      </x:c>
      <x:c r="O37" s="8" t="n">
        <x:f>IF(B37="China",-1,M37)</x:f>
        <x:v>0</x:v>
      </x:c>
      <x:c r="P37" s="8" t="n">
        <x:f>IF(B37="China",D37,IF(M37&gt;0,MAX(0,MIN(Assumptions!$C$10-D37,Assumptions!$C$11,IF(Assumptions!$F$14="Yes",(Assumptions!$C$14-1)*D37,1))/M37),1))</x:f>
        <x:v>1</x:v>
      </x:c>
      <x:c r="Q37" s="8" t="n">
        <x:f>$E54*O37</x:f>
        <x:v>0</x:v>
      </x:c>
      <x:c r="R37" s="8" t="n">
        <x:f>D37+Q37</x:f>
        <x:v>0.07970986820520853</x:v>
      </x:c>
      <x:c r="S37" s="16" t="n">
        <x:f>D37*L37</x:f>
        <x:v>1.73770509151825</x:v>
      </x:c>
      <x:c r="T37" s="16" t="n">
        <x:f>R37*L37+MAX(0,Q37)*L37*N37</x:f>
        <x:v>1.73770509151825</x:v>
      </x:c>
      <x:c r="U37" s="16" t="n">
        <x:f>O37*L37+M37*L37*N37</x:f>
        <x:v>0</x:v>
      </x:c>
      <x:c r="V37" s="16" t="n">
        <x:f>D37^2</x:f>
        <x:v>0.0063536630892917145</x:v>
      </x:c>
      <x:c r="W37" s="16" t="n">
        <x:f>2*D37*O37</x:f>
        <x:v>0</x:v>
      </x:c>
      <x:c r="X37" s="16" t="n">
        <x:f>O37^2</x:f>
        <x:v>0</x:v>
      </x:c>
      <x:c r="Y37" s="16" t="n">
        <x:f>IF(Candidate_Gates!N37="Pass",MAX(0,Q37),0)</x:f>
        <x:v>0</x:v>
      </x:c>
      <x:c r="Z37" s="16" t="n">
        <x:f>D37*J37</x:f>
        <x:v>1.73770509151825</x:v>
      </x:c>
      <x:c r="AA37" s="16" t="n">
        <x:f>O37*J37+M37*J37*N37</x:f>
        <x:v>0</x:v>
      </x:c>
      <x:c r="AB37" s="16" t="n">
        <x:f>D37*K37</x:f>
        <x:v>1.9462297025004403</x:v>
      </x:c>
      <x:c r="AC37" s="16" t="n">
        <x:f>O37*K37+M37*K37*N37</x:f>
        <x:v>0</x:v>
      </x:c>
      <x:c r="AD37" s="2" t="str">
        <x:f>IF(AND(C37&gt;=0,F37&gt;0,E37&gt;0,ISNUMBER(G37),COUNTIFS(Trade_Periods!$B$6:$B$125,Assumptions!$C$6,Trade_Periods!$C$6:$C$125,B37,Trade_Periods!$D$6:$D$125,A37)=1,COUNTIFS(Tariffs!$B$6:$B$45,B37,Tariffs!$C$6:$C$45,A37)=1),"Ready","Missing data")</x:f>
        <x:v>Ready</x:v>
      </x:c>
      <x:c r="AE37" s="33" t="n">
        <x:f>IF(D37&gt;0,R37/D37,"n.a.")</x:f>
        <x:v>1</x:v>
      </x:c>
      <x:c r="AF37" s="33" t="n">
        <x:f>IF(M37&gt;0,IF(D37&gt;0,R37/D37,IF(R37=0,0,"n.a.")),0)</x:f>
        <x:v>0</x:v>
      </x:c>
      <x:c r="AG37" s="34" t="n">
        <x:f>IF(AND(Assumptions!$F$14="Yes",M37&gt;0),MAX(0,R37-Assumptions!$C$14*D37),0)</x:f>
        <x:v>0</x:v>
      </x:c>
    </x:row>
    <x:row r="38" ht="22" customHeight="1">
      <x:c r="A38" s="2" t="str">
        <x:v>62052000</x:v>
      </x:c>
      <x:c r="B38" s="2" t="str">
        <x:v>China</x:v>
      </x:c>
      <x:c r="C38" s="14" t="n">
        <x:f>SUMIFS(Trade_Periods!$F$6:$F$125,Trade_Periods!$B$6:$B$125,"FY2025",Trade_Periods!$C$6:$C$125,B38,Trade_Periods!$D$6:$D$125,A38)</x:f>
        <x:v>584970</x:v>
      </x:c>
      <x:c r="D38" s="8" t="n">
        <x:f>C38/SUM(C36:C45)</x:f>
        <x:v>0.06915990057015509</x:v>
      </x:c>
      <x:c r="E38" s="14" t="n">
        <x:f>IF(Assumptions!$C$7="Reported",SUMIFS(Trade_Periods!$E$6:$E$125,Trade_Periods!$B$6:$B$125,Assumptions!$C$6,Trade_Periods!$C$6:$C$125,B38,Trade_Periods!$D$6:$D$125,A38),SUMIFS(Trade_Periods!$L$6:$L$125,Trade_Periods!$B$6:$B$125,Assumptions!$C$6,Trade_Periods!$C$6:$C$125,B38,Trade_Periods!$D$6:$D$125,A38))</x:f>
        <x:v>5317772</x:v>
      </x:c>
      <x:c r="F38" s="14" t="n">
        <x:f>IF(Assumptions!$C$7="Reported",SUMIFS(Trade_Periods!$F$6:$F$125,Trade_Periods!$B$6:$B$125,Assumptions!$C$6,Trade_Periods!$C$6:$C$125,B38,Trade_Periods!$D$6:$D$125,A38),SUMIFS(Trade_Periods!$M$6:$M$125,Trade_Periods!$B$6:$B$125,Assumptions!$C$6,Trade_Periods!$C$6:$C$125,B38,Trade_Periods!$D$6:$D$125,A38))</x:f>
        <x:v>245226</x:v>
      </x:c>
      <x:c r="G38" s="15" t="n">
        <x:f>IF(F38&gt;0,E38/F38,"n.a.")</x:f>
        <x:v>21.68518835686265</x:v>
      </x:c>
      <x:c r="H38" s="8" t="n">
        <x:f>IF(Assumptions!$C$8="2025",SUMIFS(Tariffs!$D$6:$D$45,Tariffs!$B$6:$B$45,B38,Tariffs!$C$6:$C$45,A38),IF(Assumptions!$C$8="1 Jan to 14 Jul 2026",SUMIFS(Tariffs!$E$6:$E$45,Tariffs!$B$6:$B$45,B38,Tariffs!$C$6:$C$45,A38),SUMIFS(Tariffs!$F$6:$F$45,Tariffs!$B$6:$B$45,B38,Tariffs!$C$6:$C$45,A38)))</x:f>
        <x:v>0.12</x:v>
      </x:c>
      <x:c r="I38" s="8" t="n">
        <x:f>SUMIFS(Tariffs!$G$6:$G$45,Tariffs!$B$6:$B$45,B38,Tariffs!$C$6:$C$45,A38)</x:f>
        <x:v>0.12</x:v>
      </x:c>
      <x:c r="J38" s="15" t="n">
        <x:f>G38*(1+H38)</x:f>
        <x:v>24.28741095968617</x:v>
      </x:c>
      <x:c r="K38" s="15" t="n">
        <x:f>G38*(1+I38)</x:f>
        <x:v>24.28741095968617</x:v>
      </x:c>
      <x:c r="L38" s="15" t="n">
        <x:f>IF(Assumptions!$C$9="Eligible preference",J38,K38)</x:f>
        <x:v>24.28741095968617</x:v>
      </x:c>
      <x:c r="M38" s="8" t="n">
        <x:f>Assumptions!B26</x:f>
        <x:v>0</x:v>
      </x:c>
      <x:c r="N38" s="8" t="n">
        <x:f>Assumptions!C26</x:f>
        <x:v>0</x:v>
      </x:c>
      <x:c r="O38" s="8" t="n">
        <x:f>IF(B38="China",-1,M38)</x:f>
        <x:v>-1</x:v>
      </x:c>
      <x:c r="P38" s="8" t="n">
        <x:f>IF(B38="China",D38,IF(M38&gt;0,MAX(0,MIN(Assumptions!$C$10-D38,Assumptions!$C$11,IF(Assumptions!$F$14="Yes",(Assumptions!$C$14-1)*D38,1))/M38),1))</x:f>
        <x:v>0.06915990057015509</x:v>
      </x:c>
      <x:c r="Q38" s="8" t="n">
        <x:f>$E54*O38</x:f>
        <x:v>-0.06915990057015509</x:v>
      </x:c>
      <x:c r="R38" s="8" t="n">
        <x:f>D38+Q38</x:f>
        <x:v>0</x:v>
      </x:c>
      <x:c r="S38" s="16" t="n">
        <x:f>D38*L38</x:f>
        <x:v>1.6797149270783904</x:v>
      </x:c>
      <x:c r="T38" s="16" t="n">
        <x:f>R38*L38+MAX(0,Q38)*L38*N38</x:f>
        <x:v>0</x:v>
      </x:c>
      <x:c r="U38" s="16" t="n">
        <x:f>O38*L38+M38*L38*N38</x:f>
        <x:v>-24.28741095968617</x:v>
      </x:c>
      <x:c r="V38" s="16" t="n">
        <x:f>D38^2</x:f>
        <x:v>0.0047830918468737375</x:v>
      </x:c>
      <x:c r="W38" s="16" t="n">
        <x:f>2*D38*O38</x:f>
        <x:v>-0.13831980114031017</x:v>
      </x:c>
      <x:c r="X38" s="16" t="n">
        <x:f>O38^2</x:f>
        <x:v>1</x:v>
      </x:c>
      <x:c r="Y38" s="16" t="n">
        <x:f>IF(Candidate_Gates!N38="Pass",MAX(0,Q38),0)</x:f>
        <x:v>0</x:v>
      </x:c>
      <x:c r="Z38" s="16" t="n">
        <x:f>D38*J38</x:f>
        <x:v>1.6797149270783904</x:v>
      </x:c>
      <x:c r="AA38" s="16" t="n">
        <x:f>O38*J38+M38*J38*N38</x:f>
        <x:v>-24.28741095968617</x:v>
      </x:c>
      <x:c r="AB38" s="16" t="n">
        <x:f>D38*K38</x:f>
        <x:v>1.6797149270783904</x:v>
      </x:c>
      <x:c r="AC38" s="16" t="n">
        <x:f>O38*K38+M38*K38*N38</x:f>
        <x:v>-24.28741095968617</x:v>
      </x:c>
      <x:c r="AD38" s="2" t="str">
        <x:f>IF(AND(C38&gt;=0,F38&gt;0,E38&gt;0,ISNUMBER(G38),COUNTIFS(Trade_Periods!$B$6:$B$125,Assumptions!$C$6,Trade_Periods!$C$6:$C$125,B38,Trade_Periods!$D$6:$D$125,A38)=1,COUNTIFS(Tariffs!$B$6:$B$45,B38,Tariffs!$C$6:$C$45,A38)=1),"Ready","Missing data")</x:f>
        <x:v>Ready</x:v>
      </x:c>
      <x:c r="AE38" s="33" t="n">
        <x:f>IF(D38&gt;0,R38/D38,"n.a.")</x:f>
        <x:v>0</x:v>
      </x:c>
      <x:c r="AF38" s="33" t="n">
        <x:f>IF(M38&gt;0,IF(D38&gt;0,R38/D38,IF(R38=0,0,"n.a.")),0)</x:f>
        <x:v>0</x:v>
      </x:c>
      <x:c r="AG38" s="34" t="n">
        <x:f>IF(AND(Assumptions!$F$14="Yes",M38&gt;0),MAX(0,R38-Assumptions!$C$14*D38),0)</x:f>
        <x:v>0</x:v>
      </x:c>
    </x:row>
    <x:row r="39" ht="22" customHeight="1">
      <x:c r="A39" s="2" t="str">
        <x:v>62052000</x:v>
      </x:c>
      <x:c r="B39" s="2" t="str">
        <x:v>India</x:v>
      </x:c>
      <x:c r="C39" s="14" t="n">
        <x:f>SUMIFS(Trade_Periods!$F$6:$F$125,Trade_Periods!$B$6:$B$125,"FY2025",Trade_Periods!$C$6:$C$125,B39,Trade_Periods!$D$6:$D$125,A39)</x:f>
        <x:v>1414140</x:v>
      </x:c>
      <x:c r="D39" s="8" t="n">
        <x:f>C39/SUM(C36:C45)</x:f>
        <x:v>0.16719110688117186</x:v>
      </x:c>
      <x:c r="E39" s="14" t="n">
        <x:f>IF(Assumptions!$C$7="Reported",SUMIFS(Trade_Periods!$E$6:$E$125,Trade_Periods!$B$6:$B$125,Assumptions!$C$6,Trade_Periods!$C$6:$C$125,B39,Trade_Periods!$D$6:$D$125,A39),SUMIFS(Trade_Periods!$L$6:$L$125,Trade_Periods!$B$6:$B$125,Assumptions!$C$6,Trade_Periods!$C$6:$C$125,B39,Trade_Periods!$D$6:$D$125,A39))</x:f>
        <x:v>16147727</x:v>
      </x:c>
      <x:c r="F39" s="14" t="n">
        <x:f>IF(Assumptions!$C$7="Reported",SUMIFS(Trade_Periods!$F$6:$F$125,Trade_Periods!$B$6:$B$125,Assumptions!$C$6,Trade_Periods!$C$6:$C$125,B39,Trade_Periods!$D$6:$D$125,A39),SUMIFS(Trade_Periods!$M$6:$M$125,Trade_Periods!$B$6:$B$125,Assumptions!$C$6,Trade_Periods!$C$6:$C$125,B39,Trade_Periods!$D$6:$D$125,A39))</x:f>
        <x:v>737427</x:v>
      </x:c>
      <x:c r="G39" s="15" t="n">
        <x:f>IF(F39&gt;0,E39/F39,"n.a.")</x:f>
        <x:v>21.897390521366862</x:v>
      </x:c>
      <x:c r="H39" s="8" t="n">
        <x:f>IF(Assumptions!$C$8="2025",SUMIFS(Tariffs!$D$6:$D$45,Tariffs!$B$6:$B$45,B39,Tariffs!$C$6:$C$45,A39),IF(Assumptions!$C$8="1 Jan to 14 Jul 2026",SUMIFS(Tariffs!$E$6:$E$45,Tariffs!$B$6:$B$45,B39,Tariffs!$C$6:$C$45,A39),SUMIFS(Tariffs!$F$6:$F$45,Tariffs!$B$6:$B$45,B39,Tariffs!$C$6:$C$45,A39)))</x:f>
        <x:v>0</x:v>
      </x:c>
      <x:c r="I39" s="8" t="n">
        <x:f>SUMIFS(Tariffs!$G$6:$G$45,Tariffs!$B$6:$B$45,B39,Tariffs!$C$6:$C$45,A39)</x:f>
        <x:v>0.12</x:v>
      </x:c>
      <x:c r="J39" s="15" t="n">
        <x:f>G39*(1+H39)</x:f>
        <x:v>21.897390521366862</x:v>
      </x:c>
      <x:c r="K39" s="15" t="n">
        <x:f>G39*(1+I39)</x:f>
        <x:v>24.52507738393089</x:v>
      </x:c>
      <x:c r="L39" s="15" t="n">
        <x:f>IF(Assumptions!$C$9="Eligible preference",J39,K39)</x:f>
        <x:v>21.897390521366862</x:v>
      </x:c>
      <x:c r="M39" s="8" t="n">
        <x:f>Assumptions!B27</x:f>
        <x:v>0.5</x:v>
      </x:c>
      <x:c r="N39" s="8" t="n">
        <x:f>Assumptions!C27</x:f>
        <x:v>0</x:v>
      </x:c>
      <x:c r="O39" s="8" t="n">
        <x:f>IF(B39="China",-1,M39)</x:f>
        <x:v>0.5</x:v>
      </x:c>
      <x:c r="P39" s="8" t="n">
        <x:f>IF(B39="China",D39,IF(M39&gt;0,MAX(0,MIN(Assumptions!$C$10-D39,Assumptions!$C$11,IF(Assumptions!$F$14="Yes",(Assumptions!$C$14-1)*D39,1))/M39),1))</x:f>
        <x:v>0.2</x:v>
      </x:c>
      <x:c r="Q39" s="8" t="n">
        <x:f>$E54*O39</x:f>
        <x:v>0.03457995028507754</x:v>
      </x:c>
      <x:c r="R39" s="8" t="n">
        <x:f>D39+Q39</x:f>
        <x:v>0.2017710571662494</x:v>
      </x:c>
      <x:c r="S39" s="16" t="n">
        <x:f>D39*L39</x:f>
        <x:v>3.6610489590766067</x:v>
      </x:c>
      <x:c r="T39" s="16" t="n">
        <x:f>R39*L39+MAX(0,Q39)*L39*N39</x:f>
        <x:v>4.418259634678401</x:v>
      </x:c>
      <x:c r="U39" s="16" t="n">
        <x:f>O39*L39+M39*L39*N39</x:f>
        <x:v>10.948695260683431</x:v>
      </x:c>
      <x:c r="V39" s="16" t="n">
        <x:f>D39^2</x:f>
        <x:v>0.027952866220151435</x:v>
      </x:c>
      <x:c r="W39" s="16" t="n">
        <x:f>2*D39*O39</x:f>
        <x:v>0.16719110688117186</x:v>
      </x:c>
      <x:c r="X39" s="16" t="n">
        <x:f>O39^2</x:f>
        <x:v>0.25</x:v>
      </x:c>
      <x:c r="Y39" s="16" t="n">
        <x:f>IF(Candidate_Gates!N39="Pass",MAX(0,Q39),0)</x:f>
        <x:v>0</x:v>
      </x:c>
      <x:c r="Z39" s="16" t="n">
        <x:f>D39*J39</x:f>
        <x:v>3.6610489590766067</x:v>
      </x:c>
      <x:c r="AA39" s="16" t="n">
        <x:f>O39*J39+M39*J39*N39</x:f>
        <x:v>10.948695260683431</x:v>
      </x:c>
      <x:c r="AB39" s="16" t="n">
        <x:f>D39*K39</x:f>
        <x:v>4.1003748341658</x:v>
      </x:c>
      <x:c r="AC39" s="16" t="n">
        <x:f>O39*K39+M39*K39*N39</x:f>
        <x:v>12.262538691965444</x:v>
      </x:c>
      <x:c r="AD39" s="2" t="str">
        <x:f>IF(AND(C39&gt;=0,F39&gt;0,E39&gt;0,ISNUMBER(G39),COUNTIFS(Trade_Periods!$B$6:$B$125,Assumptions!$C$6,Trade_Periods!$C$6:$C$125,B39,Trade_Periods!$D$6:$D$125,A39)=1,COUNTIFS(Tariffs!$B$6:$B$45,B39,Tariffs!$C$6:$C$45,A39)=1),"Ready","Missing data")</x:f>
        <x:v>Ready</x:v>
      </x:c>
      <x:c r="AE39" s="33" t="n">
        <x:f>IF(D39&gt;0,R39/D39,"n.a.")</x:f>
        <x:v>1.206828885400314</x:v>
      </x:c>
      <x:c r="AF39" s="33" t="n">
        <x:f>IF(M39&gt;0,IF(D39&gt;0,R39/D39,IF(R39=0,0,"n.a.")),0)</x:f>
        <x:v>1.206828885400314</x:v>
      </x:c>
      <x:c r="AG39" s="34" t="n">
        <x:f>IF(AND(Assumptions!$F$14="Yes",M39&gt;0),MAX(0,R39-Assumptions!$C$14*D39),0)</x:f>
        <x:v>0</x:v>
      </x:c>
    </x:row>
    <x:row r="40" ht="22" customHeight="1">
      <x:c r="A40" s="2" t="str">
        <x:v>62052000</x:v>
      </x:c>
      <x:c r="B40" s="2" t="str">
        <x:v>Morocco</x:v>
      </x:c>
      <x:c r="C40" s="14" t="n">
        <x:f>SUMIFS(Trade_Periods!$F$6:$F$125,Trade_Periods!$B$6:$B$125,"FY2025",Trade_Periods!$C$6:$C$125,B40,Trade_Periods!$D$6:$D$125,A40)</x:f>
        <x:v>33234</x:v>
      </x:c>
      <x:c r="D40" s="8" t="n">
        <x:f>C40/SUM(C36:C45)</x:f>
        <x:v>0.003929193181784594</x:v>
      </x:c>
      <x:c r="E40" s="14" t="n">
        <x:f>IF(Assumptions!$C$7="Reported",SUMIFS(Trade_Periods!$E$6:$E$125,Trade_Periods!$B$6:$B$125,Assumptions!$C$6,Trade_Periods!$C$6:$C$125,B40,Trade_Periods!$D$6:$D$125,A40),SUMIFS(Trade_Periods!$L$6:$L$125,Trade_Periods!$B$6:$B$125,Assumptions!$C$6,Trade_Periods!$C$6:$C$125,B40,Trade_Periods!$D$6:$D$125,A40))</x:f>
        <x:v>561115</x:v>
      </x:c>
      <x:c r="F40" s="14" t="n">
        <x:f>IF(Assumptions!$C$7="Reported",SUMIFS(Trade_Periods!$F$6:$F$125,Trade_Periods!$B$6:$B$125,Assumptions!$C$6,Trade_Periods!$C$6:$C$125,B40,Trade_Periods!$D$6:$D$125,A40),SUMIFS(Trade_Periods!$M$6:$M$125,Trade_Periods!$B$6:$B$125,Assumptions!$C$6,Trade_Periods!$C$6:$C$125,B40,Trade_Periods!$D$6:$D$125,A40))</x:f>
        <x:v>15750</x:v>
      </x:c>
      <x:c r="G40" s="15" t="n">
        <x:f>IF(F40&gt;0,E40/F40,"n.a.")</x:f>
        <x:v>35.626349206349204</x:v>
      </x:c>
      <x:c r="H40" s="8" t="n">
        <x:f>IF(Assumptions!$C$8="2025",SUMIFS(Tariffs!$D$6:$D$45,Tariffs!$B$6:$B$45,B40,Tariffs!$C$6:$C$45,A40),IF(Assumptions!$C$8="1 Jan to 14 Jul 2026",SUMIFS(Tariffs!$E$6:$E$45,Tariffs!$B$6:$B$45,B40,Tariffs!$C$6:$C$45,A40),SUMIFS(Tariffs!$F$6:$F$45,Tariffs!$B$6:$B$45,B40,Tariffs!$C$6:$C$45,A40)))</x:f>
        <x:v>0</x:v>
      </x:c>
      <x:c r="I40" s="8" t="n">
        <x:f>SUMIFS(Tariffs!$G$6:$G$45,Tariffs!$B$6:$B$45,B40,Tariffs!$C$6:$C$45,A40)</x:f>
        <x:v>0.12</x:v>
      </x:c>
      <x:c r="J40" s="15" t="n">
        <x:f>G40*(1+H40)</x:f>
        <x:v>35.626349206349204</x:v>
      </x:c>
      <x:c r="K40" s="15" t="n">
        <x:f>G40*(1+I40)</x:f>
        <x:v>39.90151111111111</x:v>
      </x:c>
      <x:c r="L40" s="15" t="n">
        <x:f>IF(Assumptions!$C$9="Eligible preference",J40,K40)</x:f>
        <x:v>35.626349206349204</x:v>
      </x:c>
      <x:c r="M40" s="8" t="n">
        <x:f>Assumptions!B28</x:f>
        <x:v>0</x:v>
      </x:c>
      <x:c r="N40" s="8" t="n">
        <x:f>Assumptions!C28</x:f>
        <x:v>0</x:v>
      </x:c>
      <x:c r="O40" s="8" t="n">
        <x:f>IF(B40="China",-1,M40)</x:f>
        <x:v>0</x:v>
      </x:c>
      <x:c r="P40" s="8" t="n">
        <x:f>IF(B40="China",D40,IF(M40&gt;0,MAX(0,MIN(Assumptions!$C$10-D40,Assumptions!$C$11,IF(Assumptions!$F$14="Yes",(Assumptions!$C$14-1)*D40,1))/M40),1))</x:f>
        <x:v>1</x:v>
      </x:c>
      <x:c r="Q40" s="8" t="n">
        <x:f>$E54*O40</x:f>
        <x:v>0</x:v>
      </x:c>
      <x:c r="R40" s="8" t="n">
        <x:f>D40+Q40</x:f>
        <x:v>0.003929193181784594</x:v>
      </x:c>
      <x:c r="S40" s="16" t="n">
        <x:f>D40*L40</x:f>
        <x:v>0.13998280839346428</x:v>
      </x:c>
      <x:c r="T40" s="16" t="n">
        <x:f>R40*L40+MAX(0,Q40)*L40*N40</x:f>
        <x:v>0.13998280839346428</x:v>
      </x:c>
      <x:c r="U40" s="16" t="n">
        <x:f>O40*L40+M40*L40*N40</x:f>
        <x:v>0</x:v>
      </x:c>
      <x:c r="V40" s="16" t="n">
        <x:f>D40^2</x:f>
        <x:v>0.000015438559059782545</x:v>
      </x:c>
      <x:c r="W40" s="16" t="n">
        <x:f>2*D40*O40</x:f>
        <x:v>0</x:v>
      </x:c>
      <x:c r="X40" s="16" t="n">
        <x:f>O40^2</x:f>
        <x:v>0</x:v>
      </x:c>
      <x:c r="Y40" s="16" t="n">
        <x:f>IF(Candidate_Gates!N40="Pass",MAX(0,Q40),0)</x:f>
        <x:v>0</x:v>
      </x:c>
      <x:c r="Z40" s="16" t="n">
        <x:f>D40*J40</x:f>
        <x:v>0.13998280839346428</x:v>
      </x:c>
      <x:c r="AA40" s="16" t="n">
        <x:f>O40*J40+M40*J40*N40</x:f>
        <x:v>0</x:v>
      </x:c>
      <x:c r="AB40" s="16" t="n">
        <x:f>D40*K40</x:f>
        <x:v>0.15678074540068002</x:v>
      </x:c>
      <x:c r="AC40" s="16" t="n">
        <x:f>O40*K40+M40*K40*N40</x:f>
        <x:v>0</x:v>
      </x:c>
      <x:c r="AD40" s="2" t="str">
        <x:f>IF(AND(C40&gt;=0,F40&gt;0,E40&gt;0,ISNUMBER(G40),COUNTIFS(Trade_Periods!$B$6:$B$125,Assumptions!$C$6,Trade_Periods!$C$6:$C$125,B40,Trade_Periods!$D$6:$D$125,A40)=1,COUNTIFS(Tariffs!$B$6:$B$45,B40,Tariffs!$C$6:$C$45,A40)=1),"Ready","Missing data")</x:f>
        <x:v>Ready</x:v>
      </x:c>
      <x:c r="AE40" s="33" t="n">
        <x:f>IF(D40&gt;0,R40/D40,"n.a.")</x:f>
        <x:v>1</x:v>
      </x:c>
      <x:c r="AF40" s="33" t="n">
        <x:f>IF(M40&gt;0,IF(D40&gt;0,R40/D40,IF(R40=0,0,"n.a.")),0)</x:f>
        <x:v>0</x:v>
      </x:c>
      <x:c r="AG40" s="34" t="n">
        <x:f>IF(AND(Assumptions!$F$14="Yes",M40&gt;0),MAX(0,R40-Assumptions!$C$14*D40),0)</x:f>
        <x:v>0</x:v>
      </x:c>
    </x:row>
    <x:row r="41" ht="22" customHeight="1">
      <x:c r="A41" s="2" t="str">
        <x:v>62052000</x:v>
      </x:c>
      <x:c r="B41" s="2" t="str">
        <x:v>Myanmar</x:v>
      </x:c>
      <x:c r="C41" s="14" t="n">
        <x:f>SUMIFS(Trade_Periods!$F$6:$F$125,Trade_Periods!$B$6:$B$125,"FY2025",Trade_Periods!$C$6:$C$125,B41,Trade_Periods!$D$6:$D$125,A41)</x:f>
        <x:v>54446</x:v>
      </x:c>
      <x:c r="D41" s="8" t="n">
        <x:f>C41/SUM(C36:C45)</x:f>
        <x:v>0.006437047962190649</x:v>
      </x:c>
      <x:c r="E41" s="14" t="n">
        <x:f>IF(Assumptions!$C$7="Reported",SUMIFS(Trade_Periods!$E$6:$E$125,Trade_Periods!$B$6:$B$125,Assumptions!$C$6,Trade_Periods!$C$6:$C$125,B41,Trade_Periods!$D$6:$D$125,A41),SUMIFS(Trade_Periods!$L$6:$L$125,Trade_Periods!$B$6:$B$125,Assumptions!$C$6,Trade_Periods!$C$6:$C$125,B41,Trade_Periods!$D$6:$D$125,A41))</x:f>
        <x:v>438060</x:v>
      </x:c>
      <x:c r="F41" s="14" t="n">
        <x:f>IF(Assumptions!$C$7="Reported",SUMIFS(Trade_Periods!$F$6:$F$125,Trade_Periods!$B$6:$B$125,Assumptions!$C$6,Trade_Periods!$C$6:$C$125,B41,Trade_Periods!$D$6:$D$125,A41),SUMIFS(Trade_Periods!$M$6:$M$125,Trade_Periods!$B$6:$B$125,Assumptions!$C$6,Trade_Periods!$C$6:$C$125,B41,Trade_Periods!$D$6:$D$125,A41))</x:f>
        <x:v>30188</x:v>
      </x:c>
      <x:c r="G41" s="15" t="n">
        <x:f>IF(F41&gt;0,E41/F41,"n.a.")</x:f>
        <x:v>14.511063998939976</x:v>
      </x:c>
      <x:c r="H41" s="8" t="n">
        <x:f>IF(Assumptions!$C$8="2025",SUMIFS(Tariffs!$D$6:$D$45,Tariffs!$B$6:$B$45,B41,Tariffs!$C$6:$C$45,A41),IF(Assumptions!$C$8="1 Jan to 14 Jul 2026",SUMIFS(Tariffs!$E$6:$E$45,Tariffs!$B$6:$B$45,B41,Tariffs!$C$6:$C$45,A41),SUMIFS(Tariffs!$F$6:$F$45,Tariffs!$B$6:$B$45,B41,Tariffs!$C$6:$C$45,A41)))</x:f>
        <x:v>0</x:v>
      </x:c>
      <x:c r="I41" s="8" t="n">
        <x:f>SUMIFS(Tariffs!$G$6:$G$45,Tariffs!$B$6:$B$45,B41,Tariffs!$C$6:$C$45,A41)</x:f>
        <x:v>0.12</x:v>
      </x:c>
      <x:c r="J41" s="15" t="n">
        <x:f>G41*(1+H41)</x:f>
        <x:v>14.511063998939976</x:v>
      </x:c>
      <x:c r="K41" s="15" t="n">
        <x:f>G41*(1+I41)</x:f>
        <x:v>16.252391678812774</x:v>
      </x:c>
      <x:c r="L41" s="15" t="n">
        <x:f>IF(Assumptions!$C$9="Eligible preference",J41,K41)</x:f>
        <x:v>14.511063998939976</x:v>
      </x:c>
      <x:c r="M41" s="8" t="n">
        <x:f>Assumptions!B29</x:f>
        <x:v>0</x:v>
      </x:c>
      <x:c r="N41" s="8" t="n">
        <x:f>Assumptions!C29</x:f>
        <x:v>0</x:v>
      </x:c>
      <x:c r="O41" s="8" t="n">
        <x:f>IF(B41="China",-1,M41)</x:f>
        <x:v>0</x:v>
      </x:c>
      <x:c r="P41" s="8" t="n">
        <x:f>IF(B41="China",D41,IF(M41&gt;0,MAX(0,MIN(Assumptions!$C$10-D41,Assumptions!$C$11,IF(Assumptions!$F$14="Yes",(Assumptions!$C$14-1)*D41,1))/M41),1))</x:f>
        <x:v>1</x:v>
      </x:c>
      <x:c r="Q41" s="8" t="n">
        <x:f>$E54*O41</x:f>
        <x:v>0</x:v>
      </x:c>
      <x:c r="R41" s="8" t="n">
        <x:f>D41+Q41</x:f>
        <x:v>0.006437047962190649</x:v>
      </x:c>
      <x:c r="S41" s="16" t="n">
        <x:f>D41*L41</x:f>
        <x:v>0.09340841494359466</x:v>
      </x:c>
      <x:c r="T41" s="16" t="n">
        <x:f>R41*L41+MAX(0,Q41)*L41*N41</x:f>
        <x:v>0.09340841494359466</x:v>
      </x:c>
      <x:c r="U41" s="16" t="n">
        <x:f>O41*L41+M41*L41*N41</x:f>
        <x:v>0</x:v>
      </x:c>
      <x:c r="V41" s="16" t="n">
        <x:f>D41^2</x:f>
        <x:v>0.00004143558646754278</x:v>
      </x:c>
      <x:c r="W41" s="16" t="n">
        <x:f>2*D41*O41</x:f>
        <x:v>0</x:v>
      </x:c>
      <x:c r="X41" s="16" t="n">
        <x:f>O41^2</x:f>
        <x:v>0</x:v>
      </x:c>
      <x:c r="Y41" s="16" t="n">
        <x:f>IF(Candidate_Gates!N41="Pass",MAX(0,Q41),0)</x:f>
        <x:v>0</x:v>
      </x:c>
      <x:c r="Z41" s="16" t="n">
        <x:f>D41*J41</x:f>
        <x:v>0.09340841494359466</x:v>
      </x:c>
      <x:c r="AA41" s="16" t="n">
        <x:f>O41*J41+M41*J41*N41</x:f>
        <x:v>0</x:v>
      </x:c>
      <x:c r="AB41" s="16" t="n">
        <x:f>D41*K41</x:f>
        <x:v>0.10461742473682603</x:v>
      </x:c>
      <x:c r="AC41" s="16" t="n">
        <x:f>O41*K41+M41*K41*N41</x:f>
        <x:v>0</x:v>
      </x:c>
      <x:c r="AD41" s="2" t="str">
        <x:f>IF(AND(C41&gt;=0,F41&gt;0,E41&gt;0,ISNUMBER(G41),COUNTIFS(Trade_Periods!$B$6:$B$125,Assumptions!$C$6,Trade_Periods!$C$6:$C$125,B41,Trade_Periods!$D$6:$D$125,A41)=1,COUNTIFS(Tariffs!$B$6:$B$45,B41,Tariffs!$C$6:$C$45,A41)=1),"Ready","Missing data")</x:f>
        <x:v>Ready</x:v>
      </x:c>
      <x:c r="AE41" s="33" t="n">
        <x:f>IF(D41&gt;0,R41/D41,"n.a.")</x:f>
        <x:v>1</x:v>
      </x:c>
      <x:c r="AF41" s="33" t="n">
        <x:f>IF(M41&gt;0,IF(D41&gt;0,R41/D41,IF(R41=0,0,"n.a.")),0)</x:f>
        <x:v>0</x:v>
      </x:c>
      <x:c r="AG41" s="34" t="n">
        <x:f>IF(AND(Assumptions!$F$14="Yes",M41&gt;0),MAX(0,R41-Assumptions!$C$14*D41),0)</x:f>
        <x:v>0</x:v>
      </x:c>
    </x:row>
    <x:row r="42" ht="22" customHeight="1">
      <x:c r="A42" s="2" t="str">
        <x:v>62052000</x:v>
      </x:c>
      <x:c r="B42" s="2" t="str">
        <x:v>Pakistan</x:v>
      </x:c>
      <x:c r="C42" s="14" t="n">
        <x:f>SUMIFS(Trade_Periods!$F$6:$F$125,Trade_Periods!$B$6:$B$125,"FY2025",Trade_Periods!$C$6:$C$125,B42,Trade_Periods!$D$6:$D$125,A42)</x:f>
        <x:v>69348</x:v>
      </x:c>
      <x:c r="D42" s="8" t="n">
        <x:f>C42/SUM(C36:C45)</x:f>
        <x:v>0.008198883335451587</x:v>
      </x:c>
      <x:c r="E42" s="14" t="n">
        <x:f>IF(Assumptions!$C$7="Reported",SUMIFS(Trade_Periods!$E$6:$E$125,Trade_Periods!$B$6:$B$125,Assumptions!$C$6,Trade_Periods!$C$6:$C$125,B42,Trade_Periods!$D$6:$D$125,A42),SUMIFS(Trade_Periods!$L$6:$L$125,Trade_Periods!$B$6:$B$125,Assumptions!$C$6,Trade_Periods!$C$6:$C$125,B42,Trade_Periods!$D$6:$D$125,A42))</x:f>
        <x:v>358538</x:v>
      </x:c>
      <x:c r="F42" s="14" t="n">
        <x:f>IF(Assumptions!$C$7="Reported",SUMIFS(Trade_Periods!$F$6:$F$125,Trade_Periods!$B$6:$B$125,Assumptions!$C$6,Trade_Periods!$C$6:$C$125,B42,Trade_Periods!$D$6:$D$125,A42),SUMIFS(Trade_Periods!$M$6:$M$125,Trade_Periods!$B$6:$B$125,Assumptions!$C$6,Trade_Periods!$C$6:$C$125,B42,Trade_Periods!$D$6:$D$125,A42))</x:f>
        <x:v>25923</x:v>
      </x:c>
      <x:c r="G42" s="15" t="n">
        <x:f>IF(F42&gt;0,E42/F42,"n.a.")</x:f>
        <x:v>13.83088377116846</x:v>
      </x:c>
      <x:c r="H42" s="8" t="n">
        <x:f>IF(Assumptions!$C$8="2025",SUMIFS(Tariffs!$D$6:$D$45,Tariffs!$B$6:$B$45,B42,Tariffs!$C$6:$C$45,A42),IF(Assumptions!$C$8="1 Jan to 14 Jul 2026",SUMIFS(Tariffs!$E$6:$E$45,Tariffs!$B$6:$B$45,B42,Tariffs!$C$6:$C$45,A42),SUMIFS(Tariffs!$F$6:$F$45,Tariffs!$B$6:$B$45,B42,Tariffs!$C$6:$C$45,A42)))</x:f>
        <x:v>0</x:v>
      </x:c>
      <x:c r="I42" s="8" t="n">
        <x:f>SUMIFS(Tariffs!$G$6:$G$45,Tariffs!$B$6:$B$45,B42,Tariffs!$C$6:$C$45,A42)</x:f>
        <x:v>0.12</x:v>
      </x:c>
      <x:c r="J42" s="15" t="n">
        <x:f>G42*(1+H42)</x:f>
        <x:v>13.83088377116846</x:v>
      </x:c>
      <x:c r="K42" s="15" t="n">
        <x:f>G42*(1+I42)</x:f>
        <x:v>15.490589823708678</x:v>
      </x:c>
      <x:c r="L42" s="15" t="n">
        <x:f>IF(Assumptions!$C$9="Eligible preference",J42,K42)</x:f>
        <x:v>13.83088377116846</x:v>
      </x:c>
      <x:c r="M42" s="8" t="n">
        <x:f>Assumptions!B30</x:f>
        <x:v>0</x:v>
      </x:c>
      <x:c r="N42" s="8" t="n">
        <x:f>Assumptions!C30</x:f>
        <x:v>0</x:v>
      </x:c>
      <x:c r="O42" s="8" t="n">
        <x:f>IF(B42="China",-1,M42)</x:f>
        <x:v>0</x:v>
      </x:c>
      <x:c r="P42" s="8" t="n">
        <x:f>IF(B42="China",D42,IF(M42&gt;0,MAX(0,MIN(Assumptions!$C$10-D42,Assumptions!$C$11,IF(Assumptions!$F$14="Yes",(Assumptions!$C$14-1)*D42,1))/M42),1))</x:f>
        <x:v>1</x:v>
      </x:c>
      <x:c r="Q42" s="8" t="n">
        <x:f>$E54*O42</x:f>
        <x:v>0</x:v>
      </x:c>
      <x:c r="R42" s="8" t="n">
        <x:f>D42+Q42</x:f>
        <x:v>0.008198883335451587</x:v>
      </x:c>
      <x:c r="S42" s="16" t="n">
        <x:f>D42*L42</x:f>
        <x:v>0.1133978024660009</x:v>
      </x:c>
      <x:c r="T42" s="16" t="n">
        <x:f>R42*L42+MAX(0,Q42)*L42*N42</x:f>
        <x:v>0.1133978024660009</x:v>
      </x:c>
      <x:c r="U42" s="16" t="n">
        <x:f>O42*L42+M42*L42*N42</x:f>
        <x:v>0</x:v>
      </x:c>
      <x:c r="V42" s="16" t="n">
        <x:f>D42^2</x:f>
        <x:v>0.00006722168794834575</x:v>
      </x:c>
      <x:c r="W42" s="16" t="n">
        <x:f>2*D42*O42</x:f>
        <x:v>0</x:v>
      </x:c>
      <x:c r="X42" s="16" t="n">
        <x:f>O42^2</x:f>
        <x:v>0</x:v>
      </x:c>
      <x:c r="Y42" s="16" t="n">
        <x:f>IF(Candidate_Gates!N42="Pass",MAX(0,Q42),0)</x:f>
        <x:v>0</x:v>
      </x:c>
      <x:c r="Z42" s="16" t="n">
        <x:f>D42*J42</x:f>
        <x:v>0.1133978024660009</x:v>
      </x:c>
      <x:c r="AA42" s="16" t="n">
        <x:f>O42*J42+M42*J42*N42</x:f>
        <x:v>0</x:v>
      </x:c>
      <x:c r="AB42" s="16" t="n">
        <x:f>D42*K42</x:f>
        <x:v>0.12700553876192103</x:v>
      </x:c>
      <x:c r="AC42" s="16" t="n">
        <x:f>O42*K42+M42*K42*N42</x:f>
        <x:v>0</x:v>
      </x:c>
      <x:c r="AD42" s="2" t="str">
        <x:f>IF(AND(C42&gt;=0,F42&gt;0,E42&gt;0,ISNUMBER(G42),COUNTIFS(Trade_Periods!$B$6:$B$125,Assumptions!$C$6,Trade_Periods!$C$6:$C$125,B42,Trade_Periods!$D$6:$D$125,A42)=1,COUNTIFS(Tariffs!$B$6:$B$45,B42,Tariffs!$C$6:$C$45,A42)=1),"Ready","Missing data")</x:f>
        <x:v>Ready</x:v>
      </x:c>
      <x:c r="AE42" s="33" t="n">
        <x:f>IF(D42&gt;0,R42/D42,"n.a.")</x:f>
        <x:v>1</x:v>
      </x:c>
      <x:c r="AF42" s="33" t="n">
        <x:f>IF(M42&gt;0,IF(D42&gt;0,R42/D42,IF(R42=0,0,"n.a.")),0)</x:f>
        <x:v>0</x:v>
      </x:c>
      <x:c r="AG42" s="34" t="n">
        <x:f>IF(AND(Assumptions!$F$14="Yes",M42&gt;0),MAX(0,R42-Assumptions!$C$14*D42),0)</x:f>
        <x:v>0</x:v>
      </x:c>
    </x:row>
    <x:row r="43" ht="22" customHeight="1">
      <x:c r="A43" s="2" t="str">
        <x:v>62052000</x:v>
      </x:c>
      <x:c r="B43" s="2" t="str">
        <x:v>Sri Lanka</x:v>
      </x:c>
      <x:c r="C43" s="14" t="n">
        <x:f>SUMIFS(Trade_Periods!$F$6:$F$125,Trade_Periods!$B$6:$B$125,"FY2025",Trade_Periods!$C$6:$C$125,B43,Trade_Periods!$D$6:$D$125,A43)</x:f>
        <x:v>213562</x:v>
      </x:c>
      <x:c r="D43" s="8" t="n">
        <x:f>C43/SUM(C36:C45)</x:f>
        <x:v>0.025249032746232216</x:v>
      </x:c>
      <x:c r="E43" s="14" t="n">
        <x:f>IF(Assumptions!$C$7="Reported",SUMIFS(Trade_Periods!$E$6:$E$125,Trade_Periods!$B$6:$B$125,Assumptions!$C$6,Trade_Periods!$C$6:$C$125,B43,Trade_Periods!$D$6:$D$125,A43),SUMIFS(Trade_Periods!$L$6:$L$125,Trade_Periods!$B$6:$B$125,Assumptions!$C$6,Trade_Periods!$C$6:$C$125,B43,Trade_Periods!$D$6:$D$125,A43))</x:f>
        <x:v>1556820</x:v>
      </x:c>
      <x:c r="F43" s="14" t="n">
        <x:f>IF(Assumptions!$C$7="Reported",SUMIFS(Trade_Periods!$F$6:$F$125,Trade_Periods!$B$6:$B$125,Assumptions!$C$6,Trade_Periods!$C$6:$C$125,B43,Trade_Periods!$D$6:$D$125,A43),SUMIFS(Trade_Periods!$M$6:$M$125,Trade_Periods!$B$6:$B$125,Assumptions!$C$6,Trade_Periods!$C$6:$C$125,B43,Trade_Periods!$D$6:$D$125,A43))</x:f>
        <x:v>79138</x:v>
      </x:c>
      <x:c r="G43" s="15" t="n">
        <x:f>IF(F43&gt;0,E43/F43,"n.a.")</x:f>
        <x:v>19.67221815057242</x:v>
      </x:c>
      <x:c r="H43" s="8" t="n">
        <x:f>IF(Assumptions!$C$8="2025",SUMIFS(Tariffs!$D$6:$D$45,Tariffs!$B$6:$B$45,B43,Tariffs!$C$6:$C$45,A43),IF(Assumptions!$C$8="1 Jan to 14 Jul 2026",SUMIFS(Tariffs!$E$6:$E$45,Tariffs!$B$6:$B$45,B43,Tariffs!$C$6:$C$45,A43),SUMIFS(Tariffs!$F$6:$F$45,Tariffs!$B$6:$B$45,B43,Tariffs!$C$6:$C$45,A43)))</x:f>
        <x:v>0</x:v>
      </x:c>
      <x:c r="I43" s="8" t="n">
        <x:f>SUMIFS(Tariffs!$G$6:$G$45,Tariffs!$B$6:$B$45,B43,Tariffs!$C$6:$C$45,A43)</x:f>
        <x:v>0.12</x:v>
      </x:c>
      <x:c r="J43" s="15" t="n">
        <x:f>G43*(1+H43)</x:f>
        <x:v>19.67221815057242</x:v>
      </x:c>
      <x:c r="K43" s="15" t="n">
        <x:f>G43*(1+I43)</x:f>
        <x:v>22.032884328641114</x:v>
      </x:c>
      <x:c r="L43" s="15" t="n">
        <x:f>IF(Assumptions!$C$9="Eligible preference",J43,K43)</x:f>
        <x:v>19.67221815057242</x:v>
      </x:c>
      <x:c r="M43" s="8" t="n">
        <x:f>Assumptions!B31</x:f>
        <x:v>0</x:v>
      </x:c>
      <x:c r="N43" s="8" t="n">
        <x:f>Assumptions!C31</x:f>
        <x:v>0</x:v>
      </x:c>
      <x:c r="O43" s="8" t="n">
        <x:f>IF(B43="China",-1,M43)</x:f>
        <x:v>0</x:v>
      </x:c>
      <x:c r="P43" s="8" t="n">
        <x:f>IF(B43="China",D43,IF(M43&gt;0,MAX(0,MIN(Assumptions!$C$10-D43,Assumptions!$C$11,IF(Assumptions!$F$14="Yes",(Assumptions!$C$14-1)*D43,1))/M43),1))</x:f>
        <x:v>1</x:v>
      </x:c>
      <x:c r="Q43" s="8" t="n">
        <x:f>$E54*O43</x:f>
        <x:v>0</x:v>
      </x:c>
      <x:c r="R43" s="8" t="n">
        <x:f>D43+Q43</x:f>
        <x:v>0.025249032746232216</x:v>
      </x:c>
      <x:c r="S43" s="16" t="n">
        <x:f>D43*L43</x:f>
        <x:v>0.4967044802748268</x:v>
      </x:c>
      <x:c r="T43" s="16" t="n">
        <x:f>R43*L43+MAX(0,Q43)*L43*N43</x:f>
        <x:v>0.4967044802748268</x:v>
      </x:c>
      <x:c r="U43" s="16" t="n">
        <x:f>O43*L43+M43*L43*N43</x:f>
        <x:v>0</x:v>
      </x:c>
      <x:c r="V43" s="16" t="n">
        <x:f>D43^2</x:f>
        <x:v>0.0006375136546203068</x:v>
      </x:c>
      <x:c r="W43" s="16" t="n">
        <x:f>2*D43*O43</x:f>
        <x:v>0</x:v>
      </x:c>
      <x:c r="X43" s="16" t="n">
        <x:f>O43^2</x:f>
        <x:v>0</x:v>
      </x:c>
      <x:c r="Y43" s="16" t="n">
        <x:f>IF(Candidate_Gates!N43="Pass",MAX(0,Q43),0)</x:f>
        <x:v>0</x:v>
      </x:c>
      <x:c r="Z43" s="16" t="n">
        <x:f>D43*J43</x:f>
        <x:v>0.4967044802748268</x:v>
      </x:c>
      <x:c r="AA43" s="16" t="n">
        <x:f>O43*J43+M43*J43*N43</x:f>
        <x:v>0</x:v>
      </x:c>
      <x:c r="AB43" s="16" t="n">
        <x:f>D43*K43</x:f>
        <x:v>0.5563090179078061</x:v>
      </x:c>
      <x:c r="AC43" s="16" t="n">
        <x:f>O43*K43+M43*K43*N43</x:f>
        <x:v>0</x:v>
      </x:c>
      <x:c r="AD43" s="2" t="str">
        <x:f>IF(AND(C43&gt;=0,F43&gt;0,E43&gt;0,ISNUMBER(G43),COUNTIFS(Trade_Periods!$B$6:$B$125,Assumptions!$C$6,Trade_Periods!$C$6:$C$125,B43,Trade_Periods!$D$6:$D$125,A43)=1,COUNTIFS(Tariffs!$B$6:$B$45,B43,Tariffs!$C$6:$C$45,A43)=1),"Ready","Missing data")</x:f>
        <x:v>Ready</x:v>
      </x:c>
      <x:c r="AE43" s="33" t="n">
        <x:f>IF(D43&gt;0,R43/D43,"n.a.")</x:f>
        <x:v>1</x:v>
      </x:c>
      <x:c r="AF43" s="33" t="n">
        <x:f>IF(M43&gt;0,IF(D43&gt;0,R43/D43,IF(R43=0,0,"n.a.")),0)</x:f>
        <x:v>0</x:v>
      </x:c>
      <x:c r="AG43" s="34" t="n">
        <x:f>IF(AND(Assumptions!$F$14="Yes",M43&gt;0),MAX(0,R43-Assumptions!$C$14*D43),0)</x:f>
        <x:v>0</x:v>
      </x:c>
    </x:row>
    <x:row r="44" ht="22" customHeight="1">
      <x:c r="A44" s="2" t="str">
        <x:v>62052000</x:v>
      </x:c>
      <x:c r="B44" s="2" t="str">
        <x:v>Turkey</x:v>
      </x:c>
      <x:c r="C44" s="14" t="n">
        <x:f>SUMIFS(Trade_Periods!$F$6:$F$125,Trade_Periods!$B$6:$B$125,"FY2025",Trade_Periods!$C$6:$C$125,B44,Trade_Periods!$D$6:$D$125,A44)</x:f>
        <x:v>343310</x:v>
      </x:c>
      <x:c r="D44" s="8" t="n">
        <x:f>C44/SUM(C36:C45)</x:f>
        <x:v>0.040588894241995216</x:v>
      </x:c>
      <x:c r="E44" s="14" t="n">
        <x:f>IF(Assumptions!$C$7="Reported",SUMIFS(Trade_Periods!$E$6:$E$125,Trade_Periods!$B$6:$B$125,Assumptions!$C$6,Trade_Periods!$C$6:$C$125,B44,Trade_Periods!$D$6:$D$125,A44),SUMIFS(Trade_Periods!$L$6:$L$125,Trade_Periods!$B$6:$B$125,Assumptions!$C$6,Trade_Periods!$C$6:$C$125,B44,Trade_Periods!$D$6:$D$125,A44))</x:f>
        <x:v>5825379</x:v>
      </x:c>
      <x:c r="F44" s="14" t="n">
        <x:f>IF(Assumptions!$C$7="Reported",SUMIFS(Trade_Periods!$F$6:$F$125,Trade_Periods!$B$6:$B$125,Assumptions!$C$6,Trade_Periods!$C$6:$C$125,B44,Trade_Periods!$D$6:$D$125,A44),SUMIFS(Trade_Periods!$M$6:$M$125,Trade_Periods!$B$6:$B$125,Assumptions!$C$6,Trade_Periods!$C$6:$C$125,B44,Trade_Periods!$D$6:$D$125,A44))</x:f>
        <x:v>147992</x:v>
      </x:c>
      <x:c r="G44" s="15" t="n">
        <x:f>IF(F44&gt;0,E44/F44,"n.a.")</x:f>
        <x:v>39.36279663765609</x:v>
      </x:c>
      <x:c r="H44" s="8" t="n">
        <x:f>IF(Assumptions!$C$8="2025",SUMIFS(Tariffs!$D$6:$D$45,Tariffs!$B$6:$B$45,B44,Tariffs!$C$6:$C$45,A44),IF(Assumptions!$C$8="1 Jan to 14 Jul 2026",SUMIFS(Tariffs!$E$6:$E$45,Tariffs!$B$6:$B$45,B44,Tariffs!$C$6:$C$45,A44),SUMIFS(Tariffs!$F$6:$F$45,Tariffs!$B$6:$B$45,B44,Tariffs!$C$6:$C$45,A44)))</x:f>
        <x:v>0</x:v>
      </x:c>
      <x:c r="I44" s="8" t="n">
        <x:f>SUMIFS(Tariffs!$G$6:$G$45,Tariffs!$B$6:$B$45,B44,Tariffs!$C$6:$C$45,A44)</x:f>
        <x:v>0.12</x:v>
      </x:c>
      <x:c r="J44" s="15" t="n">
        <x:f>G44*(1+H44)</x:f>
        <x:v>39.36279663765609</x:v>
      </x:c>
      <x:c r="K44" s="15" t="n">
        <x:f>G44*(1+I44)</x:f>
        <x:v>44.086332234174826</x:v>
      </x:c>
      <x:c r="L44" s="15" t="n">
        <x:f>IF(Assumptions!$C$9="Eligible preference",J44,K44)</x:f>
        <x:v>39.36279663765609</x:v>
      </x:c>
      <x:c r="M44" s="8" t="n">
        <x:f>Assumptions!B32</x:f>
        <x:v>0.25</x:v>
      </x:c>
      <x:c r="N44" s="8" t="n">
        <x:f>Assumptions!C32</x:f>
        <x:v>0</x:v>
      </x:c>
      <x:c r="O44" s="8" t="n">
        <x:f>IF(B44="China",-1,M44)</x:f>
        <x:v>0.25</x:v>
      </x:c>
      <x:c r="P44" s="8" t="n">
        <x:f>IF(B44="China",D44,IF(M44&gt;0,MAX(0,MIN(Assumptions!$C$10-D44,Assumptions!$C$11,IF(Assumptions!$F$14="Yes",(Assumptions!$C$14-1)*D44,1))/M44),1))</x:f>
        <x:v>0.3247111539359617</x:v>
      </x:c>
      <x:c r="Q44" s="8" t="n">
        <x:f>$E54*O44</x:f>
        <x:v>0.01728997514253877</x:v>
      </x:c>
      <x:c r="R44" s="8" t="n">
        <x:f>D44+Q44</x:f>
        <x:v>0.05787886938453399</x:v>
      </x:c>
      <x:c r="S44" s="16" t="n">
        <x:f>D44*L44</x:f>
        <x:v>1.597692389794988</x:v>
      </x:c>
      <x:c r="T44" s="16" t="n">
        <x:f>R44*L44+MAX(0,Q44)*L44*N44</x:f>
        <x:v>2.2782741652008704</x:v>
      </x:c>
      <x:c r="U44" s="16" t="n">
        <x:f>O44*L44+M44*L44*N44</x:f>
        <x:v>9.840699159414022</x:v>
      </x:c>
      <x:c r="V44" s="16" t="n">
        <x:f>D44^2</x:f>
        <x:v>0.0016474583357878724</x:v>
      </x:c>
      <x:c r="W44" s="16" t="n">
        <x:f>2*D44*O44</x:f>
        <x:v>0.020294447120997608</x:v>
      </x:c>
      <x:c r="X44" s="16" t="n">
        <x:f>O44^2</x:f>
        <x:v>0.0625</x:v>
      </x:c>
      <x:c r="Y44" s="16" t="n">
        <x:f>IF(Candidate_Gates!N44="Pass",MAX(0,Q44),0)</x:f>
        <x:v>0</x:v>
      </x:c>
      <x:c r="Z44" s="16" t="n">
        <x:f>D44*J44</x:f>
        <x:v>1.597692389794988</x:v>
      </x:c>
      <x:c r="AA44" s="16" t="n">
        <x:f>O44*J44+M44*J44*N44</x:f>
        <x:v>9.840699159414022</x:v>
      </x:c>
      <x:c r="AB44" s="16" t="n">
        <x:f>D44*K44</x:f>
        <x:v>1.7894154765703867</x:v>
      </x:c>
      <x:c r="AC44" s="16" t="n">
        <x:f>O44*K44+M44*K44*N44</x:f>
        <x:v>11.021583058543706</x:v>
      </x:c>
      <x:c r="AD44" s="2" t="str">
        <x:f>IF(AND(C44&gt;=0,F44&gt;0,E44&gt;0,ISNUMBER(G44),COUNTIFS(Trade_Periods!$B$6:$B$125,Assumptions!$C$6,Trade_Periods!$C$6:$C$125,B44,Trade_Periods!$D$6:$D$125,A44)=1,COUNTIFS(Tariffs!$B$6:$B$45,B44,Tariffs!$C$6:$C$45,A44)=1),"Ready","Missing data")</x:f>
        <x:v>Ready</x:v>
      </x:c>
      <x:c r="AE44" s="33" t="n">
        <x:f>IF(D44&gt;0,R44/D44,"n.a.")</x:f>
        <x:v>1.4259779790859572</x:v>
      </x:c>
      <x:c r="AF44" s="33" t="n">
        <x:f>IF(M44&gt;0,IF(D44&gt;0,R44/D44,IF(R44=0,0,"n.a.")),0)</x:f>
        <x:v>1.4259779790859572</x:v>
      </x:c>
      <x:c r="AG44" s="34" t="n">
        <x:f>IF(AND(Assumptions!$F$14="Yes",M44&gt;0),MAX(0,R44-Assumptions!$C$14*D44),0)</x:f>
        <x:v>0</x:v>
      </x:c>
    </x:row>
    <x:row r="45" ht="22" customHeight="1">
      <x:c r="A45" s="2" t="str">
        <x:v>62052000</x:v>
      </x:c>
      <x:c r="B45" s="2" t="str">
        <x:v>Vietnam</x:v>
      </x:c>
      <x:c r="C45" s="14" t="n">
        <x:f>SUMIFS(Trade_Periods!$F$6:$F$125,Trade_Periods!$B$6:$B$125,"FY2025",Trade_Periods!$C$6:$C$125,B45,Trade_Periods!$D$6:$D$125,A45)</x:f>
        <x:v>440294</x:v>
      </x:c>
      <x:c r="D45" s="8" t="n">
        <x:f>C45/SUM(C36:C45)</x:f>
        <x:v>0.05205512977013499</x:v>
      </x:c>
      <x:c r="E45" s="14" t="n">
        <x:f>IF(Assumptions!$C$7="Reported",SUMIFS(Trade_Periods!$E$6:$E$125,Trade_Periods!$B$6:$B$125,Assumptions!$C$6,Trade_Periods!$C$6:$C$125,B45,Trade_Periods!$D$6:$D$125,A45),SUMIFS(Trade_Periods!$L$6:$L$125,Trade_Periods!$B$6:$B$125,Assumptions!$C$6,Trade_Periods!$C$6:$C$125,B45,Trade_Periods!$D$6:$D$125,A45))</x:f>
        <x:v>5885338</x:v>
      </x:c>
      <x:c r="F45" s="14" t="n">
        <x:f>IF(Assumptions!$C$7="Reported",SUMIFS(Trade_Periods!$F$6:$F$125,Trade_Periods!$B$6:$B$125,Assumptions!$C$6,Trade_Periods!$C$6:$C$125,B45,Trade_Periods!$D$6:$D$125,A45),SUMIFS(Trade_Periods!$M$6:$M$125,Trade_Periods!$B$6:$B$125,Assumptions!$C$6,Trade_Periods!$C$6:$C$125,B45,Trade_Periods!$D$6:$D$125,A45))</x:f>
        <x:v>196825</x:v>
      </x:c>
      <x:c r="G45" s="15" t="n">
        <x:f>IF(F45&gt;0,E45/F45,"n.a.")</x:f>
        <x:v>29.90137431728693</x:v>
      </x:c>
      <x:c r="H45" s="8" t="n">
        <x:f>IF(Assumptions!$C$8="2025",SUMIFS(Tariffs!$D$6:$D$45,Tariffs!$B$6:$B$45,B45,Tariffs!$C$6:$C$45,A45),IF(Assumptions!$C$8="1 Jan to 14 Jul 2026",SUMIFS(Tariffs!$E$6:$E$45,Tariffs!$B$6:$B$45,B45,Tariffs!$C$6:$C$45,A45),SUMIFS(Tariffs!$F$6:$F$45,Tariffs!$B$6:$B$45,B45,Tariffs!$C$6:$C$45,A45)))</x:f>
        <x:v>0</x:v>
      </x:c>
      <x:c r="I45" s="8" t="n">
        <x:f>SUMIFS(Tariffs!$G$6:$G$45,Tariffs!$B$6:$B$45,B45,Tariffs!$C$6:$C$45,A45)</x:f>
        <x:v>0.12</x:v>
      </x:c>
      <x:c r="J45" s="15" t="n">
        <x:f>G45*(1+H45)</x:f>
        <x:v>29.90137431728693</x:v>
      </x:c>
      <x:c r="K45" s="15" t="n">
        <x:f>G45*(1+I45)</x:f>
        <x:v>33.48953923536136</x:v>
      </x:c>
      <x:c r="L45" s="15" t="n">
        <x:f>IF(Assumptions!$C$9="Eligible preference",J45,K45)</x:f>
        <x:v>29.90137431728693</x:v>
      </x:c>
      <x:c r="M45" s="8" t="n">
        <x:f>Assumptions!B33</x:f>
        <x:v>0.25</x:v>
      </x:c>
      <x:c r="N45" s="8" t="n">
        <x:f>Assumptions!C33</x:f>
        <x:v>0</x:v>
      </x:c>
      <x:c r="O45" s="8" t="n">
        <x:f>IF(B45="China",-1,M45)</x:f>
        <x:v>0.25</x:v>
      </x:c>
      <x:c r="P45" s="8" t="n">
        <x:f>IF(B45="China",D45,IF(M45&gt;0,MAX(0,MIN(Assumptions!$C$10-D45,Assumptions!$C$11,IF(Assumptions!$F$14="Yes",(Assumptions!$C$14-1)*D45,1))/M45),1))</x:f>
        <x:v>0.4</x:v>
      </x:c>
      <x:c r="Q45" s="8" t="n">
        <x:f>$E54*O45</x:f>
        <x:v>0.01728997514253877</x:v>
      </x:c>
      <x:c r="R45" s="8" t="n">
        <x:f>D45+Q45</x:f>
        <x:v>0.06934510491267376</x:v>
      </x:c>
      <x:c r="S45" s="16" t="n">
        <x:f>D45*L45</x:f>
        <x:v>1.5565199203917526</x:v>
      </x:c>
      <x:c r="T45" s="16" t="n">
        <x:f>R45*L45+MAX(0,Q45)*L45*N45</x:f>
        <x:v>2.073513939065391</x:v>
      </x:c>
      <x:c r="U45" s="16" t="n">
        <x:f>O45*L45+M45*L45*N45</x:f>
        <x:v>7.475343579321732</x:v>
      </x:c>
      <x:c r="V45" s="16" t="n">
        <x:f>D45^2</x:f>
        <x:v>0.002709736535385594</x:v>
      </x:c>
      <x:c r="W45" s="16" t="n">
        <x:f>2*D45*O45</x:f>
        <x:v>0.026027564885067495</x:v>
      </x:c>
      <x:c r="X45" s="16" t="n">
        <x:f>O45^2</x:f>
        <x:v>0.0625</x:v>
      </x:c>
      <x:c r="Y45" s="16" t="n">
        <x:f>IF(Candidate_Gates!N45="Pass",MAX(0,Q45),0)</x:f>
        <x:v>0</x:v>
      </x:c>
      <x:c r="Z45" s="16" t="n">
        <x:f>D45*J45</x:f>
        <x:v>1.5565199203917526</x:v>
      </x:c>
      <x:c r="AA45" s="16" t="n">
        <x:f>O45*J45+M45*J45*N45</x:f>
        <x:v>7.475343579321732</x:v>
      </x:c>
      <x:c r="AB45" s="16" t="n">
        <x:f>D45*K45</x:f>
        <x:v>1.743302310838763</x:v>
      </x:c>
      <x:c r="AC45" s="16" t="n">
        <x:f>O45*K45+M45*K45*N45</x:f>
        <x:v>8.37238480884034</x:v>
      </x:c>
      <x:c r="AD45" s="2" t="str">
        <x:f>IF(AND(C45&gt;=0,F45&gt;0,E45&gt;0,ISNUMBER(G45),COUNTIFS(Trade_Periods!$B$6:$B$125,Assumptions!$C$6,Trade_Periods!$C$6:$C$125,B45,Trade_Periods!$D$6:$D$125,A45)=1,COUNTIFS(Tariffs!$B$6:$B$45,B45,Tariffs!$C$6:$C$45,A45)=1),"Ready","Missing data")</x:f>
        <x:v>Ready</x:v>
      </x:c>
      <x:c r="AE45" s="33" t="n">
        <x:f>IF(D45&gt;0,R45/D45,"n.a.")</x:f>
        <x:v>1.3321473833393143</x:v>
      </x:c>
      <x:c r="AF45" s="33" t="n">
        <x:f>IF(M45&gt;0,IF(D45&gt;0,R45/D45,IF(R45=0,0,"n.a.")),0)</x:f>
        <x:v>1.3321473833393143</x:v>
      </x:c>
      <x:c r="AG45" s="34" t="n">
        <x:f>IF(AND(Assumptions!$F$14="Yes",M45&gt;0),MAX(0,R45-Assumptions!$C$14*D45),0)</x:f>
        <x:v>0</x:v>
      </x:c>
    </x:row>
    <x:row r="46" ht="22"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row>
    <x:row r="47" ht="22"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row>
    <x:row r="48" ht="22" customHeight="1">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row>
    <x:row r="49" ht="22" customHeight="1">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row>
    <x:row r="50" ht="34" customHeight="1">
      <x:c r="A50" s="12" t="str">
        <x:v>CN8</x:v>
      </x:c>
      <x:c r="B50" s="12" t="str">
        <x:v>Base cost £/kg</x:v>
      </x:c>
      <x:c r="C50" s="12" t="str">
        <x:v>Shift cost £/kg</x:v>
      </x:c>
      <x:c r="D50" s="12" t="str">
        <x:v>Feasible shift</x:v>
      </x:c>
      <x:c r="E50" s="12" t="str">
        <x:v>Active shift</x:v>
      </x:c>
      <x:c r="F50" s="12" t="str">
        <x:v>Scenario £/kg</x:v>
      </x:c>
      <x:c r="G50" s="12" t="str">
        <x:v>Baseline HHI</x:v>
      </x:c>
      <x:c r="H50" s="12" t="str">
        <x:v>HHI linear</x:v>
      </x:c>
      <x:c r="I50" s="12" t="str">
        <x:v>HHI square</x:v>
      </x:c>
      <x:c r="J50" s="12" t="str">
        <x:v>Scenario HHI</x:v>
      </x:c>
      <x:c r="K50" s="12" t="str">
        <x:v>Eligible base</x:v>
      </x:c>
      <x:c r="L50" s="12" t="str">
        <x:v>Eligible shift</x:v>
      </x:c>
      <x:c r="M50" s="12" t="str">
        <x:v>MFN base</x:v>
      </x:c>
      <x:c r="N50" s="12" t="str">
        <x:v>MFN shift</x:v>
      </x:c>
      <x:c r="O50" s="12" t="str">
        <x:v>Release</x:v>
      </x:c>
      <x:c r="P50" s="12" t="str">
        <x:v>Input status</x:v>
      </x:c>
      <x:c r="Q50" s="2"/>
      <x:c r="R50" s="2"/>
      <x:c r="S50" s="2"/>
      <x:c r="T50" s="2"/>
      <x:c r="U50" s="2"/>
      <x:c r="V50" s="2"/>
      <x:c r="W50" s="2"/>
      <x:c r="X50" s="2"/>
      <x:c r="Y50" s="2"/>
      <x:c r="Z50" s="2"/>
      <x:c r="AA50" s="2"/>
      <x:c r="AB50" s="2"/>
      <x:c r="AC50" s="2"/>
      <x:c r="AD50" s="2"/>
    </x:row>
    <x:row r="51" ht="22" customHeight="1">
      <x:c r="A51" s="2" t="str">
        <x:v>61091000</x:v>
      </x:c>
      <x:c r="B51" s="15" t="n">
        <x:f>SUM(S6:S15)</x:f>
        <x:v>12.348136087104898</x:v>
      </x:c>
      <x:c r="C51" s="15" t="n">
        <x:f>SUM(U6:U15)</x:f>
        <x:v>-0.3243054869316184</x:v>
      </x:c>
      <x:c r="D51" s="8" t="n">
        <x:f>MIN(P6:P15)</x:f>
        <x:v>0.032221226763006934</x:v>
      </x:c>
      <x:c r="E51" s="8" t="n">
        <x:f>IF(P51="Ready",MIN(Assumptions!$C$12,D51),"n.a.")</x:f>
        <x:v>0.032221226763006934</x:v>
      </x:c>
      <x:c r="F51" s="15" t="n">
        <x:f>B51+E51*C51</x:f>
        <x:v>12.337686566469987</x:v>
      </x:c>
      <x:c r="G51" s="16" t="n">
        <x:f>SUM(V6:V15)</x:f>
        <x:v>0.38176837706842076</x:v>
      </x:c>
      <x:c r="H51" s="16" t="n">
        <x:f>SUM(W6:W15)</x:f>
        <x:v>0.07849522857545757</x:v>
      </x:c>
      <x:c r="I51" s="16" t="n">
        <x:f>SUM(X6:X15)</x:f>
        <x:v>1.375</x:v>
      </x:c>
      <x:c r="J51" s="16" t="n">
        <x:f>G51+E51*H51+E51^2*I51</x:f>
        <x:v>0.38572512487757016</x:v>
      </x:c>
      <x:c r="K51" s="15" t="n">
        <x:f>SUM(Z6:Z15)</x:f>
        <x:v>12.348136087104898</x:v>
      </x:c>
      <x:c r="L51" s="15" t="n">
        <x:f>SUM(AA6:AA15)</x:f>
        <x:v>-0.3243054869316184</x:v>
      </x:c>
      <x:c r="M51" s="15" t="n">
        <x:f>SUM(AB6:AB15)</x:f>
        <x:v>13.75664313616879</x:v>
      </x:c>
      <x:c r="N51" s="15" t="n">
        <x:f>SUM(AC6:AC15)</x:f>
        <x:v>1.9107223548757846</x:v>
      </x:c>
      <x:c r="O51" s="2" t="str">
        <x:f>IF(AND(P51="Ready",E51&gt;0,ABS(SUM(Y6:Y15)-E51)&lt;0.000000001),"Evidence recorded","Hold")</x:f>
        <x:v>Hold</x:v>
      </x:c>
      <x:c r="P51" s="2" t="str">
        <x:f>IF(AND(Assumptions!$C$13="Valid",COUNTIF(AD6:AD15,"Ready")=10),"Ready","Invalid inputs")</x:f>
        <x:v>Ready</x:v>
      </x:c>
      <x:c r="Q51" s="2"/>
      <x:c r="R51" s="2"/>
      <x:c r="S51" s="2"/>
      <x:c r="T51" s="2"/>
      <x:c r="U51" s="2"/>
      <x:c r="V51" s="2"/>
      <x:c r="W51" s="2"/>
      <x:c r="X51" s="2"/>
      <x:c r="Y51" s="2"/>
      <x:c r="Z51" s="2"/>
      <x:c r="AA51" s="2"/>
      <x:c r="AB51" s="2"/>
      <x:c r="AC51" s="2"/>
      <x:c r="AD51" s="2"/>
    </x:row>
    <x:row r="52" ht="22" customHeight="1">
      <x:c r="A52" s="2" t="str">
        <x:v>61103099</x:v>
      </x:c>
      <x:c r="B52" s="15" t="n">
        <x:f>SUM(S16:S25)</x:f>
        <x:v>13.877869791174277</x:v>
      </x:c>
      <x:c r="C52" s="15" t="n">
        <x:f>SUM(U16:U25)</x:f>
        <x:v>-4.53696028785999</x:v>
      </x:c>
      <x:c r="D52" s="8" t="n">
        <x:f>MIN(P16:P25)</x:f>
        <x:v>0.014153298257653319</x:v>
      </x:c>
      <x:c r="E52" s="8" t="n">
        <x:f>IF(P52="Ready",MIN(Assumptions!$C$12,D52),"n.a.")</x:f>
        <x:v>0.014153298257653319</x:v>
      </x:c>
      <x:c r="F52" s="15" t="n">
        <x:f>B52+E52*C52</x:f>
        <x:v>13.813656839037066</x:v>
      </x:c>
      <x:c r="G52" s="16" t="n">
        <x:f>SUM(V16:V25)</x:f>
        <x:v>0.26747898577448</x:v>
      </x:c>
      <x:c r="H52" s="16" t="n">
        <x:f>SUM(W16:W25)</x:f>
        <x:v>-0.6425892458432205</x:v>
      </x:c>
      <x:c r="I52" s="16" t="n">
        <x:f>SUM(X16:X25)</x:f>
        <x:v>1.375</x:v>
      </x:c>
      <x:c r="J52" s="16" t="n">
        <x:f>G52+E52*H52+E52^2*I52</x:f>
        <x:v>0.25865966281680924</x:v>
      </x:c>
      <x:c r="K52" s="15" t="n">
        <x:f>SUM(Z16:Z25)</x:f>
        <x:v>13.877869791174277</x:v>
      </x:c>
      <x:c r="L52" s="15" t="n">
        <x:f>SUM(AA16:AA25)</x:f>
        <x:v>-4.53696028785999</x:v>
      </x:c>
      <x:c r="M52" s="15" t="n">
        <x:f>SUM(AB16:AB25)</x:f>
        <x:v>14.703552584925603</x:v>
      </x:c>
      <x:c r="N52" s="15" t="n">
        <x:f>SUM(AC16:AC25)</x:f>
        <x:v>-2.7880700181671356</x:v>
      </x:c>
      <x:c r="O52" s="2" t="str">
        <x:f>IF(AND(P52="Ready",E52&gt;0,ABS(SUM(Y16:Y25)-E52)&lt;0.000000001),"Evidence recorded","Hold")</x:f>
        <x:v>Hold</x:v>
      </x:c>
      <x:c r="P52" s="2" t="str">
        <x:f>IF(AND(Assumptions!$C$13="Valid",COUNTIF(AD16:AD25,"Ready")=10),"Ready","Invalid inputs")</x:f>
        <x:v>Ready</x:v>
      </x:c>
      <x:c r="Q52" s="2"/>
      <x:c r="R52" s="2"/>
      <x:c r="S52" s="2"/>
      <x:c r="T52" s="2"/>
      <x:c r="U52" s="2"/>
      <x:c r="V52" s="2"/>
      <x:c r="W52" s="2"/>
      <x:c r="X52" s="2"/>
      <x:c r="Y52" s="2"/>
      <x:c r="Z52" s="2"/>
      <x:c r="AA52" s="2"/>
      <x:c r="AB52" s="2"/>
      <x:c r="AC52" s="2"/>
      <x:c r="AD52" s="2"/>
    </x:row>
    <x:row r="53" ht="22" customHeight="1">
      <x:c r="A53" s="2" t="str">
        <x:v>62044300</x:v>
      </x:c>
      <x:c r="B53" s="15" t="n">
        <x:f>SUM(S26:S35)</x:f>
        <x:v>27.522648324200112</x:v>
      </x:c>
      <x:c r="C53" s="15" t="n">
        <x:f>SUM(U26:U35)</x:f>
        <x:v>-1.3510196663815055</x:v>
      </x:c>
      <x:c r="D53" s="8" t="n">
        <x:f>MIN(P26:P35)</x:f>
        <x:v>0.2</x:v>
      </x:c>
      <x:c r="E53" s="8" t="n">
        <x:f>IF(P53="Ready",MIN(Assumptions!$C$12,D53),"n.a.")</x:f>
        <x:v>0.1</x:v>
      </x:c>
      <x:c r="F53" s="15" t="n">
        <x:f>B53+E53*C53</x:f>
        <x:v>27.387546357561963</x:v>
      </x:c>
      <x:c r="G53" s="16" t="n">
        <x:f>SUM(V26:V35)</x:f>
        <x:v>0.277516059767204</x:v>
      </x:c>
      <x:c r="H53" s="16" t="n">
        <x:f>SUM(W26:W35)</x:f>
        <x:v>-0.7733016513289597</x:v>
      </x:c>
      <x:c r="I53" s="16" t="n">
        <x:f>SUM(X26:X35)</x:f>
        <x:v>1.375</x:v>
      </x:c>
      <x:c r="J53" s="16" t="n">
        <x:f>G53+E53*H53+E53^2*I53</x:f>
        <x:v>0.21393589463430804</x:v>
      </x:c>
      <x:c r="K53" s="15" t="n">
        <x:f>SUM(Z26:Z35)</x:f>
        <x:v>27.522648324200112</x:v>
      </x:c>
      <x:c r="L53" s="15" t="n">
        <x:f>SUM(AA26:AA35)</x:f>
        <x:v>-1.3510196663815055</x:v>
      </x:c>
      <x:c r="M53" s="15" t="n">
        <x:f>SUM(AB26:AB35)</x:f>
        <x:v>29.029799799785902</x:v>
      </x:c>
      <x:c r="N53" s="15" t="n">
        <x:f>SUM(AC26:AC35)</x:f>
        <x:v>2.104163081287566</x:v>
      </x:c>
      <x:c r="O53" s="2" t="str">
        <x:f>IF(AND(P53="Ready",E53&gt;0,ABS(SUM(Y26:Y35)-E53)&lt;0.000000001),"Evidence recorded","Hold")</x:f>
        <x:v>Hold</x:v>
      </x:c>
      <x:c r="P53" s="2" t="str">
        <x:f>IF(AND(Assumptions!$C$13="Valid",COUNTIF(AD26:AD35,"Ready")=10),"Ready","Invalid inputs")</x:f>
        <x:v>Ready</x:v>
      </x:c>
      <x:c r="Q53" s="2"/>
      <x:c r="R53" s="2"/>
      <x:c r="S53" s="2"/>
      <x:c r="T53" s="2"/>
      <x:c r="U53" s="2"/>
      <x:c r="V53" s="2"/>
      <x:c r="W53" s="2"/>
      <x:c r="X53" s="2"/>
      <x:c r="Y53" s="2"/>
      <x:c r="Z53" s="2"/>
      <x:c r="AA53" s="2"/>
      <x:c r="AB53" s="2"/>
      <x:c r="AC53" s="2"/>
      <x:c r="AD53" s="2"/>
    </x:row>
    <x:row r="54" ht="22" customHeight="1">
      <x:c r="A54" s="2" t="str">
        <x:v>62052000</x:v>
      </x:c>
      <x:c r="B54" s="15" t="n">
        <x:f>SUM(S36:S45)</x:f>
        <x:v>20.453083219285663</x:v>
      </x:c>
      <x:c r="C54" s="15" t="n">
        <x:f>SUM(U36:U45)</x:f>
        <x:v>3.977327039733016</x:v>
      </x:c>
      <x:c r="D54" s="8" t="n">
        <x:f>MIN(P36:P45)</x:f>
        <x:v>0.06915990057015509</x:v>
      </x:c>
      <x:c r="E54" s="8" t="n">
        <x:f>IF(P54="Ready",MIN(Assumptions!$C$12,D54),"n.a.")</x:f>
        <x:v>0.06915990057015509</x:v>
      </x:c>
      <x:c r="F54" s="15" t="n">
        <x:f>B54+E54*C54</x:f>
        <x:v>20.728154761888586</x:v>
      </x:c>
      <x:c r="G54" s="16" t="n">
        <x:f>SUM(V36:V45)</x:f>
        <x:v>0.343943808579466</x:v>
      </x:c>
      <x:c r="H54" s="16" t="n">
        <x:f>SUM(W36:W45)</x:f>
        <x:v>0.0751933177469268</x:v>
      </x:c>
      <x:c r="I54" s="16" t="n">
        <x:f>SUM(X36:X45)</x:f>
        <x:v>1.375</x:v>
      </x:c>
      <x:c r="J54" s="16" t="n">
        <x:f>G54+E54*H54+E54^2*I54</x:f>
        <x:v>0.3557209222478349</x:v>
      </x:c>
      <x:c r="K54" s="15" t="n">
        <x:f>SUM(Z36:Z45)</x:f>
        <x:v>20.453083219285663</x:v>
      </x:c>
      <x:c r="L54" s="15" t="n">
        <x:f>SUM(AA36:AA45)</x:f>
        <x:v>3.977327039733016</x:v>
      </x:c>
      <x:c r="M54" s="15" t="n">
        <x:f>SUM(AB36:AB45)</x:f>
        <x:v>22.70588741435054</x:v>
      </x:c>
      <x:c r="N54" s="15" t="n">
        <x:f>SUM(AC36:AC45)</x:f>
        <x:v>7.369095599663321</x:v>
      </x:c>
      <x:c r="O54" s="2" t="str">
        <x:f>IF(AND(P54="Ready",E54&gt;0,ABS(SUM(Y36:Y45)-E54)&lt;0.000000001),"Evidence recorded","Hold")</x:f>
        <x:v>Hold</x:v>
      </x:c>
      <x:c r="P54" s="2" t="str">
        <x:f>IF(AND(Assumptions!$C$13="Valid",COUNTIF(AD36:AD45,"Ready")=10),"Ready","Invalid inputs")</x:f>
        <x:v>Ready</x:v>
      </x:c>
      <x:c r="Q54" s="2"/>
      <x:c r="R54" s="2"/>
      <x:c r="S54" s="2"/>
      <x:c r="T54" s="2"/>
      <x:c r="U54" s="2"/>
      <x:c r="V54" s="2"/>
      <x:c r="W54" s="2"/>
      <x:c r="X54" s="2"/>
      <x:c r="Y54" s="2"/>
      <x:c r="Z54" s="2"/>
      <x:c r="AA54" s="2"/>
      <x:c r="AB54" s="2"/>
      <x:c r="AC54" s="2"/>
      <x:c r="AD54" s="2"/>
    </x:row>
    <x:row r="55" ht="22" customHeight="1">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row>
    <x:row r="56" ht="32" customHeight="1">
      <x:c r="A56" s="13" t="str">
        <x:v>Shares are fractions of fixed product-level volume. Cost is linear in the transfer; HHI is quadratic. The comparison below evaluates the same unit-shift costs and limits for all three requested sizes.</x:v>
      </x:c>
      <x:c r="B56" s="13"/>
      <x:c r="C56" s="13"/>
      <x:c r="D56" s="13"/>
      <x:c r="E56" s="13"/>
      <x:c r="F56" s="13"/>
      <x:c r="G56" s="13"/>
      <x:c r="H56" s="13"/>
      <x:c r="I56" s="13"/>
      <x:c r="J56" s="13"/>
      <x:c r="K56" s="13"/>
      <x:c r="L56" s="13"/>
      <x:c r="M56" s="13"/>
      <x:c r="N56" s="13"/>
      <x:c r="O56" s="13"/>
      <x:c r="P56" s="13"/>
      <x:c r="Q56" s="2"/>
      <x:c r="R56" s="2"/>
      <x:c r="S56" s="2"/>
      <x:c r="T56" s="2"/>
      <x:c r="U56" s="2"/>
      <x:c r="V56" s="2"/>
      <x:c r="W56" s="2"/>
      <x:c r="X56" s="2"/>
      <x:c r="Y56" s="2"/>
      <x:c r="Z56" s="2"/>
      <x:c r="AA56" s="2"/>
      <x:c r="AB56" s="2"/>
      <x:c r="AC56" s="2"/>
      <x:c r="AD56" s="2"/>
    </x:row>
    <x:row r="57" ht="22" customHeight="1">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row>
    <x:row r="58" ht="22"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row>
    <x:row r="59" ht="34" customHeight="1">
      <x:c r="A59" s="12" t="str">
        <x:v>Scenario</x:v>
      </x:c>
      <x:c r="B59" s="12" t="str">
        <x:v>CN8</x:v>
      </x:c>
      <x:c r="C59" s="12" t="str">
        <x:v>Requested shift</x:v>
      </x:c>
      <x:c r="D59" s="12" t="str">
        <x:v>Feasible shift</x:v>
      </x:c>
      <x:c r="E59" s="12" t="str">
        <x:v>Applied shift</x:v>
      </x:c>
      <x:c r="F59" s="12" t="str">
        <x:v>Eligible cost change</x:v>
      </x:c>
      <x:c r="G59" s="12" t="str">
        <x:v>MFN cost change</x:v>
      </x:c>
      <x:c r="H59" s="12" t="str">
        <x:v>Active cost change</x:v>
      </x:c>
      <x:c r="I59" s="12" t="str">
        <x:v>Scenario HHI</x:v>
      </x:c>
      <x:c r="J59" s="12" t="str">
        <x:v>HHI change (points)</x:v>
      </x:c>
      <x:c r="K59" s="12" t="str">
        <x:v>Shift status</x:v>
      </x:c>
      <x:c r="L59" s="12" t="str">
        <x:v>Eligible index</x:v>
      </x:c>
      <x:c r="M59" s="12" t="str">
        <x:v>MFN index</x:v>
      </x:c>
      <x:c r="N59" s="12" t="str">
        <x:v>Release</x:v>
      </x:c>
      <x:c r="O59" s="2"/>
      <x:c r="P59" s="2"/>
      <x:c r="Q59" s="2"/>
      <x:c r="R59" s="2"/>
      <x:c r="S59" s="2"/>
      <x:c r="T59" s="2"/>
      <x:c r="U59" s="2"/>
      <x:c r="V59" s="2"/>
      <x:c r="W59" s="2"/>
      <x:c r="X59" s="2"/>
      <x:c r="Y59" s="2"/>
      <x:c r="Z59" s="2"/>
      <x:c r="AA59" s="2"/>
      <x:c r="AB59" s="2"/>
      <x:c r="AC59" s="2"/>
      <x:c r="AD59" s="2"/>
    </x:row>
    <x:row r="60" ht="22" customHeight="1">
      <x:c r="A60" s="2" t="str">
        <x:v>Cautious</x:v>
      </x:c>
      <x:c r="B60" s="2" t="str">
        <x:v>61091000</x:v>
      </x:c>
      <x:c r="C60" s="8" t="n">
        <x:f>IF(Assumptions!B17="","n.a.",Assumptions!B17)</x:f>
        <x:v>0.05</x:v>
      </x:c>
      <x:c r="D60" s="8" t="n">
        <x:f>D51</x:f>
        <x:v>0.032221226763006934</x:v>
      </x:c>
      <x:c r="E60" s="8" t="n">
        <x:f>IF(AND(P51="Ready",ISNUMBER(C60),C60&gt;=0,C60&lt;=1),MIN(C60,D60),"n.a.")</x:f>
        <x:v>0.032221226763006934</x:v>
      </x:c>
      <x:c r="F60" s="8" t="n">
        <x:f>E60*L51/K51</x:f>
        <x:v>-0.0008462427496100765</x:v>
      </x:c>
      <x:c r="G60" s="8" t="n">
        <x:f>E60*N51/M51</x:f>
        <x:v>0.0044753518476997635</x:v>
      </x:c>
      <x:c r="H60" s="8" t="n">
        <x:f>E60*C51/B51</x:f>
        <x:v>-0.0008462427496100765</x:v>
      </x:c>
      <x:c r="I60" s="16" t="n">
        <x:f>G51+E60*H51+E60^2*I51</x:f>
        <x:v>0.38572512487757016</x:v>
      </x:c>
      <x:c r="J60" s="18" t="n">
        <x:f>(I60-G51)*10000</x:f>
        <x:v>39.56747809149397</x:v>
      </x:c>
      <x:c r="K60" s="2" t="str">
        <x:f>IF(E60&lt;C60-0.000000001,"Capped","Full shift")</x:f>
        <x:v>Capped</x:v>
      </x:c>
      <x:c r="L60" s="19" t="n">
        <x:f>100*(1+F60)</x:f>
        <x:v>99.91537572503898</x:v>
      </x:c>
      <x:c r="M60" s="19" t="n">
        <x:f>100*(1+G60)</x:f>
        <x:v>100.44753518476999</x:v>
      </x:c>
      <x:c r="N60" s="2" t="str">
        <x:f>IF(AND(E60&gt;0,ABS(SUMIFS($M$6:$M$15,Candidate_Gates!$N$6:$N$15,"Pass")-1)&lt;0.000000001),"Evidence recorded","Hold")</x:f>
        <x:v>Hold</x:v>
      </x:c>
      <x:c r="O60" s="2"/>
      <x:c r="P60" s="2"/>
      <x:c r="Q60" s="2"/>
      <x:c r="R60" s="2"/>
      <x:c r="S60" s="2"/>
      <x:c r="T60" s="2"/>
      <x:c r="U60" s="2"/>
      <x:c r="V60" s="2"/>
      <x:c r="W60" s="2"/>
      <x:c r="X60" s="2"/>
      <x:c r="Y60" s="2"/>
      <x:c r="Z60" s="2"/>
      <x:c r="AA60" s="2"/>
      <x:c r="AB60" s="2"/>
      <x:c r="AC60" s="2"/>
      <x:c r="AD60" s="2"/>
    </x:row>
    <x:row r="61" ht="22" customHeight="1">
      <x:c r="A61" s="2" t="str">
        <x:v>Cautious</x:v>
      </x:c>
      <x:c r="B61" s="2" t="str">
        <x:v>61103099</x:v>
      </x:c>
      <x:c r="C61" s="8" t="n">
        <x:f>IF(Assumptions!B17="","n.a.",Assumptions!B17)</x:f>
        <x:v>0.05</x:v>
      </x:c>
      <x:c r="D61" s="8" t="n">
        <x:f>D52</x:f>
        <x:v>0.014153298257653319</x:v>
      </x:c>
      <x:c r="E61" s="8" t="n">
        <x:f>IF(AND(P52="Ready",ISNUMBER(C61),C61&gt;=0,C61&lt;=1),MIN(C61,D61),"n.a.")</x:f>
        <x:v>0.014153298257653319</x:v>
      </x:c>
      <x:c r="F61" s="8" t="n">
        <x:f>E61*L52/K52</x:f>
        <x:v>-0.004627003502947386</x:v>
      </x:c>
      <x:c r="G61" s="8" t="n">
        <x:f>E61*N52/M52</x:f>
        <x:v>-0.002683731452138717</x:v>
      </x:c>
      <x:c r="H61" s="8" t="n">
        <x:f>E61*C52/B52</x:f>
        <x:v>-0.004627003502947386</x:v>
      </x:c>
      <x:c r="I61" s="16" t="n">
        <x:f>G52+E61*H52+E61^2*I52</x:f>
        <x:v>0.25865966281680924</x:v>
      </x:c>
      <x:c r="J61" s="18" t="n">
        <x:f>(I61-G52)*10000</x:f>
        <x:v>-88.19322957670738</x:v>
      </x:c>
      <x:c r="K61" s="2" t="str">
        <x:f>IF(E61&lt;C61-0.000000001,"Capped","Full shift")</x:f>
        <x:v>Capped</x:v>
      </x:c>
      <x:c r="L61" s="19" t="n">
        <x:f>100*(1+F61)</x:f>
        <x:v>99.53729964970526</x:v>
      </x:c>
      <x:c r="M61" s="19" t="n">
        <x:f>100*(1+G61)</x:f>
        <x:v>99.73162685478613</x:v>
      </x:c>
      <x:c r="N61" s="2" t="str">
        <x:f>IF(AND(E61&gt;0,ABS(SUMIFS($M$16:$M$25,Candidate_Gates!$N$16:$N$25,"Pass")-1)&lt;0.000000001),"Evidence recorded","Hold")</x:f>
        <x:v>Hold</x:v>
      </x:c>
      <x:c r="O61" s="2"/>
      <x:c r="P61" s="2"/>
      <x:c r="Q61" s="2"/>
      <x:c r="R61" s="2"/>
      <x:c r="S61" s="2"/>
      <x:c r="T61" s="2"/>
      <x:c r="U61" s="2"/>
      <x:c r="V61" s="2"/>
      <x:c r="W61" s="2"/>
      <x:c r="X61" s="2"/>
      <x:c r="Y61" s="2"/>
      <x:c r="Z61" s="2"/>
      <x:c r="AA61" s="2"/>
      <x:c r="AB61" s="2"/>
      <x:c r="AC61" s="2"/>
      <x:c r="AD61" s="2"/>
    </x:row>
    <x:row r="62" ht="22" customHeight="1">
      <x:c r="A62" s="2" t="str">
        <x:v>Cautious</x:v>
      </x:c>
      <x:c r="B62" s="2" t="str">
        <x:v>62044300</x:v>
      </x:c>
      <x:c r="C62" s="8" t="n">
        <x:f>IF(Assumptions!B17="","n.a.",Assumptions!B17)</x:f>
        <x:v>0.05</x:v>
      </x:c>
      <x:c r="D62" s="8" t="n">
        <x:f>D53</x:f>
        <x:v>0.2</x:v>
      </x:c>
      <x:c r="E62" s="8" t="n">
        <x:f>IF(AND(P53="Ready",ISNUMBER(C62),C62&gt;=0,C62&lt;=1),MIN(C62,D62),"n.a.")</x:f>
        <x:v>0.05</x:v>
      </x:c>
      <x:c r="F62" s="8" t="n">
        <x:f>E62*L53/K53</x:f>
        <x:v>-0.002454378027992279</x:v>
      </x:c>
      <x:c r="G62" s="8" t="n">
        <x:f>E62*N53/M53</x:f>
        <x:v>0.0036241432868977007</x:v>
      </x:c>
      <x:c r="H62" s="8" t="n">
        <x:f>E62*C53/B53</x:f>
        <x:v>-0.002454378027992279</x:v>
      </x:c>
      <x:c r="I62" s="16" t="n">
        <x:f>G53+E62*H53+E62^2*I53</x:f>
        <x:v>0.24228847720075603</x:v>
      </x:c>
      <x:c r="J62" s="18" t="n">
        <x:f>(I62-G53)*10000</x:f>
        <x:v>-352.2758256644798</x:v>
      </x:c>
      <x:c r="K62" s="2" t="str">
        <x:f>IF(E62&lt;C62-0.000000001,"Capped","Full shift")</x:f>
        <x:v>Full shift</x:v>
      </x:c>
      <x:c r="L62" s="19" t="n">
        <x:f>100*(1+F62)</x:f>
        <x:v>99.75456219720077</x:v>
      </x:c>
      <x:c r="M62" s="19" t="n">
        <x:f>100*(1+G62)</x:f>
        <x:v>100.36241432868978</x:v>
      </x:c>
      <x:c r="N62" s="2" t="str">
        <x:f>IF(AND(E62&gt;0,ABS(SUMIFS($M$26:$M$35,Candidate_Gates!$N$26:$N$35,"Pass")-1)&lt;0.000000001),"Evidence recorded","Hold")</x:f>
        <x:v>Hold</x:v>
      </x:c>
      <x:c r="O62" s="2"/>
      <x:c r="P62" s="2"/>
      <x:c r="Q62" s="2"/>
      <x:c r="R62" s="2"/>
      <x:c r="S62" s="2"/>
      <x:c r="T62" s="2"/>
      <x:c r="U62" s="2"/>
      <x:c r="V62" s="2"/>
      <x:c r="W62" s="2"/>
      <x:c r="X62" s="2"/>
      <x:c r="Y62" s="2"/>
      <x:c r="Z62" s="2"/>
      <x:c r="AA62" s="2"/>
      <x:c r="AB62" s="2"/>
      <x:c r="AC62" s="2"/>
      <x:c r="AD62" s="2"/>
    </x:row>
    <x:row r="63" ht="22" customHeight="1">
      <x:c r="A63" s="2" t="str">
        <x:v>Cautious</x:v>
      </x:c>
      <x:c r="B63" s="2" t="str">
        <x:v>62052000</x:v>
      </x:c>
      <x:c r="C63" s="8" t="n">
        <x:f>IF(Assumptions!B17="","n.a.",Assumptions!B17)</x:f>
        <x:v>0.05</x:v>
      </x:c>
      <x:c r="D63" s="8" t="n">
        <x:f>D54</x:f>
        <x:v>0.06915990057015509</x:v>
      </x:c>
      <x:c r="E63" s="8" t="n">
        <x:f>IF(AND(P54="Ready",ISNUMBER(C63),C63&gt;=0,C63&lt;=1),MIN(C63,D63),"n.a.")</x:f>
        <x:v>0.05</x:v>
      </x:c>
      <x:c r="F63" s="8" t="n">
        <x:f>E63*L54/K54</x:f>
        <x:v>0.009723050058249182</x:v>
      </x:c>
      <x:c r="G63" s="8" t="n">
        <x:f>E63*N54/M54</x:f>
        <x:v>0.016227279439001176</x:v>
      </x:c>
      <x:c r="H63" s="8" t="n">
        <x:f>E63*C54/B54</x:f>
        <x:v>0.009723050058249182</x:v>
      </x:c>
      <x:c r="I63" s="16" t="n">
        <x:f>G54+E63*H54+E63^2*I54</x:f>
        <x:v>0.3511409744668123</x:v>
      </x:c>
      <x:c r="J63" s="18" t="n">
        <x:f>(I63-G54)*10000</x:f>
        <x:v>71.97165887346313</x:v>
      </x:c>
      <x:c r="K63" s="2" t="str">
        <x:f>IF(E63&lt;C63-0.000000001,"Capped","Full shift")</x:f>
        <x:v>Full shift</x:v>
      </x:c>
      <x:c r="L63" s="19" t="n">
        <x:f>100*(1+F63)</x:f>
        <x:v>100.97230500582492</x:v>
      </x:c>
      <x:c r="M63" s="19" t="n">
        <x:f>100*(1+G63)</x:f>
        <x:v>101.62272794390013</x:v>
      </x:c>
      <x:c r="N63" s="2" t="str">
        <x:f>IF(AND(E63&gt;0,ABS(SUMIFS($M$36:$M$45,Candidate_Gates!$N$36:$N$45,"Pass")-1)&lt;0.000000001),"Evidence recorded","Hold")</x:f>
        <x:v>Hold</x:v>
      </x:c>
      <x:c r="O63" s="2"/>
      <x:c r="P63" s="2"/>
      <x:c r="Q63" s="2"/>
      <x:c r="R63" s="2"/>
      <x:c r="S63" s="2"/>
      <x:c r="T63" s="2"/>
      <x:c r="U63" s="2"/>
      <x:c r="V63" s="2"/>
      <x:c r="W63" s="2"/>
      <x:c r="X63" s="2"/>
      <x:c r="Y63" s="2"/>
      <x:c r="Z63" s="2"/>
      <x:c r="AA63" s="2"/>
      <x:c r="AB63" s="2"/>
      <x:c r="AC63" s="2"/>
      <x:c r="AD63" s="2"/>
    </x:row>
    <x:row r="64" ht="22" customHeight="1">
      <x:c r="A64" s="2" t="str">
        <x:v>Balanced</x:v>
      </x:c>
      <x:c r="B64" s="2" t="str">
        <x:v>61091000</x:v>
      </x:c>
      <x:c r="C64" s="8" t="n">
        <x:f>IF(Assumptions!B18="","n.a.",Assumptions!B18)</x:f>
        <x:v>0.1</x:v>
      </x:c>
      <x:c r="D64" s="8" t="n">
        <x:f>D51</x:f>
        <x:v>0.032221226763006934</x:v>
      </x:c>
      <x:c r="E64" s="8" t="n">
        <x:f>IF(AND(P51="Ready",ISNUMBER(C64),C64&gt;=0,C64&lt;=1),MIN(C64,D64),"n.a.")</x:f>
        <x:v>0.032221226763006934</x:v>
      </x:c>
      <x:c r="F64" s="8" t="n">
        <x:f>E64*L51/K51</x:f>
        <x:v>-0.0008462427496100765</x:v>
      </x:c>
      <x:c r="G64" s="8" t="n">
        <x:f>E64*N51/M51</x:f>
        <x:v>0.0044753518476997635</x:v>
      </x:c>
      <x:c r="H64" s="8" t="n">
        <x:f>E64*C51/B51</x:f>
        <x:v>-0.0008462427496100765</x:v>
      </x:c>
      <x:c r="I64" s="16" t="n">
        <x:f>G51+E64*H51+E64^2*I51</x:f>
        <x:v>0.38572512487757016</x:v>
      </x:c>
      <x:c r="J64" s="18" t="n">
        <x:f>(I64-G51)*10000</x:f>
        <x:v>39.56747809149397</x:v>
      </x:c>
      <x:c r="K64" s="2" t="str">
        <x:f>IF(E64&lt;C64-0.000000001,"Capped","Full shift")</x:f>
        <x:v>Capped</x:v>
      </x:c>
      <x:c r="L64" s="19" t="n">
        <x:f>100*(1+F64)</x:f>
        <x:v>99.91537572503898</x:v>
      </x:c>
      <x:c r="M64" s="19" t="n">
        <x:f>100*(1+G64)</x:f>
        <x:v>100.44753518476999</x:v>
      </x:c>
      <x:c r="N64" s="2" t="str">
        <x:f>IF(AND(E64&gt;0,ABS(SUMIFS($M$6:$M$15,Candidate_Gates!$N$6:$N$15,"Pass")-1)&lt;0.000000001),"Evidence recorded","Hold")</x:f>
        <x:v>Hold</x:v>
      </x:c>
      <x:c r="O64" s="2"/>
      <x:c r="P64" s="2"/>
      <x:c r="Q64" s="2"/>
      <x:c r="R64" s="2"/>
      <x:c r="S64" s="2"/>
      <x:c r="T64" s="2"/>
      <x:c r="U64" s="2"/>
      <x:c r="V64" s="2"/>
      <x:c r="W64" s="2"/>
      <x:c r="X64" s="2"/>
      <x:c r="Y64" s="2"/>
      <x:c r="Z64" s="2"/>
      <x:c r="AA64" s="2"/>
      <x:c r="AB64" s="2"/>
      <x:c r="AC64" s="2"/>
      <x:c r="AD64" s="2"/>
    </x:row>
    <x:row r="65" ht="22" customHeight="1">
      <x:c r="A65" s="2" t="str">
        <x:v>Balanced</x:v>
      </x:c>
      <x:c r="B65" s="2" t="str">
        <x:v>61103099</x:v>
      </x:c>
      <x:c r="C65" s="8" t="n">
        <x:f>IF(Assumptions!B18="","n.a.",Assumptions!B18)</x:f>
        <x:v>0.1</x:v>
      </x:c>
      <x:c r="D65" s="8" t="n">
        <x:f>D52</x:f>
        <x:v>0.014153298257653319</x:v>
      </x:c>
      <x:c r="E65" s="8" t="n">
        <x:f>IF(AND(P52="Ready",ISNUMBER(C65),C65&gt;=0,C65&lt;=1),MIN(C65,D65),"n.a.")</x:f>
        <x:v>0.014153298257653319</x:v>
      </x:c>
      <x:c r="F65" s="8" t="n">
        <x:f>E65*L52/K52</x:f>
        <x:v>-0.004627003502947386</x:v>
      </x:c>
      <x:c r="G65" s="8" t="n">
        <x:f>E65*N52/M52</x:f>
        <x:v>-0.002683731452138717</x:v>
      </x:c>
      <x:c r="H65" s="8" t="n">
        <x:f>E65*C52/B52</x:f>
        <x:v>-0.004627003502947386</x:v>
      </x:c>
      <x:c r="I65" s="16" t="n">
        <x:f>G52+E65*H52+E65^2*I52</x:f>
        <x:v>0.25865966281680924</x:v>
      </x:c>
      <x:c r="J65" s="18" t="n">
        <x:f>(I65-G52)*10000</x:f>
        <x:v>-88.19322957670738</x:v>
      </x:c>
      <x:c r="K65" s="2" t="str">
        <x:f>IF(E65&lt;C65-0.000000001,"Capped","Full shift")</x:f>
        <x:v>Capped</x:v>
      </x:c>
      <x:c r="L65" s="19" t="n">
        <x:f>100*(1+F65)</x:f>
        <x:v>99.53729964970526</x:v>
      </x:c>
      <x:c r="M65" s="19" t="n">
        <x:f>100*(1+G65)</x:f>
        <x:v>99.73162685478613</x:v>
      </x:c>
      <x:c r="N65" s="2" t="str">
        <x:f>IF(AND(E65&gt;0,ABS(SUMIFS($M$16:$M$25,Candidate_Gates!$N$16:$N$25,"Pass")-1)&lt;0.000000001),"Evidence recorded","Hold")</x:f>
        <x:v>Hold</x:v>
      </x:c>
      <x:c r="O65" s="2"/>
      <x:c r="P65" s="2"/>
      <x:c r="Q65" s="2"/>
      <x:c r="R65" s="2"/>
      <x:c r="S65" s="2"/>
      <x:c r="T65" s="2"/>
      <x:c r="U65" s="2"/>
      <x:c r="V65" s="2"/>
      <x:c r="W65" s="2"/>
      <x:c r="X65" s="2"/>
      <x:c r="Y65" s="2"/>
      <x:c r="Z65" s="2"/>
      <x:c r="AA65" s="2"/>
      <x:c r="AB65" s="2"/>
      <x:c r="AC65" s="2"/>
      <x:c r="AD65" s="2"/>
    </x:row>
    <x:row r="66" ht="22" customHeight="1">
      <x:c r="A66" s="2" t="str">
        <x:v>Balanced</x:v>
      </x:c>
      <x:c r="B66" s="2" t="str">
        <x:v>62044300</x:v>
      </x:c>
      <x:c r="C66" s="8" t="n">
        <x:f>IF(Assumptions!B18="","n.a.",Assumptions!B18)</x:f>
        <x:v>0.1</x:v>
      </x:c>
      <x:c r="D66" s="8" t="n">
        <x:f>D53</x:f>
        <x:v>0.2</x:v>
      </x:c>
      <x:c r="E66" s="8" t="n">
        <x:f>IF(AND(P53="Ready",ISNUMBER(C66),C66&gt;=0,C66&lt;=1),MIN(C66,D66),"n.a.")</x:f>
        <x:v>0.1</x:v>
      </x:c>
      <x:c r="F66" s="8" t="n">
        <x:f>E66*L53/K53</x:f>
        <x:v>-0.004908756055984558</x:v>
      </x:c>
      <x:c r="G66" s="8" t="n">
        <x:f>E66*N53/M53</x:f>
        <x:v>0.0072482865737954014</x:v>
      </x:c>
      <x:c r="H66" s="8" t="n">
        <x:f>E66*C53/B53</x:f>
        <x:v>-0.004908756055984558</x:v>
      </x:c>
      <x:c r="I66" s="16" t="n">
        <x:f>G53+E66*H53+E66^2*I53</x:f>
        <x:v>0.21393589463430804</x:v>
      </x:c>
      <x:c r="J66" s="18" t="n">
        <x:f>(I66-G53)*10000</x:f>
        <x:v>-635.8016513289597</x:v>
      </x:c>
      <x:c r="K66" s="2" t="str">
        <x:f>IF(E66&lt;C66-0.000000001,"Capped","Full shift")</x:f>
        <x:v>Full shift</x:v>
      </x:c>
      <x:c r="L66" s="19" t="n">
        <x:f>100*(1+F66)</x:f>
        <x:v>99.50912439440155</x:v>
      </x:c>
      <x:c r="M66" s="19" t="n">
        <x:f>100*(1+G66)</x:f>
        <x:v>100.72482865737955</x:v>
      </x:c>
      <x:c r="N66" s="2" t="str">
        <x:f>IF(AND(E66&gt;0,ABS(SUMIFS($M$26:$M$35,Candidate_Gates!$N$26:$N$35,"Pass")-1)&lt;0.000000001),"Evidence recorded","Hold")</x:f>
        <x:v>Hold</x:v>
      </x:c>
      <x:c r="O66" s="2"/>
      <x:c r="P66" s="2"/>
      <x:c r="Q66" s="2"/>
      <x:c r="R66" s="2"/>
      <x:c r="S66" s="2"/>
      <x:c r="T66" s="2"/>
      <x:c r="U66" s="2"/>
      <x:c r="V66" s="2"/>
      <x:c r="W66" s="2"/>
      <x:c r="X66" s="2"/>
      <x:c r="Y66" s="2"/>
      <x:c r="Z66" s="2"/>
      <x:c r="AA66" s="2"/>
      <x:c r="AB66" s="2"/>
      <x:c r="AC66" s="2"/>
      <x:c r="AD66" s="2"/>
    </x:row>
    <x:row r="67" ht="22" customHeight="1">
      <x:c r="A67" s="2" t="str">
        <x:v>Balanced</x:v>
      </x:c>
      <x:c r="B67" s="2" t="str">
        <x:v>62052000</x:v>
      </x:c>
      <x:c r="C67" s="8" t="n">
        <x:f>IF(Assumptions!B18="","n.a.",Assumptions!B18)</x:f>
        <x:v>0.1</x:v>
      </x:c>
      <x:c r="D67" s="8" t="n">
        <x:f>D54</x:f>
        <x:v>0.06915990057015509</x:v>
      </x:c>
      <x:c r="E67" s="8" t="n">
        <x:f>IF(AND(P54="Ready",ISNUMBER(C67),C67&gt;=0,C67&lt;=1),MIN(C67,D67),"n.a.")</x:f>
        <x:v>0.06915990057015509</x:v>
      </x:c>
      <x:c r="F67" s="8" t="n">
        <x:f>E67*L54/K54</x:f>
        <x:v>0.01344890350534308</x:v>
      </x:c>
      <x:c r="G67" s="8" t="n">
        <x:f>E67*N54/M54</x:f>
        <x:v>0.02244554065050887</x:v>
      </x:c>
      <x:c r="H67" s="8" t="n">
        <x:f>E67*C54/B54</x:f>
        <x:v>0.01344890350534308</x:v>
      </x:c>
      <x:c r="I67" s="16" t="n">
        <x:f>G54+E67*H54+E67^2*I54</x:f>
        <x:v>0.3557209222478349</x:v>
      </x:c>
      <x:c r="J67" s="18" t="n">
        <x:f>(I67-G54)*10000</x:f>
        <x:v>117.77113668368922</x:v>
      </x:c>
      <x:c r="K67" s="2" t="str">
        <x:f>IF(E67&lt;C67-0.000000001,"Capped","Full shift")</x:f>
        <x:v>Capped</x:v>
      </x:c>
      <x:c r="L67" s="19" t="n">
        <x:f>100*(1+F67)</x:f>
        <x:v>101.34489035053431</x:v>
      </x:c>
      <x:c r="M67" s="19" t="n">
        <x:f>100*(1+G67)</x:f>
        <x:v>102.24455406505089</x:v>
      </x:c>
      <x:c r="N67" s="2" t="str">
        <x:f>IF(AND(E67&gt;0,ABS(SUMIFS($M$36:$M$45,Candidate_Gates!$N$36:$N$45,"Pass")-1)&lt;0.000000001),"Evidence recorded","Hold")</x:f>
        <x:v>Hold</x:v>
      </x:c>
      <x:c r="O67" s="2"/>
      <x:c r="P67" s="2"/>
      <x:c r="Q67" s="2"/>
      <x:c r="R67" s="2"/>
      <x:c r="S67" s="2"/>
      <x:c r="T67" s="2"/>
      <x:c r="U67" s="2"/>
      <x:c r="V67" s="2"/>
      <x:c r="W67" s="2"/>
      <x:c r="X67" s="2"/>
      <x:c r="Y67" s="2"/>
      <x:c r="Z67" s="2"/>
      <x:c r="AA67" s="2"/>
      <x:c r="AB67" s="2"/>
      <x:c r="AC67" s="2"/>
      <x:c r="AD67" s="2"/>
    </x:row>
    <x:row r="68" ht="22" customHeight="1">
      <x:c r="A68" s="2" t="str">
        <x:v>Accelerated</x:v>
      </x:c>
      <x:c r="B68" s="2" t="str">
        <x:v>61091000</x:v>
      </x:c>
      <x:c r="C68" s="8" t="n">
        <x:f>IF(Assumptions!B19="","n.a.",Assumptions!B19)</x:f>
        <x:v>0.15</x:v>
      </x:c>
      <x:c r="D68" s="8" t="n">
        <x:f>D51</x:f>
        <x:v>0.032221226763006934</x:v>
      </x:c>
      <x:c r="E68" s="8" t="n">
        <x:f>IF(AND(P51="Ready",ISNUMBER(C68),C68&gt;=0,C68&lt;=1),MIN(C68,D68),"n.a.")</x:f>
        <x:v>0.032221226763006934</x:v>
      </x:c>
      <x:c r="F68" s="8" t="n">
        <x:f>E68*L51/K51</x:f>
        <x:v>-0.0008462427496100765</x:v>
      </x:c>
      <x:c r="G68" s="8" t="n">
        <x:f>E68*N51/M51</x:f>
        <x:v>0.0044753518476997635</x:v>
      </x:c>
      <x:c r="H68" s="8" t="n">
        <x:f>E68*C51/B51</x:f>
        <x:v>-0.0008462427496100765</x:v>
      </x:c>
      <x:c r="I68" s="16" t="n">
        <x:f>G51+E68*H51+E68^2*I51</x:f>
        <x:v>0.38572512487757016</x:v>
      </x:c>
      <x:c r="J68" s="18" t="n">
        <x:f>(I68-G51)*10000</x:f>
        <x:v>39.56747809149397</x:v>
      </x:c>
      <x:c r="K68" s="2" t="str">
        <x:f>IF(E68&lt;C68-0.000000001,"Capped","Full shift")</x:f>
        <x:v>Capped</x:v>
      </x:c>
      <x:c r="L68" s="19" t="n">
        <x:f>100*(1+F68)</x:f>
        <x:v>99.91537572503898</x:v>
      </x:c>
      <x:c r="M68" s="19" t="n">
        <x:f>100*(1+G68)</x:f>
        <x:v>100.44753518476999</x:v>
      </x:c>
      <x:c r="N68" s="2" t="str">
        <x:f>IF(AND(E68&gt;0,ABS(SUMIFS($M$6:$M$15,Candidate_Gates!$N$6:$N$15,"Pass")-1)&lt;0.000000001),"Evidence recorded","Hold")</x:f>
        <x:v>Hold</x:v>
      </x:c>
      <x:c r="O68" s="2"/>
      <x:c r="P68" s="2"/>
      <x:c r="Q68" s="2"/>
      <x:c r="R68" s="2"/>
      <x:c r="S68" s="2"/>
      <x:c r="T68" s="2"/>
      <x:c r="U68" s="2"/>
      <x:c r="V68" s="2"/>
      <x:c r="W68" s="2"/>
      <x:c r="X68" s="2"/>
      <x:c r="Y68" s="2"/>
      <x:c r="Z68" s="2"/>
      <x:c r="AA68" s="2"/>
      <x:c r="AB68" s="2"/>
      <x:c r="AC68" s="2"/>
      <x:c r="AD68" s="2"/>
    </x:row>
    <x:row r="69" ht="22" customHeight="1">
      <x:c r="A69" s="2" t="str">
        <x:v>Accelerated</x:v>
      </x:c>
      <x:c r="B69" s="2" t="str">
        <x:v>61103099</x:v>
      </x:c>
      <x:c r="C69" s="8" t="n">
        <x:f>IF(Assumptions!B19="","n.a.",Assumptions!B19)</x:f>
        <x:v>0.15</x:v>
      </x:c>
      <x:c r="D69" s="8" t="n">
        <x:f>D52</x:f>
        <x:v>0.014153298257653319</x:v>
      </x:c>
      <x:c r="E69" s="8" t="n">
        <x:f>IF(AND(P52="Ready",ISNUMBER(C69),C69&gt;=0,C69&lt;=1),MIN(C69,D69),"n.a.")</x:f>
        <x:v>0.014153298257653319</x:v>
      </x:c>
      <x:c r="F69" s="8" t="n">
        <x:f>E69*L52/K52</x:f>
        <x:v>-0.004627003502947386</x:v>
      </x:c>
      <x:c r="G69" s="8" t="n">
        <x:f>E69*N52/M52</x:f>
        <x:v>-0.002683731452138717</x:v>
      </x:c>
      <x:c r="H69" s="8" t="n">
        <x:f>E69*C52/B52</x:f>
        <x:v>-0.004627003502947386</x:v>
      </x:c>
      <x:c r="I69" s="16" t="n">
        <x:f>G52+E69*H52+E69^2*I52</x:f>
        <x:v>0.25865966281680924</x:v>
      </x:c>
      <x:c r="J69" s="18" t="n">
        <x:f>(I69-G52)*10000</x:f>
        <x:v>-88.19322957670738</x:v>
      </x:c>
      <x:c r="K69" s="2" t="str">
        <x:f>IF(E69&lt;C69-0.000000001,"Capped","Full shift")</x:f>
        <x:v>Capped</x:v>
      </x:c>
      <x:c r="L69" s="19" t="n">
        <x:f>100*(1+F69)</x:f>
        <x:v>99.53729964970526</x:v>
      </x:c>
      <x:c r="M69" s="19" t="n">
        <x:f>100*(1+G69)</x:f>
        <x:v>99.73162685478613</x:v>
      </x:c>
      <x:c r="N69" s="2" t="str">
        <x:f>IF(AND(E69&gt;0,ABS(SUMIFS($M$16:$M$25,Candidate_Gates!$N$16:$N$25,"Pass")-1)&lt;0.000000001),"Evidence recorded","Hold")</x:f>
        <x:v>Hold</x:v>
      </x:c>
      <x:c r="O69" s="2"/>
      <x:c r="P69" s="2"/>
      <x:c r="Q69" s="2"/>
      <x:c r="R69" s="2"/>
      <x:c r="S69" s="2"/>
      <x:c r="T69" s="2"/>
      <x:c r="U69" s="2"/>
      <x:c r="V69" s="2"/>
      <x:c r="W69" s="2"/>
      <x:c r="X69" s="2"/>
      <x:c r="Y69" s="2"/>
      <x:c r="Z69" s="2"/>
      <x:c r="AA69" s="2"/>
      <x:c r="AB69" s="2"/>
      <x:c r="AC69" s="2"/>
      <x:c r="AD69" s="2"/>
    </x:row>
    <x:row r="70" ht="22" customHeight="1">
      <x:c r="A70" s="2" t="str">
        <x:v>Accelerated</x:v>
      </x:c>
      <x:c r="B70" s="2" t="str">
        <x:v>62044300</x:v>
      </x:c>
      <x:c r="C70" s="8" t="n">
        <x:f>IF(Assumptions!B19="","n.a.",Assumptions!B19)</x:f>
        <x:v>0.15</x:v>
      </x:c>
      <x:c r="D70" s="8" t="n">
        <x:f>D53</x:f>
        <x:v>0.2</x:v>
      </x:c>
      <x:c r="E70" s="8" t="n">
        <x:f>IF(AND(P53="Ready",ISNUMBER(C70),C70&gt;=0,C70&lt;=1),MIN(C70,D70),"n.a.")</x:f>
        <x:v>0.15</x:v>
      </x:c>
      <x:c r="F70" s="8" t="n">
        <x:f>E70*L53/K53</x:f>
        <x:v>-0.007363134083976837</x:v>
      </x:c>
      <x:c r="G70" s="8" t="n">
        <x:f>E70*N53/M53</x:f>
        <x:v>0.010872429860693101</x:v>
      </x:c>
      <x:c r="H70" s="8" t="n">
        <x:f>E70*C53/B53</x:f>
        <x:v>-0.007363134083976837</x:v>
      </x:c>
      <x:c r="I70" s="16" t="n">
        <x:f>G53+E70*H53+E70^2*I53</x:f>
        <x:v>0.19245831206786007</x:v>
      </x:c>
      <x:c r="J70" s="18" t="n">
        <x:f>(I70-G53)*10000</x:f>
        <x:v>-850.5774769934393</x:v>
      </x:c>
      <x:c r="K70" s="2" t="str">
        <x:f>IF(E70&lt;C70-0.000000001,"Capped","Full shift")</x:f>
        <x:v>Full shift</x:v>
      </x:c>
      <x:c r="L70" s="19" t="n">
        <x:f>100*(1+F70)</x:f>
        <x:v>99.26368659160232</x:v>
      </x:c>
      <x:c r="M70" s="19" t="n">
        <x:f>100*(1+G70)</x:f>
        <x:v>101.0872429860693</x:v>
      </x:c>
      <x:c r="N70" s="2" t="str">
        <x:f>IF(AND(E70&gt;0,ABS(SUMIFS($M$26:$M$35,Candidate_Gates!$N$26:$N$35,"Pass")-1)&lt;0.000000001),"Evidence recorded","Hold")</x:f>
        <x:v>Hold</x:v>
      </x:c>
      <x:c r="O70" s="2"/>
      <x:c r="P70" s="2"/>
      <x:c r="Q70" s="2"/>
      <x:c r="R70" s="2"/>
      <x:c r="S70" s="2"/>
      <x:c r="T70" s="2"/>
      <x:c r="U70" s="2"/>
      <x:c r="V70" s="2"/>
      <x:c r="W70" s="2"/>
      <x:c r="X70" s="2"/>
      <x:c r="Y70" s="2"/>
      <x:c r="Z70" s="2"/>
      <x:c r="AA70" s="2"/>
      <x:c r="AB70" s="2"/>
      <x:c r="AC70" s="2"/>
      <x:c r="AD70" s="2"/>
    </x:row>
    <x:row r="71" ht="22" customHeight="1">
      <x:c r="A71" s="2" t="str">
        <x:v>Accelerated</x:v>
      </x:c>
      <x:c r="B71" s="2" t="str">
        <x:v>62052000</x:v>
      </x:c>
      <x:c r="C71" s="8" t="n">
        <x:f>IF(Assumptions!B19="","n.a.",Assumptions!B19)</x:f>
        <x:v>0.15</x:v>
      </x:c>
      <x:c r="D71" s="8" t="n">
        <x:f>D54</x:f>
        <x:v>0.06915990057015509</x:v>
      </x:c>
      <x:c r="E71" s="8" t="n">
        <x:f>IF(AND(P54="Ready",ISNUMBER(C71),C71&gt;=0,C71&lt;=1),MIN(C71,D71),"n.a.")</x:f>
        <x:v>0.06915990057015509</x:v>
      </x:c>
      <x:c r="F71" s="8" t="n">
        <x:f>E71*L54/K54</x:f>
        <x:v>0.01344890350534308</x:v>
      </x:c>
      <x:c r="G71" s="8" t="n">
        <x:f>E71*N54/M54</x:f>
        <x:v>0.02244554065050887</x:v>
      </x:c>
      <x:c r="H71" s="8" t="n">
        <x:f>E71*C54/B54</x:f>
        <x:v>0.01344890350534308</x:v>
      </x:c>
      <x:c r="I71" s="16" t="n">
        <x:f>G54+E71*H54+E71^2*I54</x:f>
        <x:v>0.3557209222478349</x:v>
      </x:c>
      <x:c r="J71" s="18" t="n">
        <x:f>(I71-G54)*10000</x:f>
        <x:v>117.77113668368922</x:v>
      </x:c>
      <x:c r="K71" s="2" t="str">
        <x:f>IF(E71&lt;C71-0.000000001,"Capped","Full shift")</x:f>
        <x:v>Capped</x:v>
      </x:c>
      <x:c r="L71" s="19" t="n">
        <x:f>100*(1+F71)</x:f>
        <x:v>101.34489035053431</x:v>
      </x:c>
      <x:c r="M71" s="19" t="n">
        <x:f>100*(1+G71)</x:f>
        <x:v>102.24455406505089</x:v>
      </x:c>
      <x:c r="N71" s="2" t="str">
        <x:f>IF(AND(E71&gt;0,ABS(SUMIFS($M$36:$M$45,Candidate_Gates!$N$36:$N$45,"Pass")-1)&lt;0.000000001),"Evidence recorded","Hold")</x:f>
        <x:v>Hold</x:v>
      </x:c>
      <x:c r="O71" s="2"/>
      <x:c r="P71" s="2"/>
      <x:c r="Q71" s="2"/>
      <x:c r="R71" s="2"/>
      <x:c r="S71" s="2"/>
      <x:c r="T71" s="2"/>
      <x:c r="U71" s="2"/>
      <x:c r="V71" s="2"/>
      <x:c r="W71" s="2"/>
      <x:c r="X71" s="2"/>
      <x:c r="Y71" s="2"/>
      <x:c r="Z71" s="2"/>
      <x:c r="AA71" s="2"/>
      <x:c r="AB71" s="2"/>
      <x:c r="AC71" s="2"/>
      <x:c r="AD71" s="2"/>
    </x:row>
    <x:row r="72" ht="22"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row>
    <x:row r="73" ht="22"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row>
    <x:row r="74" ht="42" customHeight="1">
      <x:c r="A74" s="13" t="str">
        <x:v>Cost scope: observed border unit value × (1 + tariff), plus any explicit premium on incremental volume. International freight is already inside HMRC border value. VAT, inland delivery, lead time, working capital, FX and transition costs are not estimated.</x:v>
      </x:c>
      <x:c r="B74" s="13"/>
      <x:c r="C74" s="13"/>
      <x:c r="D74" s="13"/>
      <x:c r="E74" s="13"/>
      <x:c r="F74" s="13"/>
      <x:c r="G74" s="13"/>
      <x:c r="H74" s="13"/>
      <x:c r="I74" s="13"/>
      <x:c r="J74" s="13"/>
      <x:c r="K74" s="13"/>
      <x:c r="L74" s="13"/>
      <x:c r="M74" s="13"/>
      <x:c r="N74" s="13"/>
      <x:c r="O74" s="13"/>
      <x:c r="P74" s="13"/>
      <x:c r="Q74" s="2"/>
      <x:c r="R74" s="2"/>
      <x:c r="S74" s="2"/>
      <x:c r="T74" s="2"/>
      <x:c r="U74" s="2"/>
      <x:c r="V74" s="2"/>
      <x:c r="W74" s="2"/>
      <x:c r="X74" s="2"/>
      <x:c r="Y74" s="2"/>
      <x:c r="Z74" s="2"/>
      <x:c r="AA74" s="2"/>
      <x:c r="AB74" s="2"/>
      <x:c r="AC74" s="2"/>
      <x:c r="AD74" s="2"/>
    </x:row>
    <x:row r="75" ht="34" customHeight="1">
      <x:c r="A75" s="13" t="str">
        <x:v>Prices may differ because of quality and product mix within a CN8 code. A lower index is a benchmark result, not an achievable supplier saving. Candidate capability, origin and RS01–RS08 require separate evidence.</x:v>
      </x:c>
      <x:c r="B75" s="13"/>
      <x:c r="C75" s="13"/>
      <x:c r="D75" s="13"/>
      <x:c r="E75" s="13"/>
      <x:c r="F75" s="13"/>
      <x:c r="G75" s="13"/>
      <x:c r="H75" s="13"/>
      <x:c r="I75" s="13"/>
      <x:c r="J75" s="13"/>
      <x:c r="K75" s="13"/>
      <x:c r="L75" s="13"/>
      <x:c r="M75" s="13"/>
      <x:c r="N75" s="13"/>
      <x:c r="O75" s="13"/>
      <x:c r="P75" s="13"/>
      <x:c r="Q75" s="2"/>
      <x:c r="R75" s="2"/>
      <x:c r="S75" s="2"/>
      <x:c r="T75" s="2"/>
      <x:c r="U75" s="2"/>
      <x:c r="V75" s="2"/>
      <x:c r="W75" s="2"/>
      <x:c r="X75" s="2"/>
      <x:c r="Y75" s="2"/>
      <x:c r="Z75" s="2"/>
      <x:c r="AA75" s="2"/>
      <x:c r="AB75" s="2"/>
      <x:c r="AC75" s="2"/>
      <x:c r="AD75" s="2"/>
    </x:row>
    <x:row r="76" ht="22"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row>
    <x:row r="77" ht="22"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row>
    <x:row r="78" ht="22"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row>
    <x:row r="79" ht="22"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row>
    <x:row r="80" ht="22"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row>
  </x:sheetData>
  <x:mergeCells>
    <x:mergeCell ref="A56:P56"/>
    <x:mergeCell ref="A74:P74"/>
    <x:mergeCell ref="A75:P75"/>
  </x:mergeCells>
  <x:conditionalFormatting sqref="O51:O54">
    <x:cfRule type="containsText" dxfId="2" priority="1" operator="containsText" text="FAIL"/>
    <x:cfRule type="containsText" dxfId="3" priority="2" operator="containsText" text="Hold"/>
  </x:conditionalFormatting>
  <x:conditionalFormatting sqref="N60:N71">
    <x:cfRule type="containsText" dxfId="4" priority="3" operator="containsText" text="FAIL"/>
    <x:cfRule type="containsText" dxfId="5" priority="4" operator="containsText" text="Hold"/>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7"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35" hidden="0" customWidth="1"/>
    <x:col min="17" max="17" width="15" hidden="0" customWidth="1"/>
  </x:cols>
  <x:sheetData>
    <x:row r="1" ht="22" customHeight="1">
      <x:c r="A1" s="2"/>
      <x:c r="B1" s="2"/>
      <x:c r="C1" s="2"/>
      <x:c r="D1" s="2"/>
      <x:c r="E1" s="2"/>
      <x:c r="F1" s="2"/>
      <x:c r="G1" s="2"/>
      <x:c r="H1" s="2"/>
      <x:c r="I1" s="2"/>
      <x:c r="J1" s="2"/>
      <x:c r="K1" s="2"/>
      <x:c r="L1" s="2"/>
      <x:c r="M1" s="2"/>
      <x:c r="N1" s="2"/>
      <x:c r="O1" s="2"/>
      <x:c r="P1" s="2"/>
      <x:c r="Q1" s="2"/>
    </x:row>
    <x:row r="2" ht="29" customHeight="1">
      <x:c r="A2" s="3" t="str">
        <x:v>Candidate evidence and release controls</x:v>
      </x:c>
      <x:c r="B2" s="3"/>
      <x:c r="C2" s="3"/>
      <x:c r="D2" s="3"/>
      <x:c r="E2" s="3"/>
      <x:c r="F2" s="3"/>
      <x:c r="G2" s="3"/>
      <x:c r="H2" s="3"/>
      <x:c r="I2" s="3"/>
      <x:c r="J2" s="3"/>
      <x:c r="K2" s="3"/>
      <x:c r="L2" s="3"/>
      <x:c r="M2" s="3"/>
      <x:c r="N2" s="3"/>
      <x:c r="O2" s="3"/>
      <x:c r="P2" s="3"/>
      <x:c r="Q2" s="3"/>
    </x:row>
    <x:row r="3" ht="22" customHeight="1">
      <x:c r="A3" s="4"/>
      <x:c r="B3" s="4"/>
      <x:c r="C3" s="4"/>
      <x:c r="D3" s="4"/>
      <x:c r="E3" s="4"/>
      <x:c r="F3" s="4"/>
      <x:c r="G3" s="4"/>
      <x:c r="H3" s="4"/>
      <x:c r="I3" s="4"/>
      <x:c r="J3" s="4"/>
      <x:c r="K3" s="4"/>
      <x:c r="L3" s="4"/>
      <x:c r="M3" s="4"/>
      <x:c r="N3" s="4"/>
      <x:c r="O3" s="4"/>
      <x:c r="P3" s="4"/>
      <x:c r="Q3" s="4"/>
    </x:row>
    <x:row r="4" ht="32" customHeight="1">
      <x:c r="A4" s="13" t="str">
        <x:v>Country/CN8 placeholders await identified sites and dated evidence. WP007 is the policy basis. No public-evidence candidate is cleared for new allocation.</x:v>
      </x:c>
      <x:c r="B4" s="13"/>
      <x:c r="C4" s="13"/>
      <x:c r="D4" s="13"/>
      <x:c r="E4" s="13"/>
      <x:c r="F4" s="13"/>
      <x:c r="G4" s="13"/>
      <x:c r="H4" s="13"/>
      <x:c r="I4" s="13"/>
      <x:c r="J4" s="13"/>
      <x:c r="K4" s="13"/>
      <x:c r="L4" s="13"/>
      <x:c r="M4" s="13"/>
      <x:c r="N4" s="13"/>
      <x:c r="O4" s="13"/>
      <x:c r="P4" s="2"/>
      <x:c r="Q4" s="2"/>
    </x:row>
    <x:row r="5" ht="34" customHeight="1">
      <x:c r="A5" s="12" t="str">
        <x:v>CN8</x:v>
      </x:c>
      <x:c r="B5" s="12" t="str">
        <x:v>Country</x:v>
      </x:c>
      <x:c r="C5" s="12" t="str">
        <x:v>Site ID</x:v>
      </x:c>
      <x:c r="D5" s="12" t="str">
        <x:v>Origin evidence</x:v>
      </x:c>
      <x:c r="E5" s="12" t="str">
        <x:v>CN8 capability</x:v>
      </x:c>
      <x:c r="F5" s="12" t="str">
        <x:v>RS01</x:v>
      </x:c>
      <x:c r="G5" s="12" t="str">
        <x:v>RS02</x:v>
      </x:c>
      <x:c r="H5" s="12" t="str">
        <x:v>RS03</x:v>
      </x:c>
      <x:c r="I5" s="12" t="str">
        <x:v>RS04</x:v>
      </x:c>
      <x:c r="J5" s="12" t="str">
        <x:v>RS05</x:v>
      </x:c>
      <x:c r="K5" s="12" t="str">
        <x:v>RS06</x:v>
      </x:c>
      <x:c r="L5" s="12" t="str">
        <x:v>RS07</x:v>
      </x:c>
      <x:c r="M5" s="12" t="str">
        <x:v>RS08</x:v>
      </x:c>
      <x:c r="N5" s="12" t="str">
        <x:v>Overall</x:v>
      </x:c>
      <x:c r="O5" s="12" t="str">
        <x:v>Release</x:v>
      </x:c>
      <x:c r="P5" s="12" t="str">
        <x:v>Evidence reference</x:v>
      </x:c>
      <x:c r="Q5" s="12" t="str">
        <x:v>Decision date</x:v>
      </x:c>
    </x:row>
    <x:row r="6" ht="22" customHeight="1">
      <x:c r="A6" s="2" t="str">
        <x:v>61091000</x:v>
      </x:c>
      <x:c r="B6" s="2" t="str">
        <x:v>Bangladesh</x:v>
      </x:c>
      <x:c r="C6" s="6"/>
      <x:c r="D6" s="6" t="str">
        <x:v>Pending</x:v>
      </x:c>
      <x:c r="E6" s="6" t="str">
        <x:v>Pending</x:v>
      </x:c>
      <x:c r="F6" s="6" t="str">
        <x:v>Pending</x:v>
      </x:c>
      <x:c r="G6" s="6" t="str">
        <x:v>Pending</x:v>
      </x:c>
      <x:c r="H6" s="6" t="str">
        <x:v>Pending</x:v>
      </x:c>
      <x:c r="I6" s="6" t="str">
        <x:v>Pending</x:v>
      </x:c>
      <x:c r="J6" s="6" t="str">
        <x:v>Pending</x:v>
      </x:c>
      <x:c r="K6" s="6" t="str">
        <x:v>Pending</x:v>
      </x:c>
      <x:c r="L6" s="6" t="str">
        <x:v>Pending</x:v>
      </x:c>
      <x:c r="M6" s="6" t="str">
        <x:v>Pending</x:v>
      </x:c>
      <x:c r="N6" s="2" t="str">
        <x:f>IF(B6="Myanmar","Excluded",IF(COUNTIF(D6:M6,"Fail")&gt;0,"Fail",IF(OR(C6="",P6="",NOT(ISNUMBER(Q6)),COUNTIF(D6:M6,"Pending")&gt;0,COUNTBLANK(D6:M6)&gt;0),"Pending",IF(COUNTIF(D6:M6,"Conditional")&gt;0,"Conditional",IF(COUNTIF(D6:M6,"Pass")=10,"Pass","Pending")))))</x:f>
        <x:v>Pending</x:v>
      </x:c>
      <x:c r="O6" s="2" t="str">
        <x:f>IF(N6="Pass","Evidence recorded","Hold")</x:f>
        <x:v>Hold</x:v>
      </x:c>
      <x:c r="P6" s="6"/>
      <x:c r="Q6" s="17"/>
    </x:row>
    <x:row r="7" ht="22" customHeight="1">
      <x:c r="A7" s="2" t="str">
        <x:v>61091000</x:v>
      </x:c>
      <x:c r="B7" s="2" t="str">
        <x:v>Cambodia</x:v>
      </x:c>
      <x:c r="C7" s="6"/>
      <x:c r="D7" s="6" t="str">
        <x:v>Pending</x:v>
      </x:c>
      <x:c r="E7" s="6" t="str">
        <x:v>Pending</x:v>
      </x:c>
      <x:c r="F7" s="6" t="str">
        <x:v>Pending</x:v>
      </x:c>
      <x:c r="G7" s="6" t="str">
        <x:v>Pending</x:v>
      </x:c>
      <x:c r="H7" s="6" t="str">
        <x:v>Pending</x:v>
      </x:c>
      <x:c r="I7" s="6" t="str">
        <x:v>Pending</x:v>
      </x:c>
      <x:c r="J7" s="6" t="str">
        <x:v>Pending</x:v>
      </x:c>
      <x:c r="K7" s="6" t="str">
        <x:v>Pending</x:v>
      </x:c>
      <x:c r="L7" s="6" t="str">
        <x:v>Pending</x:v>
      </x:c>
      <x:c r="M7" s="6" t="str">
        <x:v>Pending</x:v>
      </x:c>
      <x:c r="N7" s="2" t="str">
        <x:f>IF(B7="Myanmar","Excluded",IF(COUNTIF(D7:M7,"Fail")&gt;0,"Fail",IF(OR(C7="",P7="",NOT(ISNUMBER(Q7)),COUNTIF(D7:M7,"Pending")&gt;0,COUNTBLANK(D7:M7)&gt;0),"Pending",IF(COUNTIF(D7:M7,"Conditional")&gt;0,"Conditional",IF(COUNTIF(D7:M7,"Pass")=10,"Pass","Pending")))))</x:f>
        <x:v>Pending</x:v>
      </x:c>
      <x:c r="O7" s="2" t="str">
        <x:f>IF(N7="Pass","Evidence recorded","Hold")</x:f>
        <x:v>Hold</x:v>
      </x:c>
      <x:c r="P7" s="6"/>
      <x:c r="Q7" s="17"/>
    </x:row>
    <x:row r="8" ht="22" customHeight="1">
      <x:c r="A8" s="2" t="str">
        <x:v>61091000</x:v>
      </x:c>
      <x:c r="B8" s="2" t="str">
        <x:v>China</x:v>
      </x:c>
      <x:c r="C8" s="6"/>
      <x:c r="D8" s="6" t="str">
        <x:v>Pending</x:v>
      </x:c>
      <x:c r="E8" s="6" t="str">
        <x:v>Pending</x:v>
      </x:c>
      <x:c r="F8" s="6" t="str">
        <x:v>Pending</x:v>
      </x:c>
      <x:c r="G8" s="6" t="str">
        <x:v>Pending</x:v>
      </x:c>
      <x:c r="H8" s="6" t="str">
        <x:v>Pending</x:v>
      </x:c>
      <x:c r="I8" s="6" t="str">
        <x:v>Pending</x:v>
      </x:c>
      <x:c r="J8" s="6" t="str">
        <x:v>Pending</x:v>
      </x:c>
      <x:c r="K8" s="6" t="str">
        <x:v>Pending</x:v>
      </x:c>
      <x:c r="L8" s="6" t="str">
        <x:v>Pending</x:v>
      </x:c>
      <x:c r="M8" s="6" t="str">
        <x:v>Pending</x:v>
      </x:c>
      <x:c r="N8" s="2" t="str">
        <x:f>IF(B8="Myanmar","Excluded",IF(COUNTIF(D8:M8,"Fail")&gt;0,"Fail",IF(OR(C8="",P8="",NOT(ISNUMBER(Q8)),COUNTIF(D8:M8,"Pending")&gt;0,COUNTBLANK(D8:M8)&gt;0),"Pending",IF(COUNTIF(D8:M8,"Conditional")&gt;0,"Conditional",IF(COUNTIF(D8:M8,"Pass")=10,"Pass","Pending")))))</x:f>
        <x:v>Pending</x:v>
      </x:c>
      <x:c r="O8" s="2" t="str">
        <x:f>IF(N8="Pass","Evidence recorded","Hold")</x:f>
        <x:v>Hold</x:v>
      </x:c>
      <x:c r="P8" s="6"/>
      <x:c r="Q8" s="17"/>
    </x:row>
    <x:row r="9" ht="22" customHeight="1">
      <x:c r="A9" s="2" t="str">
        <x:v>61091000</x:v>
      </x:c>
      <x:c r="B9" s="2" t="str">
        <x:v>India</x:v>
      </x:c>
      <x:c r="C9" s="6"/>
      <x:c r="D9" s="6" t="str">
        <x:v>Pending</x:v>
      </x:c>
      <x:c r="E9" s="6" t="str">
        <x:v>Pending</x:v>
      </x:c>
      <x:c r="F9" s="6" t="str">
        <x:v>Pending</x:v>
      </x:c>
      <x:c r="G9" s="6" t="str">
        <x:v>Pending</x:v>
      </x:c>
      <x:c r="H9" s="6" t="str">
        <x:v>Pending</x:v>
      </x:c>
      <x:c r="I9" s="6" t="str">
        <x:v>Pending</x:v>
      </x:c>
      <x:c r="J9" s="6" t="str">
        <x:v>Pending</x:v>
      </x:c>
      <x:c r="K9" s="6" t="str">
        <x:v>Pending</x:v>
      </x:c>
      <x:c r="L9" s="6" t="str">
        <x:v>Pending</x:v>
      </x:c>
      <x:c r="M9" s="6" t="str">
        <x:v>Pending</x:v>
      </x:c>
      <x:c r="N9" s="2" t="str">
        <x:f>IF(B9="Myanmar","Excluded",IF(COUNTIF(D9:M9,"Fail")&gt;0,"Fail",IF(OR(C9="",P9="",NOT(ISNUMBER(Q9)),COUNTIF(D9:M9,"Pending")&gt;0,COUNTBLANK(D9:M9)&gt;0),"Pending",IF(COUNTIF(D9:M9,"Conditional")&gt;0,"Conditional",IF(COUNTIF(D9:M9,"Pass")=10,"Pass","Pending")))))</x:f>
        <x:v>Pending</x:v>
      </x:c>
      <x:c r="O9" s="2" t="str">
        <x:f>IF(N9="Pass","Evidence recorded","Hold")</x:f>
        <x:v>Hold</x:v>
      </x:c>
      <x:c r="P9" s="6"/>
      <x:c r="Q9" s="17"/>
    </x:row>
    <x:row r="10" ht="22" customHeight="1">
      <x:c r="A10" s="2" t="str">
        <x:v>61091000</x:v>
      </x:c>
      <x:c r="B10" s="2" t="str">
        <x:v>Morocco</x:v>
      </x:c>
      <x:c r="C10" s="6"/>
      <x:c r="D10" s="6" t="str">
        <x:v>Pending</x:v>
      </x:c>
      <x:c r="E10" s="6" t="str">
        <x:v>Pending</x:v>
      </x:c>
      <x:c r="F10" s="6" t="str">
        <x:v>Pending</x:v>
      </x:c>
      <x:c r="G10" s="6" t="str">
        <x:v>Pending</x:v>
      </x:c>
      <x:c r="H10" s="6" t="str">
        <x:v>Pending</x:v>
      </x:c>
      <x:c r="I10" s="6" t="str">
        <x:v>Pending</x:v>
      </x:c>
      <x:c r="J10" s="6" t="str">
        <x:v>Pending</x:v>
      </x:c>
      <x:c r="K10" s="6" t="str">
        <x:v>Pending</x:v>
      </x:c>
      <x:c r="L10" s="6" t="str">
        <x:v>Pending</x:v>
      </x:c>
      <x:c r="M10" s="6" t="str">
        <x:v>Pending</x:v>
      </x:c>
      <x:c r="N10" s="2" t="str">
        <x:f>IF(B10="Myanmar","Excluded",IF(COUNTIF(D10:M10,"Fail")&gt;0,"Fail",IF(OR(C10="",P10="",NOT(ISNUMBER(Q10)),COUNTIF(D10:M10,"Pending")&gt;0,COUNTBLANK(D10:M10)&gt;0),"Pending",IF(COUNTIF(D10:M10,"Conditional")&gt;0,"Conditional",IF(COUNTIF(D10:M10,"Pass")=10,"Pass","Pending")))))</x:f>
        <x:v>Pending</x:v>
      </x:c>
      <x:c r="O10" s="2" t="str">
        <x:f>IF(N10="Pass","Evidence recorded","Hold")</x:f>
        <x:v>Hold</x:v>
      </x:c>
      <x:c r="P10" s="6"/>
      <x:c r="Q10" s="17"/>
    </x:row>
    <x:row r="11" ht="22" customHeight="1">
      <x:c r="A11" s="2" t="str">
        <x:v>61091000</x:v>
      </x:c>
      <x:c r="B11" s="2" t="str">
        <x:v>Myanmar</x:v>
      </x:c>
      <x:c r="C11" s="6"/>
      <x:c r="D11" s="6" t="str">
        <x:v>Pending</x:v>
      </x:c>
      <x:c r="E11" s="6" t="str">
        <x:v>Pending</x:v>
      </x:c>
      <x:c r="F11" s="6" t="str">
        <x:v>Pending</x:v>
      </x:c>
      <x:c r="G11" s="6" t="str">
        <x:v>Pending</x:v>
      </x:c>
      <x:c r="H11" s="6" t="str">
        <x:v>Pending</x:v>
      </x:c>
      <x:c r="I11" s="6" t="str">
        <x:v>Pending</x:v>
      </x:c>
      <x:c r="J11" s="6" t="str">
        <x:v>Pending</x:v>
      </x:c>
      <x:c r="K11" s="6" t="str">
        <x:v>Pending</x:v>
      </x:c>
      <x:c r="L11" s="6" t="str">
        <x:v>Pending</x:v>
      </x:c>
      <x:c r="M11" s="6" t="str">
        <x:v>Pending</x:v>
      </x:c>
      <x:c r="N11" s="2" t="str">
        <x:f>IF(B11="Myanmar","Excluded",IF(COUNTIF(D11:M11,"Fail")&gt;0,"Fail",IF(OR(C11="",P11="",NOT(ISNUMBER(Q11)),COUNTIF(D11:M11,"Pending")&gt;0,COUNTBLANK(D11:M11)&gt;0),"Pending",IF(COUNTIF(D11:M11,"Conditional")&gt;0,"Conditional",IF(COUNTIF(D11:M11,"Pass")=10,"Pass","Pending")))))</x:f>
        <x:v>Excluded</x:v>
      </x:c>
      <x:c r="O11" s="2" t="str">
        <x:f>IF(N11="Pass","Evidence recorded","Hold")</x:f>
        <x:v>Hold</x:v>
      </x:c>
      <x:c r="P11" s="6"/>
      <x:c r="Q11" s="17"/>
    </x:row>
    <x:row r="12" ht="22" customHeight="1">
      <x:c r="A12" s="2" t="str">
        <x:v>61091000</x:v>
      </x:c>
      <x:c r="B12" s="2" t="str">
        <x:v>Pakistan</x:v>
      </x:c>
      <x:c r="C12" s="6"/>
      <x:c r="D12" s="6" t="str">
        <x:v>Pending</x:v>
      </x:c>
      <x:c r="E12" s="6" t="str">
        <x:v>Pending</x:v>
      </x:c>
      <x:c r="F12" s="6" t="str">
        <x:v>Pending</x:v>
      </x:c>
      <x:c r="G12" s="6" t="str">
        <x:v>Pending</x:v>
      </x:c>
      <x:c r="H12" s="6" t="str">
        <x:v>Pending</x:v>
      </x:c>
      <x:c r="I12" s="6" t="str">
        <x:v>Pending</x:v>
      </x:c>
      <x:c r="J12" s="6" t="str">
        <x:v>Pending</x:v>
      </x:c>
      <x:c r="K12" s="6" t="str">
        <x:v>Pending</x:v>
      </x:c>
      <x:c r="L12" s="6" t="str">
        <x:v>Pending</x:v>
      </x:c>
      <x:c r="M12" s="6" t="str">
        <x:v>Pending</x:v>
      </x:c>
      <x:c r="N12" s="2" t="str">
        <x:f>IF(B12="Myanmar","Excluded",IF(COUNTIF(D12:M12,"Fail")&gt;0,"Fail",IF(OR(C12="",P12="",NOT(ISNUMBER(Q12)),COUNTIF(D12:M12,"Pending")&gt;0,COUNTBLANK(D12:M12)&gt;0),"Pending",IF(COUNTIF(D12:M12,"Conditional")&gt;0,"Conditional",IF(COUNTIF(D12:M12,"Pass")=10,"Pass","Pending")))))</x:f>
        <x:v>Pending</x:v>
      </x:c>
      <x:c r="O12" s="2" t="str">
        <x:f>IF(N12="Pass","Evidence recorded","Hold")</x:f>
        <x:v>Hold</x:v>
      </x:c>
      <x:c r="P12" s="6"/>
      <x:c r="Q12" s="17"/>
    </x:row>
    <x:row r="13" ht="22" customHeight="1">
      <x:c r="A13" s="2" t="str">
        <x:v>61091000</x:v>
      </x:c>
      <x:c r="B13" s="2" t="str">
        <x:v>Sri Lanka</x:v>
      </x:c>
      <x:c r="C13" s="6"/>
      <x:c r="D13" s="6" t="str">
        <x:v>Pending</x:v>
      </x:c>
      <x:c r="E13" s="6" t="str">
        <x:v>Pending</x:v>
      </x:c>
      <x:c r="F13" s="6" t="str">
        <x:v>Pending</x:v>
      </x:c>
      <x:c r="G13" s="6" t="str">
        <x:v>Pending</x:v>
      </x:c>
      <x:c r="H13" s="6" t="str">
        <x:v>Pending</x:v>
      </x:c>
      <x:c r="I13" s="6" t="str">
        <x:v>Pending</x:v>
      </x:c>
      <x:c r="J13" s="6" t="str">
        <x:v>Pending</x:v>
      </x:c>
      <x:c r="K13" s="6" t="str">
        <x:v>Pending</x:v>
      </x:c>
      <x:c r="L13" s="6" t="str">
        <x:v>Pending</x:v>
      </x:c>
      <x:c r="M13" s="6" t="str">
        <x:v>Pending</x:v>
      </x:c>
      <x:c r="N13" s="2" t="str">
        <x:f>IF(B13="Myanmar","Excluded",IF(COUNTIF(D13:M13,"Fail")&gt;0,"Fail",IF(OR(C13="",P13="",NOT(ISNUMBER(Q13)),COUNTIF(D13:M13,"Pending")&gt;0,COUNTBLANK(D13:M13)&gt;0),"Pending",IF(COUNTIF(D13:M13,"Conditional")&gt;0,"Conditional",IF(COUNTIF(D13:M13,"Pass")=10,"Pass","Pending")))))</x:f>
        <x:v>Pending</x:v>
      </x:c>
      <x:c r="O13" s="2" t="str">
        <x:f>IF(N13="Pass","Evidence recorded","Hold")</x:f>
        <x:v>Hold</x:v>
      </x:c>
      <x:c r="P13" s="6"/>
      <x:c r="Q13" s="17"/>
    </x:row>
    <x:row r="14" ht="22" customHeight="1">
      <x:c r="A14" s="2" t="str">
        <x:v>61091000</x:v>
      </x:c>
      <x:c r="B14" s="2" t="str">
        <x:v>Turkey</x:v>
      </x:c>
      <x:c r="C14" s="6"/>
      <x:c r="D14" s="6" t="str">
        <x:v>Pending</x:v>
      </x:c>
      <x:c r="E14" s="6" t="str">
        <x:v>Pending</x:v>
      </x:c>
      <x:c r="F14" s="6" t="str">
        <x:v>Pending</x:v>
      </x:c>
      <x:c r="G14" s="6" t="str">
        <x:v>Pending</x:v>
      </x:c>
      <x:c r="H14" s="6" t="str">
        <x:v>Pending</x:v>
      </x:c>
      <x:c r="I14" s="6" t="str">
        <x:v>Pending</x:v>
      </x:c>
      <x:c r="J14" s="6" t="str">
        <x:v>Pending</x:v>
      </x:c>
      <x:c r="K14" s="6" t="str">
        <x:v>Pending</x:v>
      </x:c>
      <x:c r="L14" s="6" t="str">
        <x:v>Pending</x:v>
      </x:c>
      <x:c r="M14" s="6" t="str">
        <x:v>Pending</x:v>
      </x:c>
      <x:c r="N14" s="2" t="str">
        <x:f>IF(B14="Myanmar","Excluded",IF(COUNTIF(D14:M14,"Fail")&gt;0,"Fail",IF(OR(C14="",P14="",NOT(ISNUMBER(Q14)),COUNTIF(D14:M14,"Pending")&gt;0,COUNTBLANK(D14:M14)&gt;0),"Pending",IF(COUNTIF(D14:M14,"Conditional")&gt;0,"Conditional",IF(COUNTIF(D14:M14,"Pass")=10,"Pass","Pending")))))</x:f>
        <x:v>Pending</x:v>
      </x:c>
      <x:c r="O14" s="2" t="str">
        <x:f>IF(N14="Pass","Evidence recorded","Hold")</x:f>
        <x:v>Hold</x:v>
      </x:c>
      <x:c r="P14" s="6"/>
      <x:c r="Q14" s="17"/>
    </x:row>
    <x:row r="15" ht="22" customHeight="1">
      <x:c r="A15" s="2" t="str">
        <x:v>61091000</x:v>
      </x:c>
      <x:c r="B15" s="2" t="str">
        <x:v>Vietnam</x:v>
      </x:c>
      <x:c r="C15" s="6"/>
      <x:c r="D15" s="6" t="str">
        <x:v>Pending</x:v>
      </x:c>
      <x:c r="E15" s="6" t="str">
        <x:v>Pending</x:v>
      </x:c>
      <x:c r="F15" s="6" t="str">
        <x:v>Pending</x:v>
      </x:c>
      <x:c r="G15" s="6" t="str">
        <x:v>Pending</x:v>
      </x:c>
      <x:c r="H15" s="6" t="str">
        <x:v>Pending</x:v>
      </x:c>
      <x:c r="I15" s="6" t="str">
        <x:v>Pending</x:v>
      </x:c>
      <x:c r="J15" s="6" t="str">
        <x:v>Pending</x:v>
      </x:c>
      <x:c r="K15" s="6" t="str">
        <x:v>Pending</x:v>
      </x:c>
      <x:c r="L15" s="6" t="str">
        <x:v>Pending</x:v>
      </x:c>
      <x:c r="M15" s="6" t="str">
        <x:v>Pending</x:v>
      </x:c>
      <x:c r="N15" s="2" t="str">
        <x:f>IF(B15="Myanmar","Excluded",IF(COUNTIF(D15:M15,"Fail")&gt;0,"Fail",IF(OR(C15="",P15="",NOT(ISNUMBER(Q15)),COUNTIF(D15:M15,"Pending")&gt;0,COUNTBLANK(D15:M15)&gt;0),"Pending",IF(COUNTIF(D15:M15,"Conditional")&gt;0,"Conditional",IF(COUNTIF(D15:M15,"Pass")=10,"Pass","Pending")))))</x:f>
        <x:v>Pending</x:v>
      </x:c>
      <x:c r="O15" s="2" t="str">
        <x:f>IF(N15="Pass","Evidence recorded","Hold")</x:f>
        <x:v>Hold</x:v>
      </x:c>
      <x:c r="P15" s="6"/>
      <x:c r="Q15" s="17"/>
    </x:row>
    <x:row r="16" ht="22" customHeight="1">
      <x:c r="A16" s="2" t="str">
        <x:v>61103099</x:v>
      </x:c>
      <x:c r="B16" s="2" t="str">
        <x:v>Bangladesh</x:v>
      </x:c>
      <x:c r="C16" s="6"/>
      <x:c r="D16" s="6" t="str">
        <x:v>Pending</x:v>
      </x:c>
      <x:c r="E16" s="6" t="str">
        <x:v>Pending</x:v>
      </x:c>
      <x:c r="F16" s="6" t="str">
        <x:v>Pending</x:v>
      </x:c>
      <x:c r="G16" s="6" t="str">
        <x:v>Pending</x:v>
      </x:c>
      <x:c r="H16" s="6" t="str">
        <x:v>Pending</x:v>
      </x:c>
      <x:c r="I16" s="6" t="str">
        <x:v>Pending</x:v>
      </x:c>
      <x:c r="J16" s="6" t="str">
        <x:v>Pending</x:v>
      </x:c>
      <x:c r="K16" s="6" t="str">
        <x:v>Pending</x:v>
      </x:c>
      <x:c r="L16" s="6" t="str">
        <x:v>Pending</x:v>
      </x:c>
      <x:c r="M16" s="6" t="str">
        <x:v>Pending</x:v>
      </x:c>
      <x:c r="N16" s="2" t="str">
        <x:f>IF(B16="Myanmar","Excluded",IF(COUNTIF(D16:M16,"Fail")&gt;0,"Fail",IF(OR(C16="",P16="",NOT(ISNUMBER(Q16)),COUNTIF(D16:M16,"Pending")&gt;0,COUNTBLANK(D16:M16)&gt;0),"Pending",IF(COUNTIF(D16:M16,"Conditional")&gt;0,"Conditional",IF(COUNTIF(D16:M16,"Pass")=10,"Pass","Pending")))))</x:f>
        <x:v>Pending</x:v>
      </x:c>
      <x:c r="O16" s="2" t="str">
        <x:f>IF(N16="Pass","Evidence recorded","Hold")</x:f>
        <x:v>Hold</x:v>
      </x:c>
      <x:c r="P16" s="6"/>
      <x:c r="Q16" s="17"/>
    </x:row>
    <x:row r="17" ht="22" customHeight="1">
      <x:c r="A17" s="2" t="str">
        <x:v>61103099</x:v>
      </x:c>
      <x:c r="B17" s="2" t="str">
        <x:v>Cambodia</x:v>
      </x:c>
      <x:c r="C17" s="6"/>
      <x:c r="D17" s="6" t="str">
        <x:v>Pending</x:v>
      </x:c>
      <x:c r="E17" s="6" t="str">
        <x:v>Pending</x:v>
      </x:c>
      <x:c r="F17" s="6" t="str">
        <x:v>Pending</x:v>
      </x:c>
      <x:c r="G17" s="6" t="str">
        <x:v>Pending</x:v>
      </x:c>
      <x:c r="H17" s="6" t="str">
        <x:v>Pending</x:v>
      </x:c>
      <x:c r="I17" s="6" t="str">
        <x:v>Pending</x:v>
      </x:c>
      <x:c r="J17" s="6" t="str">
        <x:v>Pending</x:v>
      </x:c>
      <x:c r="K17" s="6" t="str">
        <x:v>Pending</x:v>
      </x:c>
      <x:c r="L17" s="6" t="str">
        <x:v>Pending</x:v>
      </x:c>
      <x:c r="M17" s="6" t="str">
        <x:v>Pending</x:v>
      </x:c>
      <x:c r="N17" s="2" t="str">
        <x:f>IF(B17="Myanmar","Excluded",IF(COUNTIF(D17:M17,"Fail")&gt;0,"Fail",IF(OR(C17="",P17="",NOT(ISNUMBER(Q17)),COUNTIF(D17:M17,"Pending")&gt;0,COUNTBLANK(D17:M17)&gt;0),"Pending",IF(COUNTIF(D17:M17,"Conditional")&gt;0,"Conditional",IF(COUNTIF(D17:M17,"Pass")=10,"Pass","Pending")))))</x:f>
        <x:v>Pending</x:v>
      </x:c>
      <x:c r="O17" s="2" t="str">
        <x:f>IF(N17="Pass","Evidence recorded","Hold")</x:f>
        <x:v>Hold</x:v>
      </x:c>
      <x:c r="P17" s="6"/>
      <x:c r="Q17" s="17"/>
    </x:row>
    <x:row r="18" ht="22" customHeight="1">
      <x:c r="A18" s="2" t="str">
        <x:v>61103099</x:v>
      </x:c>
      <x:c r="B18" s="2" t="str">
        <x:v>China</x:v>
      </x:c>
      <x:c r="C18" s="6"/>
      <x:c r="D18" s="6" t="str">
        <x:v>Pending</x:v>
      </x:c>
      <x:c r="E18" s="6" t="str">
        <x:v>Pending</x:v>
      </x:c>
      <x:c r="F18" s="6" t="str">
        <x:v>Pending</x:v>
      </x:c>
      <x:c r="G18" s="6" t="str">
        <x:v>Pending</x:v>
      </x:c>
      <x:c r="H18" s="6" t="str">
        <x:v>Pending</x:v>
      </x:c>
      <x:c r="I18" s="6" t="str">
        <x:v>Pending</x:v>
      </x:c>
      <x:c r="J18" s="6" t="str">
        <x:v>Pending</x:v>
      </x:c>
      <x:c r="K18" s="6" t="str">
        <x:v>Pending</x:v>
      </x:c>
      <x:c r="L18" s="6" t="str">
        <x:v>Pending</x:v>
      </x:c>
      <x:c r="M18" s="6" t="str">
        <x:v>Pending</x:v>
      </x:c>
      <x:c r="N18" s="2" t="str">
        <x:f>IF(B18="Myanmar","Excluded",IF(COUNTIF(D18:M18,"Fail")&gt;0,"Fail",IF(OR(C18="",P18="",NOT(ISNUMBER(Q18)),COUNTIF(D18:M18,"Pending")&gt;0,COUNTBLANK(D18:M18)&gt;0),"Pending",IF(COUNTIF(D18:M18,"Conditional")&gt;0,"Conditional",IF(COUNTIF(D18:M18,"Pass")=10,"Pass","Pending")))))</x:f>
        <x:v>Pending</x:v>
      </x:c>
      <x:c r="O18" s="2" t="str">
        <x:f>IF(N18="Pass","Evidence recorded","Hold")</x:f>
        <x:v>Hold</x:v>
      </x:c>
      <x:c r="P18" s="6"/>
      <x:c r="Q18" s="17"/>
    </x:row>
    <x:row r="19" ht="22" customHeight="1">
      <x:c r="A19" s="2" t="str">
        <x:v>61103099</x:v>
      </x:c>
      <x:c r="B19" s="2" t="str">
        <x:v>India</x:v>
      </x:c>
      <x:c r="C19" s="6"/>
      <x:c r="D19" s="6" t="str">
        <x:v>Pending</x:v>
      </x:c>
      <x:c r="E19" s="6" t="str">
        <x:v>Pending</x:v>
      </x:c>
      <x:c r="F19" s="6" t="str">
        <x:v>Pending</x:v>
      </x:c>
      <x:c r="G19" s="6" t="str">
        <x:v>Pending</x:v>
      </x:c>
      <x:c r="H19" s="6" t="str">
        <x:v>Pending</x:v>
      </x:c>
      <x:c r="I19" s="6" t="str">
        <x:v>Pending</x:v>
      </x:c>
      <x:c r="J19" s="6" t="str">
        <x:v>Pending</x:v>
      </x:c>
      <x:c r="K19" s="6" t="str">
        <x:v>Pending</x:v>
      </x:c>
      <x:c r="L19" s="6" t="str">
        <x:v>Pending</x:v>
      </x:c>
      <x:c r="M19" s="6" t="str">
        <x:v>Pending</x:v>
      </x:c>
      <x:c r="N19" s="2" t="str">
        <x:f>IF(B19="Myanmar","Excluded",IF(COUNTIF(D19:M19,"Fail")&gt;0,"Fail",IF(OR(C19="",P19="",NOT(ISNUMBER(Q19)),COUNTIF(D19:M19,"Pending")&gt;0,COUNTBLANK(D19:M19)&gt;0),"Pending",IF(COUNTIF(D19:M19,"Conditional")&gt;0,"Conditional",IF(COUNTIF(D19:M19,"Pass")=10,"Pass","Pending")))))</x:f>
        <x:v>Pending</x:v>
      </x:c>
      <x:c r="O19" s="2" t="str">
        <x:f>IF(N19="Pass","Evidence recorded","Hold")</x:f>
        <x:v>Hold</x:v>
      </x:c>
      <x:c r="P19" s="6"/>
      <x:c r="Q19" s="17"/>
    </x:row>
    <x:row r="20" ht="22" customHeight="1">
      <x:c r="A20" s="2" t="str">
        <x:v>61103099</x:v>
      </x:c>
      <x:c r="B20" s="2" t="str">
        <x:v>Morocco</x:v>
      </x:c>
      <x:c r="C20" s="6"/>
      <x:c r="D20" s="6" t="str">
        <x:v>Pending</x:v>
      </x:c>
      <x:c r="E20" s="6" t="str">
        <x:v>Pending</x:v>
      </x:c>
      <x:c r="F20" s="6" t="str">
        <x:v>Pending</x:v>
      </x:c>
      <x:c r="G20" s="6" t="str">
        <x:v>Pending</x:v>
      </x:c>
      <x:c r="H20" s="6" t="str">
        <x:v>Pending</x:v>
      </x:c>
      <x:c r="I20" s="6" t="str">
        <x:v>Pending</x:v>
      </x:c>
      <x:c r="J20" s="6" t="str">
        <x:v>Pending</x:v>
      </x:c>
      <x:c r="K20" s="6" t="str">
        <x:v>Pending</x:v>
      </x:c>
      <x:c r="L20" s="6" t="str">
        <x:v>Pending</x:v>
      </x:c>
      <x:c r="M20" s="6" t="str">
        <x:v>Pending</x:v>
      </x:c>
      <x:c r="N20" s="2" t="str">
        <x:f>IF(B20="Myanmar","Excluded",IF(COUNTIF(D20:M20,"Fail")&gt;0,"Fail",IF(OR(C20="",P20="",NOT(ISNUMBER(Q20)),COUNTIF(D20:M20,"Pending")&gt;0,COUNTBLANK(D20:M20)&gt;0),"Pending",IF(COUNTIF(D20:M20,"Conditional")&gt;0,"Conditional",IF(COUNTIF(D20:M20,"Pass")=10,"Pass","Pending")))))</x:f>
        <x:v>Pending</x:v>
      </x:c>
      <x:c r="O20" s="2" t="str">
        <x:f>IF(N20="Pass","Evidence recorded","Hold")</x:f>
        <x:v>Hold</x:v>
      </x:c>
      <x:c r="P20" s="6"/>
      <x:c r="Q20" s="17"/>
    </x:row>
    <x:row r="21" ht="22" customHeight="1">
      <x:c r="A21" s="2" t="str">
        <x:v>61103099</x:v>
      </x:c>
      <x:c r="B21" s="2" t="str">
        <x:v>Myanmar</x:v>
      </x:c>
      <x:c r="C21" s="6"/>
      <x:c r="D21" s="6" t="str">
        <x:v>Pending</x:v>
      </x:c>
      <x:c r="E21" s="6" t="str">
        <x:v>Pending</x:v>
      </x:c>
      <x:c r="F21" s="6" t="str">
        <x:v>Pending</x:v>
      </x:c>
      <x:c r="G21" s="6" t="str">
        <x:v>Pending</x:v>
      </x:c>
      <x:c r="H21" s="6" t="str">
        <x:v>Pending</x:v>
      </x:c>
      <x:c r="I21" s="6" t="str">
        <x:v>Pending</x:v>
      </x:c>
      <x:c r="J21" s="6" t="str">
        <x:v>Pending</x:v>
      </x:c>
      <x:c r="K21" s="6" t="str">
        <x:v>Pending</x:v>
      </x:c>
      <x:c r="L21" s="6" t="str">
        <x:v>Pending</x:v>
      </x:c>
      <x:c r="M21" s="6" t="str">
        <x:v>Pending</x:v>
      </x:c>
      <x:c r="N21" s="2" t="str">
        <x:f>IF(B21="Myanmar","Excluded",IF(COUNTIF(D21:M21,"Fail")&gt;0,"Fail",IF(OR(C21="",P21="",NOT(ISNUMBER(Q21)),COUNTIF(D21:M21,"Pending")&gt;0,COUNTBLANK(D21:M21)&gt;0),"Pending",IF(COUNTIF(D21:M21,"Conditional")&gt;0,"Conditional",IF(COUNTIF(D21:M21,"Pass")=10,"Pass","Pending")))))</x:f>
        <x:v>Excluded</x:v>
      </x:c>
      <x:c r="O21" s="2" t="str">
        <x:f>IF(N21="Pass","Evidence recorded","Hold")</x:f>
        <x:v>Hold</x:v>
      </x:c>
      <x:c r="P21" s="6"/>
      <x:c r="Q21" s="17"/>
    </x:row>
    <x:row r="22" ht="22" customHeight="1">
      <x:c r="A22" s="2" t="str">
        <x:v>61103099</x:v>
      </x:c>
      <x:c r="B22" s="2" t="str">
        <x:v>Pakistan</x:v>
      </x:c>
      <x:c r="C22" s="6"/>
      <x:c r="D22" s="6" t="str">
        <x:v>Pending</x:v>
      </x:c>
      <x:c r="E22" s="6" t="str">
        <x:v>Pending</x:v>
      </x:c>
      <x:c r="F22" s="6" t="str">
        <x:v>Pending</x:v>
      </x:c>
      <x:c r="G22" s="6" t="str">
        <x:v>Pending</x:v>
      </x:c>
      <x:c r="H22" s="6" t="str">
        <x:v>Pending</x:v>
      </x:c>
      <x:c r="I22" s="6" t="str">
        <x:v>Pending</x:v>
      </x:c>
      <x:c r="J22" s="6" t="str">
        <x:v>Pending</x:v>
      </x:c>
      <x:c r="K22" s="6" t="str">
        <x:v>Pending</x:v>
      </x:c>
      <x:c r="L22" s="6" t="str">
        <x:v>Pending</x:v>
      </x:c>
      <x:c r="M22" s="6" t="str">
        <x:v>Pending</x:v>
      </x:c>
      <x:c r="N22" s="2" t="str">
        <x:f>IF(B22="Myanmar","Excluded",IF(COUNTIF(D22:M22,"Fail")&gt;0,"Fail",IF(OR(C22="",P22="",NOT(ISNUMBER(Q22)),COUNTIF(D22:M22,"Pending")&gt;0,COUNTBLANK(D22:M22)&gt;0),"Pending",IF(COUNTIF(D22:M22,"Conditional")&gt;0,"Conditional",IF(COUNTIF(D22:M22,"Pass")=10,"Pass","Pending")))))</x:f>
        <x:v>Pending</x:v>
      </x:c>
      <x:c r="O22" s="2" t="str">
        <x:f>IF(N22="Pass","Evidence recorded","Hold")</x:f>
        <x:v>Hold</x:v>
      </x:c>
      <x:c r="P22" s="6"/>
      <x:c r="Q22" s="17"/>
    </x:row>
    <x:row r="23" ht="22" customHeight="1">
      <x:c r="A23" s="2" t="str">
        <x:v>61103099</x:v>
      </x:c>
      <x:c r="B23" s="2" t="str">
        <x:v>Sri Lanka</x:v>
      </x:c>
      <x:c r="C23" s="6"/>
      <x:c r="D23" s="6" t="str">
        <x:v>Pending</x:v>
      </x:c>
      <x:c r="E23" s="6" t="str">
        <x:v>Pending</x:v>
      </x:c>
      <x:c r="F23" s="6" t="str">
        <x:v>Pending</x:v>
      </x:c>
      <x:c r="G23" s="6" t="str">
        <x:v>Pending</x:v>
      </x:c>
      <x:c r="H23" s="6" t="str">
        <x:v>Pending</x:v>
      </x:c>
      <x:c r="I23" s="6" t="str">
        <x:v>Pending</x:v>
      </x:c>
      <x:c r="J23" s="6" t="str">
        <x:v>Pending</x:v>
      </x:c>
      <x:c r="K23" s="6" t="str">
        <x:v>Pending</x:v>
      </x:c>
      <x:c r="L23" s="6" t="str">
        <x:v>Pending</x:v>
      </x:c>
      <x:c r="M23" s="6" t="str">
        <x:v>Pending</x:v>
      </x:c>
      <x:c r="N23" s="2" t="str">
        <x:f>IF(B23="Myanmar","Excluded",IF(COUNTIF(D23:M23,"Fail")&gt;0,"Fail",IF(OR(C23="",P23="",NOT(ISNUMBER(Q23)),COUNTIF(D23:M23,"Pending")&gt;0,COUNTBLANK(D23:M23)&gt;0),"Pending",IF(COUNTIF(D23:M23,"Conditional")&gt;0,"Conditional",IF(COUNTIF(D23:M23,"Pass")=10,"Pass","Pending")))))</x:f>
        <x:v>Pending</x:v>
      </x:c>
      <x:c r="O23" s="2" t="str">
        <x:f>IF(N23="Pass","Evidence recorded","Hold")</x:f>
        <x:v>Hold</x:v>
      </x:c>
      <x:c r="P23" s="6"/>
      <x:c r="Q23" s="17"/>
    </x:row>
    <x:row r="24" ht="22" customHeight="1">
      <x:c r="A24" s="2" t="str">
        <x:v>61103099</x:v>
      </x:c>
      <x:c r="B24" s="2" t="str">
        <x:v>Turkey</x:v>
      </x:c>
      <x:c r="C24" s="6"/>
      <x:c r="D24" s="6" t="str">
        <x:v>Pending</x:v>
      </x:c>
      <x:c r="E24" s="6" t="str">
        <x:v>Pending</x:v>
      </x:c>
      <x:c r="F24" s="6" t="str">
        <x:v>Pending</x:v>
      </x:c>
      <x:c r="G24" s="6" t="str">
        <x:v>Pending</x:v>
      </x:c>
      <x:c r="H24" s="6" t="str">
        <x:v>Pending</x:v>
      </x:c>
      <x:c r="I24" s="6" t="str">
        <x:v>Pending</x:v>
      </x:c>
      <x:c r="J24" s="6" t="str">
        <x:v>Pending</x:v>
      </x:c>
      <x:c r="K24" s="6" t="str">
        <x:v>Pending</x:v>
      </x:c>
      <x:c r="L24" s="6" t="str">
        <x:v>Pending</x:v>
      </x:c>
      <x:c r="M24" s="6" t="str">
        <x:v>Pending</x:v>
      </x:c>
      <x:c r="N24" s="2" t="str">
        <x:f>IF(B24="Myanmar","Excluded",IF(COUNTIF(D24:M24,"Fail")&gt;0,"Fail",IF(OR(C24="",P24="",NOT(ISNUMBER(Q24)),COUNTIF(D24:M24,"Pending")&gt;0,COUNTBLANK(D24:M24)&gt;0),"Pending",IF(COUNTIF(D24:M24,"Conditional")&gt;0,"Conditional",IF(COUNTIF(D24:M24,"Pass")=10,"Pass","Pending")))))</x:f>
        <x:v>Pending</x:v>
      </x:c>
      <x:c r="O24" s="2" t="str">
        <x:f>IF(N24="Pass","Evidence recorded","Hold")</x:f>
        <x:v>Hold</x:v>
      </x:c>
      <x:c r="P24" s="6"/>
      <x:c r="Q24" s="17"/>
    </x:row>
    <x:row r="25" ht="22" customHeight="1">
      <x:c r="A25" s="2" t="str">
        <x:v>61103099</x:v>
      </x:c>
      <x:c r="B25" s="2" t="str">
        <x:v>Vietnam</x:v>
      </x:c>
      <x:c r="C25" s="6"/>
      <x:c r="D25" s="6" t="str">
        <x:v>Pending</x:v>
      </x:c>
      <x:c r="E25" s="6" t="str">
        <x:v>Pending</x:v>
      </x:c>
      <x:c r="F25" s="6" t="str">
        <x:v>Pending</x:v>
      </x:c>
      <x:c r="G25" s="6" t="str">
        <x:v>Pending</x:v>
      </x:c>
      <x:c r="H25" s="6" t="str">
        <x:v>Pending</x:v>
      </x:c>
      <x:c r="I25" s="6" t="str">
        <x:v>Pending</x:v>
      </x:c>
      <x:c r="J25" s="6" t="str">
        <x:v>Pending</x:v>
      </x:c>
      <x:c r="K25" s="6" t="str">
        <x:v>Pending</x:v>
      </x:c>
      <x:c r="L25" s="6" t="str">
        <x:v>Pending</x:v>
      </x:c>
      <x:c r="M25" s="6" t="str">
        <x:v>Pending</x:v>
      </x:c>
      <x:c r="N25" s="2" t="str">
        <x:f>IF(B25="Myanmar","Excluded",IF(COUNTIF(D25:M25,"Fail")&gt;0,"Fail",IF(OR(C25="",P25="",NOT(ISNUMBER(Q25)),COUNTIF(D25:M25,"Pending")&gt;0,COUNTBLANK(D25:M25)&gt;0),"Pending",IF(COUNTIF(D25:M25,"Conditional")&gt;0,"Conditional",IF(COUNTIF(D25:M25,"Pass")=10,"Pass","Pending")))))</x:f>
        <x:v>Pending</x:v>
      </x:c>
      <x:c r="O25" s="2" t="str">
        <x:f>IF(N25="Pass","Evidence recorded","Hold")</x:f>
        <x:v>Hold</x:v>
      </x:c>
      <x:c r="P25" s="6"/>
      <x:c r="Q25" s="17"/>
    </x:row>
    <x:row r="26" ht="22" customHeight="1">
      <x:c r="A26" s="2" t="str">
        <x:v>62044300</x:v>
      </x:c>
      <x:c r="B26" s="2" t="str">
        <x:v>Bangladesh</x:v>
      </x:c>
      <x:c r="C26" s="6"/>
      <x:c r="D26" s="6" t="str">
        <x:v>Pending</x:v>
      </x:c>
      <x:c r="E26" s="6" t="str">
        <x:v>Pending</x:v>
      </x:c>
      <x:c r="F26" s="6" t="str">
        <x:v>Pending</x:v>
      </x:c>
      <x:c r="G26" s="6" t="str">
        <x:v>Pending</x:v>
      </x:c>
      <x:c r="H26" s="6" t="str">
        <x:v>Pending</x:v>
      </x:c>
      <x:c r="I26" s="6" t="str">
        <x:v>Pending</x:v>
      </x:c>
      <x:c r="J26" s="6" t="str">
        <x:v>Pending</x:v>
      </x:c>
      <x:c r="K26" s="6" t="str">
        <x:v>Pending</x:v>
      </x:c>
      <x:c r="L26" s="6" t="str">
        <x:v>Pending</x:v>
      </x:c>
      <x:c r="M26" s="6" t="str">
        <x:v>Pending</x:v>
      </x:c>
      <x:c r="N26" s="2" t="str">
        <x:f>IF(B26="Myanmar","Excluded",IF(COUNTIF(D26:M26,"Fail")&gt;0,"Fail",IF(OR(C26="",P26="",NOT(ISNUMBER(Q26)),COUNTIF(D26:M26,"Pending")&gt;0,COUNTBLANK(D26:M26)&gt;0),"Pending",IF(COUNTIF(D26:M26,"Conditional")&gt;0,"Conditional",IF(COUNTIF(D26:M26,"Pass")=10,"Pass","Pending")))))</x:f>
        <x:v>Pending</x:v>
      </x:c>
      <x:c r="O26" s="2" t="str">
        <x:f>IF(N26="Pass","Evidence recorded","Hold")</x:f>
        <x:v>Hold</x:v>
      </x:c>
      <x:c r="P26" s="6"/>
      <x:c r="Q26" s="17"/>
    </x:row>
    <x:row r="27" ht="22" customHeight="1">
      <x:c r="A27" s="2" t="str">
        <x:v>62044300</x:v>
      </x:c>
      <x:c r="B27" s="2" t="str">
        <x:v>Cambodia</x:v>
      </x:c>
      <x:c r="C27" s="6"/>
      <x:c r="D27" s="6" t="str">
        <x:v>Pending</x:v>
      </x:c>
      <x:c r="E27" s="6" t="str">
        <x:v>Pending</x:v>
      </x:c>
      <x:c r="F27" s="6" t="str">
        <x:v>Pending</x:v>
      </x:c>
      <x:c r="G27" s="6" t="str">
        <x:v>Pending</x:v>
      </x:c>
      <x:c r="H27" s="6" t="str">
        <x:v>Pending</x:v>
      </x:c>
      <x:c r="I27" s="6" t="str">
        <x:v>Pending</x:v>
      </x:c>
      <x:c r="J27" s="6" t="str">
        <x:v>Pending</x:v>
      </x:c>
      <x:c r="K27" s="6" t="str">
        <x:v>Pending</x:v>
      </x:c>
      <x:c r="L27" s="6" t="str">
        <x:v>Pending</x:v>
      </x:c>
      <x:c r="M27" s="6" t="str">
        <x:v>Pending</x:v>
      </x:c>
      <x:c r="N27" s="2" t="str">
        <x:f>IF(B27="Myanmar","Excluded",IF(COUNTIF(D27:M27,"Fail")&gt;0,"Fail",IF(OR(C27="",P27="",NOT(ISNUMBER(Q27)),COUNTIF(D27:M27,"Pending")&gt;0,COUNTBLANK(D27:M27)&gt;0),"Pending",IF(COUNTIF(D27:M27,"Conditional")&gt;0,"Conditional",IF(COUNTIF(D27:M27,"Pass")=10,"Pass","Pending")))))</x:f>
        <x:v>Pending</x:v>
      </x:c>
      <x:c r="O27" s="2" t="str">
        <x:f>IF(N27="Pass","Evidence recorded","Hold")</x:f>
        <x:v>Hold</x:v>
      </x:c>
      <x:c r="P27" s="6"/>
      <x:c r="Q27" s="17"/>
    </x:row>
    <x:row r="28" ht="22" customHeight="1">
      <x:c r="A28" s="2" t="str">
        <x:v>62044300</x:v>
      </x:c>
      <x:c r="B28" s="2" t="str">
        <x:v>China</x:v>
      </x:c>
      <x:c r="C28" s="6"/>
      <x:c r="D28" s="6" t="str">
        <x:v>Pending</x:v>
      </x:c>
      <x:c r="E28" s="6" t="str">
        <x:v>Pending</x:v>
      </x:c>
      <x:c r="F28" s="6" t="str">
        <x:v>Pending</x:v>
      </x:c>
      <x:c r="G28" s="6" t="str">
        <x:v>Pending</x:v>
      </x:c>
      <x:c r="H28" s="6" t="str">
        <x:v>Pending</x:v>
      </x:c>
      <x:c r="I28" s="6" t="str">
        <x:v>Pending</x:v>
      </x:c>
      <x:c r="J28" s="6" t="str">
        <x:v>Pending</x:v>
      </x:c>
      <x:c r="K28" s="6" t="str">
        <x:v>Pending</x:v>
      </x:c>
      <x:c r="L28" s="6" t="str">
        <x:v>Pending</x:v>
      </x:c>
      <x:c r="M28" s="6" t="str">
        <x:v>Pending</x:v>
      </x:c>
      <x:c r="N28" s="2" t="str">
        <x:f>IF(B28="Myanmar","Excluded",IF(COUNTIF(D28:M28,"Fail")&gt;0,"Fail",IF(OR(C28="",P28="",NOT(ISNUMBER(Q28)),COUNTIF(D28:M28,"Pending")&gt;0,COUNTBLANK(D28:M28)&gt;0),"Pending",IF(COUNTIF(D28:M28,"Conditional")&gt;0,"Conditional",IF(COUNTIF(D28:M28,"Pass")=10,"Pass","Pending")))))</x:f>
        <x:v>Pending</x:v>
      </x:c>
      <x:c r="O28" s="2" t="str">
        <x:f>IF(N28="Pass","Evidence recorded","Hold")</x:f>
        <x:v>Hold</x:v>
      </x:c>
      <x:c r="P28" s="6"/>
      <x:c r="Q28" s="17"/>
    </x:row>
    <x:row r="29" ht="22" customHeight="1">
      <x:c r="A29" s="2" t="str">
        <x:v>62044300</x:v>
      </x:c>
      <x:c r="B29" s="2" t="str">
        <x:v>India</x:v>
      </x:c>
      <x:c r="C29" s="6"/>
      <x:c r="D29" s="6" t="str">
        <x:v>Pending</x:v>
      </x:c>
      <x:c r="E29" s="6" t="str">
        <x:v>Pending</x:v>
      </x:c>
      <x:c r="F29" s="6" t="str">
        <x:v>Pending</x:v>
      </x:c>
      <x:c r="G29" s="6" t="str">
        <x:v>Pending</x:v>
      </x:c>
      <x:c r="H29" s="6" t="str">
        <x:v>Pending</x:v>
      </x:c>
      <x:c r="I29" s="6" t="str">
        <x:v>Pending</x:v>
      </x:c>
      <x:c r="J29" s="6" t="str">
        <x:v>Pending</x:v>
      </x:c>
      <x:c r="K29" s="6" t="str">
        <x:v>Pending</x:v>
      </x:c>
      <x:c r="L29" s="6" t="str">
        <x:v>Pending</x:v>
      </x:c>
      <x:c r="M29" s="6" t="str">
        <x:v>Pending</x:v>
      </x:c>
      <x:c r="N29" s="2" t="str">
        <x:f>IF(B29="Myanmar","Excluded",IF(COUNTIF(D29:M29,"Fail")&gt;0,"Fail",IF(OR(C29="",P29="",NOT(ISNUMBER(Q29)),COUNTIF(D29:M29,"Pending")&gt;0,COUNTBLANK(D29:M29)&gt;0),"Pending",IF(COUNTIF(D29:M29,"Conditional")&gt;0,"Conditional",IF(COUNTIF(D29:M29,"Pass")=10,"Pass","Pending")))))</x:f>
        <x:v>Pending</x:v>
      </x:c>
      <x:c r="O29" s="2" t="str">
        <x:f>IF(N29="Pass","Evidence recorded","Hold")</x:f>
        <x:v>Hold</x:v>
      </x:c>
      <x:c r="P29" s="6"/>
      <x:c r="Q29" s="17"/>
    </x:row>
    <x:row r="30" ht="22" customHeight="1">
      <x:c r="A30" s="2" t="str">
        <x:v>62044300</x:v>
      </x:c>
      <x:c r="B30" s="2" t="str">
        <x:v>Morocco</x:v>
      </x:c>
      <x:c r="C30" s="6"/>
      <x:c r="D30" s="6" t="str">
        <x:v>Pending</x:v>
      </x:c>
      <x:c r="E30" s="6" t="str">
        <x:v>Pending</x:v>
      </x:c>
      <x:c r="F30" s="6" t="str">
        <x:v>Pending</x:v>
      </x:c>
      <x:c r="G30" s="6" t="str">
        <x:v>Pending</x:v>
      </x:c>
      <x:c r="H30" s="6" t="str">
        <x:v>Pending</x:v>
      </x:c>
      <x:c r="I30" s="6" t="str">
        <x:v>Pending</x:v>
      </x:c>
      <x:c r="J30" s="6" t="str">
        <x:v>Pending</x:v>
      </x:c>
      <x:c r="K30" s="6" t="str">
        <x:v>Pending</x:v>
      </x:c>
      <x:c r="L30" s="6" t="str">
        <x:v>Pending</x:v>
      </x:c>
      <x:c r="M30" s="6" t="str">
        <x:v>Pending</x:v>
      </x:c>
      <x:c r="N30" s="2" t="str">
        <x:f>IF(B30="Myanmar","Excluded",IF(COUNTIF(D30:M30,"Fail")&gt;0,"Fail",IF(OR(C30="",P30="",NOT(ISNUMBER(Q30)),COUNTIF(D30:M30,"Pending")&gt;0,COUNTBLANK(D30:M30)&gt;0),"Pending",IF(COUNTIF(D30:M30,"Conditional")&gt;0,"Conditional",IF(COUNTIF(D30:M30,"Pass")=10,"Pass","Pending")))))</x:f>
        <x:v>Pending</x:v>
      </x:c>
      <x:c r="O30" s="2" t="str">
        <x:f>IF(N30="Pass","Evidence recorded","Hold")</x:f>
        <x:v>Hold</x:v>
      </x:c>
      <x:c r="P30" s="6"/>
      <x:c r="Q30" s="17"/>
    </x:row>
    <x:row r="31" ht="22" customHeight="1">
      <x:c r="A31" s="2" t="str">
        <x:v>62044300</x:v>
      </x:c>
      <x:c r="B31" s="2" t="str">
        <x:v>Myanmar</x:v>
      </x:c>
      <x:c r="C31" s="6"/>
      <x:c r="D31" s="6" t="str">
        <x:v>Pending</x:v>
      </x:c>
      <x:c r="E31" s="6" t="str">
        <x:v>Pending</x:v>
      </x:c>
      <x:c r="F31" s="6" t="str">
        <x:v>Pending</x:v>
      </x:c>
      <x:c r="G31" s="6" t="str">
        <x:v>Pending</x:v>
      </x:c>
      <x:c r="H31" s="6" t="str">
        <x:v>Pending</x:v>
      </x:c>
      <x:c r="I31" s="6" t="str">
        <x:v>Pending</x:v>
      </x:c>
      <x:c r="J31" s="6" t="str">
        <x:v>Pending</x:v>
      </x:c>
      <x:c r="K31" s="6" t="str">
        <x:v>Pending</x:v>
      </x:c>
      <x:c r="L31" s="6" t="str">
        <x:v>Pending</x:v>
      </x:c>
      <x:c r="M31" s="6" t="str">
        <x:v>Pending</x:v>
      </x:c>
      <x:c r="N31" s="2" t="str">
        <x:f>IF(B31="Myanmar","Excluded",IF(COUNTIF(D31:M31,"Fail")&gt;0,"Fail",IF(OR(C31="",P31="",NOT(ISNUMBER(Q31)),COUNTIF(D31:M31,"Pending")&gt;0,COUNTBLANK(D31:M31)&gt;0),"Pending",IF(COUNTIF(D31:M31,"Conditional")&gt;0,"Conditional",IF(COUNTIF(D31:M31,"Pass")=10,"Pass","Pending")))))</x:f>
        <x:v>Excluded</x:v>
      </x:c>
      <x:c r="O31" s="2" t="str">
        <x:f>IF(N31="Pass","Evidence recorded","Hold")</x:f>
        <x:v>Hold</x:v>
      </x:c>
      <x:c r="P31" s="6"/>
      <x:c r="Q31" s="17"/>
    </x:row>
    <x:row r="32" ht="22" customHeight="1">
      <x:c r="A32" s="2" t="str">
        <x:v>62044300</x:v>
      </x:c>
      <x:c r="B32" s="2" t="str">
        <x:v>Pakistan</x:v>
      </x:c>
      <x:c r="C32" s="6"/>
      <x:c r="D32" s="6" t="str">
        <x:v>Pending</x:v>
      </x:c>
      <x:c r="E32" s="6" t="str">
        <x:v>Pending</x:v>
      </x:c>
      <x:c r="F32" s="6" t="str">
        <x:v>Pending</x:v>
      </x:c>
      <x:c r="G32" s="6" t="str">
        <x:v>Pending</x:v>
      </x:c>
      <x:c r="H32" s="6" t="str">
        <x:v>Pending</x:v>
      </x:c>
      <x:c r="I32" s="6" t="str">
        <x:v>Pending</x:v>
      </x:c>
      <x:c r="J32" s="6" t="str">
        <x:v>Pending</x:v>
      </x:c>
      <x:c r="K32" s="6" t="str">
        <x:v>Pending</x:v>
      </x:c>
      <x:c r="L32" s="6" t="str">
        <x:v>Pending</x:v>
      </x:c>
      <x:c r="M32" s="6" t="str">
        <x:v>Pending</x:v>
      </x:c>
      <x:c r="N32" s="2" t="str">
        <x:f>IF(B32="Myanmar","Excluded",IF(COUNTIF(D32:M32,"Fail")&gt;0,"Fail",IF(OR(C32="",P32="",NOT(ISNUMBER(Q32)),COUNTIF(D32:M32,"Pending")&gt;0,COUNTBLANK(D32:M32)&gt;0),"Pending",IF(COUNTIF(D32:M32,"Conditional")&gt;0,"Conditional",IF(COUNTIF(D32:M32,"Pass")=10,"Pass","Pending")))))</x:f>
        <x:v>Pending</x:v>
      </x:c>
      <x:c r="O32" s="2" t="str">
        <x:f>IF(N32="Pass","Evidence recorded","Hold")</x:f>
        <x:v>Hold</x:v>
      </x:c>
      <x:c r="P32" s="6"/>
      <x:c r="Q32" s="17"/>
    </x:row>
    <x:row r="33" ht="22" customHeight="1">
      <x:c r="A33" s="2" t="str">
        <x:v>62044300</x:v>
      </x:c>
      <x:c r="B33" s="2" t="str">
        <x:v>Sri Lanka</x:v>
      </x:c>
      <x:c r="C33" s="6"/>
      <x:c r="D33" s="6" t="str">
        <x:v>Pending</x:v>
      </x:c>
      <x:c r="E33" s="6" t="str">
        <x:v>Pending</x:v>
      </x:c>
      <x:c r="F33" s="6" t="str">
        <x:v>Pending</x:v>
      </x:c>
      <x:c r="G33" s="6" t="str">
        <x:v>Pending</x:v>
      </x:c>
      <x:c r="H33" s="6" t="str">
        <x:v>Pending</x:v>
      </x:c>
      <x:c r="I33" s="6" t="str">
        <x:v>Pending</x:v>
      </x:c>
      <x:c r="J33" s="6" t="str">
        <x:v>Pending</x:v>
      </x:c>
      <x:c r="K33" s="6" t="str">
        <x:v>Pending</x:v>
      </x:c>
      <x:c r="L33" s="6" t="str">
        <x:v>Pending</x:v>
      </x:c>
      <x:c r="M33" s="6" t="str">
        <x:v>Pending</x:v>
      </x:c>
      <x:c r="N33" s="2" t="str">
        <x:f>IF(B33="Myanmar","Excluded",IF(COUNTIF(D33:M33,"Fail")&gt;0,"Fail",IF(OR(C33="",P33="",NOT(ISNUMBER(Q33)),COUNTIF(D33:M33,"Pending")&gt;0,COUNTBLANK(D33:M33)&gt;0),"Pending",IF(COUNTIF(D33:M33,"Conditional")&gt;0,"Conditional",IF(COUNTIF(D33:M33,"Pass")=10,"Pass","Pending")))))</x:f>
        <x:v>Pending</x:v>
      </x:c>
      <x:c r="O33" s="2" t="str">
        <x:f>IF(N33="Pass","Evidence recorded","Hold")</x:f>
        <x:v>Hold</x:v>
      </x:c>
      <x:c r="P33" s="6"/>
      <x:c r="Q33" s="17"/>
    </x:row>
    <x:row r="34" ht="22" customHeight="1">
      <x:c r="A34" s="2" t="str">
        <x:v>62044300</x:v>
      </x:c>
      <x:c r="B34" s="2" t="str">
        <x:v>Turkey</x:v>
      </x:c>
      <x:c r="C34" s="6"/>
      <x:c r="D34" s="6" t="str">
        <x:v>Pending</x:v>
      </x:c>
      <x:c r="E34" s="6" t="str">
        <x:v>Pending</x:v>
      </x:c>
      <x:c r="F34" s="6" t="str">
        <x:v>Pending</x:v>
      </x:c>
      <x:c r="G34" s="6" t="str">
        <x:v>Pending</x:v>
      </x:c>
      <x:c r="H34" s="6" t="str">
        <x:v>Pending</x:v>
      </x:c>
      <x:c r="I34" s="6" t="str">
        <x:v>Pending</x:v>
      </x:c>
      <x:c r="J34" s="6" t="str">
        <x:v>Pending</x:v>
      </x:c>
      <x:c r="K34" s="6" t="str">
        <x:v>Pending</x:v>
      </x:c>
      <x:c r="L34" s="6" t="str">
        <x:v>Pending</x:v>
      </x:c>
      <x:c r="M34" s="6" t="str">
        <x:v>Pending</x:v>
      </x:c>
      <x:c r="N34" s="2" t="str">
        <x:f>IF(B34="Myanmar","Excluded",IF(COUNTIF(D34:M34,"Fail")&gt;0,"Fail",IF(OR(C34="",P34="",NOT(ISNUMBER(Q34)),COUNTIF(D34:M34,"Pending")&gt;0,COUNTBLANK(D34:M34)&gt;0),"Pending",IF(COUNTIF(D34:M34,"Conditional")&gt;0,"Conditional",IF(COUNTIF(D34:M34,"Pass")=10,"Pass","Pending")))))</x:f>
        <x:v>Pending</x:v>
      </x:c>
      <x:c r="O34" s="2" t="str">
        <x:f>IF(N34="Pass","Evidence recorded","Hold")</x:f>
        <x:v>Hold</x:v>
      </x:c>
      <x:c r="P34" s="6"/>
      <x:c r="Q34" s="17"/>
    </x:row>
    <x:row r="35" ht="22" customHeight="1">
      <x:c r="A35" s="2" t="str">
        <x:v>62044300</x:v>
      </x:c>
      <x:c r="B35" s="2" t="str">
        <x:v>Vietnam</x:v>
      </x:c>
      <x:c r="C35" s="6"/>
      <x:c r="D35" s="6" t="str">
        <x:v>Pending</x:v>
      </x:c>
      <x:c r="E35" s="6" t="str">
        <x:v>Pending</x:v>
      </x:c>
      <x:c r="F35" s="6" t="str">
        <x:v>Pending</x:v>
      </x:c>
      <x:c r="G35" s="6" t="str">
        <x:v>Pending</x:v>
      </x:c>
      <x:c r="H35" s="6" t="str">
        <x:v>Pending</x:v>
      </x:c>
      <x:c r="I35" s="6" t="str">
        <x:v>Pending</x:v>
      </x:c>
      <x:c r="J35" s="6" t="str">
        <x:v>Pending</x:v>
      </x:c>
      <x:c r="K35" s="6" t="str">
        <x:v>Pending</x:v>
      </x:c>
      <x:c r="L35" s="6" t="str">
        <x:v>Pending</x:v>
      </x:c>
      <x:c r="M35" s="6" t="str">
        <x:v>Pending</x:v>
      </x:c>
      <x:c r="N35" s="2" t="str">
        <x:f>IF(B35="Myanmar","Excluded",IF(COUNTIF(D35:M35,"Fail")&gt;0,"Fail",IF(OR(C35="",P35="",NOT(ISNUMBER(Q35)),COUNTIF(D35:M35,"Pending")&gt;0,COUNTBLANK(D35:M35)&gt;0),"Pending",IF(COUNTIF(D35:M35,"Conditional")&gt;0,"Conditional",IF(COUNTIF(D35:M35,"Pass")=10,"Pass","Pending")))))</x:f>
        <x:v>Pending</x:v>
      </x:c>
      <x:c r="O35" s="2" t="str">
        <x:f>IF(N35="Pass","Evidence recorded","Hold")</x:f>
        <x:v>Hold</x:v>
      </x:c>
      <x:c r="P35" s="6"/>
      <x:c r="Q35" s="17"/>
    </x:row>
    <x:row r="36" ht="22" customHeight="1">
      <x:c r="A36" s="2" t="str">
        <x:v>62052000</x:v>
      </x:c>
      <x:c r="B36" s="2" t="str">
        <x:v>Bangladesh</x:v>
      </x:c>
      <x:c r="C36" s="6"/>
      <x:c r="D36" s="6" t="str">
        <x:v>Pending</x:v>
      </x:c>
      <x:c r="E36" s="6" t="str">
        <x:v>Pending</x:v>
      </x:c>
      <x:c r="F36" s="6" t="str">
        <x:v>Pending</x:v>
      </x:c>
      <x:c r="G36" s="6" t="str">
        <x:v>Pending</x:v>
      </x:c>
      <x:c r="H36" s="6" t="str">
        <x:v>Pending</x:v>
      </x:c>
      <x:c r="I36" s="6" t="str">
        <x:v>Pending</x:v>
      </x:c>
      <x:c r="J36" s="6" t="str">
        <x:v>Pending</x:v>
      </x:c>
      <x:c r="K36" s="6" t="str">
        <x:v>Pending</x:v>
      </x:c>
      <x:c r="L36" s="6" t="str">
        <x:v>Pending</x:v>
      </x:c>
      <x:c r="M36" s="6" t="str">
        <x:v>Pending</x:v>
      </x:c>
      <x:c r="N36" s="2" t="str">
        <x:f>IF(B36="Myanmar","Excluded",IF(COUNTIF(D36:M36,"Fail")&gt;0,"Fail",IF(OR(C36="",P36="",NOT(ISNUMBER(Q36)),COUNTIF(D36:M36,"Pending")&gt;0,COUNTBLANK(D36:M36)&gt;0),"Pending",IF(COUNTIF(D36:M36,"Conditional")&gt;0,"Conditional",IF(COUNTIF(D36:M36,"Pass")=10,"Pass","Pending")))))</x:f>
        <x:v>Pending</x:v>
      </x:c>
      <x:c r="O36" s="2" t="str">
        <x:f>IF(N36="Pass","Evidence recorded","Hold")</x:f>
        <x:v>Hold</x:v>
      </x:c>
      <x:c r="P36" s="6"/>
      <x:c r="Q36" s="17"/>
    </x:row>
    <x:row r="37" ht="22" customHeight="1">
      <x:c r="A37" s="2" t="str">
        <x:v>62052000</x:v>
      </x:c>
      <x:c r="B37" s="2" t="str">
        <x:v>Cambodia</x:v>
      </x:c>
      <x:c r="C37" s="6"/>
      <x:c r="D37" s="6" t="str">
        <x:v>Pending</x:v>
      </x:c>
      <x:c r="E37" s="6" t="str">
        <x:v>Pending</x:v>
      </x:c>
      <x:c r="F37" s="6" t="str">
        <x:v>Pending</x:v>
      </x:c>
      <x:c r="G37" s="6" t="str">
        <x:v>Pending</x:v>
      </x:c>
      <x:c r="H37" s="6" t="str">
        <x:v>Pending</x:v>
      </x:c>
      <x:c r="I37" s="6" t="str">
        <x:v>Pending</x:v>
      </x:c>
      <x:c r="J37" s="6" t="str">
        <x:v>Pending</x:v>
      </x:c>
      <x:c r="K37" s="6" t="str">
        <x:v>Pending</x:v>
      </x:c>
      <x:c r="L37" s="6" t="str">
        <x:v>Pending</x:v>
      </x:c>
      <x:c r="M37" s="6" t="str">
        <x:v>Pending</x:v>
      </x:c>
      <x:c r="N37" s="2" t="str">
        <x:f>IF(B37="Myanmar","Excluded",IF(COUNTIF(D37:M37,"Fail")&gt;0,"Fail",IF(OR(C37="",P37="",NOT(ISNUMBER(Q37)),COUNTIF(D37:M37,"Pending")&gt;0,COUNTBLANK(D37:M37)&gt;0),"Pending",IF(COUNTIF(D37:M37,"Conditional")&gt;0,"Conditional",IF(COUNTIF(D37:M37,"Pass")=10,"Pass","Pending")))))</x:f>
        <x:v>Pending</x:v>
      </x:c>
      <x:c r="O37" s="2" t="str">
        <x:f>IF(N37="Pass","Evidence recorded","Hold")</x:f>
        <x:v>Hold</x:v>
      </x:c>
      <x:c r="P37" s="6"/>
      <x:c r="Q37" s="17"/>
    </x:row>
    <x:row r="38" ht="22" customHeight="1">
      <x:c r="A38" s="2" t="str">
        <x:v>62052000</x:v>
      </x:c>
      <x:c r="B38" s="2" t="str">
        <x:v>China</x:v>
      </x:c>
      <x:c r="C38" s="6"/>
      <x:c r="D38" s="6" t="str">
        <x:v>Pending</x:v>
      </x:c>
      <x:c r="E38" s="6" t="str">
        <x:v>Pending</x:v>
      </x:c>
      <x:c r="F38" s="6" t="str">
        <x:v>Pending</x:v>
      </x:c>
      <x:c r="G38" s="6" t="str">
        <x:v>Pending</x:v>
      </x:c>
      <x:c r="H38" s="6" t="str">
        <x:v>Pending</x:v>
      </x:c>
      <x:c r="I38" s="6" t="str">
        <x:v>Pending</x:v>
      </x:c>
      <x:c r="J38" s="6" t="str">
        <x:v>Pending</x:v>
      </x:c>
      <x:c r="K38" s="6" t="str">
        <x:v>Pending</x:v>
      </x:c>
      <x:c r="L38" s="6" t="str">
        <x:v>Pending</x:v>
      </x:c>
      <x:c r="M38" s="6" t="str">
        <x:v>Pending</x:v>
      </x:c>
      <x:c r="N38" s="2" t="str">
        <x:f>IF(B38="Myanmar","Excluded",IF(COUNTIF(D38:M38,"Fail")&gt;0,"Fail",IF(OR(C38="",P38="",NOT(ISNUMBER(Q38)),COUNTIF(D38:M38,"Pending")&gt;0,COUNTBLANK(D38:M38)&gt;0),"Pending",IF(COUNTIF(D38:M38,"Conditional")&gt;0,"Conditional",IF(COUNTIF(D38:M38,"Pass")=10,"Pass","Pending")))))</x:f>
        <x:v>Pending</x:v>
      </x:c>
      <x:c r="O38" s="2" t="str">
        <x:f>IF(N38="Pass","Evidence recorded","Hold")</x:f>
        <x:v>Hold</x:v>
      </x:c>
      <x:c r="P38" s="6"/>
      <x:c r="Q38" s="17"/>
    </x:row>
    <x:row r="39" ht="22" customHeight="1">
      <x:c r="A39" s="2" t="str">
        <x:v>62052000</x:v>
      </x:c>
      <x:c r="B39" s="2" t="str">
        <x:v>India</x:v>
      </x:c>
      <x:c r="C39" s="6"/>
      <x:c r="D39" s="6" t="str">
        <x:v>Pending</x:v>
      </x:c>
      <x:c r="E39" s="6" t="str">
        <x:v>Pending</x:v>
      </x:c>
      <x:c r="F39" s="6" t="str">
        <x:v>Pending</x:v>
      </x:c>
      <x:c r="G39" s="6" t="str">
        <x:v>Pending</x:v>
      </x:c>
      <x:c r="H39" s="6" t="str">
        <x:v>Pending</x:v>
      </x:c>
      <x:c r="I39" s="6" t="str">
        <x:v>Pending</x:v>
      </x:c>
      <x:c r="J39" s="6" t="str">
        <x:v>Pending</x:v>
      </x:c>
      <x:c r="K39" s="6" t="str">
        <x:v>Pending</x:v>
      </x:c>
      <x:c r="L39" s="6" t="str">
        <x:v>Pending</x:v>
      </x:c>
      <x:c r="M39" s="6" t="str">
        <x:v>Pending</x:v>
      </x:c>
      <x:c r="N39" s="2" t="str">
        <x:f>IF(B39="Myanmar","Excluded",IF(COUNTIF(D39:M39,"Fail")&gt;0,"Fail",IF(OR(C39="",P39="",NOT(ISNUMBER(Q39)),COUNTIF(D39:M39,"Pending")&gt;0,COUNTBLANK(D39:M39)&gt;0),"Pending",IF(COUNTIF(D39:M39,"Conditional")&gt;0,"Conditional",IF(COUNTIF(D39:M39,"Pass")=10,"Pass","Pending")))))</x:f>
        <x:v>Pending</x:v>
      </x:c>
      <x:c r="O39" s="2" t="str">
        <x:f>IF(N39="Pass","Evidence recorded","Hold")</x:f>
        <x:v>Hold</x:v>
      </x:c>
      <x:c r="P39" s="6"/>
      <x:c r="Q39" s="17"/>
    </x:row>
    <x:row r="40" ht="22" customHeight="1">
      <x:c r="A40" s="2" t="str">
        <x:v>62052000</x:v>
      </x:c>
      <x:c r="B40" s="2" t="str">
        <x:v>Morocco</x:v>
      </x:c>
      <x:c r="C40" s="6"/>
      <x:c r="D40" s="6" t="str">
        <x:v>Pending</x:v>
      </x:c>
      <x:c r="E40" s="6" t="str">
        <x:v>Pending</x:v>
      </x:c>
      <x:c r="F40" s="6" t="str">
        <x:v>Pending</x:v>
      </x:c>
      <x:c r="G40" s="6" t="str">
        <x:v>Pending</x:v>
      </x:c>
      <x:c r="H40" s="6" t="str">
        <x:v>Pending</x:v>
      </x:c>
      <x:c r="I40" s="6" t="str">
        <x:v>Pending</x:v>
      </x:c>
      <x:c r="J40" s="6" t="str">
        <x:v>Pending</x:v>
      </x:c>
      <x:c r="K40" s="6" t="str">
        <x:v>Pending</x:v>
      </x:c>
      <x:c r="L40" s="6" t="str">
        <x:v>Pending</x:v>
      </x:c>
      <x:c r="M40" s="6" t="str">
        <x:v>Pending</x:v>
      </x:c>
      <x:c r="N40" s="2" t="str">
        <x:f>IF(B40="Myanmar","Excluded",IF(COUNTIF(D40:M40,"Fail")&gt;0,"Fail",IF(OR(C40="",P40="",NOT(ISNUMBER(Q40)),COUNTIF(D40:M40,"Pending")&gt;0,COUNTBLANK(D40:M40)&gt;0),"Pending",IF(COUNTIF(D40:M40,"Conditional")&gt;0,"Conditional",IF(COUNTIF(D40:M40,"Pass")=10,"Pass","Pending")))))</x:f>
        <x:v>Pending</x:v>
      </x:c>
      <x:c r="O40" s="2" t="str">
        <x:f>IF(N40="Pass","Evidence recorded","Hold")</x:f>
        <x:v>Hold</x:v>
      </x:c>
      <x:c r="P40" s="6"/>
      <x:c r="Q40" s="17"/>
    </x:row>
    <x:row r="41" ht="22" customHeight="1">
      <x:c r="A41" s="2" t="str">
        <x:v>62052000</x:v>
      </x:c>
      <x:c r="B41" s="2" t="str">
        <x:v>Myanmar</x:v>
      </x:c>
      <x:c r="C41" s="6"/>
      <x:c r="D41" s="6" t="str">
        <x:v>Pending</x:v>
      </x:c>
      <x:c r="E41" s="6" t="str">
        <x:v>Pending</x:v>
      </x:c>
      <x:c r="F41" s="6" t="str">
        <x:v>Pending</x:v>
      </x:c>
      <x:c r="G41" s="6" t="str">
        <x:v>Pending</x:v>
      </x:c>
      <x:c r="H41" s="6" t="str">
        <x:v>Pending</x:v>
      </x:c>
      <x:c r="I41" s="6" t="str">
        <x:v>Pending</x:v>
      </x:c>
      <x:c r="J41" s="6" t="str">
        <x:v>Pending</x:v>
      </x:c>
      <x:c r="K41" s="6" t="str">
        <x:v>Pending</x:v>
      </x:c>
      <x:c r="L41" s="6" t="str">
        <x:v>Pending</x:v>
      </x:c>
      <x:c r="M41" s="6" t="str">
        <x:v>Pending</x:v>
      </x:c>
      <x:c r="N41" s="2" t="str">
        <x:f>IF(B41="Myanmar","Excluded",IF(COUNTIF(D41:M41,"Fail")&gt;0,"Fail",IF(OR(C41="",P41="",NOT(ISNUMBER(Q41)),COUNTIF(D41:M41,"Pending")&gt;0,COUNTBLANK(D41:M41)&gt;0),"Pending",IF(COUNTIF(D41:M41,"Conditional")&gt;0,"Conditional",IF(COUNTIF(D41:M41,"Pass")=10,"Pass","Pending")))))</x:f>
        <x:v>Excluded</x:v>
      </x:c>
      <x:c r="O41" s="2" t="str">
        <x:f>IF(N41="Pass","Evidence recorded","Hold")</x:f>
        <x:v>Hold</x:v>
      </x:c>
      <x:c r="P41" s="6"/>
      <x:c r="Q41" s="17"/>
    </x:row>
    <x:row r="42" ht="22" customHeight="1">
      <x:c r="A42" s="2" t="str">
        <x:v>62052000</x:v>
      </x:c>
      <x:c r="B42" s="2" t="str">
        <x:v>Pakistan</x:v>
      </x:c>
      <x:c r="C42" s="6"/>
      <x:c r="D42" s="6" t="str">
        <x:v>Pending</x:v>
      </x:c>
      <x:c r="E42" s="6" t="str">
        <x:v>Pending</x:v>
      </x:c>
      <x:c r="F42" s="6" t="str">
        <x:v>Pending</x:v>
      </x:c>
      <x:c r="G42" s="6" t="str">
        <x:v>Pending</x:v>
      </x:c>
      <x:c r="H42" s="6" t="str">
        <x:v>Pending</x:v>
      </x:c>
      <x:c r="I42" s="6" t="str">
        <x:v>Pending</x:v>
      </x:c>
      <x:c r="J42" s="6" t="str">
        <x:v>Pending</x:v>
      </x:c>
      <x:c r="K42" s="6" t="str">
        <x:v>Pending</x:v>
      </x:c>
      <x:c r="L42" s="6" t="str">
        <x:v>Pending</x:v>
      </x:c>
      <x:c r="M42" s="6" t="str">
        <x:v>Pending</x:v>
      </x:c>
      <x:c r="N42" s="2" t="str">
        <x:f>IF(B42="Myanmar","Excluded",IF(COUNTIF(D42:M42,"Fail")&gt;0,"Fail",IF(OR(C42="",P42="",NOT(ISNUMBER(Q42)),COUNTIF(D42:M42,"Pending")&gt;0,COUNTBLANK(D42:M42)&gt;0),"Pending",IF(COUNTIF(D42:M42,"Conditional")&gt;0,"Conditional",IF(COUNTIF(D42:M42,"Pass")=10,"Pass","Pending")))))</x:f>
        <x:v>Pending</x:v>
      </x:c>
      <x:c r="O42" s="2" t="str">
        <x:f>IF(N42="Pass","Evidence recorded","Hold")</x:f>
        <x:v>Hold</x:v>
      </x:c>
      <x:c r="P42" s="6"/>
      <x:c r="Q42" s="17"/>
    </x:row>
    <x:row r="43" ht="22" customHeight="1">
      <x:c r="A43" s="2" t="str">
        <x:v>62052000</x:v>
      </x:c>
      <x:c r="B43" s="2" t="str">
        <x:v>Sri Lanka</x:v>
      </x:c>
      <x:c r="C43" s="6"/>
      <x:c r="D43" s="6" t="str">
        <x:v>Pending</x:v>
      </x:c>
      <x:c r="E43" s="6" t="str">
        <x:v>Pending</x:v>
      </x:c>
      <x:c r="F43" s="6" t="str">
        <x:v>Pending</x:v>
      </x:c>
      <x:c r="G43" s="6" t="str">
        <x:v>Pending</x:v>
      </x:c>
      <x:c r="H43" s="6" t="str">
        <x:v>Pending</x:v>
      </x:c>
      <x:c r="I43" s="6" t="str">
        <x:v>Pending</x:v>
      </x:c>
      <x:c r="J43" s="6" t="str">
        <x:v>Pending</x:v>
      </x:c>
      <x:c r="K43" s="6" t="str">
        <x:v>Pending</x:v>
      </x:c>
      <x:c r="L43" s="6" t="str">
        <x:v>Pending</x:v>
      </x:c>
      <x:c r="M43" s="6" t="str">
        <x:v>Pending</x:v>
      </x:c>
      <x:c r="N43" s="2" t="str">
        <x:f>IF(B43="Myanmar","Excluded",IF(COUNTIF(D43:M43,"Fail")&gt;0,"Fail",IF(OR(C43="",P43="",NOT(ISNUMBER(Q43)),COUNTIF(D43:M43,"Pending")&gt;0,COUNTBLANK(D43:M43)&gt;0),"Pending",IF(COUNTIF(D43:M43,"Conditional")&gt;0,"Conditional",IF(COUNTIF(D43:M43,"Pass")=10,"Pass","Pending")))))</x:f>
        <x:v>Pending</x:v>
      </x:c>
      <x:c r="O43" s="2" t="str">
        <x:f>IF(N43="Pass","Evidence recorded","Hold")</x:f>
        <x:v>Hold</x:v>
      </x:c>
      <x:c r="P43" s="6"/>
      <x:c r="Q43" s="17"/>
    </x:row>
    <x:row r="44" ht="22" customHeight="1">
      <x:c r="A44" s="2" t="str">
        <x:v>62052000</x:v>
      </x:c>
      <x:c r="B44" s="2" t="str">
        <x:v>Turkey</x:v>
      </x:c>
      <x:c r="C44" s="6"/>
      <x:c r="D44" s="6" t="str">
        <x:v>Pending</x:v>
      </x:c>
      <x:c r="E44" s="6" t="str">
        <x:v>Pending</x:v>
      </x:c>
      <x:c r="F44" s="6" t="str">
        <x:v>Pending</x:v>
      </x:c>
      <x:c r="G44" s="6" t="str">
        <x:v>Pending</x:v>
      </x:c>
      <x:c r="H44" s="6" t="str">
        <x:v>Pending</x:v>
      </x:c>
      <x:c r="I44" s="6" t="str">
        <x:v>Pending</x:v>
      </x:c>
      <x:c r="J44" s="6" t="str">
        <x:v>Pending</x:v>
      </x:c>
      <x:c r="K44" s="6" t="str">
        <x:v>Pending</x:v>
      </x:c>
      <x:c r="L44" s="6" t="str">
        <x:v>Pending</x:v>
      </x:c>
      <x:c r="M44" s="6" t="str">
        <x:v>Pending</x:v>
      </x:c>
      <x:c r="N44" s="2" t="str">
        <x:f>IF(B44="Myanmar","Excluded",IF(COUNTIF(D44:M44,"Fail")&gt;0,"Fail",IF(OR(C44="",P44="",NOT(ISNUMBER(Q44)),COUNTIF(D44:M44,"Pending")&gt;0,COUNTBLANK(D44:M44)&gt;0),"Pending",IF(COUNTIF(D44:M44,"Conditional")&gt;0,"Conditional",IF(COUNTIF(D44:M44,"Pass")=10,"Pass","Pending")))))</x:f>
        <x:v>Pending</x:v>
      </x:c>
      <x:c r="O44" s="2" t="str">
        <x:f>IF(N44="Pass","Evidence recorded","Hold")</x:f>
        <x:v>Hold</x:v>
      </x:c>
      <x:c r="P44" s="6"/>
      <x:c r="Q44" s="17"/>
    </x:row>
    <x:row r="45" ht="22" customHeight="1">
      <x:c r="A45" s="2" t="str">
        <x:v>62052000</x:v>
      </x:c>
      <x:c r="B45" s="2" t="str">
        <x:v>Vietnam</x:v>
      </x:c>
      <x:c r="C45" s="6"/>
      <x:c r="D45" s="6" t="str">
        <x:v>Pending</x:v>
      </x:c>
      <x:c r="E45" s="6" t="str">
        <x:v>Pending</x:v>
      </x:c>
      <x:c r="F45" s="6" t="str">
        <x:v>Pending</x:v>
      </x:c>
      <x:c r="G45" s="6" t="str">
        <x:v>Pending</x:v>
      </x:c>
      <x:c r="H45" s="6" t="str">
        <x:v>Pending</x:v>
      </x:c>
      <x:c r="I45" s="6" t="str">
        <x:v>Pending</x:v>
      </x:c>
      <x:c r="J45" s="6" t="str">
        <x:v>Pending</x:v>
      </x:c>
      <x:c r="K45" s="6" t="str">
        <x:v>Pending</x:v>
      </x:c>
      <x:c r="L45" s="6" t="str">
        <x:v>Pending</x:v>
      </x:c>
      <x:c r="M45" s="6" t="str">
        <x:v>Pending</x:v>
      </x:c>
      <x:c r="N45" s="2" t="str">
        <x:f>IF(B45="Myanmar","Excluded",IF(COUNTIF(D45:M45,"Fail")&gt;0,"Fail",IF(OR(C45="",P45="",NOT(ISNUMBER(Q45)),COUNTIF(D45:M45,"Pending")&gt;0,COUNTBLANK(D45:M45)&gt;0),"Pending",IF(COUNTIF(D45:M45,"Conditional")&gt;0,"Conditional",IF(COUNTIF(D45:M45,"Pass")=10,"Pass","Pending")))))</x:f>
        <x:v>Pending</x:v>
      </x:c>
      <x:c r="O45" s="2" t="str">
        <x:f>IF(N45="Pass","Evidence recorded","Hold")</x:f>
        <x:v>Hold</x:v>
      </x:c>
      <x:c r="P45" s="6"/>
      <x:c r="Q45" s="17"/>
    </x:row>
    <x:row r="46" ht="22" customHeight="1">
      <x:c r="A46" s="2"/>
      <x:c r="B46" s="2"/>
      <x:c r="C46" s="2"/>
      <x:c r="D46" s="2"/>
      <x:c r="E46" s="2"/>
      <x:c r="F46" s="2"/>
      <x:c r="G46" s="2"/>
      <x:c r="H46" s="2"/>
      <x:c r="I46" s="2"/>
      <x:c r="J46" s="2"/>
      <x:c r="K46" s="2"/>
      <x:c r="L46" s="2"/>
      <x:c r="M46" s="2"/>
      <x:c r="N46" s="2"/>
      <x:c r="O46" s="2"/>
      <x:c r="P46" s="2"/>
      <x:c r="Q46" s="2"/>
    </x:row>
    <x:row r="47" ht="34" customHeight="1">
      <x:c r="A47" s="13" t="inlineStr">
        <x:is>
          <x:t>Source: NEXT_WP007_Responsible_Sourcing_Gates_v1.0.xlsx, Gate_Matrix RS01-RS08; decisions D008/D020 in docs/Research_Question_and_Scope.md. Myanmar cannot be released by changing a gate cell.</x:t>
        </x:is>
      </x:c>
      <x:c r="B47" s="13"/>
      <x:c r="C47" s="13"/>
      <x:c r="D47" s="13"/>
      <x:c r="E47" s="13"/>
      <x:c r="F47" s="13"/>
      <x:c r="G47" s="13"/>
      <x:c r="H47" s="13"/>
      <x:c r="I47" s="13"/>
      <x:c r="J47" s="13"/>
      <x:c r="K47" s="13"/>
      <x:c r="L47" s="13"/>
      <x:c r="M47" s="13"/>
      <x:c r="N47" s="13"/>
      <x:c r="O47" s="13"/>
      <x:c r="P47" s="2"/>
      <x:c r="Q47" s="2"/>
    </x:row>
    <x:row r="48" ht="34" customHeight="1">
      <x:c r="A48" s="13" t="str">
        <x:v>RS01 approval; RS02 audit; RS03 forced/child labour and recruitment; RS04 working conditions; RS05 worker voice; RS06 material traceability; RS07 remediation/integrity; RS08 enhanced due diligence.</x:v>
      </x:c>
      <x:c r="B48" s="13"/>
      <x:c r="C48" s="13"/>
      <x:c r="D48" s="13"/>
      <x:c r="E48" s="13"/>
      <x:c r="F48" s="13"/>
      <x:c r="G48" s="13"/>
      <x:c r="H48" s="13"/>
      <x:c r="I48" s="13"/>
      <x:c r="J48" s="13"/>
      <x:c r="K48" s="13"/>
      <x:c r="L48" s="13"/>
      <x:c r="M48" s="13"/>
      <x:c r="N48" s="13"/>
      <x:c r="O48" s="13"/>
      <x:c r="P48" s="2"/>
      <x:c r="Q48" s="2"/>
    </x:row>
    <x:row r="49" ht="34" customHeight="1">
      <x:c r="A49" s="13" t="str">
        <x:v>RS03–RS08 remain unassessable from published annotations. Populate gates only against named site/product evidence and a recorded decision. Pass requires all ten evidence checks, a Site ID, evidence reference and decision date.</x:v>
      </x:c>
      <x:c r="B49" s="13"/>
      <x:c r="C49" s="13"/>
      <x:c r="D49" s="13"/>
      <x:c r="E49" s="13"/>
      <x:c r="F49" s="13"/>
      <x:c r="G49" s="13"/>
      <x:c r="H49" s="13"/>
      <x:c r="I49" s="13"/>
      <x:c r="J49" s="13"/>
      <x:c r="K49" s="13"/>
      <x:c r="L49" s="13"/>
      <x:c r="M49" s="13"/>
      <x:c r="N49" s="13"/>
      <x:c r="O49" s="13"/>
      <x:c r="P49" s="2"/>
      <x:c r="Q49" s="2"/>
    </x:row>
    <x:row r="50" ht="34" customHeight="1">
      <x:c r="A50" s="13" t="str">
        <x:v>A full scenario remains on hold until every receiving candidate passes. A pass for one receiver does not release a partial reallocation. SC remains undefined; the 16 historical annotation reviews remain Pending.</x:v>
      </x:c>
      <x:c r="B50" s="13"/>
      <x:c r="C50" s="13"/>
      <x:c r="D50" s="13"/>
      <x:c r="E50" s="13"/>
      <x:c r="F50" s="13"/>
      <x:c r="G50" s="13"/>
      <x:c r="H50" s="13"/>
      <x:c r="I50" s="13"/>
      <x:c r="J50" s="13"/>
      <x:c r="K50" s="13"/>
      <x:c r="L50" s="13"/>
      <x:c r="M50" s="13"/>
      <x:c r="N50" s="13"/>
      <x:c r="O50" s="13"/>
      <x:c r="P50" s="2"/>
      <x:c r="Q50" s="2"/>
    </x:row>
    <x:row r="51" ht="22" customHeight="1">
      <x:c r="A51" s="2"/>
      <x:c r="B51" s="2"/>
      <x:c r="C51" s="2"/>
      <x:c r="D51" s="2"/>
      <x:c r="E51" s="2"/>
      <x:c r="F51" s="2"/>
      <x:c r="G51" s="2"/>
      <x:c r="H51" s="2"/>
      <x:c r="I51" s="2"/>
      <x:c r="J51" s="2"/>
      <x:c r="K51" s="2"/>
      <x:c r="L51" s="2"/>
      <x:c r="M51" s="2"/>
      <x:c r="N51" s="2"/>
      <x:c r="O51" s="2"/>
      <x:c r="P51" s="2"/>
      <x:c r="Q51" s="2"/>
    </x:row>
  </x:sheetData>
  <x:mergeCells>
    <x:mergeCell ref="A4:O4"/>
    <x:mergeCell ref="A47:O47"/>
    <x:mergeCell ref="A48:O48"/>
    <x:mergeCell ref="A49:O49"/>
    <x:mergeCell ref="A50:O50"/>
  </x:mergeCells>
  <x:conditionalFormatting sqref="O6:O45">
    <x:cfRule type="containsText" dxfId="0" priority="1" operator="containsText" text="FAIL"/>
    <x:cfRule type="containsText" dxfId="1" priority="2" operator="containsText" text="Hold"/>
  </x:conditionalFormatting>
  <x:dataValidations count="1">
    <x:dataValidation type="list" sqref="D6:M45">
      <x:formula1>"Pending,Pass,Conditional,Fail"</x:formula1>
    </x:dataValidation>
  </x:dataValidations>
  <x:pageMargins left="0.7" right="0.7" top="0.75" bottom="0.75" header="0.3" footer="0.3"/>
  <x:tableParts count="1">
    <x:tablePart xmlns:r="http://schemas.openxmlformats.org/officeDocument/2006/relationships" r:id="Rf0f0b9c195694d8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5" hidden="0" customWidth="1"/>
    <x:col min="2" max="2" width="15" hidden="0" customWidth="1"/>
    <x:col min="3" max="3" width="17"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s>
  <x:sheetData>
    <x:row r="1" ht="22" customHeight="1">
      <x:c r="A1" s="2"/>
      <x:c r="B1" s="2"/>
      <x:c r="C1" s="2"/>
      <x:c r="D1" s="2"/>
      <x:c r="E1" s="2"/>
      <x:c r="F1" s="2"/>
      <x:c r="G1" s="2"/>
      <x:c r="H1" s="2"/>
      <x:c r="I1" s="2"/>
      <x:c r="J1" s="2"/>
      <x:c r="K1" s="2"/>
      <x:c r="L1" s="2"/>
      <x:c r="M1" s="2"/>
      <x:c r="N1" s="2"/>
      <x:c r="O1" s="2"/>
      <x:c r="P1" s="2"/>
      <x:c r="Q1" s="2"/>
      <x:c r="R1" s="2"/>
    </x:row>
    <x:row r="2" ht="29" customHeight="1">
      <x:c r="A2" s="3" t="str">
        <x:v>Period benchmarks and common-month sensitivity</x:v>
      </x:c>
      <x:c r="B2" s="3"/>
      <x:c r="C2" s="3"/>
      <x:c r="D2" s="3"/>
      <x:c r="E2" s="3"/>
      <x:c r="F2" s="3"/>
      <x:c r="G2" s="3"/>
      <x:c r="H2" s="3"/>
      <x:c r="I2" s="3"/>
      <x:c r="J2" s="3"/>
      <x:c r="K2" s="3"/>
      <x:c r="L2" s="3"/>
      <x:c r="M2" s="3"/>
      <x:c r="N2" s="3"/>
      <x:c r="O2" s="3"/>
      <x:c r="P2" s="3"/>
      <x:c r="Q2" s="3"/>
      <x:c r="R2" s="3"/>
    </x:row>
    <x:row r="3" ht="22" customHeight="1">
      <x:c r="A3" s="4"/>
      <x:c r="B3" s="4"/>
      <x:c r="C3" s="4"/>
      <x:c r="D3" s="4"/>
      <x:c r="E3" s="4"/>
      <x:c r="F3" s="4"/>
      <x:c r="G3" s="4"/>
      <x:c r="H3" s="4"/>
      <x:c r="I3" s="4"/>
      <x:c r="J3" s="4"/>
      <x:c r="K3" s="4"/>
      <x:c r="L3" s="4"/>
      <x:c r="M3" s="4"/>
      <x:c r="N3" s="4"/>
      <x:c r="O3" s="4"/>
      <x:c r="P3" s="4"/>
      <x:c r="Q3" s="4"/>
      <x:c r="R3" s="4"/>
    </x:row>
    <x:row r="4" ht="30" customHeight="1">
      <x:c r="A4" s="13" t="str">
        <x:v>Reported fields: WP006 partner_trade_period_reported export. Common-month sums: Monthly_Data, identical months across ten partners and World for each product/period.</x:v>
      </x:c>
      <x:c r="B4" s="13"/>
      <x:c r="C4" s="13"/>
      <x:c r="D4" s="13"/>
      <x:c r="E4" s="13"/>
      <x:c r="F4" s="13"/>
      <x:c r="G4" s="13"/>
      <x:c r="H4" s="13"/>
      <x:c r="I4" s="13"/>
      <x:c r="J4" s="13"/>
      <x:c r="K4" s="13"/>
      <x:c r="L4" s="13"/>
      <x:c r="M4" s="13"/>
      <x:c r="N4" s="13"/>
      <x:c r="O4" s="13"/>
      <x:c r="P4" s="13"/>
      <x:c r="Q4" s="2"/>
      <x:c r="R4" s="2"/>
    </x:row>
    <x:row r="5" ht="34" customHeight="1">
      <x:c r="A5" s="12" t="str">
        <x:v>Join key</x:v>
      </x:c>
      <x:c r="B5" s="12" t="str">
        <x:v>Period</x:v>
      </x:c>
      <x:c r="C5" s="12" t="str">
        <x:v>Country</x:v>
      </x:c>
      <x:c r="D5" s="12" t="str">
        <x:v>CN8</x:v>
      </x:c>
      <x:c r="E5" s="12" t="str">
        <x:v>Reported value (£)</x:v>
      </x:c>
      <x:c r="F5" s="12" t="str">
        <x:v>Reported mass (kg)</x:v>
      </x:c>
      <x:c r="G5" s="12" t="str">
        <x:v>Months</x:v>
      </x:c>
      <x:c r="H5" s="12" t="str">
        <x:v>Review months</x:v>
      </x:c>
      <x:c r="I5" s="12" t="str">
        <x:v>Export unit value (£/kg)</x:v>
      </x:c>
      <x:c r="J5" s="12" t="str">
        <x:v>Start month</x:v>
      </x:c>
      <x:c r="K5" s="12" t="str">
        <x:v>End month</x:v>
      </x:c>
      <x:c r="L5" s="12" t="str">
        <x:v>Common value (£)</x:v>
      </x:c>
      <x:c r="M5" s="12" t="str">
        <x:v>Common mass (kg)</x:v>
      </x:c>
      <x:c r="N5" s="12" t="str">
        <x:v>Common months</x:v>
      </x:c>
      <x:c r="O5" s="12" t="str">
        <x:v>Common UV (£/kg)</x:v>
      </x:c>
      <x:c r="P5" s="12" t="str">
        <x:v>Export UV difference</x:v>
      </x:c>
      <x:c r="Q5" s="12" t="str">
        <x:v>Key occurrences</x:v>
      </x:c>
      <x:c r="R5" s="12" t="str">
        <x:v>Absolute UV difference</x:v>
      </x:c>
    </x:row>
    <x:row r="6" ht="22" customHeight="1">
      <x:c r="A6" s="2" t="str">
        <x:v>FY2025|Bangladesh|61091000</x:v>
      </x:c>
      <x:c r="B6" s="2" t="str">
        <x:v>FY2025</x:v>
      </x:c>
      <x:c r="C6" s="2" t="str">
        <x:v>Bangladesh</x:v>
      </x:c>
      <x:c r="D6" s="2" t="str">
        <x:v>61091000</x:v>
      </x:c>
      <x:c r="E6" s="14" t="n">
        <x:v>455361217</x:v>
      </x:c>
      <x:c r="F6" s="14" t="n">
        <x:v>44227971</x:v>
      </x:c>
      <x:c r="G6" s="2" t="n">
        <x:v>12</x:v>
      </x:c>
      <x:c r="H6" s="2" t="n">
        <x:v>0</x:v>
      </x:c>
      <x:c r="I6" s="15" t="n">
        <x:v>10.295774522417046</x:v>
      </x:c>
      <x:c r="J6" s="2" t="n">
        <x:v>202501</x:v>
      </x:c>
      <x:c r="K6" s="2" t="n">
        <x:v>202512</x:v>
      </x:c>
      <x:c r="L6" s="14" t="n">
        <x:f>SUMIFS(Monthly_Data!$E$6:$E$797,Monthly_Data!$B$6:$B$797,"&gt;="&amp;J6,Monthly_Data!$B$6:$B$797,"&lt;="&amp;K6,Monthly_Data!$C$6:$C$797,D6,Monthly_Data!$D$6:$D$797,C6,Monthly_Data!$I$6:$I$797,1)</x:f>
        <x:v>279600730</x:v>
      </x:c>
      <x:c r="M6" s="14" t="n">
        <x:f>SUMIFS(Monthly_Data!$F$6:$F$797,Monthly_Data!$B$6:$B$797,"&gt;="&amp;J6,Monthly_Data!$B$6:$B$797,"&lt;="&amp;K6,Monthly_Data!$C$6:$C$797,D6,Monthly_Data!$D$6:$D$797,C6,Monthly_Data!$I$6:$I$797,1)</x:f>
        <x:v>27161127</x:v>
      </x:c>
      <x:c r="N6" s="2" t="n">
        <x:f>COUNTIFS(Monthly_Data!$B$6:$B$797,"&gt;="&amp;J6,Monthly_Data!$B$6:$B$797,"&lt;="&amp;K6,Monthly_Data!$C$6:$C$797,D6,Monthly_Data!$D$6:$D$797,C6,Monthly_Data!$I$6:$I$797,1)</x:f>
        <x:v>8</x:v>
      </x:c>
      <x:c r="O6" s="16" t="n">
        <x:f>IF(M6&gt;0,L6/M6,"n.a.")</x:f>
        <x:v>10.29415053359163</x:v>
      </x:c>
      <x:c r="P6" s="16" t="n">
        <x:f>IF(F6&gt;0,E6/F6-I6,"n.a.")</x:f>
        <x:v>0</x:v>
      </x:c>
      <x:c r="Q6" s="2" t="n">
        <x:f>COUNTIF($A$6:$A$125,A6)</x:f>
        <x:v>1</x:v>
      </x:c>
      <x:c r="R6" s="2" t="n">
        <x:f>ABS(P6)</x:f>
        <x:v>0</x:v>
      </x:c>
    </x:row>
    <x:row r="7" ht="22" customHeight="1">
      <x:c r="A7" s="2" t="str">
        <x:v>FY2025|Cambodia|61091000</x:v>
      </x:c>
      <x:c r="B7" s="2" t="str">
        <x:v>FY2025</x:v>
      </x:c>
      <x:c r="C7" s="2" t="str">
        <x:v>Cambodia</x:v>
      </x:c>
      <x:c r="D7" s="2" t="str">
        <x:v>61091000</x:v>
      </x:c>
      <x:c r="E7" s="14" t="n">
        <x:v>10485143</x:v>
      </x:c>
      <x:c r="F7" s="14" t="n">
        <x:v>547756</x:v>
      </x:c>
      <x:c r="G7" s="2" t="n">
        <x:v>12</x:v>
      </x:c>
      <x:c r="H7" s="2" t="n">
        <x:v>0</x:v>
      </x:c>
      <x:c r="I7" s="15" t="n">
        <x:v>19.14199570611732</x:v>
      </x:c>
      <x:c r="J7" s="2" t="n">
        <x:v>202501</x:v>
      </x:c>
      <x:c r="K7" s="2" t="n">
        <x:v>202512</x:v>
      </x:c>
      <x:c r="L7" s="14" t="n">
        <x:f>SUMIFS(Monthly_Data!$E$6:$E$797,Monthly_Data!$B$6:$B$797,"&gt;="&amp;J7,Monthly_Data!$B$6:$B$797,"&lt;="&amp;K7,Monthly_Data!$C$6:$C$797,D7,Monthly_Data!$D$6:$D$797,C7,Monthly_Data!$I$6:$I$797,1)</x:f>
        <x:v>7039886</x:v>
      </x:c>
      <x:c r="M7" s="14" t="n">
        <x:f>SUMIFS(Monthly_Data!$F$6:$F$797,Monthly_Data!$B$6:$B$797,"&gt;="&amp;J7,Monthly_Data!$B$6:$B$797,"&lt;="&amp;K7,Monthly_Data!$C$6:$C$797,D7,Monthly_Data!$D$6:$D$797,C7,Monthly_Data!$I$6:$I$797,1)</x:f>
        <x:v>377183</x:v>
      </x:c>
      <x:c r="N7" s="2" t="n">
        <x:f>COUNTIFS(Monthly_Data!$B$6:$B$797,"&gt;="&amp;J7,Monthly_Data!$B$6:$B$797,"&lt;="&amp;K7,Monthly_Data!$C$6:$C$797,D7,Monthly_Data!$D$6:$D$797,C7,Monthly_Data!$I$6:$I$797,1)</x:f>
        <x:v>8</x:v>
      </x:c>
      <x:c r="O7" s="16" t="n">
        <x:f>IF(M7&gt;0,L7/M7,"n.a.")</x:f>
        <x:v>18.66437776888142</x:v>
      </x:c>
      <x:c r="P7" s="16" t="n">
        <x:f>IF(F7&gt;0,E7/F7-I7,"n.a.")</x:f>
        <x:v>0</x:v>
      </x:c>
      <x:c r="Q7" s="2" t="n">
        <x:f>COUNTIF($A$6:$A$125,A7)</x:f>
        <x:v>1</x:v>
      </x:c>
      <x:c r="R7" s="2" t="n">
        <x:f>ABS(P7)</x:f>
        <x:v>0</x:v>
      </x:c>
    </x:row>
    <x:row r="8" ht="22" customHeight="1">
      <x:c r="A8" s="2" t="str">
        <x:v>FY2025|China|61091000</x:v>
      </x:c>
      <x:c r="B8" s="2" t="str">
        <x:v>FY2025</x:v>
      </x:c>
      <x:c r="C8" s="2" t="str">
        <x:v>China</x:v>
      </x:c>
      <x:c r="D8" s="2" t="str">
        <x:v>61091000</x:v>
      </x:c>
      <x:c r="E8" s="14" t="n">
        <x:v>44790747</x:v>
      </x:c>
      <x:c r="F8" s="14" t="n">
        <x:v>2430960</x:v>
      </x:c>
      <x:c r="G8" s="2" t="n">
        <x:v>12</x:v>
      </x:c>
      <x:c r="H8" s="2" t="n">
        <x:v>0</x:v>
      </x:c>
      <x:c r="I8" s="15" t="n">
        <x:v>18.425127110277423</x:v>
      </x:c>
      <x:c r="J8" s="2" t="n">
        <x:v>202501</x:v>
      </x:c>
      <x:c r="K8" s="2" t="n">
        <x:v>202512</x:v>
      </x:c>
      <x:c r="L8" s="14" t="n">
        <x:f>SUMIFS(Monthly_Data!$E$6:$E$797,Monthly_Data!$B$6:$B$797,"&gt;="&amp;J8,Monthly_Data!$B$6:$B$797,"&lt;="&amp;K8,Monthly_Data!$C$6:$C$797,D8,Monthly_Data!$D$6:$D$797,C8,Monthly_Data!$I$6:$I$797,1)</x:f>
        <x:v>29921795</x:v>
      </x:c>
      <x:c r="M8" s="14" t="n">
        <x:f>SUMIFS(Monthly_Data!$F$6:$F$797,Monthly_Data!$B$6:$B$797,"&gt;="&amp;J8,Monthly_Data!$B$6:$B$797,"&lt;="&amp;K8,Monthly_Data!$C$6:$C$797,D8,Monthly_Data!$D$6:$D$797,C8,Monthly_Data!$I$6:$I$797,1)</x:f>
        <x:v>1676887</x:v>
      </x:c>
      <x:c r="N8" s="2" t="n">
        <x:f>COUNTIFS(Monthly_Data!$B$6:$B$797,"&gt;="&amp;J8,Monthly_Data!$B$6:$B$797,"&lt;="&amp;K8,Monthly_Data!$C$6:$C$797,D8,Monthly_Data!$D$6:$D$797,C8,Monthly_Data!$I$6:$I$797,1)</x:f>
        <x:v>8</x:v>
      </x:c>
      <x:c r="O8" s="16" t="n">
        <x:f>IF(M8&gt;0,L8/M8,"n.a.")</x:f>
        <x:v>17.84365613186816</x:v>
      </x:c>
      <x:c r="P8" s="16" t="n">
        <x:f>IF(F8&gt;0,E8/F8-I8,"n.a.")</x:f>
        <x:v>0</x:v>
      </x:c>
      <x:c r="Q8" s="2" t="n">
        <x:f>COUNTIF($A$6:$A$125,A8)</x:f>
        <x:v>1</x:v>
      </x:c>
      <x:c r="R8" s="2" t="n">
        <x:f>ABS(P8)</x:f>
        <x:v>0</x:v>
      </x:c>
    </x:row>
    <x:row r="9" ht="22" customHeight="1">
      <x:c r="A9" s="2" t="str">
        <x:v>FY2025|India|61091000</x:v>
      </x:c>
      <x:c r="B9" s="2" t="str">
        <x:v>FY2025</x:v>
      </x:c>
      <x:c r="C9" s="2" t="str">
        <x:v>India</x:v>
      </x:c>
      <x:c r="D9" s="2" t="str">
        <x:v>61091000</x:v>
      </x:c>
      <x:c r="E9" s="14" t="n">
        <x:v>100902224</x:v>
      </x:c>
      <x:c r="F9" s="14" t="n">
        <x:v>7735285</x:v>
      </x:c>
      <x:c r="G9" s="2" t="n">
        <x:v>12</x:v>
      </x:c>
      <x:c r="H9" s="2" t="n">
        <x:v>0</x:v>
      </x:c>
      <x:c r="I9" s="15" t="n">
        <x:v>13.044409352725854</x:v>
      </x:c>
      <x:c r="J9" s="2" t="n">
        <x:v>202501</x:v>
      </x:c>
      <x:c r="K9" s="2" t="n">
        <x:v>202512</x:v>
      </x:c>
      <x:c r="L9" s="14" t="n">
        <x:f>SUMIFS(Monthly_Data!$E$6:$E$797,Monthly_Data!$B$6:$B$797,"&gt;="&amp;J9,Monthly_Data!$B$6:$B$797,"&lt;="&amp;K9,Monthly_Data!$C$6:$C$797,D9,Monthly_Data!$D$6:$D$797,C9,Monthly_Data!$I$6:$I$797,1)</x:f>
        <x:v>58584726</x:v>
      </x:c>
      <x:c r="M9" s="14" t="n">
        <x:f>SUMIFS(Monthly_Data!$F$6:$F$797,Monthly_Data!$B$6:$B$797,"&gt;="&amp;J9,Monthly_Data!$B$6:$B$797,"&lt;="&amp;K9,Monthly_Data!$C$6:$C$797,D9,Monthly_Data!$D$6:$D$797,C9,Monthly_Data!$I$6:$I$797,1)</x:f>
        <x:v>4442271</x:v>
      </x:c>
      <x:c r="N9" s="2" t="n">
        <x:f>COUNTIFS(Monthly_Data!$B$6:$B$797,"&gt;="&amp;J9,Monthly_Data!$B$6:$B$797,"&lt;="&amp;K9,Monthly_Data!$C$6:$C$797,D9,Monthly_Data!$D$6:$D$797,C9,Monthly_Data!$I$6:$I$797,1)</x:f>
        <x:v>8</x:v>
      </x:c>
      <x:c r="O9" s="16" t="n">
        <x:f>IF(M9&gt;0,L9/M9,"n.a.")</x:f>
        <x:v>13.188012617870454</x:v>
      </x:c>
      <x:c r="P9" s="16" t="n">
        <x:f>IF(F9&gt;0,E9/F9-I9,"n.a.")</x:f>
        <x:v>0</x:v>
      </x:c>
      <x:c r="Q9" s="2" t="n">
        <x:f>COUNTIF($A$6:$A$125,A9)</x:f>
        <x:v>1</x:v>
      </x:c>
      <x:c r="R9" s="2" t="n">
        <x:f>ABS(P9)</x:f>
        <x:v>0</x:v>
      </x:c>
    </x:row>
    <x:row r="10" ht="22" customHeight="1">
      <x:c r="A10" s="2" t="str">
        <x:v>FY2025|Morocco|61091000</x:v>
      </x:c>
      <x:c r="B10" s="2" t="str">
        <x:v>FY2025</x:v>
      </x:c>
      <x:c r="C10" s="2" t="str">
        <x:v>Morocco</x:v>
      </x:c>
      <x:c r="D10" s="2" t="str">
        <x:v>61091000</x:v>
      </x:c>
      <x:c r="E10" s="14" t="n">
        <x:v>11996927</x:v>
      </x:c>
      <x:c r="F10" s="14" t="n">
        <x:v>1265062</x:v>
      </x:c>
      <x:c r="G10" s="2" t="n">
        <x:v>12</x:v>
      </x:c>
      <x:c r="H10" s="2" t="n">
        <x:v>1</x:v>
      </x:c>
      <x:c r="I10" s="15" t="n">
        <x:v>9.483271966117076</x:v>
      </x:c>
      <x:c r="J10" s="2" t="n">
        <x:v>202501</x:v>
      </x:c>
      <x:c r="K10" s="2" t="n">
        <x:v>202512</x:v>
      </x:c>
      <x:c r="L10" s="14" t="n">
        <x:f>SUMIFS(Monthly_Data!$E$6:$E$797,Monthly_Data!$B$6:$B$797,"&gt;="&amp;J10,Monthly_Data!$B$6:$B$797,"&lt;="&amp;K10,Monthly_Data!$C$6:$C$797,D10,Monthly_Data!$D$6:$D$797,C10,Monthly_Data!$I$6:$I$797,1)</x:f>
        <x:v>7506840</x:v>
      </x:c>
      <x:c r="M10" s="14" t="n">
        <x:f>SUMIFS(Monthly_Data!$F$6:$F$797,Monthly_Data!$B$6:$B$797,"&gt;="&amp;J10,Monthly_Data!$B$6:$B$797,"&lt;="&amp;K10,Monthly_Data!$C$6:$C$797,D10,Monthly_Data!$D$6:$D$797,C10,Monthly_Data!$I$6:$I$797,1)</x:f>
        <x:v>801681</x:v>
      </x:c>
      <x:c r="N10" s="2" t="n">
        <x:f>COUNTIFS(Monthly_Data!$B$6:$B$797,"&gt;="&amp;J10,Monthly_Data!$B$6:$B$797,"&lt;="&amp;K10,Monthly_Data!$C$6:$C$797,D10,Monthly_Data!$D$6:$D$797,C10,Monthly_Data!$I$6:$I$797,1)</x:f>
        <x:v>8</x:v>
      </x:c>
      <x:c r="O10" s="16" t="n">
        <x:f>IF(M10&gt;0,L10/M10,"n.a.")</x:f>
        <x:v>9.363874159422513</x:v>
      </x:c>
      <x:c r="P10" s="16" t="n">
        <x:f>IF(F10&gt;0,E10/F10-I10,"n.a.")</x:f>
        <x:v>0</x:v>
      </x:c>
      <x:c r="Q10" s="2" t="n">
        <x:f>COUNTIF($A$6:$A$125,A10)</x:f>
        <x:v>1</x:v>
      </x:c>
      <x:c r="R10" s="2" t="n">
        <x:f>ABS(P10)</x:f>
        <x:v>0</x:v>
      </x:c>
    </x:row>
    <x:row r="11" ht="22" customHeight="1">
      <x:c r="A11" s="2" t="str">
        <x:v>FY2025|Myanmar|61091000</x:v>
      </x:c>
      <x:c r="B11" s="2" t="str">
        <x:v>FY2025</x:v>
      </x:c>
      <x:c r="C11" s="2" t="str">
        <x:v>Myanmar</x:v>
      </x:c>
      <x:c r="D11" s="2" t="str">
        <x:v>61091000</x:v>
      </x:c>
      <x:c r="E11" s="14" t="n">
        <x:v>377935</x:v>
      </x:c>
      <x:c r="F11" s="14" t="n">
        <x:v>29326</x:v>
      </x:c>
      <x:c r="G11" s="2" t="n">
        <x:v>12</x:v>
      </x:c>
      <x:c r="H11" s="2" t="n">
        <x:v>0</x:v>
      </x:c>
      <x:c r="I11" s="15" t="n">
        <x:v>12.887369569665143</x:v>
      </x:c>
      <x:c r="J11" s="2" t="n">
        <x:v>202501</x:v>
      </x:c>
      <x:c r="K11" s="2" t="n">
        <x:v>202512</x:v>
      </x:c>
      <x:c r="L11" s="14" t="n">
        <x:f>SUMIFS(Monthly_Data!$E$6:$E$797,Monthly_Data!$B$6:$B$797,"&gt;="&amp;J11,Monthly_Data!$B$6:$B$797,"&lt;="&amp;K11,Monthly_Data!$C$6:$C$797,D11,Monthly_Data!$D$6:$D$797,C11,Monthly_Data!$I$6:$I$797,1)</x:f>
        <x:v>254441</x:v>
      </x:c>
      <x:c r="M11" s="14" t="n">
        <x:f>SUMIFS(Monthly_Data!$F$6:$F$797,Monthly_Data!$B$6:$B$797,"&gt;="&amp;J11,Monthly_Data!$B$6:$B$797,"&lt;="&amp;K11,Monthly_Data!$C$6:$C$797,D11,Monthly_Data!$D$6:$D$797,C11,Monthly_Data!$I$6:$I$797,1)</x:f>
        <x:v>20714</x:v>
      </x:c>
      <x:c r="N11" s="2" t="n">
        <x:f>COUNTIFS(Monthly_Data!$B$6:$B$797,"&gt;="&amp;J11,Monthly_Data!$B$6:$B$797,"&lt;="&amp;K11,Monthly_Data!$C$6:$C$797,D11,Monthly_Data!$D$6:$D$797,C11,Monthly_Data!$I$6:$I$797,1)</x:f>
        <x:v>8</x:v>
      </x:c>
      <x:c r="O11" s="16" t="n">
        <x:f>IF(M11&gt;0,L11/M11,"n.a.")</x:f>
        <x:v>12.28352804866274</x:v>
      </x:c>
      <x:c r="P11" s="16" t="n">
        <x:f>IF(F11&gt;0,E11/F11-I11,"n.a.")</x:f>
        <x:v>0</x:v>
      </x:c>
      <x:c r="Q11" s="2" t="n">
        <x:f>COUNTIF($A$6:$A$125,A11)</x:f>
        <x:v>1</x:v>
      </x:c>
      <x:c r="R11" s="2" t="n">
        <x:f>ABS(P11)</x:f>
        <x:v>0</x:v>
      </x:c>
    </x:row>
    <x:row r="12" ht="22" customHeight="1">
      <x:c r="A12" s="2" t="str">
        <x:v>FY2025|Pakistan|61091000</x:v>
      </x:c>
      <x:c r="B12" s="2" t="str">
        <x:v>FY2025</x:v>
      </x:c>
      <x:c r="C12" s="2" t="str">
        <x:v>Pakistan</x:v>
      </x:c>
      <x:c r="D12" s="2" t="str">
        <x:v>61091000</x:v>
      </x:c>
      <x:c r="E12" s="14" t="n">
        <x:v>50802167</x:v>
      </x:c>
      <x:c r="F12" s="14" t="n">
        <x:v>10896985</x:v>
      </x:c>
      <x:c r="G12" s="2" t="n">
        <x:v>12</x:v>
      </x:c>
      <x:c r="H12" s="2" t="n">
        <x:v>4</x:v>
      </x:c>
      <x:c r="I12" s="15" t="n">
        <x:v>4.662038811652948</x:v>
      </x:c>
      <x:c r="J12" s="2" t="n">
        <x:v>202501</x:v>
      </x:c>
      <x:c r="K12" s="2" t="n">
        <x:v>202512</x:v>
      </x:c>
      <x:c r="L12" s="14" t="n">
        <x:f>SUMIFS(Monthly_Data!$E$6:$E$797,Monthly_Data!$B$6:$B$797,"&gt;="&amp;J12,Monthly_Data!$B$6:$B$797,"&lt;="&amp;K12,Monthly_Data!$C$6:$C$797,D12,Monthly_Data!$D$6:$D$797,C12,Monthly_Data!$I$6:$I$797,1)</x:f>
        <x:v>31440750</x:v>
      </x:c>
      <x:c r="M12" s="14" t="n">
        <x:f>SUMIFS(Monthly_Data!$F$6:$F$797,Monthly_Data!$B$6:$B$797,"&gt;="&amp;J12,Monthly_Data!$B$6:$B$797,"&lt;="&amp;K12,Monthly_Data!$C$6:$C$797,D12,Monthly_Data!$D$6:$D$797,C12,Monthly_Data!$I$6:$I$797,1)</x:f>
        <x:v>2884303</x:v>
      </x:c>
      <x:c r="N12" s="2" t="n">
        <x:f>COUNTIFS(Monthly_Data!$B$6:$B$797,"&gt;="&amp;J12,Monthly_Data!$B$6:$B$797,"&lt;="&amp;K12,Monthly_Data!$C$6:$C$797,D12,Monthly_Data!$D$6:$D$797,C12,Monthly_Data!$I$6:$I$797,1)</x:f>
        <x:v>8</x:v>
      </x:c>
      <x:c r="O12" s="16" t="n">
        <x:f>IF(M12&gt;0,L12/M12,"n.a.")</x:f>
        <x:v>10.900640466691605</x:v>
      </x:c>
      <x:c r="P12" s="16" t="n">
        <x:f>IF(F12&gt;0,E12/F12-I12,"n.a.")</x:f>
        <x:v>0</x:v>
      </x:c>
      <x:c r="Q12" s="2" t="n">
        <x:f>COUNTIF($A$6:$A$125,A12)</x:f>
        <x:v>1</x:v>
      </x:c>
      <x:c r="R12" s="2" t="n">
        <x:f>ABS(P12)</x:f>
        <x:v>0</x:v>
      </x:c>
    </x:row>
    <x:row r="13" ht="22" customHeight="1">
      <x:c r="A13" s="2" t="str">
        <x:v>FY2025|Sri Lanka|61091000</x:v>
      </x:c>
      <x:c r="B13" s="2" t="str">
        <x:v>FY2025</x:v>
      </x:c>
      <x:c r="C13" s="2" t="str">
        <x:v>Sri Lanka</x:v>
      </x:c>
      <x:c r="D13" s="2" t="str">
        <x:v>61091000</x:v>
      </x:c>
      <x:c r="E13" s="14" t="n">
        <x:v>22682066</x:v>
      </x:c>
      <x:c r="F13" s="14" t="n">
        <x:v>2215013</x:v>
      </x:c>
      <x:c r="G13" s="2" t="n">
        <x:v>12</x:v>
      </x:c>
      <x:c r="H13" s="2" t="n">
        <x:v>0</x:v>
      </x:c>
      <x:c r="I13" s="15" t="n">
        <x:v>10.240150283542354</x:v>
      </x:c>
      <x:c r="J13" s="2" t="n">
        <x:v>202501</x:v>
      </x:c>
      <x:c r="K13" s="2" t="n">
        <x:v>202512</x:v>
      </x:c>
      <x:c r="L13" s="14" t="n">
        <x:f>SUMIFS(Monthly_Data!$E$6:$E$797,Monthly_Data!$B$6:$B$797,"&gt;="&amp;J13,Monthly_Data!$B$6:$B$797,"&lt;="&amp;K13,Monthly_Data!$C$6:$C$797,D13,Monthly_Data!$D$6:$D$797,C13,Monthly_Data!$I$6:$I$797,1)</x:f>
        <x:v>14028089</x:v>
      </x:c>
      <x:c r="M13" s="14" t="n">
        <x:f>SUMIFS(Monthly_Data!$F$6:$F$797,Monthly_Data!$B$6:$B$797,"&gt;="&amp;J13,Monthly_Data!$B$6:$B$797,"&lt;="&amp;K13,Monthly_Data!$C$6:$C$797,D13,Monthly_Data!$D$6:$D$797,C13,Monthly_Data!$I$6:$I$797,1)</x:f>
        <x:v>1406635</x:v>
      </x:c>
      <x:c r="N13" s="2" t="n">
        <x:f>COUNTIFS(Monthly_Data!$B$6:$B$797,"&gt;="&amp;J13,Monthly_Data!$B$6:$B$797,"&lt;="&amp;K13,Monthly_Data!$C$6:$C$797,D13,Monthly_Data!$D$6:$D$797,C13,Monthly_Data!$I$6:$I$797,1)</x:f>
        <x:v>8</x:v>
      </x:c>
      <x:c r="O13" s="16" t="n">
        <x:f>IF(M13&gt;0,L13/M13,"n.a.")</x:f>
        <x:v>9.9727996246361</x:v>
      </x:c>
      <x:c r="P13" s="16" t="n">
        <x:f>IF(F13&gt;0,E13/F13-I13,"n.a.")</x:f>
        <x:v>0</x:v>
      </x:c>
      <x:c r="Q13" s="2" t="n">
        <x:f>COUNTIF($A$6:$A$125,A13)</x:f>
        <x:v>1</x:v>
      </x:c>
      <x:c r="R13" s="2" t="n">
        <x:f>ABS(P13)</x:f>
        <x:v>0</x:v>
      </x:c>
    </x:row>
    <x:row r="14" ht="22" customHeight="1">
      <x:c r="A14" s="2" t="str">
        <x:v>FY2025|Turkey|61091000</x:v>
      </x:c>
      <x:c r="B14" s="2" t="str">
        <x:v>FY2025</x:v>
      </x:c>
      <x:c r="C14" s="2" t="str">
        <x:v>Turkey</x:v>
      </x:c>
      <x:c r="D14" s="2" t="str">
        <x:v>61091000</x:v>
      </x:c>
      <x:c r="E14" s="14" t="n">
        <x:v>109167119</x:v>
      </x:c>
      <x:c r="F14" s="14" t="n">
        <x:v>4927477</x:v>
      </x:c>
      <x:c r="G14" s="2" t="n">
        <x:v>12</x:v>
      </x:c>
      <x:c r="H14" s="2" t="n">
        <x:v>0</x:v>
      </x:c>
      <x:c r="I14" s="15" t="n">
        <x:v>22.15476987513082</x:v>
      </x:c>
      <x:c r="J14" s="2" t="n">
        <x:v>202501</x:v>
      </x:c>
      <x:c r="K14" s="2" t="n">
        <x:v>202512</x:v>
      </x:c>
      <x:c r="L14" s="14" t="n">
        <x:f>SUMIFS(Monthly_Data!$E$6:$E$797,Monthly_Data!$B$6:$B$797,"&gt;="&amp;J14,Monthly_Data!$B$6:$B$797,"&lt;="&amp;K14,Monthly_Data!$C$6:$C$797,D14,Monthly_Data!$D$6:$D$797,C14,Monthly_Data!$I$6:$I$797,1)</x:f>
        <x:v>65407784</x:v>
      </x:c>
      <x:c r="M14" s="14" t="n">
        <x:f>SUMIFS(Monthly_Data!$F$6:$F$797,Monthly_Data!$B$6:$B$797,"&gt;="&amp;J14,Monthly_Data!$B$6:$B$797,"&lt;="&amp;K14,Monthly_Data!$C$6:$C$797,D14,Monthly_Data!$D$6:$D$797,C14,Monthly_Data!$I$6:$I$797,1)</x:f>
        <x:v>3077282</x:v>
      </x:c>
      <x:c r="N14" s="2" t="n">
        <x:f>COUNTIFS(Monthly_Data!$B$6:$B$797,"&gt;="&amp;J14,Monthly_Data!$B$6:$B$797,"&lt;="&amp;K14,Monthly_Data!$C$6:$C$797,D14,Monthly_Data!$D$6:$D$797,C14,Monthly_Data!$I$6:$I$797,1)</x:f>
        <x:v>8</x:v>
      </x:c>
      <x:c r="O14" s="16" t="n">
        <x:f>IF(M14&gt;0,L14/M14,"n.a.")</x:f>
        <x:v>21.25505039837103</x:v>
      </x:c>
      <x:c r="P14" s="16" t="n">
        <x:f>IF(F14&gt;0,E14/F14-I14,"n.a.")</x:f>
        <x:v>0</x:v>
      </x:c>
      <x:c r="Q14" s="2" t="n">
        <x:f>COUNTIF($A$6:$A$125,A14)</x:f>
        <x:v>1</x:v>
      </x:c>
      <x:c r="R14" s="2" t="n">
        <x:f>ABS(P14)</x:f>
        <x:v>0</x:v>
      </x:c>
    </x:row>
    <x:row r="15" ht="22" customHeight="1">
      <x:c r="A15" s="2" t="str">
        <x:v>FY2025|Vietnam|61091000</x:v>
      </x:c>
      <x:c r="B15" s="2" t="str">
        <x:v>FY2025</x:v>
      </x:c>
      <x:c r="C15" s="2" t="str">
        <x:v>Vietnam</x:v>
      </x:c>
      <x:c r="D15" s="2" t="str">
        <x:v>61091000</x:v>
      </x:c>
      <x:c r="E15" s="14" t="n">
        <x:v>23980546</x:v>
      </x:c>
      <x:c r="F15" s="14" t="n">
        <x:v>1170082</x:v>
      </x:c>
      <x:c r="G15" s="2" t="n">
        <x:v>12</x:v>
      </x:c>
      <x:c r="H15" s="2" t="n">
        <x:v>0</x:v>
      </x:c>
      <x:c r="I15" s="15" t="n">
        <x:v>20.494756777730107</x:v>
      </x:c>
      <x:c r="J15" s="2" t="n">
        <x:v>202501</x:v>
      </x:c>
      <x:c r="K15" s="2" t="n">
        <x:v>202512</x:v>
      </x:c>
      <x:c r="L15" s="14" t="n">
        <x:f>SUMIFS(Monthly_Data!$E$6:$E$797,Monthly_Data!$B$6:$B$797,"&gt;="&amp;J15,Monthly_Data!$B$6:$B$797,"&lt;="&amp;K15,Monthly_Data!$C$6:$C$797,D15,Monthly_Data!$D$6:$D$797,C15,Monthly_Data!$I$6:$I$797,1)</x:f>
        <x:v>13064717</x:v>
      </x:c>
      <x:c r="M15" s="14" t="n">
        <x:f>SUMIFS(Monthly_Data!$F$6:$F$797,Monthly_Data!$B$6:$B$797,"&gt;="&amp;J15,Monthly_Data!$B$6:$B$797,"&lt;="&amp;K15,Monthly_Data!$C$6:$C$797,D15,Monthly_Data!$D$6:$D$797,C15,Monthly_Data!$I$6:$I$797,1)</x:f>
        <x:v>641927</x:v>
      </x:c>
      <x:c r="N15" s="2" t="n">
        <x:f>COUNTIFS(Monthly_Data!$B$6:$B$797,"&gt;="&amp;J15,Monthly_Data!$B$6:$B$797,"&lt;="&amp;K15,Monthly_Data!$C$6:$C$797,D15,Monthly_Data!$D$6:$D$797,C15,Monthly_Data!$I$6:$I$797,1)</x:f>
        <x:v>8</x:v>
      </x:c>
      <x:c r="O15" s="16" t="n">
        <x:f>IF(M15&gt;0,L15/M15,"n.a.")</x:f>
        <x:v>20.3523406867136</x:v>
      </x:c>
      <x:c r="P15" s="16" t="n">
        <x:f>IF(F15&gt;0,E15/F15-I15,"n.a.")</x:f>
        <x:v>0</x:v>
      </x:c>
      <x:c r="Q15" s="2" t="n">
        <x:f>COUNTIF($A$6:$A$125,A15)</x:f>
        <x:v>1</x:v>
      </x:c>
      <x:c r="R15" s="2" t="n">
        <x:f>ABS(P15)</x:f>
        <x:v>0</x:v>
      </x:c>
    </x:row>
    <x:row r="16" ht="22" customHeight="1">
      <x:c r="A16" s="2" t="str">
        <x:v>FY2025|Bangladesh|61103099</x:v>
      </x:c>
      <x:c r="B16" s="2" t="str">
        <x:v>FY2025</x:v>
      </x:c>
      <x:c r="C16" s="2" t="str">
        <x:v>Bangladesh</x:v>
      </x:c>
      <x:c r="D16" s="2" t="str">
        <x:v>61103099</x:v>
      </x:c>
      <x:c r="E16" s="14" t="n">
        <x:v>164836619</x:v>
      </x:c>
      <x:c r="F16" s="14" t="n">
        <x:v>13246692</x:v>
      </x:c>
      <x:c r="G16" s="2" t="n">
        <x:v>12</x:v>
      </x:c>
      <x:c r="H16" s="2" t="n">
        <x:v>0</x:v>
      </x:c>
      <x:c r="I16" s="15" t="n">
        <x:v>12.443606222595045</x:v>
      </x:c>
      <x:c r="J16" s="2" t="n">
        <x:v>202501</x:v>
      </x:c>
      <x:c r="K16" s="2" t="n">
        <x:v>202512</x:v>
      </x:c>
      <x:c r="L16" s="14" t="n">
        <x:f>SUMIFS(Monthly_Data!$E$6:$E$797,Monthly_Data!$B$6:$B$797,"&gt;="&amp;J16,Monthly_Data!$B$6:$B$797,"&lt;="&amp;K16,Monthly_Data!$C$6:$C$797,D16,Monthly_Data!$D$6:$D$797,C16,Monthly_Data!$I$6:$I$797,1)</x:f>
        <x:v>104488465</x:v>
      </x:c>
      <x:c r="M16" s="14" t="n">
        <x:f>SUMIFS(Monthly_Data!$F$6:$F$797,Monthly_Data!$B$6:$B$797,"&gt;="&amp;J16,Monthly_Data!$B$6:$B$797,"&lt;="&amp;K16,Monthly_Data!$C$6:$C$797,D16,Monthly_Data!$D$6:$D$797,C16,Monthly_Data!$I$6:$I$797,1)</x:f>
        <x:v>8519362</x:v>
      </x:c>
      <x:c r="N16" s="2" t="n">
        <x:f>COUNTIFS(Monthly_Data!$B$6:$B$797,"&gt;="&amp;J16,Monthly_Data!$B$6:$B$797,"&lt;="&amp;K16,Monthly_Data!$C$6:$C$797,D16,Monthly_Data!$D$6:$D$797,C16,Monthly_Data!$I$6:$I$797,1)</x:f>
        <x:v>9</x:v>
      </x:c>
      <x:c r="O16" s="16" t="n">
        <x:f>IF(M16&gt;0,L16/M16,"n.a.")</x:f>
        <x:v>12.264822764897184</x:v>
      </x:c>
      <x:c r="P16" s="16" t="n">
        <x:f>IF(F16&gt;0,E16/F16-I16,"n.a.")</x:f>
        <x:v>0</x:v>
      </x:c>
      <x:c r="Q16" s="2" t="n">
        <x:f>COUNTIF($A$6:$A$125,A16)</x:f>
        <x:v>1</x:v>
      </x:c>
      <x:c r="R16" s="2" t="n">
        <x:f>ABS(P16)</x:f>
        <x:v>0</x:v>
      </x:c>
    </x:row>
    <x:row r="17" ht="22" customHeight="1">
      <x:c r="A17" s="2" t="str">
        <x:v>FY2025|Cambodia|61103099</x:v>
      </x:c>
      <x:c r="B17" s="2" t="str">
        <x:v>FY2025</x:v>
      </x:c>
      <x:c r="C17" s="2" t="str">
        <x:v>Cambodia</x:v>
      </x:c>
      <x:c r="D17" s="2" t="str">
        <x:v>61103099</x:v>
      </x:c>
      <x:c r="E17" s="14" t="n">
        <x:v>72460733</x:v>
      </x:c>
      <x:c r="F17" s="14" t="n">
        <x:v>6288565</x:v>
      </x:c>
      <x:c r="G17" s="2" t="n">
        <x:v>12</x:v>
      </x:c>
      <x:c r="H17" s="2" t="n">
        <x:v>0</x:v>
      </x:c>
      <x:c r="I17" s="15" t="n">
        <x:v>11.522618117169815</x:v>
      </x:c>
      <x:c r="J17" s="2" t="n">
        <x:v>202501</x:v>
      </x:c>
      <x:c r="K17" s="2" t="n">
        <x:v>202512</x:v>
      </x:c>
      <x:c r="L17" s="14" t="n">
        <x:f>SUMIFS(Monthly_Data!$E$6:$E$797,Monthly_Data!$B$6:$B$797,"&gt;="&amp;J17,Monthly_Data!$B$6:$B$797,"&lt;="&amp;K17,Monthly_Data!$C$6:$C$797,D17,Monthly_Data!$D$6:$D$797,C17,Monthly_Data!$I$6:$I$797,1)</x:f>
        <x:v>46317552</x:v>
      </x:c>
      <x:c r="M17" s="14" t="n">
        <x:f>SUMIFS(Monthly_Data!$F$6:$F$797,Monthly_Data!$B$6:$B$797,"&gt;="&amp;J17,Monthly_Data!$B$6:$B$797,"&lt;="&amp;K17,Monthly_Data!$C$6:$C$797,D17,Monthly_Data!$D$6:$D$797,C17,Monthly_Data!$I$6:$I$797,1)</x:f>
        <x:v>3874664</x:v>
      </x:c>
      <x:c r="N17" s="2" t="n">
        <x:f>COUNTIFS(Monthly_Data!$B$6:$B$797,"&gt;="&amp;J17,Monthly_Data!$B$6:$B$797,"&lt;="&amp;K17,Monthly_Data!$C$6:$C$797,D17,Monthly_Data!$D$6:$D$797,C17,Monthly_Data!$I$6:$I$797,1)</x:f>
        <x:v>9</x:v>
      </x:c>
      <x:c r="O17" s="16" t="n">
        <x:f>IF(M17&gt;0,L17/M17,"n.a.")</x:f>
        <x:v>11.953953168584425</x:v>
      </x:c>
      <x:c r="P17" s="16" t="n">
        <x:f>IF(F17&gt;0,E17/F17-I17,"n.a.")</x:f>
        <x:v>0</x:v>
      </x:c>
      <x:c r="Q17" s="2" t="n">
        <x:f>COUNTIF($A$6:$A$125,A17)</x:f>
        <x:v>1</x:v>
      </x:c>
      <x:c r="R17" s="2" t="n">
        <x:f>ABS(P17)</x:f>
        <x:v>0</x:v>
      </x:c>
    </x:row>
    <x:row r="18" ht="22" customHeight="1">
      <x:c r="A18" s="2" t="str">
        <x:v>FY2025|China|61103099</x:v>
      </x:c>
      <x:c r="B18" s="2" t="str">
        <x:v>FY2025</x:v>
      </x:c>
      <x:c r="C18" s="2" t="str">
        <x:v>China</x:v>
      </x:c>
      <x:c r="D18" s="2" t="str">
        <x:v>61103099</x:v>
      </x:c>
      <x:c r="E18" s="14" t="n">
        <x:v>235660674</x:v>
      </x:c>
      <x:c r="F18" s="14" t="n">
        <x:v>16459562</x:v>
      </x:c>
      <x:c r="G18" s="2" t="n">
        <x:v>12</x:v>
      </x:c>
      <x:c r="H18" s="2" t="n">
        <x:v>0</x:v>
      </x:c>
      <x:c r="I18" s="15" t="n">
        <x:v>14.31755437963659</x:v>
      </x:c>
      <x:c r="J18" s="2" t="n">
        <x:v>202501</x:v>
      </x:c>
      <x:c r="K18" s="2" t="n">
        <x:v>202512</x:v>
      </x:c>
      <x:c r="L18" s="14" t="n">
        <x:f>SUMIFS(Monthly_Data!$E$6:$E$797,Monthly_Data!$B$6:$B$797,"&gt;="&amp;J18,Monthly_Data!$B$6:$B$797,"&lt;="&amp;K18,Monthly_Data!$C$6:$C$797,D18,Monthly_Data!$D$6:$D$797,C18,Monthly_Data!$I$6:$I$797,1)</x:f>
        <x:v>137520621</x:v>
      </x:c>
      <x:c r="M18" s="14" t="n">
        <x:f>SUMIFS(Monthly_Data!$F$6:$F$797,Monthly_Data!$B$6:$B$797,"&gt;="&amp;J18,Monthly_Data!$B$6:$B$797,"&lt;="&amp;K18,Monthly_Data!$C$6:$C$797,D18,Monthly_Data!$D$6:$D$797,C18,Monthly_Data!$I$6:$I$797,1)</x:f>
        <x:v>9168388</x:v>
      </x:c>
      <x:c r="N18" s="2" t="n">
        <x:f>COUNTIFS(Monthly_Data!$B$6:$B$797,"&gt;="&amp;J18,Monthly_Data!$B$6:$B$797,"&lt;="&amp;K18,Monthly_Data!$C$6:$C$797,D18,Monthly_Data!$D$6:$D$797,C18,Monthly_Data!$I$6:$I$797,1)</x:f>
        <x:v>9</x:v>
      </x:c>
      <x:c r="O18" s="16" t="n">
        <x:f>IF(M18&gt;0,L18/M18,"n.a.")</x:f>
        <x:v>14.99943294284666</x:v>
      </x:c>
      <x:c r="P18" s="16" t="n">
        <x:f>IF(F18&gt;0,E18/F18-I18,"n.a.")</x:f>
        <x:v>0</x:v>
      </x:c>
      <x:c r="Q18" s="2" t="n">
        <x:f>COUNTIF($A$6:$A$125,A18)</x:f>
        <x:v>1</x:v>
      </x:c>
      <x:c r="R18" s="2" t="n">
        <x:f>ABS(P18)</x:f>
        <x:v>0</x:v>
      </x:c>
    </x:row>
    <x:row r="19" ht="22" customHeight="1">
      <x:c r="A19" s="2" t="str">
        <x:v>FY2025|India|61103099</x:v>
      </x:c>
      <x:c r="B19" s="2" t="str">
        <x:v>FY2025</x:v>
      </x:c>
      <x:c r="C19" s="2" t="str">
        <x:v>India</x:v>
      </x:c>
      <x:c r="D19" s="2" t="str">
        <x:v>61103099</x:v>
      </x:c>
      <x:c r="E19" s="14" t="n">
        <x:v>2259458</x:v>
      </x:c>
      <x:c r="F19" s="14" t="n">
        <x:v>159066</x:v>
      </x:c>
      <x:c r="G19" s="2" t="n">
        <x:v>12</x:v>
      </x:c>
      <x:c r="H19" s="2" t="n">
        <x:v>0</x:v>
      </x:c>
      <x:c r="I19" s="15" t="n">
        <x:v>14.20453145235311</x:v>
      </x:c>
      <x:c r="J19" s="2" t="n">
        <x:v>202501</x:v>
      </x:c>
      <x:c r="K19" s="2" t="n">
        <x:v>202512</x:v>
      </x:c>
      <x:c r="L19" s="14" t="n">
        <x:f>SUMIFS(Monthly_Data!$E$6:$E$797,Monthly_Data!$B$6:$B$797,"&gt;="&amp;J19,Monthly_Data!$B$6:$B$797,"&lt;="&amp;K19,Monthly_Data!$C$6:$C$797,D19,Monthly_Data!$D$6:$D$797,C19,Monthly_Data!$I$6:$I$797,1)</x:f>
        <x:v>1663760</x:v>
      </x:c>
      <x:c r="M19" s="14" t="n">
        <x:f>SUMIFS(Monthly_Data!$F$6:$F$797,Monthly_Data!$B$6:$B$797,"&gt;="&amp;J19,Monthly_Data!$B$6:$B$797,"&lt;="&amp;K19,Monthly_Data!$C$6:$C$797,D19,Monthly_Data!$D$6:$D$797,C19,Monthly_Data!$I$6:$I$797,1)</x:f>
        <x:v>115642</x:v>
      </x:c>
      <x:c r="N19" s="2" t="n">
        <x:f>COUNTIFS(Monthly_Data!$B$6:$B$797,"&gt;="&amp;J19,Monthly_Data!$B$6:$B$797,"&lt;="&amp;K19,Monthly_Data!$C$6:$C$797,D19,Monthly_Data!$D$6:$D$797,C19,Monthly_Data!$I$6:$I$797,1)</x:f>
        <x:v>9</x:v>
      </x:c>
      <x:c r="O19" s="16" t="n">
        <x:f>IF(M19&gt;0,L19/M19,"n.a.")</x:f>
        <x:v>14.387160374258487</x:v>
      </x:c>
      <x:c r="P19" s="16" t="n">
        <x:f>IF(F19&gt;0,E19/F19-I19,"n.a.")</x:f>
        <x:v>0</x:v>
      </x:c>
      <x:c r="Q19" s="2" t="n">
        <x:f>COUNTIF($A$6:$A$125,A19)</x:f>
        <x:v>1</x:v>
      </x:c>
      <x:c r="R19" s="2" t="n">
        <x:f>ABS(P19)</x:f>
        <x:v>0</x:v>
      </x:c>
    </x:row>
    <x:row r="20" ht="22" customHeight="1">
      <x:c r="A20" s="2" t="str">
        <x:v>FY2025|Morocco|61103099</x:v>
      </x:c>
      <x:c r="B20" s="2" t="str">
        <x:v>FY2025</x:v>
      </x:c>
      <x:c r="C20" s="2" t="str">
        <x:v>Morocco</x:v>
      </x:c>
      <x:c r="D20" s="2" t="str">
        <x:v>61103099</x:v>
      </x:c>
      <x:c r="E20" s="14" t="n">
        <x:v>389054</x:v>
      </x:c>
      <x:c r="F20" s="14" t="n">
        <x:v>19704</x:v>
      </x:c>
      <x:c r="G20" s="2" t="n">
        <x:v>12</x:v>
      </x:c>
      <x:c r="H20" s="2" t="n">
        <x:v>1</x:v>
      </x:c>
      <x:c r="I20" s="15" t="n">
        <x:v>19.744924888347544</x:v>
      </x:c>
      <x:c r="J20" s="2" t="n">
        <x:v>202501</x:v>
      </x:c>
      <x:c r="K20" s="2" t="n">
        <x:v>202512</x:v>
      </x:c>
      <x:c r="L20" s="14" t="n">
        <x:f>SUMIFS(Monthly_Data!$E$6:$E$797,Monthly_Data!$B$6:$B$797,"&gt;="&amp;J20,Monthly_Data!$B$6:$B$797,"&lt;="&amp;K20,Monthly_Data!$C$6:$C$797,D20,Monthly_Data!$D$6:$D$797,C20,Monthly_Data!$I$6:$I$797,1)</x:f>
        <x:v>323822</x:v>
      </x:c>
      <x:c r="M20" s="14" t="n">
        <x:f>SUMIFS(Monthly_Data!$F$6:$F$797,Monthly_Data!$B$6:$B$797,"&gt;="&amp;J20,Monthly_Data!$B$6:$B$797,"&lt;="&amp;K20,Monthly_Data!$C$6:$C$797,D20,Monthly_Data!$D$6:$D$797,C20,Monthly_Data!$I$6:$I$797,1)</x:f>
        <x:v>17607</x:v>
      </x:c>
      <x:c r="N20" s="2" t="n">
        <x:f>COUNTIFS(Monthly_Data!$B$6:$B$797,"&gt;="&amp;J20,Monthly_Data!$B$6:$B$797,"&lt;="&amp;K20,Monthly_Data!$C$6:$C$797,D20,Monthly_Data!$D$6:$D$797,C20,Monthly_Data!$I$6:$I$797,1)</x:f>
        <x:v>9</x:v>
      </x:c>
      <x:c r="O20" s="16" t="n">
        <x:f>IF(M20&gt;0,L20/M20,"n.a.")</x:f>
        <x:v>18.391662406997217</x:v>
      </x:c>
      <x:c r="P20" s="16" t="n">
        <x:f>IF(F20&gt;0,E20/F20-I20,"n.a.")</x:f>
        <x:v>0</x:v>
      </x:c>
      <x:c r="Q20" s="2" t="n">
        <x:f>COUNTIF($A$6:$A$125,A20)</x:f>
        <x:v>1</x:v>
      </x:c>
      <x:c r="R20" s="2" t="n">
        <x:f>ABS(P20)</x:f>
        <x:v>0</x:v>
      </x:c>
    </x:row>
    <x:row r="21" ht="22" customHeight="1">
      <x:c r="A21" s="2" t="str">
        <x:v>FY2025|Myanmar|61103099</x:v>
      </x:c>
      <x:c r="B21" s="2" t="str">
        <x:v>FY2025</x:v>
      </x:c>
      <x:c r="C21" s="2" t="str">
        <x:v>Myanmar</x:v>
      </x:c>
      <x:c r="D21" s="2" t="str">
        <x:v>61103099</x:v>
      </x:c>
      <x:c r="E21" s="14" t="n">
        <x:v>8133003</x:v>
      </x:c>
      <x:c r="F21" s="14" t="n">
        <x:v>508754</x:v>
      </x:c>
      <x:c r="G21" s="2" t="n">
        <x:v>12</x:v>
      </x:c>
      <x:c r="H21" s="2" t="n">
        <x:v>0</x:v>
      </x:c>
      <x:c r="I21" s="15" t="n">
        <x:v>15.986120993643294</x:v>
      </x:c>
      <x:c r="J21" s="2" t="n">
        <x:v>202501</x:v>
      </x:c>
      <x:c r="K21" s="2" t="n">
        <x:v>202512</x:v>
      </x:c>
      <x:c r="L21" s="14" t="n">
        <x:f>SUMIFS(Monthly_Data!$E$6:$E$797,Monthly_Data!$B$6:$B$797,"&gt;="&amp;J21,Monthly_Data!$B$6:$B$797,"&lt;="&amp;K21,Monthly_Data!$C$6:$C$797,D21,Monthly_Data!$D$6:$D$797,C21,Monthly_Data!$I$6:$I$797,1)</x:f>
        <x:v>4596243</x:v>
      </x:c>
      <x:c r="M21" s="14" t="n">
        <x:f>SUMIFS(Monthly_Data!$F$6:$F$797,Monthly_Data!$B$6:$B$797,"&gt;="&amp;J21,Monthly_Data!$B$6:$B$797,"&lt;="&amp;K21,Monthly_Data!$C$6:$C$797,D21,Monthly_Data!$D$6:$D$797,C21,Monthly_Data!$I$6:$I$797,1)</x:f>
        <x:v>283103</x:v>
      </x:c>
      <x:c r="N21" s="2" t="n">
        <x:f>COUNTIFS(Monthly_Data!$B$6:$B$797,"&gt;="&amp;J21,Monthly_Data!$B$6:$B$797,"&lt;="&amp;K21,Monthly_Data!$C$6:$C$797,D21,Monthly_Data!$D$6:$D$797,C21,Monthly_Data!$I$6:$I$797,1)</x:f>
        <x:v>9</x:v>
      </x:c>
      <x:c r="O21" s="16" t="n">
        <x:f>IF(M21&gt;0,L21/M21,"n.a.")</x:f>
        <x:v>16.235232406579936</x:v>
      </x:c>
      <x:c r="P21" s="16" t="n">
        <x:f>IF(F21&gt;0,E21/F21-I21,"n.a.")</x:f>
        <x:v>0</x:v>
      </x:c>
      <x:c r="Q21" s="2" t="n">
        <x:f>COUNTIF($A$6:$A$125,A21)</x:f>
        <x:v>1</x:v>
      </x:c>
      <x:c r="R21" s="2" t="n">
        <x:f>ABS(P21)</x:f>
        <x:v>0</x:v>
      </x:c>
    </x:row>
    <x:row r="22" ht="22" customHeight="1">
      <x:c r="A22" s="2" t="str">
        <x:v>FY2025|Pakistan|61103099</x:v>
      </x:c>
      <x:c r="B22" s="2" t="str">
        <x:v>FY2025</x:v>
      </x:c>
      <x:c r="C22" s="2" t="str">
        <x:v>Pakistan</x:v>
      </x:c>
      <x:c r="D22" s="2" t="str">
        <x:v>61103099</x:v>
      </x:c>
      <x:c r="E22" s="14" t="n">
        <x:v>5754495</x:v>
      </x:c>
      <x:c r="F22" s="14" t="n">
        <x:v>427235</x:v>
      </x:c>
      <x:c r="G22" s="2" t="n">
        <x:v>12</x:v>
      </x:c>
      <x:c r="H22" s="2" t="n">
        <x:v>0</x:v>
      </x:c>
      <x:c r="I22" s="15" t="n">
        <x:v>13.469156319121796</x:v>
      </x:c>
      <x:c r="J22" s="2" t="n">
        <x:v>202501</x:v>
      </x:c>
      <x:c r="K22" s="2" t="n">
        <x:v>202512</x:v>
      </x:c>
      <x:c r="L22" s="14" t="n">
        <x:f>SUMIFS(Monthly_Data!$E$6:$E$797,Monthly_Data!$B$6:$B$797,"&gt;="&amp;J22,Monthly_Data!$B$6:$B$797,"&lt;="&amp;K22,Monthly_Data!$C$6:$C$797,D22,Monthly_Data!$D$6:$D$797,C22,Monthly_Data!$I$6:$I$797,1)</x:f>
        <x:v>4562935</x:v>
      </x:c>
      <x:c r="M22" s="14" t="n">
        <x:f>SUMIFS(Monthly_Data!$F$6:$F$797,Monthly_Data!$B$6:$B$797,"&gt;="&amp;J22,Monthly_Data!$B$6:$B$797,"&lt;="&amp;K22,Monthly_Data!$C$6:$C$797,D22,Monthly_Data!$D$6:$D$797,C22,Monthly_Data!$I$6:$I$797,1)</x:f>
        <x:v>339111</x:v>
      </x:c>
      <x:c r="N22" s="2" t="n">
        <x:f>COUNTIFS(Monthly_Data!$B$6:$B$797,"&gt;="&amp;J22,Monthly_Data!$B$6:$B$797,"&lt;="&amp;K22,Monthly_Data!$C$6:$C$797,D22,Monthly_Data!$D$6:$D$797,C22,Monthly_Data!$I$6:$I$797,1)</x:f>
        <x:v>9</x:v>
      </x:c>
      <x:c r="O22" s="16" t="n">
        <x:f>IF(M22&gt;0,L22/M22,"n.a.")</x:f>
        <x:v>13.455579441539792</x:v>
      </x:c>
      <x:c r="P22" s="16" t="n">
        <x:f>IF(F22&gt;0,E22/F22-I22,"n.a.")</x:f>
        <x:v>0</x:v>
      </x:c>
      <x:c r="Q22" s="2" t="n">
        <x:f>COUNTIF($A$6:$A$125,A22)</x:f>
        <x:v>1</x:v>
      </x:c>
      <x:c r="R22" s="2" t="n">
        <x:f>ABS(P22)</x:f>
        <x:v>0</x:v>
      </x:c>
    </x:row>
    <x:row r="23" ht="22" customHeight="1">
      <x:c r="A23" s="2" t="str">
        <x:v>FY2025|Sri Lanka|61103099</x:v>
      </x:c>
      <x:c r="B23" s="2" t="str">
        <x:v>FY2025</x:v>
      </x:c>
      <x:c r="C23" s="2" t="str">
        <x:v>Sri Lanka</x:v>
      </x:c>
      <x:c r="D23" s="2" t="str">
        <x:v>61103099</x:v>
      </x:c>
      <x:c r="E23" s="14" t="n">
        <x:v>1800198</x:v>
      </x:c>
      <x:c r="F23" s="14" t="n">
        <x:v>100905</x:v>
      </x:c>
      <x:c r="G23" s="2" t="n">
        <x:v>12</x:v>
      </x:c>
      <x:c r="H23" s="2" t="n">
        <x:v>0</x:v>
      </x:c>
      <x:c r="I23" s="15" t="n">
        <x:v>17.840523264456667</x:v>
      </x:c>
      <x:c r="J23" s="2" t="n">
        <x:v>202501</x:v>
      </x:c>
      <x:c r="K23" s="2" t="n">
        <x:v>202512</x:v>
      </x:c>
      <x:c r="L23" s="14" t="n">
        <x:f>SUMIFS(Monthly_Data!$E$6:$E$797,Monthly_Data!$B$6:$B$797,"&gt;="&amp;J23,Monthly_Data!$B$6:$B$797,"&lt;="&amp;K23,Monthly_Data!$C$6:$C$797,D23,Monthly_Data!$D$6:$D$797,C23,Monthly_Data!$I$6:$I$797,1)</x:f>
        <x:v>1195313</x:v>
      </x:c>
      <x:c r="M23" s="14" t="n">
        <x:f>SUMIFS(Monthly_Data!$F$6:$F$797,Monthly_Data!$B$6:$B$797,"&gt;="&amp;J23,Monthly_Data!$B$6:$B$797,"&lt;="&amp;K23,Monthly_Data!$C$6:$C$797,D23,Monthly_Data!$D$6:$D$797,C23,Monthly_Data!$I$6:$I$797,1)</x:f>
        <x:v>64213</x:v>
      </x:c>
      <x:c r="N23" s="2" t="n">
        <x:f>COUNTIFS(Monthly_Data!$B$6:$B$797,"&gt;="&amp;J23,Monthly_Data!$B$6:$B$797,"&lt;="&amp;K23,Monthly_Data!$C$6:$C$797,D23,Monthly_Data!$D$6:$D$797,C23,Monthly_Data!$I$6:$I$797,1)</x:f>
        <x:v>9</x:v>
      </x:c>
      <x:c r="O23" s="16" t="n">
        <x:f>IF(M23&gt;0,L23/M23,"n.a.")</x:f>
        <x:v>18.614813199819352</x:v>
      </x:c>
      <x:c r="P23" s="16" t="n">
        <x:f>IF(F23&gt;0,E23/F23-I23,"n.a.")</x:f>
        <x:v>0</x:v>
      </x:c>
      <x:c r="Q23" s="2" t="n">
        <x:f>COUNTIF($A$6:$A$125,A23)</x:f>
        <x:v>1</x:v>
      </x:c>
      <x:c r="R23" s="2" t="n">
        <x:f>ABS(P23)</x:f>
        <x:v>0</x:v>
      </x:c>
    </x:row>
    <x:row r="24" ht="22" customHeight="1">
      <x:c r="A24" s="2" t="str">
        <x:v>FY2025|Turkey|61103099</x:v>
      </x:c>
      <x:c r="B24" s="2" t="str">
        <x:v>FY2025</x:v>
      </x:c>
      <x:c r="C24" s="2" t="str">
        <x:v>Turkey</x:v>
      </x:c>
      <x:c r="D24" s="2" t="str">
        <x:v>61103099</x:v>
      </x:c>
      <x:c r="E24" s="14" t="n">
        <x:v>58922223</x:v>
      </x:c>
      <x:c r="F24" s="14" t="n">
        <x:v>7348045</x:v>
      </x:c>
      <x:c r="G24" s="2" t="n">
        <x:v>12</x:v>
      </x:c>
      <x:c r="H24" s="2" t="n">
        <x:v>2</x:v>
      </x:c>
      <x:c r="I24" s="15" t="n">
        <x:v>8.018761861148102</x:v>
      </x:c>
      <x:c r="J24" s="2" t="n">
        <x:v>202501</x:v>
      </x:c>
      <x:c r="K24" s="2" t="n">
        <x:v>202512</x:v>
      </x:c>
      <x:c r="L24" s="14" t="n">
        <x:f>SUMIFS(Monthly_Data!$E$6:$E$797,Monthly_Data!$B$6:$B$797,"&gt;="&amp;J24,Monthly_Data!$B$6:$B$797,"&lt;="&amp;K24,Monthly_Data!$C$6:$C$797,D24,Monthly_Data!$D$6:$D$797,C24,Monthly_Data!$I$6:$I$797,1)</x:f>
        <x:v>39909479</x:v>
      </x:c>
      <x:c r="M24" s="14" t="n">
        <x:f>SUMIFS(Monthly_Data!$F$6:$F$797,Monthly_Data!$B$6:$B$797,"&gt;="&amp;J24,Monthly_Data!$B$6:$B$797,"&lt;="&amp;K24,Monthly_Data!$C$6:$C$797,D24,Monthly_Data!$D$6:$D$797,C24,Monthly_Data!$I$6:$I$797,1)</x:f>
        <x:v>2196012</x:v>
      </x:c>
      <x:c r="N24" s="2" t="n">
        <x:f>COUNTIFS(Monthly_Data!$B$6:$B$797,"&gt;="&amp;J24,Monthly_Data!$B$6:$B$797,"&lt;="&amp;K24,Monthly_Data!$C$6:$C$797,D24,Monthly_Data!$D$6:$D$797,C24,Monthly_Data!$I$6:$I$797,1)</x:f>
        <x:v>9</x:v>
      </x:c>
      <x:c r="O24" s="16" t="n">
        <x:f>IF(M24&gt;0,L24/M24,"n.a.")</x:f>
        <x:v>18.17361608224363</x:v>
      </x:c>
      <x:c r="P24" s="16" t="n">
        <x:f>IF(F24&gt;0,E24/F24-I24,"n.a.")</x:f>
        <x:v>0</x:v>
      </x:c>
      <x:c r="Q24" s="2" t="n">
        <x:f>COUNTIF($A$6:$A$125,A24)</x:f>
        <x:v>1</x:v>
      </x:c>
      <x:c r="R24" s="2" t="n">
        <x:f>ABS(P24)</x:f>
        <x:v>0</x:v>
      </x:c>
    </x:row>
    <x:row r="25" ht="22" customHeight="1">
      <x:c r="A25" s="2" t="str">
        <x:v>FY2025|Vietnam|61103099</x:v>
      </x:c>
      <x:c r="B25" s="2" t="str">
        <x:v>FY2025</x:v>
      </x:c>
      <x:c r="C25" s="2" t="str">
        <x:v>Vietnam</x:v>
      </x:c>
      <x:c r="D25" s="2" t="str">
        <x:v>61103099</x:v>
      </x:c>
      <x:c r="E25" s="14" t="n">
        <x:v>10350943</x:v>
      </x:c>
      <x:c r="F25" s="14" t="n">
        <x:v>396647</x:v>
      </x:c>
      <x:c r="G25" s="2" t="n">
        <x:v>12</x:v>
      </x:c>
      <x:c r="H25" s="2" t="n">
        <x:v>0</x:v>
      </x:c>
      <x:c r="I25" s="15" t="n">
        <x:v>26.09610812636929</x:v>
      </x:c>
      <x:c r="J25" s="2" t="n">
        <x:v>202501</x:v>
      </x:c>
      <x:c r="K25" s="2" t="n">
        <x:v>202512</x:v>
      </x:c>
      <x:c r="L25" s="14" t="n">
        <x:f>SUMIFS(Monthly_Data!$E$6:$E$797,Monthly_Data!$B$6:$B$797,"&gt;="&amp;J25,Monthly_Data!$B$6:$B$797,"&lt;="&amp;K25,Monthly_Data!$C$6:$C$797,D25,Monthly_Data!$D$6:$D$797,C25,Monthly_Data!$I$6:$I$797,1)</x:f>
        <x:v>7682718</x:v>
      </x:c>
      <x:c r="M25" s="14" t="n">
        <x:f>SUMIFS(Monthly_Data!$F$6:$F$797,Monthly_Data!$B$6:$B$797,"&gt;="&amp;J25,Monthly_Data!$B$6:$B$797,"&lt;="&amp;K25,Monthly_Data!$C$6:$C$797,D25,Monthly_Data!$D$6:$D$797,C25,Monthly_Data!$I$6:$I$797,1)</x:f>
        <x:v>277724</x:v>
      </x:c>
      <x:c r="N25" s="2" t="n">
        <x:f>COUNTIFS(Monthly_Data!$B$6:$B$797,"&gt;="&amp;J25,Monthly_Data!$B$6:$B$797,"&lt;="&amp;K25,Monthly_Data!$C$6:$C$797,D25,Monthly_Data!$D$6:$D$797,C25,Monthly_Data!$I$6:$I$797,1)</x:f>
        <x:v>9</x:v>
      </x:c>
      <x:c r="O25" s="16" t="n">
        <x:f>IF(M25&gt;0,L25/M25,"n.a.")</x:f>
        <x:v>27.663140383978337</x:v>
      </x:c>
      <x:c r="P25" s="16" t="n">
        <x:f>IF(F25&gt;0,E25/F25-I25,"n.a.")</x:f>
        <x:v>0</x:v>
      </x:c>
      <x:c r="Q25" s="2" t="n">
        <x:f>COUNTIF($A$6:$A$125,A25)</x:f>
        <x:v>1</x:v>
      </x:c>
      <x:c r="R25" s="2" t="n">
        <x:f>ABS(P25)</x:f>
        <x:v>0</x:v>
      </x:c>
    </x:row>
    <x:row r="26" ht="22" customHeight="1">
      <x:c r="A26" s="2" t="str">
        <x:v>FY2025|Bangladesh|62044300</x:v>
      </x:c>
      <x:c r="B26" s="2" t="str">
        <x:v>FY2025</x:v>
      </x:c>
      <x:c r="C26" s="2" t="str">
        <x:v>Bangladesh</x:v>
      </x:c>
      <x:c r="D26" s="2" t="str">
        <x:v>62044300</x:v>
      </x:c>
      <x:c r="E26" s="14" t="n">
        <x:v>12960863</x:v>
      </x:c>
      <x:c r="F26" s="14" t="n">
        <x:v>788304</x:v>
      </x:c>
      <x:c r="G26" s="2" t="n">
        <x:v>12</x:v>
      </x:c>
      <x:c r="H26" s="2" t="n">
        <x:v>0</x:v>
      </x:c>
      <x:c r="I26" s="15" t="n">
        <x:v>16.44145278978668</x:v>
      </x:c>
      <x:c r="J26" s="2" t="n">
        <x:v>202501</x:v>
      </x:c>
      <x:c r="K26" s="2" t="n">
        <x:v>202512</x:v>
      </x:c>
      <x:c r="L26" s="14" t="n">
        <x:f>SUMIFS(Monthly_Data!$E$6:$E$797,Monthly_Data!$B$6:$B$797,"&gt;="&amp;J26,Monthly_Data!$B$6:$B$797,"&lt;="&amp;K26,Monthly_Data!$C$6:$C$797,D26,Monthly_Data!$D$6:$D$797,C26,Monthly_Data!$I$6:$I$797,1)</x:f>
        <x:v>12960863</x:v>
      </x:c>
      <x:c r="M26" s="14" t="n">
        <x:f>SUMIFS(Monthly_Data!$F$6:$F$797,Monthly_Data!$B$6:$B$797,"&gt;="&amp;J26,Monthly_Data!$B$6:$B$797,"&lt;="&amp;K26,Monthly_Data!$C$6:$C$797,D26,Monthly_Data!$D$6:$D$797,C26,Monthly_Data!$I$6:$I$797,1)</x:f>
        <x:v>788304</x:v>
      </x:c>
      <x:c r="N26" s="2" t="n">
        <x:f>COUNTIFS(Monthly_Data!$B$6:$B$797,"&gt;="&amp;J26,Monthly_Data!$B$6:$B$797,"&lt;="&amp;K26,Monthly_Data!$C$6:$C$797,D26,Monthly_Data!$D$6:$D$797,C26,Monthly_Data!$I$6:$I$797,1)</x:f>
        <x:v>12</x:v>
      </x:c>
      <x:c r="O26" s="16" t="n">
        <x:f>IF(M26&gt;0,L26/M26,"n.a.")</x:f>
        <x:v>16.44145278978668</x:v>
      </x:c>
      <x:c r="P26" s="16" t="n">
        <x:f>IF(F26&gt;0,E26/F26-I26,"n.a.")</x:f>
        <x:v>0</x:v>
      </x:c>
      <x:c r="Q26" s="2" t="n">
        <x:f>COUNTIF($A$6:$A$125,A26)</x:f>
        <x:v>1</x:v>
      </x:c>
      <x:c r="R26" s="2" t="n">
        <x:f>ABS(P26)</x:f>
        <x:v>0</x:v>
      </x:c>
    </x:row>
    <x:row r="27" ht="22" customHeight="1">
      <x:c r="A27" s="2" t="str">
        <x:v>FY2025|Cambodia|62044300</x:v>
      </x:c>
      <x:c r="B27" s="2" t="str">
        <x:v>FY2025</x:v>
      </x:c>
      <x:c r="C27" s="2" t="str">
        <x:v>Cambodia</x:v>
      </x:c>
      <x:c r="D27" s="2" t="str">
        <x:v>62044300</x:v>
      </x:c>
      <x:c r="E27" s="14" t="n">
        <x:v>3551535</x:v>
      </x:c>
      <x:c r="F27" s="14" t="n">
        <x:v>193821</x:v>
      </x:c>
      <x:c r="G27" s="2" t="n">
        <x:v>12</x:v>
      </x:c>
      <x:c r="H27" s="2" t="n">
        <x:v>0</x:v>
      </x:c>
      <x:c r="I27" s="15" t="n">
        <x:v>18.32378844397666</x:v>
      </x:c>
      <x:c r="J27" s="2" t="n">
        <x:v>202501</x:v>
      </x:c>
      <x:c r="K27" s="2" t="n">
        <x:v>202512</x:v>
      </x:c>
      <x:c r="L27" s="14" t="n">
        <x:f>SUMIFS(Monthly_Data!$E$6:$E$797,Monthly_Data!$B$6:$B$797,"&gt;="&amp;J27,Monthly_Data!$B$6:$B$797,"&lt;="&amp;K27,Monthly_Data!$C$6:$C$797,D27,Monthly_Data!$D$6:$D$797,C27,Monthly_Data!$I$6:$I$797,1)</x:f>
        <x:v>3551535</x:v>
      </x:c>
      <x:c r="M27" s="14" t="n">
        <x:f>SUMIFS(Monthly_Data!$F$6:$F$797,Monthly_Data!$B$6:$B$797,"&gt;="&amp;J27,Monthly_Data!$B$6:$B$797,"&lt;="&amp;K27,Monthly_Data!$C$6:$C$797,D27,Monthly_Data!$D$6:$D$797,C27,Monthly_Data!$I$6:$I$797,1)</x:f>
        <x:v>193821</x:v>
      </x:c>
      <x:c r="N27" s="2" t="n">
        <x:f>COUNTIFS(Monthly_Data!$B$6:$B$797,"&gt;="&amp;J27,Monthly_Data!$B$6:$B$797,"&lt;="&amp;K27,Monthly_Data!$C$6:$C$797,D27,Monthly_Data!$D$6:$D$797,C27,Monthly_Data!$I$6:$I$797,1)</x:f>
        <x:v>12</x:v>
      </x:c>
      <x:c r="O27" s="16" t="n">
        <x:f>IF(M27&gt;0,L27/M27,"n.a.")</x:f>
        <x:v>18.32378844397666</x:v>
      </x:c>
      <x:c r="P27" s="16" t="n">
        <x:f>IF(F27&gt;0,E27/F27-I27,"n.a.")</x:f>
        <x:v>0</x:v>
      </x:c>
      <x:c r="Q27" s="2" t="n">
        <x:f>COUNTIF($A$6:$A$125,A27)</x:f>
        <x:v>1</x:v>
      </x:c>
      <x:c r="R27" s="2" t="n">
        <x:f>ABS(P27)</x:f>
        <x:v>0</x:v>
      </x:c>
    </x:row>
    <x:row r="28" ht="22" customHeight="1">
      <x:c r="A28" s="2" t="str">
        <x:v>FY2025|China|62044300</x:v>
      </x:c>
      <x:c r="B28" s="2" t="str">
        <x:v>FY2025</x:v>
      </x:c>
      <x:c r="C28" s="2" t="str">
        <x:v>China</x:v>
      </x:c>
      <x:c r="D28" s="2" t="str">
        <x:v>62044300</x:v>
      </x:c>
      <x:c r="E28" s="14" t="n">
        <x:v>102164136</x:v>
      </x:c>
      <x:c r="F28" s="14" t="n">
        <x:v>3777711</x:v>
      </x:c>
      <x:c r="G28" s="2" t="n">
        <x:v>12</x:v>
      </x:c>
      <x:c r="H28" s="2" t="n">
        <x:v>0</x:v>
      </x:c>
      <x:c r="I28" s="15" t="n">
        <x:v>27.04392580586498</x:v>
      </x:c>
      <x:c r="J28" s="2" t="n">
        <x:v>202501</x:v>
      </x:c>
      <x:c r="K28" s="2" t="n">
        <x:v>202512</x:v>
      </x:c>
      <x:c r="L28" s="14" t="n">
        <x:f>SUMIFS(Monthly_Data!$E$6:$E$797,Monthly_Data!$B$6:$B$797,"&gt;="&amp;J28,Monthly_Data!$B$6:$B$797,"&lt;="&amp;K28,Monthly_Data!$C$6:$C$797,D28,Monthly_Data!$D$6:$D$797,C28,Monthly_Data!$I$6:$I$797,1)</x:f>
        <x:v>102164136</x:v>
      </x:c>
      <x:c r="M28" s="14" t="n">
        <x:f>SUMIFS(Monthly_Data!$F$6:$F$797,Monthly_Data!$B$6:$B$797,"&gt;="&amp;J28,Monthly_Data!$B$6:$B$797,"&lt;="&amp;K28,Monthly_Data!$C$6:$C$797,D28,Monthly_Data!$D$6:$D$797,C28,Monthly_Data!$I$6:$I$797,1)</x:f>
        <x:v>3777711</x:v>
      </x:c>
      <x:c r="N28" s="2" t="n">
        <x:f>COUNTIFS(Monthly_Data!$B$6:$B$797,"&gt;="&amp;J28,Monthly_Data!$B$6:$B$797,"&lt;="&amp;K28,Monthly_Data!$C$6:$C$797,D28,Monthly_Data!$D$6:$D$797,C28,Monthly_Data!$I$6:$I$797,1)</x:f>
        <x:v>12</x:v>
      </x:c>
      <x:c r="O28" s="16" t="n">
        <x:f>IF(M28&gt;0,L28/M28,"n.a.")</x:f>
        <x:v>27.04392580586498</x:v>
      </x:c>
      <x:c r="P28" s="16" t="n">
        <x:f>IF(F28&gt;0,E28/F28-I28,"n.a.")</x:f>
        <x:v>0</x:v>
      </x:c>
      <x:c r="Q28" s="2" t="n">
        <x:f>COUNTIF($A$6:$A$125,A28)</x:f>
        <x:v>1</x:v>
      </x:c>
      <x:c r="R28" s="2" t="n">
        <x:f>ABS(P28)</x:f>
        <x:v>0</x:v>
      </x:c>
    </x:row>
    <x:row r="29" ht="22" customHeight="1">
      <x:c r="A29" s="2" t="str">
        <x:v>FY2025|India|62044300</x:v>
      </x:c>
      <x:c r="B29" s="2" t="str">
        <x:v>FY2025</x:v>
      </x:c>
      <x:c r="C29" s="2" t="str">
        <x:v>India</x:v>
      </x:c>
      <x:c r="D29" s="2" t="str">
        <x:v>62044300</x:v>
      </x:c>
      <x:c r="E29" s="14" t="n">
        <x:v>35008468</x:v>
      </x:c>
      <x:c r="F29" s="14" t="n">
        <x:v>1191708</x:v>
      </x:c>
      <x:c r="G29" s="2" t="n">
        <x:v>12</x:v>
      </x:c>
      <x:c r="H29" s="2" t="n">
        <x:v>0</x:v>
      </x:c>
      <x:c r="I29" s="15" t="n">
        <x:v>29.376716443961104</x:v>
      </x:c>
      <x:c r="J29" s="2" t="n">
        <x:v>202501</x:v>
      </x:c>
      <x:c r="K29" s="2" t="n">
        <x:v>202512</x:v>
      </x:c>
      <x:c r="L29" s="14" t="n">
        <x:f>SUMIFS(Monthly_Data!$E$6:$E$797,Monthly_Data!$B$6:$B$797,"&gt;="&amp;J29,Monthly_Data!$B$6:$B$797,"&lt;="&amp;K29,Monthly_Data!$C$6:$C$797,D29,Monthly_Data!$D$6:$D$797,C29,Monthly_Data!$I$6:$I$797,1)</x:f>
        <x:v>35008468</x:v>
      </x:c>
      <x:c r="M29" s="14" t="n">
        <x:f>SUMIFS(Monthly_Data!$F$6:$F$797,Monthly_Data!$B$6:$B$797,"&gt;="&amp;J29,Monthly_Data!$B$6:$B$797,"&lt;="&amp;K29,Monthly_Data!$C$6:$C$797,D29,Monthly_Data!$D$6:$D$797,C29,Monthly_Data!$I$6:$I$797,1)</x:f>
        <x:v>1191708</x:v>
      </x:c>
      <x:c r="N29" s="2" t="n">
        <x:f>COUNTIFS(Monthly_Data!$B$6:$B$797,"&gt;="&amp;J29,Monthly_Data!$B$6:$B$797,"&lt;="&amp;K29,Monthly_Data!$C$6:$C$797,D29,Monthly_Data!$D$6:$D$797,C29,Monthly_Data!$I$6:$I$797,1)</x:f>
        <x:v>12</x:v>
      </x:c>
      <x:c r="O29" s="16" t="n">
        <x:f>IF(M29&gt;0,L29/M29,"n.a.")</x:f>
        <x:v>29.376716443961104</x:v>
      </x:c>
      <x:c r="P29" s="16" t="n">
        <x:f>IF(F29&gt;0,E29/F29-I29,"n.a.")</x:f>
        <x:v>0</x:v>
      </x:c>
      <x:c r="Q29" s="2" t="n">
        <x:f>COUNTIF($A$6:$A$125,A29)</x:f>
        <x:v>1</x:v>
      </x:c>
      <x:c r="R29" s="2" t="n">
        <x:f>ABS(P29)</x:f>
        <x:v>0</x:v>
      </x:c>
    </x:row>
    <x:row r="30" ht="22" customHeight="1">
      <x:c r="A30" s="2" t="str">
        <x:v>FY2025|Morocco|62044300</x:v>
      </x:c>
      <x:c r="B30" s="2" t="str">
        <x:v>FY2025</x:v>
      </x:c>
      <x:c r="C30" s="2" t="str">
        <x:v>Morocco</x:v>
      </x:c>
      <x:c r="D30" s="2" t="str">
        <x:v>62044300</x:v>
      </x:c>
      <x:c r="E30" s="14" t="n">
        <x:v>10494510</x:v>
      </x:c>
      <x:c r="F30" s="14" t="n">
        <x:v>483259</x:v>
      </x:c>
      <x:c r="G30" s="2" t="n">
        <x:v>12</x:v>
      </x:c>
      <x:c r="H30" s="2" t="n">
        <x:v>0</x:v>
      </x:c>
      <x:c r="I30" s="15" t="n">
        <x:v>21.716119099696023</x:v>
      </x:c>
      <x:c r="J30" s="2" t="n">
        <x:v>202501</x:v>
      </x:c>
      <x:c r="K30" s="2" t="n">
        <x:v>202512</x:v>
      </x:c>
      <x:c r="L30" s="14" t="n">
        <x:f>SUMIFS(Monthly_Data!$E$6:$E$797,Monthly_Data!$B$6:$B$797,"&gt;="&amp;J30,Monthly_Data!$B$6:$B$797,"&lt;="&amp;K30,Monthly_Data!$C$6:$C$797,D30,Monthly_Data!$D$6:$D$797,C30,Monthly_Data!$I$6:$I$797,1)</x:f>
        <x:v>10494510</x:v>
      </x:c>
      <x:c r="M30" s="14" t="n">
        <x:f>SUMIFS(Monthly_Data!$F$6:$F$797,Monthly_Data!$B$6:$B$797,"&gt;="&amp;J30,Monthly_Data!$B$6:$B$797,"&lt;="&amp;K30,Monthly_Data!$C$6:$C$797,D30,Monthly_Data!$D$6:$D$797,C30,Monthly_Data!$I$6:$I$797,1)</x:f>
        <x:v>483259</x:v>
      </x:c>
      <x:c r="N30" s="2" t="n">
        <x:f>COUNTIFS(Monthly_Data!$B$6:$B$797,"&gt;="&amp;J30,Monthly_Data!$B$6:$B$797,"&lt;="&amp;K30,Monthly_Data!$C$6:$C$797,D30,Monthly_Data!$D$6:$D$797,C30,Monthly_Data!$I$6:$I$797,1)</x:f>
        <x:v>12</x:v>
      </x:c>
      <x:c r="O30" s="16" t="n">
        <x:f>IF(M30&gt;0,L30/M30,"n.a.")</x:f>
        <x:v>21.716119099696023</x:v>
      </x:c>
      <x:c r="P30" s="16" t="n">
        <x:f>IF(F30&gt;0,E30/F30-I30,"n.a.")</x:f>
        <x:v>0</x:v>
      </x:c>
      <x:c r="Q30" s="2" t="n">
        <x:f>COUNTIF($A$6:$A$125,A30)</x:f>
        <x:v>1</x:v>
      </x:c>
      <x:c r="R30" s="2" t="n">
        <x:f>ABS(P30)</x:f>
        <x:v>0</x:v>
      </x:c>
    </x:row>
    <x:row r="31" ht="22" customHeight="1">
      <x:c r="A31" s="2" t="str">
        <x:v>FY2025|Myanmar|62044300</x:v>
      </x:c>
      <x:c r="B31" s="2" t="str">
        <x:v>FY2025</x:v>
      </x:c>
      <x:c r="C31" s="2" t="str">
        <x:v>Myanmar</x:v>
      </x:c>
      <x:c r="D31" s="2" t="str">
        <x:v>62044300</x:v>
      </x:c>
      <x:c r="E31" s="14" t="n">
        <x:v>6104751</x:v>
      </x:c>
      <x:c r="F31" s="14" t="n">
        <x:v>138284</x:v>
      </x:c>
      <x:c r="G31" s="2" t="n">
        <x:v>12</x:v>
      </x:c>
      <x:c r="H31" s="2" t="n">
        <x:v>0</x:v>
      </x:c>
      <x:c r="I31" s="15" t="n">
        <x:v>44.14647392323045</x:v>
      </x:c>
      <x:c r="J31" s="2" t="n">
        <x:v>202501</x:v>
      </x:c>
      <x:c r="K31" s="2" t="n">
        <x:v>202512</x:v>
      </x:c>
      <x:c r="L31" s="14" t="n">
        <x:f>SUMIFS(Monthly_Data!$E$6:$E$797,Monthly_Data!$B$6:$B$797,"&gt;="&amp;J31,Monthly_Data!$B$6:$B$797,"&lt;="&amp;K31,Monthly_Data!$C$6:$C$797,D31,Monthly_Data!$D$6:$D$797,C31,Monthly_Data!$I$6:$I$797,1)</x:f>
        <x:v>6104751</x:v>
      </x:c>
      <x:c r="M31" s="14" t="n">
        <x:f>SUMIFS(Monthly_Data!$F$6:$F$797,Monthly_Data!$B$6:$B$797,"&gt;="&amp;J31,Monthly_Data!$B$6:$B$797,"&lt;="&amp;K31,Monthly_Data!$C$6:$C$797,D31,Monthly_Data!$D$6:$D$797,C31,Monthly_Data!$I$6:$I$797,1)</x:f>
        <x:v>138284</x:v>
      </x:c>
      <x:c r="N31" s="2" t="n">
        <x:f>COUNTIFS(Monthly_Data!$B$6:$B$797,"&gt;="&amp;J31,Monthly_Data!$B$6:$B$797,"&lt;="&amp;K31,Monthly_Data!$C$6:$C$797,D31,Monthly_Data!$D$6:$D$797,C31,Monthly_Data!$I$6:$I$797,1)</x:f>
        <x:v>12</x:v>
      </x:c>
      <x:c r="O31" s="16" t="n">
        <x:f>IF(M31&gt;0,L31/M31,"n.a.")</x:f>
        <x:v>44.14647392323045</x:v>
      </x:c>
      <x:c r="P31" s="16" t="n">
        <x:f>IF(F31&gt;0,E31/F31-I31,"n.a.")</x:f>
        <x:v>0</x:v>
      </x:c>
      <x:c r="Q31" s="2" t="n">
        <x:f>COUNTIF($A$6:$A$125,A31)</x:f>
        <x:v>1</x:v>
      </x:c>
      <x:c r="R31" s="2" t="n">
        <x:f>ABS(P31)</x:f>
        <x:v>0</x:v>
      </x:c>
    </x:row>
    <x:row r="32" ht="22" customHeight="1">
      <x:c r="A32" s="2" t="str">
        <x:v>FY2025|Pakistan|62044300</x:v>
      </x:c>
      <x:c r="B32" s="2" t="str">
        <x:v>FY2025</x:v>
      </x:c>
      <x:c r="C32" s="2" t="str">
        <x:v>Pakistan</x:v>
      </x:c>
      <x:c r="D32" s="2" t="str">
        <x:v>62044300</x:v>
      </x:c>
      <x:c r="E32" s="14" t="n">
        <x:v>1574667</x:v>
      </x:c>
      <x:c r="F32" s="14" t="n">
        <x:v>78305</x:v>
      </x:c>
      <x:c r="G32" s="2" t="n">
        <x:v>12</x:v>
      </x:c>
      <x:c r="H32" s="2" t="n">
        <x:v>0</x:v>
      </x:c>
      <x:c r="I32" s="15" t="n">
        <x:v>20.109405529659664</x:v>
      </x:c>
      <x:c r="J32" s="2" t="n">
        <x:v>202501</x:v>
      </x:c>
      <x:c r="K32" s="2" t="n">
        <x:v>202512</x:v>
      </x:c>
      <x:c r="L32" s="14" t="n">
        <x:f>SUMIFS(Monthly_Data!$E$6:$E$797,Monthly_Data!$B$6:$B$797,"&gt;="&amp;J32,Monthly_Data!$B$6:$B$797,"&lt;="&amp;K32,Monthly_Data!$C$6:$C$797,D32,Monthly_Data!$D$6:$D$797,C32,Monthly_Data!$I$6:$I$797,1)</x:f>
        <x:v>1574667</x:v>
      </x:c>
      <x:c r="M32" s="14" t="n">
        <x:f>SUMIFS(Monthly_Data!$F$6:$F$797,Monthly_Data!$B$6:$B$797,"&gt;="&amp;J32,Monthly_Data!$B$6:$B$797,"&lt;="&amp;K32,Monthly_Data!$C$6:$C$797,D32,Monthly_Data!$D$6:$D$797,C32,Monthly_Data!$I$6:$I$797,1)</x:f>
        <x:v>78305</x:v>
      </x:c>
      <x:c r="N32" s="2" t="n">
        <x:f>COUNTIFS(Monthly_Data!$B$6:$B$797,"&gt;="&amp;J32,Monthly_Data!$B$6:$B$797,"&lt;="&amp;K32,Monthly_Data!$C$6:$C$797,D32,Monthly_Data!$D$6:$D$797,C32,Monthly_Data!$I$6:$I$797,1)</x:f>
        <x:v>12</x:v>
      </x:c>
      <x:c r="O32" s="16" t="n">
        <x:f>IF(M32&gt;0,L32/M32,"n.a.")</x:f>
        <x:v>20.109405529659664</x:v>
      </x:c>
      <x:c r="P32" s="16" t="n">
        <x:f>IF(F32&gt;0,E32/F32-I32,"n.a.")</x:f>
        <x:v>0</x:v>
      </x:c>
      <x:c r="Q32" s="2" t="n">
        <x:f>COUNTIF($A$6:$A$125,A32)</x:f>
        <x:v>1</x:v>
      </x:c>
      <x:c r="R32" s="2" t="n">
        <x:f>ABS(P32)</x:f>
        <x:v>0</x:v>
      </x:c>
    </x:row>
    <x:row r="33" ht="22" customHeight="1">
      <x:c r="A33" s="2" t="str">
        <x:v>FY2025|Sri Lanka|62044300</x:v>
      </x:c>
      <x:c r="B33" s="2" t="str">
        <x:v>FY2025</x:v>
      </x:c>
      <x:c r="C33" s="2" t="str">
        <x:v>Sri Lanka</x:v>
      </x:c>
      <x:c r="D33" s="2" t="str">
        <x:v>62044300</x:v>
      </x:c>
      <x:c r="E33" s="14" t="n">
        <x:v>12589106</x:v>
      </x:c>
      <x:c r="F33" s="14" t="n">
        <x:v>683522</x:v>
      </x:c>
      <x:c r="G33" s="2" t="n">
        <x:v>12</x:v>
      </x:c>
      <x:c r="H33" s="2" t="n">
        <x:v>0</x:v>
      </x:c>
      <x:c r="I33" s="15" t="n">
        <x:v>18.417996787228503</x:v>
      </x:c>
      <x:c r="J33" s="2" t="n">
        <x:v>202501</x:v>
      </x:c>
      <x:c r="K33" s="2" t="n">
        <x:v>202512</x:v>
      </x:c>
      <x:c r="L33" s="14" t="n">
        <x:f>SUMIFS(Monthly_Data!$E$6:$E$797,Monthly_Data!$B$6:$B$797,"&gt;="&amp;J33,Monthly_Data!$B$6:$B$797,"&lt;="&amp;K33,Monthly_Data!$C$6:$C$797,D33,Monthly_Data!$D$6:$D$797,C33,Monthly_Data!$I$6:$I$797,1)</x:f>
        <x:v>12589106</x:v>
      </x:c>
      <x:c r="M33" s="14" t="n">
        <x:f>SUMIFS(Monthly_Data!$F$6:$F$797,Monthly_Data!$B$6:$B$797,"&gt;="&amp;J33,Monthly_Data!$B$6:$B$797,"&lt;="&amp;K33,Monthly_Data!$C$6:$C$797,D33,Monthly_Data!$D$6:$D$797,C33,Monthly_Data!$I$6:$I$797,1)</x:f>
        <x:v>683522</x:v>
      </x:c>
      <x:c r="N33" s="2" t="n">
        <x:f>COUNTIFS(Monthly_Data!$B$6:$B$797,"&gt;="&amp;J33,Monthly_Data!$B$6:$B$797,"&lt;="&amp;K33,Monthly_Data!$C$6:$C$797,D33,Monthly_Data!$D$6:$D$797,C33,Monthly_Data!$I$6:$I$797,1)</x:f>
        <x:v>12</x:v>
      </x:c>
      <x:c r="O33" s="16" t="n">
        <x:f>IF(M33&gt;0,L33/M33,"n.a.")</x:f>
        <x:v>18.417996787228503</x:v>
      </x:c>
      <x:c r="P33" s="16" t="n">
        <x:f>IF(F33&gt;0,E33/F33-I33,"n.a.")</x:f>
        <x:v>0</x:v>
      </x:c>
      <x:c r="Q33" s="2" t="n">
        <x:f>COUNTIF($A$6:$A$125,A33)</x:f>
        <x:v>1</x:v>
      </x:c>
      <x:c r="R33" s="2" t="n">
        <x:f>ABS(P33)</x:f>
        <x:v>0</x:v>
      </x:c>
    </x:row>
    <x:row r="34" ht="22" customHeight="1">
      <x:c r="A34" s="2" t="str">
        <x:v>FY2025|Turkey|62044300</x:v>
      </x:c>
      <x:c r="B34" s="2" t="str">
        <x:v>FY2025</x:v>
      </x:c>
      <x:c r="C34" s="2" t="str">
        <x:v>Turkey</x:v>
      </x:c>
      <x:c r="D34" s="2" t="str">
        <x:v>62044300</x:v>
      </x:c>
      <x:c r="E34" s="14" t="n">
        <x:v>9800274</x:v>
      </x:c>
      <x:c r="F34" s="14" t="n">
        <x:v>268083</x:v>
      </x:c>
      <x:c r="G34" s="2" t="n">
        <x:v>12</x:v>
      </x:c>
      <x:c r="H34" s="2" t="n">
        <x:v>0</x:v>
      </x:c>
      <x:c r="I34" s="15" t="n">
        <x:v>36.556864851557165</x:v>
      </x:c>
      <x:c r="J34" s="2" t="n">
        <x:v>202501</x:v>
      </x:c>
      <x:c r="K34" s="2" t="n">
        <x:v>202512</x:v>
      </x:c>
      <x:c r="L34" s="14" t="n">
        <x:f>SUMIFS(Monthly_Data!$E$6:$E$797,Monthly_Data!$B$6:$B$797,"&gt;="&amp;J34,Monthly_Data!$B$6:$B$797,"&lt;="&amp;K34,Monthly_Data!$C$6:$C$797,D34,Monthly_Data!$D$6:$D$797,C34,Monthly_Data!$I$6:$I$797,1)</x:f>
        <x:v>9800274</x:v>
      </x:c>
      <x:c r="M34" s="14" t="n">
        <x:f>SUMIFS(Monthly_Data!$F$6:$F$797,Monthly_Data!$B$6:$B$797,"&gt;="&amp;J34,Monthly_Data!$B$6:$B$797,"&lt;="&amp;K34,Monthly_Data!$C$6:$C$797,D34,Monthly_Data!$D$6:$D$797,C34,Monthly_Data!$I$6:$I$797,1)</x:f>
        <x:v>268083</x:v>
      </x:c>
      <x:c r="N34" s="2" t="n">
        <x:f>COUNTIFS(Monthly_Data!$B$6:$B$797,"&gt;="&amp;J34,Monthly_Data!$B$6:$B$797,"&lt;="&amp;K34,Monthly_Data!$C$6:$C$797,D34,Monthly_Data!$D$6:$D$797,C34,Monthly_Data!$I$6:$I$797,1)</x:f>
        <x:v>12</x:v>
      </x:c>
      <x:c r="O34" s="16" t="n">
        <x:f>IF(M34&gt;0,L34/M34,"n.a.")</x:f>
        <x:v>36.556864851557165</x:v>
      </x:c>
      <x:c r="P34" s="16" t="n">
        <x:f>IF(F34&gt;0,E34/F34-I34,"n.a.")</x:f>
        <x:v>0</x:v>
      </x:c>
      <x:c r="Q34" s="2" t="n">
        <x:f>COUNTIF($A$6:$A$125,A34)</x:f>
        <x:v>1</x:v>
      </x:c>
      <x:c r="R34" s="2" t="n">
        <x:f>ABS(P34)</x:f>
        <x:v>0</x:v>
      </x:c>
    </x:row>
    <x:row r="35" ht="22" customHeight="1">
      <x:c r="A35" s="2" t="str">
        <x:v>FY2025|Vietnam|62044300</x:v>
      </x:c>
      <x:c r="B35" s="2" t="str">
        <x:v>FY2025</x:v>
      </x:c>
      <x:c r="C35" s="2" t="str">
        <x:v>Vietnam</x:v>
      </x:c>
      <x:c r="D35" s="2" t="str">
        <x:v>62044300</x:v>
      </x:c>
      <x:c r="E35" s="14" t="n">
        <x:v>6910466</x:v>
      </x:c>
      <x:c r="F35" s="14" t="n">
        <x:v>275082</x:v>
      </x:c>
      <x:c r="G35" s="2" t="n">
        <x:v>12</x:v>
      </x:c>
      <x:c r="H35" s="2" t="n">
        <x:v>0</x:v>
      </x:c>
      <x:c r="I35" s="15" t="n">
        <x:v>25.121476505187545</x:v>
      </x:c>
      <x:c r="J35" s="2" t="n">
        <x:v>202501</x:v>
      </x:c>
      <x:c r="K35" s="2" t="n">
        <x:v>202512</x:v>
      </x:c>
      <x:c r="L35" s="14" t="n">
        <x:f>SUMIFS(Monthly_Data!$E$6:$E$797,Monthly_Data!$B$6:$B$797,"&gt;="&amp;J35,Monthly_Data!$B$6:$B$797,"&lt;="&amp;K35,Monthly_Data!$C$6:$C$797,D35,Monthly_Data!$D$6:$D$797,C35,Monthly_Data!$I$6:$I$797,1)</x:f>
        <x:v>6910466</x:v>
      </x:c>
      <x:c r="M35" s="14" t="n">
        <x:f>SUMIFS(Monthly_Data!$F$6:$F$797,Monthly_Data!$B$6:$B$797,"&gt;="&amp;J35,Monthly_Data!$B$6:$B$797,"&lt;="&amp;K35,Monthly_Data!$C$6:$C$797,D35,Monthly_Data!$D$6:$D$797,C35,Monthly_Data!$I$6:$I$797,1)</x:f>
        <x:v>275082</x:v>
      </x:c>
      <x:c r="N35" s="2" t="n">
        <x:f>COUNTIFS(Monthly_Data!$B$6:$B$797,"&gt;="&amp;J35,Monthly_Data!$B$6:$B$797,"&lt;="&amp;K35,Monthly_Data!$C$6:$C$797,D35,Monthly_Data!$D$6:$D$797,C35,Monthly_Data!$I$6:$I$797,1)</x:f>
        <x:v>12</x:v>
      </x:c>
      <x:c r="O35" s="16" t="n">
        <x:f>IF(M35&gt;0,L35/M35,"n.a.")</x:f>
        <x:v>25.121476505187545</x:v>
      </x:c>
      <x:c r="P35" s="16" t="n">
        <x:f>IF(F35&gt;0,E35/F35-I35,"n.a.")</x:f>
        <x:v>0</x:v>
      </x:c>
      <x:c r="Q35" s="2" t="n">
        <x:f>COUNTIF($A$6:$A$125,A35)</x:f>
        <x:v>1</x:v>
      </x:c>
      <x:c r="R35" s="2" t="n">
        <x:f>ABS(P35)</x:f>
        <x:v>0</x:v>
      </x:c>
    </x:row>
    <x:row r="36" ht="22" customHeight="1">
      <x:c r="A36" s="2" t="str">
        <x:v>FY2025|Bangladesh|62052000</x:v>
      </x:c>
      <x:c r="B36" s="2" t="str">
        <x:v>FY2025</x:v>
      </x:c>
      <x:c r="C36" s="2" t="str">
        <x:v>Bangladesh</x:v>
      </x:c>
      <x:c r="D36" s="2" t="str">
        <x:v>62052000</x:v>
      </x:c>
      <x:c r="E36" s="14" t="n">
        <x:v>81131664</x:v>
      </x:c>
      <x:c r="F36" s="14" t="n">
        <x:v>4630717</x:v>
      </x:c>
      <x:c r="G36" s="2" t="n">
        <x:v>12</x:v>
      </x:c>
      <x:c r="H36" s="2" t="n">
        <x:v>0</x:v>
      </x:c>
      <x:c r="I36" s="15" t="n">
        <x:v>17.520324390369787</x:v>
      </x:c>
      <x:c r="J36" s="2" t="n">
        <x:v>202501</x:v>
      </x:c>
      <x:c r="K36" s="2" t="n">
        <x:v>202512</x:v>
      </x:c>
      <x:c r="L36" s="14" t="n">
        <x:f>SUMIFS(Monthly_Data!$E$6:$E$797,Monthly_Data!$B$6:$B$797,"&gt;="&amp;J36,Monthly_Data!$B$6:$B$797,"&lt;="&amp;K36,Monthly_Data!$C$6:$C$797,D36,Monthly_Data!$D$6:$D$797,C36,Monthly_Data!$I$6:$I$797,1)</x:f>
        <x:v>66656906</x:v>
      </x:c>
      <x:c r="M36" s="14" t="n">
        <x:f>SUMIFS(Monthly_Data!$F$6:$F$797,Monthly_Data!$B$6:$B$797,"&gt;="&amp;J36,Monthly_Data!$B$6:$B$797,"&lt;="&amp;K36,Monthly_Data!$C$6:$C$797,D36,Monthly_Data!$D$6:$D$797,C36,Monthly_Data!$I$6:$I$797,1)</x:f>
        <x:v>3753275</x:v>
      </x:c>
      <x:c r="N36" s="2" t="n">
        <x:f>COUNTIFS(Monthly_Data!$B$6:$B$797,"&gt;="&amp;J36,Monthly_Data!$B$6:$B$797,"&lt;="&amp;K36,Monthly_Data!$C$6:$C$797,D36,Monthly_Data!$D$6:$D$797,C36,Monthly_Data!$I$6:$I$797,1)</x:f>
        <x:v>10</x:v>
      </x:c>
      <x:c r="O36" s="16" t="n">
        <x:f>IF(M36&gt;0,L36/M36,"n.a.")</x:f>
        <x:v>17.759664826051914</x:v>
      </x:c>
      <x:c r="P36" s="16" t="n">
        <x:f>IF(F36&gt;0,E36/F36-I36,"n.a.")</x:f>
        <x:v>0</x:v>
      </x:c>
      <x:c r="Q36" s="2" t="n">
        <x:f>COUNTIF($A$6:$A$125,A36)</x:f>
        <x:v>1</x:v>
      </x:c>
      <x:c r="R36" s="2" t="n">
        <x:f>ABS(P36)</x:f>
        <x:v>0</x:v>
      </x:c>
    </x:row>
    <x:row r="37" ht="22" customHeight="1">
      <x:c r="A37" s="2" t="str">
        <x:v>FY2025|Cambodia|62052000</x:v>
      </x:c>
      <x:c r="B37" s="2" t="str">
        <x:v>FY2025</x:v>
      </x:c>
      <x:c r="C37" s="2" t="str">
        <x:v>Cambodia</x:v>
      </x:c>
      <x:c r="D37" s="2" t="str">
        <x:v>62052000</x:v>
      </x:c>
      <x:c r="E37" s="14" t="n">
        <x:v>15422184</x:v>
      </x:c>
      <x:c r="F37" s="14" t="n">
        <x:v>674204</x:v>
      </x:c>
      <x:c r="G37" s="2" t="n">
        <x:v>12</x:v>
      </x:c>
      <x:c r="H37" s="2" t="n">
        <x:v>0</x:v>
      </x:c>
      <x:c r="I37" s="15" t="n">
        <x:v>22.87465514888669</x:v>
      </x:c>
      <x:c r="J37" s="2" t="n">
        <x:v>202501</x:v>
      </x:c>
      <x:c r="K37" s="2" t="n">
        <x:v>202512</x:v>
      </x:c>
      <x:c r="L37" s="14" t="n">
        <x:f>SUMIFS(Monthly_Data!$E$6:$E$797,Monthly_Data!$B$6:$B$797,"&gt;="&amp;J37,Monthly_Data!$B$6:$B$797,"&lt;="&amp;K37,Monthly_Data!$C$6:$C$797,D37,Monthly_Data!$D$6:$D$797,C37,Monthly_Data!$I$6:$I$797,1)</x:f>
        <x:v>12122244</x:v>
      </x:c>
      <x:c r="M37" s="14" t="n">
        <x:f>SUMIFS(Monthly_Data!$F$6:$F$797,Monthly_Data!$B$6:$B$797,"&gt;="&amp;J37,Monthly_Data!$B$6:$B$797,"&lt;="&amp;K37,Monthly_Data!$C$6:$C$797,D37,Monthly_Data!$D$6:$D$797,C37,Monthly_Data!$I$6:$I$797,1)</x:f>
        <x:v>527979</x:v>
      </x:c>
      <x:c r="N37" s="2" t="n">
        <x:f>COUNTIFS(Monthly_Data!$B$6:$B$797,"&gt;="&amp;J37,Monthly_Data!$B$6:$B$797,"&lt;="&amp;K37,Monthly_Data!$C$6:$C$797,D37,Monthly_Data!$D$6:$D$797,C37,Monthly_Data!$I$6:$I$797,1)</x:f>
        <x:v>10</x:v>
      </x:c>
      <x:c r="O37" s="16" t="n">
        <x:f>IF(M37&gt;0,L37/M37,"n.a.")</x:f>
        <x:v>22.959708624774848</x:v>
      </x:c>
      <x:c r="P37" s="16" t="n">
        <x:f>IF(F37&gt;0,E37/F37-I37,"n.a.")</x:f>
        <x:v>0</x:v>
      </x:c>
      <x:c r="Q37" s="2" t="n">
        <x:f>COUNTIF($A$6:$A$125,A37)</x:f>
        <x:v>1</x:v>
      </x:c>
      <x:c r="R37" s="2" t="n">
        <x:f>ABS(P37)</x:f>
        <x:v>0</x:v>
      </x:c>
    </x:row>
    <x:row r="38" ht="22" customHeight="1">
      <x:c r="A38" s="2" t="str">
        <x:v>FY2025|China|62052000</x:v>
      </x:c>
      <x:c r="B38" s="2" t="str">
        <x:v>FY2025</x:v>
      </x:c>
      <x:c r="C38" s="2" t="str">
        <x:v>China</x:v>
      </x:c>
      <x:c r="D38" s="2" t="str">
        <x:v>62052000</x:v>
      </x:c>
      <x:c r="E38" s="14" t="n">
        <x:v>11991268</x:v>
      </x:c>
      <x:c r="F38" s="14" t="n">
        <x:v>584970</x:v>
      </x:c>
      <x:c r="G38" s="2" t="n">
        <x:v>12</x:v>
      </x:c>
      <x:c r="H38" s="2" t="n">
        <x:v>0</x:v>
      </x:c>
      <x:c r="I38" s="15" t="n">
        <x:v>20.498945245055303</x:v>
      </x:c>
      <x:c r="J38" s="2" t="n">
        <x:v>202501</x:v>
      </x:c>
      <x:c r="K38" s="2" t="n">
        <x:v>202512</x:v>
      </x:c>
      <x:c r="L38" s="14" t="n">
        <x:f>SUMIFS(Monthly_Data!$E$6:$E$797,Monthly_Data!$B$6:$B$797,"&gt;="&amp;J38,Monthly_Data!$B$6:$B$797,"&lt;="&amp;K38,Monthly_Data!$C$6:$C$797,D38,Monthly_Data!$D$6:$D$797,C38,Monthly_Data!$I$6:$I$797,1)</x:f>
        <x:v>10627646</x:v>
      </x:c>
      <x:c r="M38" s="14" t="n">
        <x:f>SUMIFS(Monthly_Data!$F$6:$F$797,Monthly_Data!$B$6:$B$797,"&gt;="&amp;J38,Monthly_Data!$B$6:$B$797,"&lt;="&amp;K38,Monthly_Data!$C$6:$C$797,D38,Monthly_Data!$D$6:$D$797,C38,Monthly_Data!$I$6:$I$797,1)</x:f>
        <x:v>513662</x:v>
      </x:c>
      <x:c r="N38" s="2" t="n">
        <x:f>COUNTIFS(Monthly_Data!$B$6:$B$797,"&gt;="&amp;J38,Monthly_Data!$B$6:$B$797,"&lt;="&amp;K38,Monthly_Data!$C$6:$C$797,D38,Monthly_Data!$D$6:$D$797,C38,Monthly_Data!$I$6:$I$797,1)</x:f>
        <x:v>10</x:v>
      </x:c>
      <x:c r="O38" s="16" t="n">
        <x:f>IF(M38&gt;0,L38/M38,"n.a.")</x:f>
        <x:v>20.68995954538198</x:v>
      </x:c>
      <x:c r="P38" s="16" t="n">
        <x:f>IF(F38&gt;0,E38/F38-I38,"n.a.")</x:f>
        <x:v>0</x:v>
      </x:c>
      <x:c r="Q38" s="2" t="n">
        <x:f>COUNTIF($A$6:$A$125,A38)</x:f>
        <x:v>1</x:v>
      </x:c>
      <x:c r="R38" s="2" t="n">
        <x:f>ABS(P38)</x:f>
        <x:v>0</x:v>
      </x:c>
    </x:row>
    <x:row r="39" ht="22" customHeight="1">
      <x:c r="A39" s="2" t="str">
        <x:v>FY2025|India|62052000</x:v>
      </x:c>
      <x:c r="B39" s="2" t="str">
        <x:v>FY2025</x:v>
      </x:c>
      <x:c r="C39" s="2" t="str">
        <x:v>India</x:v>
      </x:c>
      <x:c r="D39" s="2" t="str">
        <x:v>62052000</x:v>
      </x:c>
      <x:c r="E39" s="14" t="n">
        <x:v>30022861</x:v>
      </x:c>
      <x:c r="F39" s="14" t="n">
        <x:v>1414140</x:v>
      </x:c>
      <x:c r="G39" s="2" t="n">
        <x:v>12</x:v>
      </x:c>
      <x:c r="H39" s="2" t="n">
        <x:v>0</x:v>
      </x:c>
      <x:c r="I39" s="15" t="n">
        <x:v>21.230472937615794</x:v>
      </x:c>
      <x:c r="J39" s="2" t="n">
        <x:v>202501</x:v>
      </x:c>
      <x:c r="K39" s="2" t="n">
        <x:v>202512</x:v>
      </x:c>
      <x:c r="L39" s="14" t="n">
        <x:f>SUMIFS(Monthly_Data!$E$6:$E$797,Monthly_Data!$B$6:$B$797,"&gt;="&amp;J39,Monthly_Data!$B$6:$B$797,"&lt;="&amp;K39,Monthly_Data!$C$6:$C$797,D39,Monthly_Data!$D$6:$D$797,C39,Monthly_Data!$I$6:$I$797,1)</x:f>
        <x:v>25905214</x:v>
      </x:c>
      <x:c r="M39" s="14" t="n">
        <x:f>SUMIFS(Monthly_Data!$F$6:$F$797,Monthly_Data!$B$6:$B$797,"&gt;="&amp;J39,Monthly_Data!$B$6:$B$797,"&lt;="&amp;K39,Monthly_Data!$C$6:$C$797,D39,Monthly_Data!$D$6:$D$797,C39,Monthly_Data!$I$6:$I$797,1)</x:f>
        <x:v>1216571</x:v>
      </x:c>
      <x:c r="N39" s="2" t="n">
        <x:f>COUNTIFS(Monthly_Data!$B$6:$B$797,"&gt;="&amp;J39,Monthly_Data!$B$6:$B$797,"&lt;="&amp;K39,Monthly_Data!$C$6:$C$797,D39,Monthly_Data!$D$6:$D$797,C39,Monthly_Data!$I$6:$I$797,1)</x:f>
        <x:v>10</x:v>
      </x:c>
      <x:c r="O39" s="16" t="n">
        <x:f>IF(M39&gt;0,L39/M39,"n.a.")</x:f>
        <x:v>21.293631033453863</x:v>
      </x:c>
      <x:c r="P39" s="16" t="n">
        <x:f>IF(F39&gt;0,E39/F39-I39,"n.a.")</x:f>
        <x:v>0</x:v>
      </x:c>
      <x:c r="Q39" s="2" t="n">
        <x:f>COUNTIF($A$6:$A$125,A39)</x:f>
        <x:v>1</x:v>
      </x:c>
      <x:c r="R39" s="2" t="n">
        <x:f>ABS(P39)</x:f>
        <x:v>0</x:v>
      </x:c>
    </x:row>
    <x:row r="40" ht="22" customHeight="1">
      <x:c r="A40" s="2" t="str">
        <x:v>FY2025|Morocco|62052000</x:v>
      </x:c>
      <x:c r="B40" s="2" t="str">
        <x:v>FY2025</x:v>
      </x:c>
      <x:c r="C40" s="2" t="str">
        <x:v>Morocco</x:v>
      </x:c>
      <x:c r="D40" s="2" t="str">
        <x:v>62052000</x:v>
      </x:c>
      <x:c r="E40" s="14" t="n">
        <x:v>1395876</x:v>
      </x:c>
      <x:c r="F40" s="14" t="n">
        <x:v>33234</x:v>
      </x:c>
      <x:c r="G40" s="2" t="n">
        <x:v>12</x:v>
      </x:c>
      <x:c r="H40" s="2" t="n">
        <x:v>0</x:v>
      </x:c>
      <x:c r="I40" s="15" t="n">
        <x:v>42.001444304025995</x:v>
      </x:c>
      <x:c r="J40" s="2" t="n">
        <x:v>202501</x:v>
      </x:c>
      <x:c r="K40" s="2" t="n">
        <x:v>202512</x:v>
      </x:c>
      <x:c r="L40" s="14" t="n">
        <x:f>SUMIFS(Monthly_Data!$E$6:$E$797,Monthly_Data!$B$6:$B$797,"&gt;="&amp;J40,Monthly_Data!$B$6:$B$797,"&lt;="&amp;K40,Monthly_Data!$C$6:$C$797,D40,Monthly_Data!$D$6:$D$797,C40,Monthly_Data!$I$6:$I$797,1)</x:f>
        <x:v>1209162</x:v>
      </x:c>
      <x:c r="M40" s="14" t="n">
        <x:f>SUMIFS(Monthly_Data!$F$6:$F$797,Monthly_Data!$B$6:$B$797,"&gt;="&amp;J40,Monthly_Data!$B$6:$B$797,"&lt;="&amp;K40,Monthly_Data!$C$6:$C$797,D40,Monthly_Data!$D$6:$D$797,C40,Monthly_Data!$I$6:$I$797,1)</x:f>
        <x:v>28447</x:v>
      </x:c>
      <x:c r="N40" s="2" t="n">
        <x:f>COUNTIFS(Monthly_Data!$B$6:$B$797,"&gt;="&amp;J40,Monthly_Data!$B$6:$B$797,"&lt;="&amp;K40,Monthly_Data!$C$6:$C$797,D40,Monthly_Data!$D$6:$D$797,C40,Monthly_Data!$I$6:$I$797,1)</x:f>
        <x:v>10</x:v>
      </x:c>
      <x:c r="O40" s="16" t="n">
        <x:f>IF(M40&gt;0,L40/M40,"n.a.")</x:f>
        <x:v>42.50578268358702</x:v>
      </x:c>
      <x:c r="P40" s="16" t="n">
        <x:f>IF(F40&gt;0,E40/F40-I40,"n.a.")</x:f>
        <x:v>0</x:v>
      </x:c>
      <x:c r="Q40" s="2" t="n">
        <x:f>COUNTIF($A$6:$A$125,A40)</x:f>
        <x:v>1</x:v>
      </x:c>
      <x:c r="R40" s="2" t="n">
        <x:f>ABS(P40)</x:f>
        <x:v>0</x:v>
      </x:c>
    </x:row>
    <x:row r="41" ht="22" customHeight="1">
      <x:c r="A41" s="2" t="str">
        <x:v>FY2025|Myanmar|62052000</x:v>
      </x:c>
      <x:c r="B41" s="2" t="str">
        <x:v>FY2025</x:v>
      </x:c>
      <x:c r="C41" s="2" t="str">
        <x:v>Myanmar</x:v>
      </x:c>
      <x:c r="D41" s="2" t="str">
        <x:v>62052000</x:v>
      </x:c>
      <x:c r="E41" s="14" t="n">
        <x:v>798136</x:v>
      </x:c>
      <x:c r="F41" s="14" t="n">
        <x:v>54446</x:v>
      </x:c>
      <x:c r="G41" s="2" t="n">
        <x:v>12</x:v>
      </x:c>
      <x:c r="H41" s="2" t="n">
        <x:v>2</x:v>
      </x:c>
      <x:c r="I41" s="15" t="n">
        <x:v>14.659221981412776</x:v>
      </x:c>
      <x:c r="J41" s="2" t="n">
        <x:v>202501</x:v>
      </x:c>
      <x:c r="K41" s="2" t="n">
        <x:v>202512</x:v>
      </x:c>
      <x:c r="L41" s="14" t="n">
        <x:f>SUMIFS(Monthly_Data!$E$6:$E$797,Monthly_Data!$B$6:$B$797,"&gt;="&amp;J41,Monthly_Data!$B$6:$B$797,"&lt;="&amp;K41,Monthly_Data!$C$6:$C$797,D41,Monthly_Data!$D$6:$D$797,C41,Monthly_Data!$I$6:$I$797,1)</x:f>
        <x:v>742908</x:v>
      </x:c>
      <x:c r="M41" s="14" t="n">
        <x:f>SUMIFS(Monthly_Data!$F$6:$F$797,Monthly_Data!$B$6:$B$797,"&gt;="&amp;J41,Monthly_Data!$B$6:$B$797,"&lt;="&amp;K41,Monthly_Data!$C$6:$C$797,D41,Monthly_Data!$D$6:$D$797,C41,Monthly_Data!$I$6:$I$797,1)</x:f>
        <x:v>48112</x:v>
      </x:c>
      <x:c r="N41" s="2" t="n">
        <x:f>COUNTIFS(Monthly_Data!$B$6:$B$797,"&gt;="&amp;J41,Monthly_Data!$B$6:$B$797,"&lt;="&amp;K41,Monthly_Data!$C$6:$C$797,D41,Monthly_Data!$D$6:$D$797,C41,Monthly_Data!$I$6:$I$797,1)</x:f>
        <x:v>10</x:v>
      </x:c>
      <x:c r="O41" s="16" t="n">
        <x:f>IF(M41&gt;0,L41/M41,"n.a.")</x:f>
        <x:v>15.441220485533755</x:v>
      </x:c>
      <x:c r="P41" s="16" t="n">
        <x:f>IF(F41&gt;0,E41/F41-I41,"n.a.")</x:f>
        <x:v>0</x:v>
      </x:c>
      <x:c r="Q41" s="2" t="n">
        <x:f>COUNTIF($A$6:$A$125,A41)</x:f>
        <x:v>1</x:v>
      </x:c>
      <x:c r="R41" s="2" t="n">
        <x:f>ABS(P41)</x:f>
        <x:v>0</x:v>
      </x:c>
    </x:row>
    <x:row r="42" ht="22" customHeight="1">
      <x:c r="A42" s="2" t="str">
        <x:v>FY2025|Pakistan|62052000</x:v>
      </x:c>
      <x:c r="B42" s="2" t="str">
        <x:v>FY2025</x:v>
      </x:c>
      <x:c r="C42" s="2" t="str">
        <x:v>Pakistan</x:v>
      </x:c>
      <x:c r="D42" s="2" t="str">
        <x:v>62052000</x:v>
      </x:c>
      <x:c r="E42" s="14" t="n">
        <x:v>798771</x:v>
      </x:c>
      <x:c r="F42" s="14" t="n">
        <x:v>69348</x:v>
      </x:c>
      <x:c r="G42" s="2" t="n">
        <x:v>12</x:v>
      </x:c>
      <x:c r="H42" s="2" t="n">
        <x:v>0</x:v>
      </x:c>
      <x:c r="I42" s="15" t="n">
        <x:v>11.518299013670186</x:v>
      </x:c>
      <x:c r="J42" s="2" t="n">
        <x:v>202501</x:v>
      </x:c>
      <x:c r="K42" s="2" t="n">
        <x:v>202512</x:v>
      </x:c>
      <x:c r="L42" s="14" t="n">
        <x:f>SUMIFS(Monthly_Data!$E$6:$E$797,Monthly_Data!$B$6:$B$797,"&gt;="&amp;J42,Monthly_Data!$B$6:$B$797,"&lt;="&amp;K42,Monthly_Data!$C$6:$C$797,D42,Monthly_Data!$D$6:$D$797,C42,Monthly_Data!$I$6:$I$797,1)</x:f>
        <x:v>652020</x:v>
      </x:c>
      <x:c r="M42" s="14" t="n">
        <x:f>SUMIFS(Monthly_Data!$F$6:$F$797,Monthly_Data!$B$6:$B$797,"&gt;="&amp;J42,Monthly_Data!$B$6:$B$797,"&lt;="&amp;K42,Monthly_Data!$C$6:$C$797,D42,Monthly_Data!$D$6:$D$797,C42,Monthly_Data!$I$6:$I$797,1)</x:f>
        <x:v>53802</x:v>
      </x:c>
      <x:c r="N42" s="2" t="n">
        <x:f>COUNTIFS(Monthly_Data!$B$6:$B$797,"&gt;="&amp;J42,Monthly_Data!$B$6:$B$797,"&lt;="&amp;K42,Monthly_Data!$C$6:$C$797,D42,Monthly_Data!$D$6:$D$797,C42,Monthly_Data!$I$6:$I$797,1)</x:f>
        <x:v>10</x:v>
      </x:c>
      <x:c r="O42" s="16" t="n">
        <x:f>IF(M42&gt;0,L42/M42,"n.a.")</x:f>
        <x:v>12.118880339020855</x:v>
      </x:c>
      <x:c r="P42" s="16" t="n">
        <x:f>IF(F42&gt;0,E42/F42-I42,"n.a.")</x:f>
        <x:v>0</x:v>
      </x:c>
      <x:c r="Q42" s="2" t="n">
        <x:f>COUNTIF($A$6:$A$125,A42)</x:f>
        <x:v>1</x:v>
      </x:c>
      <x:c r="R42" s="2" t="n">
        <x:f>ABS(P42)</x:f>
        <x:v>0</x:v>
      </x:c>
    </x:row>
    <x:row r="43" ht="22" customHeight="1">
      <x:c r="A43" s="2" t="str">
        <x:v>FY2025|Sri Lanka|62052000</x:v>
      </x:c>
      <x:c r="B43" s="2" t="str">
        <x:v>FY2025</x:v>
      </x:c>
      <x:c r="C43" s="2" t="str">
        <x:v>Sri Lanka</x:v>
      </x:c>
      <x:c r="D43" s="2" t="str">
        <x:v>62052000</x:v>
      </x:c>
      <x:c r="E43" s="14" t="n">
        <x:v>4196454</x:v>
      </x:c>
      <x:c r="F43" s="14" t="n">
        <x:v>213562</x:v>
      </x:c>
      <x:c r="G43" s="2" t="n">
        <x:v>12</x:v>
      </x:c>
      <x:c r="H43" s="2" t="n">
        <x:v>0</x:v>
      </x:c>
      <x:c r="I43" s="15" t="n">
        <x:v>19.649815978498047</x:v>
      </x:c>
      <x:c r="J43" s="2" t="n">
        <x:v>202501</x:v>
      </x:c>
      <x:c r="K43" s="2" t="n">
        <x:v>202512</x:v>
      </x:c>
      <x:c r="L43" s="14" t="n">
        <x:f>SUMIFS(Monthly_Data!$E$6:$E$797,Monthly_Data!$B$6:$B$797,"&gt;="&amp;J43,Monthly_Data!$B$6:$B$797,"&lt;="&amp;K43,Monthly_Data!$C$6:$C$797,D43,Monthly_Data!$D$6:$D$797,C43,Monthly_Data!$I$6:$I$797,1)</x:f>
        <x:v>3391858</x:v>
      </x:c>
      <x:c r="M43" s="14" t="n">
        <x:f>SUMIFS(Monthly_Data!$F$6:$F$797,Monthly_Data!$B$6:$B$797,"&gt;="&amp;J43,Monthly_Data!$B$6:$B$797,"&lt;="&amp;K43,Monthly_Data!$C$6:$C$797,D43,Monthly_Data!$D$6:$D$797,C43,Monthly_Data!$I$6:$I$797,1)</x:f>
        <x:v>166401</x:v>
      </x:c>
      <x:c r="N43" s="2" t="n">
        <x:f>COUNTIFS(Monthly_Data!$B$6:$B$797,"&gt;="&amp;J43,Monthly_Data!$B$6:$B$797,"&lt;="&amp;K43,Monthly_Data!$C$6:$C$797,D43,Monthly_Data!$D$6:$D$797,C43,Monthly_Data!$I$6:$I$797,1)</x:f>
        <x:v>10</x:v>
      </x:c>
      <x:c r="O43" s="16" t="n">
        <x:f>IF(M43&gt;0,L43/M43,"n.a.")</x:f>
        <x:v>20.383639521397107</x:v>
      </x:c>
      <x:c r="P43" s="16" t="n">
        <x:f>IF(F43&gt;0,E43/F43-I43,"n.a.")</x:f>
        <x:v>0</x:v>
      </x:c>
      <x:c r="Q43" s="2" t="n">
        <x:f>COUNTIF($A$6:$A$125,A43)</x:f>
        <x:v>1</x:v>
      </x:c>
      <x:c r="R43" s="2" t="n">
        <x:f>ABS(P43)</x:f>
        <x:v>0</x:v>
      </x:c>
    </x:row>
    <x:row r="44" ht="22" customHeight="1">
      <x:c r="A44" s="2" t="str">
        <x:v>FY2025|Turkey|62052000</x:v>
      </x:c>
      <x:c r="B44" s="2" t="str">
        <x:v>FY2025</x:v>
      </x:c>
      <x:c r="C44" s="2" t="str">
        <x:v>Turkey</x:v>
      </x:c>
      <x:c r="D44" s="2" t="str">
        <x:v>62052000</x:v>
      </x:c>
      <x:c r="E44" s="14" t="n">
        <x:v>12908357</x:v>
      </x:c>
      <x:c r="F44" s="14" t="n">
        <x:v>343310</x:v>
      </x:c>
      <x:c r="G44" s="2" t="n">
        <x:v>12</x:v>
      </x:c>
      <x:c r="H44" s="2" t="n">
        <x:v>0</x:v>
      </x:c>
      <x:c r="I44" s="15" t="n">
        <x:v>37.59971163088753</x:v>
      </x:c>
      <x:c r="J44" s="2" t="n">
        <x:v>202501</x:v>
      </x:c>
      <x:c r="K44" s="2" t="n">
        <x:v>202512</x:v>
      </x:c>
      <x:c r="L44" s="14" t="n">
        <x:f>SUMIFS(Monthly_Data!$E$6:$E$797,Monthly_Data!$B$6:$B$797,"&gt;="&amp;J44,Monthly_Data!$B$6:$B$797,"&lt;="&amp;K44,Monthly_Data!$C$6:$C$797,D44,Monthly_Data!$D$6:$D$797,C44,Monthly_Data!$I$6:$I$797,1)</x:f>
        <x:v>11199497</x:v>
      </x:c>
      <x:c r="M44" s="14" t="n">
        <x:f>SUMIFS(Monthly_Data!$F$6:$F$797,Monthly_Data!$B$6:$B$797,"&gt;="&amp;J44,Monthly_Data!$B$6:$B$797,"&lt;="&amp;K44,Monthly_Data!$C$6:$C$797,D44,Monthly_Data!$D$6:$D$797,C44,Monthly_Data!$I$6:$I$797,1)</x:f>
        <x:v>295225</x:v>
      </x:c>
      <x:c r="N44" s="2" t="n">
        <x:f>COUNTIFS(Monthly_Data!$B$6:$B$797,"&gt;="&amp;J44,Monthly_Data!$B$6:$B$797,"&lt;="&amp;K44,Monthly_Data!$C$6:$C$797,D44,Monthly_Data!$D$6:$D$797,C44,Monthly_Data!$I$6:$I$797,1)</x:f>
        <x:v>10</x:v>
      </x:c>
      <x:c r="O44" s="16" t="n">
        <x:f>IF(M44&gt;0,L44/M44,"n.a.")</x:f>
        <x:v>37.935462782623425</x:v>
      </x:c>
      <x:c r="P44" s="16" t="n">
        <x:f>IF(F44&gt;0,E44/F44-I44,"n.a.")</x:f>
        <x:v>0</x:v>
      </x:c>
      <x:c r="Q44" s="2" t="n">
        <x:f>COUNTIF($A$6:$A$125,A44)</x:f>
        <x:v>1</x:v>
      </x:c>
      <x:c r="R44" s="2" t="n">
        <x:f>ABS(P44)</x:f>
        <x:v>0</x:v>
      </x:c>
    </x:row>
    <x:row r="45" ht="22" customHeight="1">
      <x:c r="A45" s="2" t="str">
        <x:v>FY2025|Vietnam|62052000</x:v>
      </x:c>
      <x:c r="B45" s="2" t="str">
        <x:v>FY2025</x:v>
      </x:c>
      <x:c r="C45" s="2" t="str">
        <x:v>Vietnam</x:v>
      </x:c>
      <x:c r="D45" s="2" t="str">
        <x:v>62052000</x:v>
      </x:c>
      <x:c r="E45" s="14" t="n">
        <x:v>12963317</x:v>
      </x:c>
      <x:c r="F45" s="14" t="n">
        <x:v>440294</x:v>
      </x:c>
      <x:c r="G45" s="2" t="n">
        <x:v>12</x:v>
      </x:c>
      <x:c r="H45" s="2" t="n">
        <x:v>0</x:v>
      </x:c>
      <x:c r="I45" s="15" t="n">
        <x:v>29.442411207057102</x:v>
      </x:c>
      <x:c r="J45" s="2" t="n">
        <x:v>202501</x:v>
      </x:c>
      <x:c r="K45" s="2" t="n">
        <x:v>202512</x:v>
      </x:c>
      <x:c r="L45" s="14" t="n">
        <x:f>SUMIFS(Monthly_Data!$E$6:$E$797,Monthly_Data!$B$6:$B$797,"&gt;="&amp;J45,Monthly_Data!$B$6:$B$797,"&lt;="&amp;K45,Monthly_Data!$C$6:$C$797,D45,Monthly_Data!$D$6:$D$797,C45,Monthly_Data!$I$6:$I$797,1)</x:f>
        <x:v>10415700</x:v>
      </x:c>
      <x:c r="M45" s="14" t="n">
        <x:f>SUMIFS(Monthly_Data!$F$6:$F$797,Monthly_Data!$B$6:$B$797,"&gt;="&amp;J45,Monthly_Data!$B$6:$B$797,"&lt;="&amp;K45,Monthly_Data!$C$6:$C$797,D45,Monthly_Data!$D$6:$D$797,C45,Monthly_Data!$I$6:$I$797,1)</x:f>
        <x:v>344993</x:v>
      </x:c>
      <x:c r="N45" s="2" t="n">
        <x:f>COUNTIFS(Monthly_Data!$B$6:$B$797,"&gt;="&amp;J45,Monthly_Data!$B$6:$B$797,"&lt;="&amp;K45,Monthly_Data!$C$6:$C$797,D45,Monthly_Data!$D$6:$D$797,C45,Monthly_Data!$I$6:$I$797,1)</x:f>
        <x:v>10</x:v>
      </x:c>
      <x:c r="O45" s="16" t="n">
        <x:f>IF(M45&gt;0,L45/M45,"n.a.")</x:f>
        <x:v>30.191047354584008</x:v>
      </x:c>
      <x:c r="P45" s="16" t="n">
        <x:f>IF(F45&gt;0,E45/F45-I45,"n.a.")</x:f>
        <x:v>0</x:v>
      </x:c>
      <x:c r="Q45" s="2" t="n">
        <x:f>COUNTIF($A$6:$A$125,A45)</x:f>
        <x:v>1</x:v>
      </x:c>
      <x:c r="R45" s="2" t="n">
        <x:f>ABS(P45)</x:f>
        <x:v>0</x:v>
      </x:c>
    </x:row>
    <x:row r="46" ht="22" customHeight="1">
      <x:c r="A46" s="2" t="str">
        <x:v>H1 2025|Bangladesh|61091000</x:v>
      </x:c>
      <x:c r="B46" s="2" t="str">
        <x:v>H1 2025</x:v>
      </x:c>
      <x:c r="C46" s="2" t="str">
        <x:v>Bangladesh</x:v>
      </x:c>
      <x:c r="D46" s="2" t="str">
        <x:v>61091000</x:v>
      </x:c>
      <x:c r="E46" s="14" t="n">
        <x:v>258563902</x:v>
      </x:c>
      <x:c r="F46" s="14" t="n">
        <x:v>24659774</x:v>
      </x:c>
      <x:c r="G46" s="2" t="n">
        <x:v>6</x:v>
      </x:c>
      <x:c r="H46" s="2" t="n">
        <x:v>0</x:v>
      </x:c>
      <x:c r="I46" s="15" t="n">
        <x:v>10.485250270339055</x:v>
      </x:c>
      <x:c r="J46" s="2" t="n">
        <x:v>202501</x:v>
      </x:c>
      <x:c r="K46" s="2" t="n">
        <x:v>202506</x:v>
      </x:c>
      <x:c r="L46" s="14" t="n">
        <x:f>SUMIFS(Monthly_Data!$E$6:$E$797,Monthly_Data!$B$6:$B$797,"&gt;="&amp;J46,Monthly_Data!$B$6:$B$797,"&lt;="&amp;K46,Monthly_Data!$C$6:$C$797,D46,Monthly_Data!$D$6:$D$797,C46,Monthly_Data!$I$6:$I$797,1)</x:f>
        <x:v>121879982</x:v>
      </x:c>
      <x:c r="M46" s="14" t="n">
        <x:f>SUMIFS(Monthly_Data!$F$6:$F$797,Monthly_Data!$B$6:$B$797,"&gt;="&amp;J46,Monthly_Data!$B$6:$B$797,"&lt;="&amp;K46,Monthly_Data!$C$6:$C$797,D46,Monthly_Data!$D$6:$D$797,C46,Monthly_Data!$I$6:$I$797,1)</x:f>
        <x:v>11435550</x:v>
      </x:c>
      <x:c r="N46" s="2" t="n">
        <x:f>COUNTIFS(Monthly_Data!$B$6:$B$797,"&gt;="&amp;J46,Monthly_Data!$B$6:$B$797,"&lt;="&amp;K46,Monthly_Data!$C$6:$C$797,D46,Monthly_Data!$D$6:$D$797,C46,Monthly_Data!$I$6:$I$797,1)</x:f>
        <x:v>3</x:v>
      </x:c>
      <x:c r="O46" s="16" t="n">
        <x:f>IF(M46&gt;0,L46/M46,"n.a.")</x:f>
        <x:v>10.65799038961834</x:v>
      </x:c>
      <x:c r="P46" s="16" t="n">
        <x:f>IF(F46&gt;0,E46/F46-I46,"n.a.")</x:f>
        <x:v>0</x:v>
      </x:c>
      <x:c r="Q46" s="2" t="n">
        <x:f>COUNTIF($A$6:$A$125,A46)</x:f>
        <x:v>1</x:v>
      </x:c>
      <x:c r="R46" s="2" t="n">
        <x:f>ABS(P46)</x:f>
        <x:v>0</x:v>
      </x:c>
    </x:row>
    <x:row r="47" ht="22" customHeight="1">
      <x:c r="A47" s="2" t="str">
        <x:v>H1 2025|Cambodia|61091000</x:v>
      </x:c>
      <x:c r="B47" s="2" t="str">
        <x:v>H1 2025</x:v>
      </x:c>
      <x:c r="C47" s="2" t="str">
        <x:v>Cambodia</x:v>
      </x:c>
      <x:c r="D47" s="2" t="str">
        <x:v>61091000</x:v>
      </x:c>
      <x:c r="E47" s="14" t="n">
        <x:v>5558924</x:v>
      </x:c>
      <x:c r="F47" s="14" t="n">
        <x:v>287747</x:v>
      </x:c>
      <x:c r="G47" s="2" t="n">
        <x:v>6</x:v>
      </x:c>
      <x:c r="H47" s="2" t="n">
        <x:v>0</x:v>
      </x:c>
      <x:c r="I47" s="15" t="n">
        <x:v>19.318790465235086</x:v>
      </x:c>
      <x:c r="J47" s="2" t="n">
        <x:v>202501</x:v>
      </x:c>
      <x:c r="K47" s="2" t="n">
        <x:v>202506</x:v>
      </x:c>
      <x:c r="L47" s="14" t="n">
        <x:f>SUMIFS(Monthly_Data!$E$6:$E$797,Monthly_Data!$B$6:$B$797,"&gt;="&amp;J47,Monthly_Data!$B$6:$B$797,"&lt;="&amp;K47,Monthly_Data!$C$6:$C$797,D47,Monthly_Data!$D$6:$D$797,C47,Monthly_Data!$I$6:$I$797,1)</x:f>
        <x:v>2634714</x:v>
      </x:c>
      <x:c r="M47" s="14" t="n">
        <x:f>SUMIFS(Monthly_Data!$F$6:$F$797,Monthly_Data!$B$6:$B$797,"&gt;="&amp;J47,Monthly_Data!$B$6:$B$797,"&lt;="&amp;K47,Monthly_Data!$C$6:$C$797,D47,Monthly_Data!$D$6:$D$797,C47,Monthly_Data!$I$6:$I$797,1)</x:f>
        <x:v>144748</x:v>
      </x:c>
      <x:c r="N47" s="2" t="n">
        <x:f>COUNTIFS(Monthly_Data!$B$6:$B$797,"&gt;="&amp;J47,Monthly_Data!$B$6:$B$797,"&lt;="&amp;K47,Monthly_Data!$C$6:$C$797,D47,Monthly_Data!$D$6:$D$797,C47,Monthly_Data!$I$6:$I$797,1)</x:f>
        <x:v>3</x:v>
      </x:c>
      <x:c r="O47" s="16" t="n">
        <x:f>IF(M47&gt;0,L47/M47,"n.a.")</x:f>
        <x:v>18.202075330919943</x:v>
      </x:c>
      <x:c r="P47" s="16" t="n">
        <x:f>IF(F47&gt;0,E47/F47-I47,"n.a.")</x:f>
        <x:v>0</x:v>
      </x:c>
      <x:c r="Q47" s="2" t="n">
        <x:f>COUNTIF($A$6:$A$125,A47)</x:f>
        <x:v>1</x:v>
      </x:c>
      <x:c r="R47" s="2" t="n">
        <x:f>ABS(P47)</x:f>
        <x:v>0</x:v>
      </x:c>
    </x:row>
    <x:row r="48" ht="22" customHeight="1">
      <x:c r="A48" s="2" t="str">
        <x:v>H1 2025|China|61091000</x:v>
      </x:c>
      <x:c r="B48" s="2" t="str">
        <x:v>H1 2025</x:v>
      </x:c>
      <x:c r="C48" s="2" t="str">
        <x:v>China</x:v>
      </x:c>
      <x:c r="D48" s="2" t="str">
        <x:v>61091000</x:v>
      </x:c>
      <x:c r="E48" s="14" t="n">
        <x:v>26770914</x:v>
      </x:c>
      <x:c r="F48" s="14" t="n">
        <x:v>1389800</x:v>
      </x:c>
      <x:c r="G48" s="2" t="n">
        <x:v>6</x:v>
      </x:c>
      <x:c r="H48" s="2" t="n">
        <x:v>0</x:v>
      </x:c>
      <x:c r="I48" s="15" t="n">
        <x:v>19.262421931213126</x:v>
      </x:c>
      <x:c r="J48" s="2" t="n">
        <x:v>202501</x:v>
      </x:c>
      <x:c r="K48" s="2" t="n">
        <x:v>202506</x:v>
      </x:c>
      <x:c r="L48" s="14" t="n">
        <x:f>SUMIFS(Monthly_Data!$E$6:$E$797,Monthly_Data!$B$6:$B$797,"&gt;="&amp;J48,Monthly_Data!$B$6:$B$797,"&lt;="&amp;K48,Monthly_Data!$C$6:$C$797,D48,Monthly_Data!$D$6:$D$797,C48,Monthly_Data!$I$6:$I$797,1)</x:f>
        <x:v>15461963</x:v>
      </x:c>
      <x:c r="M48" s="14" t="n">
        <x:f>SUMIFS(Monthly_Data!$F$6:$F$797,Monthly_Data!$B$6:$B$797,"&gt;="&amp;J48,Monthly_Data!$B$6:$B$797,"&lt;="&amp;K48,Monthly_Data!$C$6:$C$797,D48,Monthly_Data!$D$6:$D$797,C48,Monthly_Data!$I$6:$I$797,1)</x:f>
        <x:v>821442</x:v>
      </x:c>
      <x:c r="N48" s="2" t="n">
        <x:f>COUNTIFS(Monthly_Data!$B$6:$B$797,"&gt;="&amp;J48,Monthly_Data!$B$6:$B$797,"&lt;="&amp;K48,Monthly_Data!$C$6:$C$797,D48,Monthly_Data!$D$6:$D$797,C48,Monthly_Data!$I$6:$I$797,1)</x:f>
        <x:v>3</x:v>
      </x:c>
      <x:c r="O48" s="16" t="n">
        <x:f>IF(M48&gt;0,L48/M48,"n.a.")</x:f>
        <x:v>18.82295159000879</x:v>
      </x:c>
      <x:c r="P48" s="16" t="n">
        <x:f>IF(F48&gt;0,E48/F48-I48,"n.a.")</x:f>
        <x:v>0</x:v>
      </x:c>
      <x:c r="Q48" s="2" t="n">
        <x:f>COUNTIF($A$6:$A$125,A48)</x:f>
        <x:v>1</x:v>
      </x:c>
      <x:c r="R48" s="2" t="n">
        <x:f>ABS(P48)</x:f>
        <x:v>0</x:v>
      </x:c>
    </x:row>
    <x:row r="49" ht="22" customHeight="1">
      <x:c r="A49" s="2" t="str">
        <x:v>H1 2025|India|61091000</x:v>
      </x:c>
      <x:c r="B49" s="2" t="str">
        <x:v>H1 2025</x:v>
      </x:c>
      <x:c r="C49" s="2" t="str">
        <x:v>India</x:v>
      </x:c>
      <x:c r="D49" s="2" t="str">
        <x:v>61091000</x:v>
      </x:c>
      <x:c r="E49" s="14" t="n">
        <x:v>57601904</x:v>
      </x:c>
      <x:c r="F49" s="14" t="n">
        <x:v>4255633</x:v>
      </x:c>
      <x:c r="G49" s="2" t="n">
        <x:v>6</x:v>
      </x:c>
      <x:c r="H49" s="2" t="n">
        <x:v>0</x:v>
      </x:c>
      <x:c r="I49" s="15" t="n">
        <x:v>13.5354491329492</x:v>
      </x:c>
      <x:c r="J49" s="2" t="n">
        <x:v>202501</x:v>
      </x:c>
      <x:c r="K49" s="2" t="n">
        <x:v>202506</x:v>
      </x:c>
      <x:c r="L49" s="14" t="n">
        <x:f>SUMIFS(Monthly_Data!$E$6:$E$797,Monthly_Data!$B$6:$B$797,"&gt;="&amp;J49,Monthly_Data!$B$6:$B$797,"&lt;="&amp;K49,Monthly_Data!$C$6:$C$797,D49,Monthly_Data!$D$6:$D$797,C49,Monthly_Data!$I$6:$I$797,1)</x:f>
        <x:v>25176937</x:v>
      </x:c>
      <x:c r="M49" s="14" t="n">
        <x:f>SUMIFS(Monthly_Data!$F$6:$F$797,Monthly_Data!$B$6:$B$797,"&gt;="&amp;J49,Monthly_Data!$B$6:$B$797,"&lt;="&amp;K49,Monthly_Data!$C$6:$C$797,D49,Monthly_Data!$D$6:$D$797,C49,Monthly_Data!$I$6:$I$797,1)</x:f>
        <x:v>1760505</x:v>
      </x:c>
      <x:c r="N49" s="2" t="n">
        <x:f>COUNTIFS(Monthly_Data!$B$6:$B$797,"&gt;="&amp;J49,Monthly_Data!$B$6:$B$797,"&lt;="&amp;K49,Monthly_Data!$C$6:$C$797,D49,Monthly_Data!$D$6:$D$797,C49,Monthly_Data!$I$6:$I$797,1)</x:f>
        <x:v>3</x:v>
      </x:c>
      <x:c r="O49" s="16" t="n">
        <x:f>IF(M49&gt;0,L49/M49,"n.a.")</x:f>
        <x:v>14.300974436312307</x:v>
      </x:c>
      <x:c r="P49" s="16" t="n">
        <x:f>IF(F49&gt;0,E49/F49-I49,"n.a.")</x:f>
        <x:v>0</x:v>
      </x:c>
      <x:c r="Q49" s="2" t="n">
        <x:f>COUNTIF($A$6:$A$125,A49)</x:f>
        <x:v>1</x:v>
      </x:c>
      <x:c r="R49" s="2" t="n">
        <x:f>ABS(P49)</x:f>
        <x:v>0</x:v>
      </x:c>
    </x:row>
    <x:row r="50" ht="22" customHeight="1">
      <x:c r="A50" s="2" t="str">
        <x:v>H1 2025|Morocco|61091000</x:v>
      </x:c>
      <x:c r="B50" s="2" t="str">
        <x:v>H1 2025</x:v>
      </x:c>
      <x:c r="C50" s="2" t="str">
        <x:v>Morocco</x:v>
      </x:c>
      <x:c r="D50" s="2" t="str">
        <x:v>61091000</x:v>
      </x:c>
      <x:c r="E50" s="14" t="n">
        <x:v>7105682</x:v>
      </x:c>
      <x:c r="F50" s="14" t="n">
        <x:v>780049</x:v>
      </x:c>
      <x:c r="G50" s="2" t="n">
        <x:v>6</x:v>
      </x:c>
      <x:c r="H50" s="2" t="n">
        <x:v>0</x:v>
      </x:c>
      <x:c r="I50" s="15" t="n">
        <x:v>9.109276468529542</x:v>
      </x:c>
      <x:c r="J50" s="2" t="n">
        <x:v>202501</x:v>
      </x:c>
      <x:c r="K50" s="2" t="n">
        <x:v>202506</x:v>
      </x:c>
      <x:c r="L50" s="14" t="n">
        <x:f>SUMIFS(Monthly_Data!$E$6:$E$797,Monthly_Data!$B$6:$B$797,"&gt;="&amp;J50,Monthly_Data!$B$6:$B$797,"&lt;="&amp;K50,Monthly_Data!$C$6:$C$797,D50,Monthly_Data!$D$6:$D$797,C50,Monthly_Data!$I$6:$I$797,1)</x:f>
        <x:v>3237449</x:v>
      </x:c>
      <x:c r="M50" s="14" t="n">
        <x:f>SUMIFS(Monthly_Data!$F$6:$F$797,Monthly_Data!$B$6:$B$797,"&gt;="&amp;J50,Monthly_Data!$B$6:$B$797,"&lt;="&amp;K50,Monthly_Data!$C$6:$C$797,D50,Monthly_Data!$D$6:$D$797,C50,Monthly_Data!$I$6:$I$797,1)</x:f>
        <x:v>348259</x:v>
      </x:c>
      <x:c r="N50" s="2" t="n">
        <x:f>COUNTIFS(Monthly_Data!$B$6:$B$797,"&gt;="&amp;J50,Monthly_Data!$B$6:$B$797,"&lt;="&amp;K50,Monthly_Data!$C$6:$C$797,D50,Monthly_Data!$D$6:$D$797,C50,Monthly_Data!$I$6:$I$797,1)</x:f>
        <x:v>3</x:v>
      </x:c>
      <x:c r="O50" s="16" t="n">
        <x:f>IF(M50&gt;0,L50/M50,"n.a.")</x:f>
        <x:v>9.296095721862176</x:v>
      </x:c>
      <x:c r="P50" s="16" t="n">
        <x:f>IF(F50&gt;0,E50/F50-I50,"n.a.")</x:f>
        <x:v>0</x:v>
      </x:c>
      <x:c r="Q50" s="2" t="n">
        <x:f>COUNTIF($A$6:$A$125,A50)</x:f>
        <x:v>1</x:v>
      </x:c>
      <x:c r="R50" s="2" t="n">
        <x:f>ABS(P50)</x:f>
        <x:v>0</x:v>
      </x:c>
    </x:row>
    <x:row r="51" ht="22" customHeight="1">
      <x:c r="A51" s="2" t="str">
        <x:v>H1 2025|Myanmar|61091000</x:v>
      </x:c>
      <x:c r="B51" s="2" t="str">
        <x:v>H1 2025</x:v>
      </x:c>
      <x:c r="C51" s="2" t="str">
        <x:v>Myanmar</x:v>
      </x:c>
      <x:c r="D51" s="2" t="str">
        <x:v>61091000</x:v>
      </x:c>
      <x:c r="E51" s="14" t="n">
        <x:v>221408</x:v>
      </x:c>
      <x:c r="F51" s="14" t="n">
        <x:v>14557</x:v>
      </x:c>
      <x:c r="G51" s="2" t="n">
        <x:v>6</x:v>
      </x:c>
      <x:c r="H51" s="2" t="n">
        <x:v>0</x:v>
      </x:c>
      <x:c r="I51" s="15" t="n">
        <x:v>15.209727278972316</x:v>
      </x:c>
      <x:c r="J51" s="2" t="n">
        <x:v>202501</x:v>
      </x:c>
      <x:c r="K51" s="2" t="n">
        <x:v>202506</x:v>
      </x:c>
      <x:c r="L51" s="14" t="n">
        <x:f>SUMIFS(Monthly_Data!$E$6:$E$797,Monthly_Data!$B$6:$B$797,"&gt;="&amp;J51,Monthly_Data!$B$6:$B$797,"&lt;="&amp;K51,Monthly_Data!$C$6:$C$797,D51,Monthly_Data!$D$6:$D$797,C51,Monthly_Data!$I$6:$I$797,1)</x:f>
        <x:v>115068</x:v>
      </x:c>
      <x:c r="M51" s="14" t="n">
        <x:f>SUMIFS(Monthly_Data!$F$6:$F$797,Monthly_Data!$B$6:$B$797,"&gt;="&amp;J51,Monthly_Data!$B$6:$B$797,"&lt;="&amp;K51,Monthly_Data!$C$6:$C$797,D51,Monthly_Data!$D$6:$D$797,C51,Monthly_Data!$I$6:$I$797,1)</x:f>
        <x:v>6788</x:v>
      </x:c>
      <x:c r="N51" s="2" t="n">
        <x:f>COUNTIFS(Monthly_Data!$B$6:$B$797,"&gt;="&amp;J51,Monthly_Data!$B$6:$B$797,"&lt;="&amp;K51,Monthly_Data!$C$6:$C$797,D51,Monthly_Data!$D$6:$D$797,C51,Monthly_Data!$I$6:$I$797,1)</x:f>
        <x:v>3</x:v>
      </x:c>
      <x:c r="O51" s="16" t="n">
        <x:f>IF(M51&gt;0,L51/M51,"n.a.")</x:f>
        <x:v>16.951679434295816</x:v>
      </x:c>
      <x:c r="P51" s="16" t="n">
        <x:f>IF(F51&gt;0,E51/F51-I51,"n.a.")</x:f>
        <x:v>0</x:v>
      </x:c>
      <x:c r="Q51" s="2" t="n">
        <x:f>COUNTIF($A$6:$A$125,A51)</x:f>
        <x:v>1</x:v>
      </x:c>
      <x:c r="R51" s="2" t="n">
        <x:f>ABS(P51)</x:f>
        <x:v>0</x:v>
      </x:c>
    </x:row>
    <x:row r="52" ht="22" customHeight="1">
      <x:c r="A52" s="2" t="str">
        <x:v>H1 2025|Pakistan|61091000</x:v>
      </x:c>
      <x:c r="B52" s="2" t="str">
        <x:v>H1 2025</x:v>
      </x:c>
      <x:c r="C52" s="2" t="str">
        <x:v>Pakistan</x:v>
      </x:c>
      <x:c r="D52" s="2" t="str">
        <x:v>61091000</x:v>
      </x:c>
      <x:c r="E52" s="14" t="n">
        <x:v>30121288</x:v>
      </x:c>
      <x:c r="F52" s="14" t="n">
        <x:v>7875332</x:v>
      </x:c>
      <x:c r="G52" s="2" t="n">
        <x:v>6</x:v>
      </x:c>
      <x:c r="H52" s="2" t="n">
        <x:v>3</x:v>
      </x:c>
      <x:c r="I52" s="15" t="n">
        <x:v>3.824764213115079</x:v>
      </x:c>
      <x:c r="J52" s="2" t="n">
        <x:v>202501</x:v>
      </x:c>
      <x:c r="K52" s="2" t="n">
        <x:v>202506</x:v>
      </x:c>
      <x:c r="L52" s="14" t="n">
        <x:f>SUMIFS(Monthly_Data!$E$6:$E$797,Monthly_Data!$B$6:$B$797,"&gt;="&amp;J52,Monthly_Data!$B$6:$B$797,"&lt;="&amp;K52,Monthly_Data!$C$6:$C$797,D52,Monthly_Data!$D$6:$D$797,C52,Monthly_Data!$I$6:$I$797,1)</x:f>
        <x:v>14740979</x:v>
      </x:c>
      <x:c r="M52" s="14" t="n">
        <x:f>SUMIFS(Monthly_Data!$F$6:$F$797,Monthly_Data!$B$6:$B$797,"&gt;="&amp;J52,Monthly_Data!$B$6:$B$797,"&lt;="&amp;K52,Monthly_Data!$C$6:$C$797,D52,Monthly_Data!$D$6:$D$797,C52,Monthly_Data!$I$6:$I$797,1)</x:f>
        <x:v>1234435</x:v>
      </x:c>
      <x:c r="N52" s="2" t="n">
        <x:f>COUNTIFS(Monthly_Data!$B$6:$B$797,"&gt;="&amp;J52,Monthly_Data!$B$6:$B$797,"&lt;="&amp;K52,Monthly_Data!$C$6:$C$797,D52,Monthly_Data!$D$6:$D$797,C52,Monthly_Data!$I$6:$I$797,1)</x:f>
        <x:v>3</x:v>
      </x:c>
      <x:c r="O52" s="16" t="n">
        <x:f>IF(M52&gt;0,L52/M52,"n.a.")</x:f>
        <x:v>11.941478490159465</x:v>
      </x:c>
      <x:c r="P52" s="16" t="n">
        <x:f>IF(F52&gt;0,E52/F52-I52,"n.a.")</x:f>
        <x:v>0</x:v>
      </x:c>
      <x:c r="Q52" s="2" t="n">
        <x:f>COUNTIF($A$6:$A$125,A52)</x:f>
        <x:v>1</x:v>
      </x:c>
      <x:c r="R52" s="2" t="n">
        <x:f>ABS(P52)</x:f>
        <x:v>0</x:v>
      </x:c>
    </x:row>
    <x:row r="53" ht="22" customHeight="1">
      <x:c r="A53" s="2" t="str">
        <x:v>H1 2025|Sri Lanka|61091000</x:v>
      </x:c>
      <x:c r="B53" s="2" t="str">
        <x:v>H1 2025</x:v>
      </x:c>
      <x:c r="C53" s="2" t="str">
        <x:v>Sri Lanka</x:v>
      </x:c>
      <x:c r="D53" s="2" t="str">
        <x:v>61091000</x:v>
      </x:c>
      <x:c r="E53" s="14" t="n">
        <x:v>13060146</x:v>
      </x:c>
      <x:c r="F53" s="14" t="n">
        <x:v>1195844</x:v>
      </x:c>
      <x:c r="G53" s="2" t="n">
        <x:v>6</x:v>
      </x:c>
      <x:c r="H53" s="2" t="n">
        <x:v>0</x:v>
      </x:c>
      <x:c r="I53" s="15" t="n">
        <x:v>10.921279029706216</x:v>
      </x:c>
      <x:c r="J53" s="2" t="n">
        <x:v>202501</x:v>
      </x:c>
      <x:c r="K53" s="2" t="n">
        <x:v>202506</x:v>
      </x:c>
      <x:c r="L53" s="14" t="n">
        <x:f>SUMIFS(Monthly_Data!$E$6:$E$797,Monthly_Data!$B$6:$B$797,"&gt;="&amp;J53,Monthly_Data!$B$6:$B$797,"&lt;="&amp;K53,Monthly_Data!$C$6:$C$797,D53,Monthly_Data!$D$6:$D$797,C53,Monthly_Data!$I$6:$I$797,1)</x:f>
        <x:v>6557049</x:v>
      </x:c>
      <x:c r="M53" s="14" t="n">
        <x:f>SUMIFS(Monthly_Data!$F$6:$F$797,Monthly_Data!$B$6:$B$797,"&gt;="&amp;J53,Monthly_Data!$B$6:$B$797,"&lt;="&amp;K53,Monthly_Data!$C$6:$C$797,D53,Monthly_Data!$D$6:$D$797,C53,Monthly_Data!$I$6:$I$797,1)</x:f>
        <x:v>591356</x:v>
      </x:c>
      <x:c r="N53" s="2" t="n">
        <x:f>COUNTIFS(Monthly_Data!$B$6:$B$797,"&gt;="&amp;J53,Monthly_Data!$B$6:$B$797,"&lt;="&amp;K53,Monthly_Data!$C$6:$C$797,D53,Monthly_Data!$D$6:$D$797,C53,Monthly_Data!$I$6:$I$797,1)</x:f>
        <x:v>3</x:v>
      </x:c>
      <x:c r="O53" s="16" t="n">
        <x:f>IF(M53&gt;0,L53/M53,"n.a.")</x:f>
        <x:v>11.088158402045469</x:v>
      </x:c>
      <x:c r="P53" s="16" t="n">
        <x:f>IF(F53&gt;0,E53/F53-I53,"n.a.")</x:f>
        <x:v>0</x:v>
      </x:c>
      <x:c r="Q53" s="2" t="n">
        <x:f>COUNTIF($A$6:$A$125,A53)</x:f>
        <x:v>1</x:v>
      </x:c>
      <x:c r="R53" s="2" t="n">
        <x:f>ABS(P53)</x:f>
        <x:v>0</x:v>
      </x:c>
    </x:row>
    <x:row r="54" ht="22" customHeight="1">
      <x:c r="A54" s="2" t="str">
        <x:v>H1 2025|Turkey|61091000</x:v>
      </x:c>
      <x:c r="B54" s="2" t="str">
        <x:v>H1 2025</x:v>
      </x:c>
      <x:c r="C54" s="2" t="str">
        <x:v>Turkey</x:v>
      </x:c>
      <x:c r="D54" s="2" t="str">
        <x:v>61091000</x:v>
      </x:c>
      <x:c r="E54" s="14" t="n">
        <x:v>60323637</x:v>
      </x:c>
      <x:c r="F54" s="14" t="n">
        <x:v>2604971</x:v>
      </x:c>
      <x:c r="G54" s="2" t="n">
        <x:v>6</x:v>
      </x:c>
      <x:c r="H54" s="2" t="n">
        <x:v>0</x:v>
      </x:c>
      <x:c r="I54" s="15" t="n">
        <x:v>23.15712420598924</x:v>
      </x:c>
      <x:c r="J54" s="2" t="n">
        <x:v>202501</x:v>
      </x:c>
      <x:c r="K54" s="2" t="n">
        <x:v>202506</x:v>
      </x:c>
      <x:c r="L54" s="14" t="n">
        <x:f>SUMIFS(Monthly_Data!$E$6:$E$797,Monthly_Data!$B$6:$B$797,"&gt;="&amp;J54,Monthly_Data!$B$6:$B$797,"&lt;="&amp;K54,Monthly_Data!$C$6:$C$797,D54,Monthly_Data!$D$6:$D$797,C54,Monthly_Data!$I$6:$I$797,1)</x:f>
        <x:v>27360351</x:v>
      </x:c>
      <x:c r="M54" s="14" t="n">
        <x:f>SUMIFS(Monthly_Data!$F$6:$F$797,Monthly_Data!$B$6:$B$797,"&gt;="&amp;J54,Monthly_Data!$B$6:$B$797,"&lt;="&amp;K54,Monthly_Data!$C$6:$C$797,D54,Monthly_Data!$D$6:$D$797,C54,Monthly_Data!$I$6:$I$797,1)</x:f>
        <x:v>1210767</x:v>
      </x:c>
      <x:c r="N54" s="2" t="n">
        <x:f>COUNTIFS(Monthly_Data!$B$6:$B$797,"&gt;="&amp;J54,Monthly_Data!$B$6:$B$797,"&lt;="&amp;K54,Monthly_Data!$C$6:$C$797,D54,Monthly_Data!$D$6:$D$797,C54,Monthly_Data!$I$6:$I$797,1)</x:f>
        <x:v>3</x:v>
      </x:c>
      <x:c r="O54" s="16" t="n">
        <x:f>IF(M54&gt;0,L54/M54,"n.a.")</x:f>
        <x:v>22.597536107277453</x:v>
      </x:c>
      <x:c r="P54" s="16" t="n">
        <x:f>IF(F54&gt;0,E54/F54-I54,"n.a.")</x:f>
        <x:v>0</x:v>
      </x:c>
      <x:c r="Q54" s="2" t="n">
        <x:f>COUNTIF($A$6:$A$125,A54)</x:f>
        <x:v>1</x:v>
      </x:c>
      <x:c r="R54" s="2" t="n">
        <x:f>ABS(P54)</x:f>
        <x:v>0</x:v>
      </x:c>
    </x:row>
    <x:row r="55" ht="22" customHeight="1">
      <x:c r="A55" s="2" t="str">
        <x:v>H1 2025|Vietnam|61091000</x:v>
      </x:c>
      <x:c r="B55" s="2" t="str">
        <x:v>H1 2025</x:v>
      </x:c>
      <x:c r="C55" s="2" t="str">
        <x:v>Vietnam</x:v>
      </x:c>
      <x:c r="D55" s="2" t="str">
        <x:v>61091000</x:v>
      </x:c>
      <x:c r="E55" s="14" t="n">
        <x:v>13823729</x:v>
      </x:c>
      <x:c r="F55" s="14" t="n">
        <x:v>647804</x:v>
      </x:c>
      <x:c r="G55" s="2" t="n">
        <x:v>6</x:v>
      </x:c>
      <x:c r="H55" s="2" t="n">
        <x:v>0</x:v>
      </x:c>
      <x:c r="I55" s="15" t="n">
        <x:v>21.339369624145576</x:v>
      </x:c>
      <x:c r="J55" s="2" t="n">
        <x:v>202501</x:v>
      </x:c>
      <x:c r="K55" s="2" t="n">
        <x:v>202506</x:v>
      </x:c>
      <x:c r="L55" s="14" t="n">
        <x:f>SUMIFS(Monthly_Data!$E$6:$E$797,Monthly_Data!$B$6:$B$797,"&gt;="&amp;J55,Monthly_Data!$B$6:$B$797,"&lt;="&amp;K55,Monthly_Data!$C$6:$C$797,D55,Monthly_Data!$D$6:$D$797,C55,Monthly_Data!$I$6:$I$797,1)</x:f>
        <x:v>5300473</x:v>
      </x:c>
      <x:c r="M55" s="14" t="n">
        <x:f>SUMIFS(Monthly_Data!$F$6:$F$797,Monthly_Data!$B$6:$B$797,"&gt;="&amp;J55,Monthly_Data!$B$6:$B$797,"&lt;="&amp;K55,Monthly_Data!$C$6:$C$797,D55,Monthly_Data!$D$6:$D$797,C55,Monthly_Data!$I$6:$I$797,1)</x:f>
        <x:v>238763</x:v>
      </x:c>
      <x:c r="N55" s="2" t="n">
        <x:f>COUNTIFS(Monthly_Data!$B$6:$B$797,"&gt;="&amp;J55,Monthly_Data!$B$6:$B$797,"&lt;="&amp;K55,Monthly_Data!$C$6:$C$797,D55,Monthly_Data!$D$6:$D$797,C55,Monthly_Data!$I$6:$I$797,1)</x:f>
        <x:v>3</x:v>
      </x:c>
      <x:c r="O55" s="16" t="n">
        <x:f>IF(M55&gt;0,L55/M55,"n.a.")</x:f>
        <x:v>22.199725250562274</x:v>
      </x:c>
      <x:c r="P55" s="16" t="n">
        <x:f>IF(F55&gt;0,E55/F55-I55,"n.a.")</x:f>
        <x:v>0</x:v>
      </x:c>
      <x:c r="Q55" s="2" t="n">
        <x:f>COUNTIF($A$6:$A$125,A55)</x:f>
        <x:v>1</x:v>
      </x:c>
      <x:c r="R55" s="2" t="n">
        <x:f>ABS(P55)</x:f>
        <x:v>0</x:v>
      </x:c>
    </x:row>
    <x:row r="56" ht="22" customHeight="1">
      <x:c r="A56" s="2" t="str">
        <x:v>H1 2025|Bangladesh|61103099</x:v>
      </x:c>
      <x:c r="B56" s="2" t="str">
        <x:v>H1 2025</x:v>
      </x:c>
      <x:c r="C56" s="2" t="str">
        <x:v>Bangladesh</x:v>
      </x:c>
      <x:c r="D56" s="2" t="str">
        <x:v>61103099</x:v>
      </x:c>
      <x:c r="E56" s="14" t="n">
        <x:v>43232053</x:v>
      </x:c>
      <x:c r="F56" s="14" t="n">
        <x:v>3424431</x:v>
      </x:c>
      <x:c r="G56" s="2" t="n">
        <x:v>6</x:v>
      </x:c>
      <x:c r="H56" s="2" t="n">
        <x:v>0</x:v>
      </x:c>
      <x:c r="I56" s="15" t="n">
        <x:v>12.624594567681463</x:v>
      </x:c>
      <x:c r="J56" s="2" t="n">
        <x:v>202501</x:v>
      </x:c>
      <x:c r="K56" s="2" t="n">
        <x:v>202506</x:v>
      </x:c>
      <x:c r="L56" s="14" t="n">
        <x:f>SUMIFS(Monthly_Data!$E$6:$E$797,Monthly_Data!$B$6:$B$797,"&gt;="&amp;J56,Monthly_Data!$B$6:$B$797,"&lt;="&amp;K56,Monthly_Data!$C$6:$C$797,D56,Monthly_Data!$D$6:$D$797,C56,Monthly_Data!$I$6:$I$797,1)</x:f>
        <x:v>43232053</x:v>
      </x:c>
      <x:c r="M56" s="14" t="n">
        <x:f>SUMIFS(Monthly_Data!$F$6:$F$797,Monthly_Data!$B$6:$B$797,"&gt;="&amp;J56,Monthly_Data!$B$6:$B$797,"&lt;="&amp;K56,Monthly_Data!$C$6:$C$797,D56,Monthly_Data!$D$6:$D$797,C56,Monthly_Data!$I$6:$I$797,1)</x:f>
        <x:v>3424431</x:v>
      </x:c>
      <x:c r="N56" s="2" t="n">
        <x:f>COUNTIFS(Monthly_Data!$B$6:$B$797,"&gt;="&amp;J56,Monthly_Data!$B$6:$B$797,"&lt;="&amp;K56,Monthly_Data!$C$6:$C$797,D56,Monthly_Data!$D$6:$D$797,C56,Monthly_Data!$I$6:$I$797,1)</x:f>
        <x:v>6</x:v>
      </x:c>
      <x:c r="O56" s="16" t="n">
        <x:f>IF(M56&gt;0,L56/M56,"n.a.")</x:f>
        <x:v>12.624594567681463</x:v>
      </x:c>
      <x:c r="P56" s="16" t="n">
        <x:f>IF(F56&gt;0,E56/F56-I56,"n.a.")</x:f>
        <x:v>0</x:v>
      </x:c>
      <x:c r="Q56" s="2" t="n">
        <x:f>COUNTIF($A$6:$A$125,A56)</x:f>
        <x:v>1</x:v>
      </x:c>
      <x:c r="R56" s="2" t="n">
        <x:f>ABS(P56)</x:f>
        <x:v>0</x:v>
      </x:c>
    </x:row>
    <x:row r="57" ht="22" customHeight="1">
      <x:c r="A57" s="2" t="str">
        <x:v>H1 2025|Cambodia|61103099</x:v>
      </x:c>
      <x:c r="B57" s="2" t="str">
        <x:v>H1 2025</x:v>
      </x:c>
      <x:c r="C57" s="2" t="str">
        <x:v>Cambodia</x:v>
      </x:c>
      <x:c r="D57" s="2" t="str">
        <x:v>61103099</x:v>
      </x:c>
      <x:c r="E57" s="14" t="n">
        <x:v>26147920</x:v>
      </x:c>
      <x:c r="F57" s="14" t="n">
        <x:v>2287952</x:v>
      </x:c>
      <x:c r="G57" s="2" t="n">
        <x:v>6</x:v>
      </x:c>
      <x:c r="H57" s="2" t="n">
        <x:v>0</x:v>
      </x:c>
      <x:c r="I57" s="15" t="n">
        <x:v>11.428526472583341</x:v>
      </x:c>
      <x:c r="J57" s="2" t="n">
        <x:v>202501</x:v>
      </x:c>
      <x:c r="K57" s="2" t="n">
        <x:v>202506</x:v>
      </x:c>
      <x:c r="L57" s="14" t="n">
        <x:f>SUMIFS(Monthly_Data!$E$6:$E$797,Monthly_Data!$B$6:$B$797,"&gt;="&amp;J57,Monthly_Data!$B$6:$B$797,"&lt;="&amp;K57,Monthly_Data!$C$6:$C$797,D57,Monthly_Data!$D$6:$D$797,C57,Monthly_Data!$I$6:$I$797,1)</x:f>
        <x:v>26147920</x:v>
      </x:c>
      <x:c r="M57" s="14" t="n">
        <x:f>SUMIFS(Monthly_Data!$F$6:$F$797,Monthly_Data!$B$6:$B$797,"&gt;="&amp;J57,Monthly_Data!$B$6:$B$797,"&lt;="&amp;K57,Monthly_Data!$C$6:$C$797,D57,Monthly_Data!$D$6:$D$797,C57,Monthly_Data!$I$6:$I$797,1)</x:f>
        <x:v>2287952</x:v>
      </x:c>
      <x:c r="N57" s="2" t="n">
        <x:f>COUNTIFS(Monthly_Data!$B$6:$B$797,"&gt;="&amp;J57,Monthly_Data!$B$6:$B$797,"&lt;="&amp;K57,Monthly_Data!$C$6:$C$797,D57,Monthly_Data!$D$6:$D$797,C57,Monthly_Data!$I$6:$I$797,1)</x:f>
        <x:v>6</x:v>
      </x:c>
      <x:c r="O57" s="16" t="n">
        <x:f>IF(M57&gt;0,L57/M57,"n.a.")</x:f>
        <x:v>11.428526472583341</x:v>
      </x:c>
      <x:c r="P57" s="16" t="n">
        <x:f>IF(F57&gt;0,E57/F57-I57,"n.a.")</x:f>
        <x:v>0</x:v>
      </x:c>
      <x:c r="Q57" s="2" t="n">
        <x:f>COUNTIF($A$6:$A$125,A57)</x:f>
        <x:v>1</x:v>
      </x:c>
      <x:c r="R57" s="2" t="n">
        <x:f>ABS(P57)</x:f>
        <x:v>0</x:v>
      </x:c>
    </x:row>
    <x:row r="58" ht="22" customHeight="1">
      <x:c r="A58" s="2" t="str">
        <x:v>H1 2025|China|61103099</x:v>
      </x:c>
      <x:c r="B58" s="2" t="str">
        <x:v>H1 2025</x:v>
      </x:c>
      <x:c r="C58" s="2" t="str">
        <x:v>China</x:v>
      </x:c>
      <x:c r="D58" s="2" t="str">
        <x:v>61103099</x:v>
      </x:c>
      <x:c r="E58" s="14" t="n">
        <x:v>48301351</x:v>
      </x:c>
      <x:c r="F58" s="14" t="n">
        <x:v>2829858</x:v>
      </x:c>
      <x:c r="G58" s="2" t="n">
        <x:v>6</x:v>
      </x:c>
      <x:c r="H58" s="2" t="n">
        <x:v>0</x:v>
      </x:c>
      <x:c r="I58" s="15" t="n">
        <x:v>17.068471633559</x:v>
      </x:c>
      <x:c r="J58" s="2" t="n">
        <x:v>202501</x:v>
      </x:c>
      <x:c r="K58" s="2" t="n">
        <x:v>202506</x:v>
      </x:c>
      <x:c r="L58" s="14" t="n">
        <x:f>SUMIFS(Monthly_Data!$E$6:$E$797,Monthly_Data!$B$6:$B$797,"&gt;="&amp;J58,Monthly_Data!$B$6:$B$797,"&lt;="&amp;K58,Monthly_Data!$C$6:$C$797,D58,Monthly_Data!$D$6:$D$797,C58,Monthly_Data!$I$6:$I$797,1)</x:f>
        <x:v>48301351</x:v>
      </x:c>
      <x:c r="M58" s="14" t="n">
        <x:f>SUMIFS(Monthly_Data!$F$6:$F$797,Monthly_Data!$B$6:$B$797,"&gt;="&amp;J58,Monthly_Data!$B$6:$B$797,"&lt;="&amp;K58,Monthly_Data!$C$6:$C$797,D58,Monthly_Data!$D$6:$D$797,C58,Monthly_Data!$I$6:$I$797,1)</x:f>
        <x:v>2829858</x:v>
      </x:c>
      <x:c r="N58" s="2" t="n">
        <x:f>COUNTIFS(Monthly_Data!$B$6:$B$797,"&gt;="&amp;J58,Monthly_Data!$B$6:$B$797,"&lt;="&amp;K58,Monthly_Data!$C$6:$C$797,D58,Monthly_Data!$D$6:$D$797,C58,Monthly_Data!$I$6:$I$797,1)</x:f>
        <x:v>6</x:v>
      </x:c>
      <x:c r="O58" s="16" t="n">
        <x:f>IF(M58&gt;0,L58/M58,"n.a.")</x:f>
        <x:v>17.068471633559</x:v>
      </x:c>
      <x:c r="P58" s="16" t="n">
        <x:f>IF(F58&gt;0,E58/F58-I58,"n.a.")</x:f>
        <x:v>0</x:v>
      </x:c>
      <x:c r="Q58" s="2" t="n">
        <x:f>COUNTIF($A$6:$A$125,A58)</x:f>
        <x:v>1</x:v>
      </x:c>
      <x:c r="R58" s="2" t="n">
        <x:f>ABS(P58)</x:f>
        <x:v>0</x:v>
      </x:c>
    </x:row>
    <x:row r="59" ht="22" customHeight="1">
      <x:c r="A59" s="2" t="str">
        <x:v>H1 2025|India|61103099</x:v>
      </x:c>
      <x:c r="B59" s="2" t="str">
        <x:v>H1 2025</x:v>
      </x:c>
      <x:c r="C59" s="2" t="str">
        <x:v>India</x:v>
      </x:c>
      <x:c r="D59" s="2" t="str">
        <x:v>61103099</x:v>
      </x:c>
      <x:c r="E59" s="14" t="n">
        <x:v>932801</x:v>
      </x:c>
      <x:c r="F59" s="14" t="n">
        <x:v>64901</x:v>
      </x:c>
      <x:c r="G59" s="2" t="n">
        <x:v>6</x:v>
      </x:c>
      <x:c r="H59" s="2" t="n">
        <x:v>0</x:v>
      </x:c>
      <x:c r="I59" s="15" t="n">
        <x:v>14.372675305465247</x:v>
      </x:c>
      <x:c r="J59" s="2" t="n">
        <x:v>202501</x:v>
      </x:c>
      <x:c r="K59" s="2" t="n">
        <x:v>202506</x:v>
      </x:c>
      <x:c r="L59" s="14" t="n">
        <x:f>SUMIFS(Monthly_Data!$E$6:$E$797,Monthly_Data!$B$6:$B$797,"&gt;="&amp;J59,Monthly_Data!$B$6:$B$797,"&lt;="&amp;K59,Monthly_Data!$C$6:$C$797,D59,Monthly_Data!$D$6:$D$797,C59,Monthly_Data!$I$6:$I$797,1)</x:f>
        <x:v>932801</x:v>
      </x:c>
      <x:c r="M59" s="14" t="n">
        <x:f>SUMIFS(Monthly_Data!$F$6:$F$797,Monthly_Data!$B$6:$B$797,"&gt;="&amp;J59,Monthly_Data!$B$6:$B$797,"&lt;="&amp;K59,Monthly_Data!$C$6:$C$797,D59,Monthly_Data!$D$6:$D$797,C59,Monthly_Data!$I$6:$I$797,1)</x:f>
        <x:v>64901</x:v>
      </x:c>
      <x:c r="N59" s="2" t="n">
        <x:f>COUNTIFS(Monthly_Data!$B$6:$B$797,"&gt;="&amp;J59,Monthly_Data!$B$6:$B$797,"&lt;="&amp;K59,Monthly_Data!$C$6:$C$797,D59,Monthly_Data!$D$6:$D$797,C59,Monthly_Data!$I$6:$I$797,1)</x:f>
        <x:v>6</x:v>
      </x:c>
      <x:c r="O59" s="16" t="n">
        <x:f>IF(M59&gt;0,L59/M59,"n.a.")</x:f>
        <x:v>14.372675305465247</x:v>
      </x:c>
      <x:c r="P59" s="16" t="n">
        <x:f>IF(F59&gt;0,E59/F59-I59,"n.a.")</x:f>
        <x:v>0</x:v>
      </x:c>
      <x:c r="Q59" s="2" t="n">
        <x:f>COUNTIF($A$6:$A$125,A59)</x:f>
        <x:v>1</x:v>
      </x:c>
      <x:c r="R59" s="2" t="n">
        <x:f>ABS(P59)</x:f>
        <x:v>0</x:v>
      </x:c>
    </x:row>
    <x:row r="60" ht="22" customHeight="1">
      <x:c r="A60" s="2" t="str">
        <x:v>H1 2025|Morocco|61103099</x:v>
      </x:c>
      <x:c r="B60" s="2" t="str">
        <x:v>H1 2025</x:v>
      </x:c>
      <x:c r="C60" s="2" t="str">
        <x:v>Morocco</x:v>
      </x:c>
      <x:c r="D60" s="2" t="str">
        <x:v>61103099</x:v>
      </x:c>
      <x:c r="E60" s="14" t="n">
        <x:v>177153</x:v>
      </x:c>
      <x:c r="F60" s="14" t="n">
        <x:v>12853</x:v>
      </x:c>
      <x:c r="G60" s="2" t="n">
        <x:v>6</x:v>
      </x:c>
      <x:c r="H60" s="2" t="n">
        <x:v>0</x:v>
      </x:c>
      <x:c r="I60" s="15" t="n">
        <x:v>13.783007858087606</x:v>
      </x:c>
      <x:c r="J60" s="2" t="n">
        <x:v>202501</x:v>
      </x:c>
      <x:c r="K60" s="2" t="n">
        <x:v>202506</x:v>
      </x:c>
      <x:c r="L60" s="14" t="n">
        <x:f>SUMIFS(Monthly_Data!$E$6:$E$797,Monthly_Data!$B$6:$B$797,"&gt;="&amp;J60,Monthly_Data!$B$6:$B$797,"&lt;="&amp;K60,Monthly_Data!$C$6:$C$797,D60,Monthly_Data!$D$6:$D$797,C60,Monthly_Data!$I$6:$I$797,1)</x:f>
        <x:v>177153</x:v>
      </x:c>
      <x:c r="M60" s="14" t="n">
        <x:f>SUMIFS(Monthly_Data!$F$6:$F$797,Monthly_Data!$B$6:$B$797,"&gt;="&amp;J60,Monthly_Data!$B$6:$B$797,"&lt;="&amp;K60,Monthly_Data!$C$6:$C$797,D60,Monthly_Data!$D$6:$D$797,C60,Monthly_Data!$I$6:$I$797,1)</x:f>
        <x:v>12853</x:v>
      </x:c>
      <x:c r="N60" s="2" t="n">
        <x:f>COUNTIFS(Monthly_Data!$B$6:$B$797,"&gt;="&amp;J60,Monthly_Data!$B$6:$B$797,"&lt;="&amp;K60,Monthly_Data!$C$6:$C$797,D60,Monthly_Data!$D$6:$D$797,C60,Monthly_Data!$I$6:$I$797,1)</x:f>
        <x:v>6</x:v>
      </x:c>
      <x:c r="O60" s="16" t="n">
        <x:f>IF(M60&gt;0,L60/M60,"n.a.")</x:f>
        <x:v>13.783007858087606</x:v>
      </x:c>
      <x:c r="P60" s="16" t="n">
        <x:f>IF(F60&gt;0,E60/F60-I60,"n.a.")</x:f>
        <x:v>0</x:v>
      </x:c>
      <x:c r="Q60" s="2" t="n">
        <x:f>COUNTIF($A$6:$A$125,A60)</x:f>
        <x:v>1</x:v>
      </x:c>
      <x:c r="R60" s="2" t="n">
        <x:f>ABS(P60)</x:f>
        <x:v>0</x:v>
      </x:c>
    </x:row>
    <x:row r="61" ht="22" customHeight="1">
      <x:c r="A61" s="2" t="str">
        <x:v>H1 2025|Myanmar|61103099</x:v>
      </x:c>
      <x:c r="B61" s="2" t="str">
        <x:v>H1 2025</x:v>
      </x:c>
      <x:c r="C61" s="2" t="str">
        <x:v>Myanmar</x:v>
      </x:c>
      <x:c r="D61" s="2" t="str">
        <x:v>61103099</x:v>
      </x:c>
      <x:c r="E61" s="14" t="n">
        <x:v>1277975</x:v>
      </x:c>
      <x:c r="F61" s="14" t="n">
        <x:v>75072</x:v>
      </x:c>
      <x:c r="G61" s="2" t="n">
        <x:v>6</x:v>
      </x:c>
      <x:c r="H61" s="2" t="n">
        <x:v>0</x:v>
      </x:c>
      <x:c r="I61" s="15" t="n">
        <x:v>17.02332427536232</x:v>
      </x:c>
      <x:c r="J61" s="2" t="n">
        <x:v>202501</x:v>
      </x:c>
      <x:c r="K61" s="2" t="n">
        <x:v>202506</x:v>
      </x:c>
      <x:c r="L61" s="14" t="n">
        <x:f>SUMIFS(Monthly_Data!$E$6:$E$797,Monthly_Data!$B$6:$B$797,"&gt;="&amp;J61,Monthly_Data!$B$6:$B$797,"&lt;="&amp;K61,Monthly_Data!$C$6:$C$797,D61,Monthly_Data!$D$6:$D$797,C61,Monthly_Data!$I$6:$I$797,1)</x:f>
        <x:v>1277975</x:v>
      </x:c>
      <x:c r="M61" s="14" t="n">
        <x:f>SUMIFS(Monthly_Data!$F$6:$F$797,Monthly_Data!$B$6:$B$797,"&gt;="&amp;J61,Monthly_Data!$B$6:$B$797,"&lt;="&amp;K61,Monthly_Data!$C$6:$C$797,D61,Monthly_Data!$D$6:$D$797,C61,Monthly_Data!$I$6:$I$797,1)</x:f>
        <x:v>75072</x:v>
      </x:c>
      <x:c r="N61" s="2" t="n">
        <x:f>COUNTIFS(Monthly_Data!$B$6:$B$797,"&gt;="&amp;J61,Monthly_Data!$B$6:$B$797,"&lt;="&amp;K61,Monthly_Data!$C$6:$C$797,D61,Monthly_Data!$D$6:$D$797,C61,Monthly_Data!$I$6:$I$797,1)</x:f>
        <x:v>6</x:v>
      </x:c>
      <x:c r="O61" s="16" t="n">
        <x:f>IF(M61&gt;0,L61/M61,"n.a.")</x:f>
        <x:v>17.02332427536232</x:v>
      </x:c>
      <x:c r="P61" s="16" t="n">
        <x:f>IF(F61&gt;0,E61/F61-I61,"n.a.")</x:f>
        <x:v>0</x:v>
      </x:c>
      <x:c r="Q61" s="2" t="n">
        <x:f>COUNTIF($A$6:$A$125,A61)</x:f>
        <x:v>1</x:v>
      </x:c>
      <x:c r="R61" s="2" t="n">
        <x:f>ABS(P61)</x:f>
        <x:v>0</x:v>
      </x:c>
    </x:row>
    <x:row r="62" ht="22" customHeight="1">
      <x:c r="A62" s="2" t="str">
        <x:v>H1 2025|Pakistan|61103099</x:v>
      </x:c>
      <x:c r="B62" s="2" t="str">
        <x:v>H1 2025</x:v>
      </x:c>
      <x:c r="C62" s="2" t="str">
        <x:v>Pakistan</x:v>
      </x:c>
      <x:c r="D62" s="2" t="str">
        <x:v>61103099</x:v>
      </x:c>
      <x:c r="E62" s="14" t="n">
        <x:v>2863632</x:v>
      </x:c>
      <x:c r="F62" s="14" t="n">
        <x:v>208997</x:v>
      </x:c>
      <x:c r="G62" s="2" t="n">
        <x:v>6</x:v>
      </x:c>
      <x:c r="H62" s="2" t="n">
        <x:v>0</x:v>
      </x:c>
      <x:c r="I62" s="15" t="n">
        <x:v>13.701785193088895</x:v>
      </x:c>
      <x:c r="J62" s="2" t="n">
        <x:v>202501</x:v>
      </x:c>
      <x:c r="K62" s="2" t="n">
        <x:v>202506</x:v>
      </x:c>
      <x:c r="L62" s="14" t="n">
        <x:f>SUMIFS(Monthly_Data!$E$6:$E$797,Monthly_Data!$B$6:$B$797,"&gt;="&amp;J62,Monthly_Data!$B$6:$B$797,"&lt;="&amp;K62,Monthly_Data!$C$6:$C$797,D62,Monthly_Data!$D$6:$D$797,C62,Monthly_Data!$I$6:$I$797,1)</x:f>
        <x:v>2863632</x:v>
      </x:c>
      <x:c r="M62" s="14" t="n">
        <x:f>SUMIFS(Monthly_Data!$F$6:$F$797,Monthly_Data!$B$6:$B$797,"&gt;="&amp;J62,Monthly_Data!$B$6:$B$797,"&lt;="&amp;K62,Monthly_Data!$C$6:$C$797,D62,Monthly_Data!$D$6:$D$797,C62,Monthly_Data!$I$6:$I$797,1)</x:f>
        <x:v>208997</x:v>
      </x:c>
      <x:c r="N62" s="2" t="n">
        <x:f>COUNTIFS(Monthly_Data!$B$6:$B$797,"&gt;="&amp;J62,Monthly_Data!$B$6:$B$797,"&lt;="&amp;K62,Monthly_Data!$C$6:$C$797,D62,Monthly_Data!$D$6:$D$797,C62,Monthly_Data!$I$6:$I$797,1)</x:f>
        <x:v>6</x:v>
      </x:c>
      <x:c r="O62" s="16" t="n">
        <x:f>IF(M62&gt;0,L62/M62,"n.a.")</x:f>
        <x:v>13.701785193088895</x:v>
      </x:c>
      <x:c r="P62" s="16" t="n">
        <x:f>IF(F62&gt;0,E62/F62-I62,"n.a.")</x:f>
        <x:v>0</x:v>
      </x:c>
      <x:c r="Q62" s="2" t="n">
        <x:f>COUNTIF($A$6:$A$125,A62)</x:f>
        <x:v>1</x:v>
      </x:c>
      <x:c r="R62" s="2" t="n">
        <x:f>ABS(P62)</x:f>
        <x:v>0</x:v>
      </x:c>
    </x:row>
    <x:row r="63" ht="22" customHeight="1">
      <x:c r="A63" s="2" t="str">
        <x:v>H1 2025|Sri Lanka|61103099</x:v>
      </x:c>
      <x:c r="B63" s="2" t="str">
        <x:v>H1 2025</x:v>
      </x:c>
      <x:c r="C63" s="2" t="str">
        <x:v>Sri Lanka</x:v>
      </x:c>
      <x:c r="D63" s="2" t="str">
        <x:v>61103099</x:v>
      </x:c>
      <x:c r="E63" s="14" t="n">
        <x:v>707193</x:v>
      </x:c>
      <x:c r="F63" s="14" t="n">
        <x:v>37952</x:v>
      </x:c>
      <x:c r="G63" s="2" t="n">
        <x:v>6</x:v>
      </x:c>
      <x:c r="H63" s="2" t="n">
        <x:v>0</x:v>
      </x:c>
      <x:c r="I63" s="15" t="n">
        <x:v>18.633879637436763</x:v>
      </x:c>
      <x:c r="J63" s="2" t="n">
        <x:v>202501</x:v>
      </x:c>
      <x:c r="K63" s="2" t="n">
        <x:v>202506</x:v>
      </x:c>
      <x:c r="L63" s="14" t="n">
        <x:f>SUMIFS(Monthly_Data!$E$6:$E$797,Monthly_Data!$B$6:$B$797,"&gt;="&amp;J63,Monthly_Data!$B$6:$B$797,"&lt;="&amp;K63,Monthly_Data!$C$6:$C$797,D63,Monthly_Data!$D$6:$D$797,C63,Monthly_Data!$I$6:$I$797,1)</x:f>
        <x:v>707193</x:v>
      </x:c>
      <x:c r="M63" s="14" t="n">
        <x:f>SUMIFS(Monthly_Data!$F$6:$F$797,Monthly_Data!$B$6:$B$797,"&gt;="&amp;J63,Monthly_Data!$B$6:$B$797,"&lt;="&amp;K63,Monthly_Data!$C$6:$C$797,D63,Monthly_Data!$D$6:$D$797,C63,Monthly_Data!$I$6:$I$797,1)</x:f>
        <x:v>37952</x:v>
      </x:c>
      <x:c r="N63" s="2" t="n">
        <x:f>COUNTIFS(Monthly_Data!$B$6:$B$797,"&gt;="&amp;J63,Monthly_Data!$B$6:$B$797,"&lt;="&amp;K63,Monthly_Data!$C$6:$C$797,D63,Monthly_Data!$D$6:$D$797,C63,Monthly_Data!$I$6:$I$797,1)</x:f>
        <x:v>6</x:v>
      </x:c>
      <x:c r="O63" s="16" t="n">
        <x:f>IF(M63&gt;0,L63/M63,"n.a.")</x:f>
        <x:v>18.633879637436763</x:v>
      </x:c>
      <x:c r="P63" s="16" t="n">
        <x:f>IF(F63&gt;0,E63/F63-I63,"n.a.")</x:f>
        <x:v>0</x:v>
      </x:c>
      <x:c r="Q63" s="2" t="n">
        <x:f>COUNTIF($A$6:$A$125,A63)</x:f>
        <x:v>1</x:v>
      </x:c>
      <x:c r="R63" s="2" t="n">
        <x:f>ABS(P63)</x:f>
        <x:v>0</x:v>
      </x:c>
    </x:row>
    <x:row r="64" ht="22" customHeight="1">
      <x:c r="A64" s="2" t="str">
        <x:v>H1 2025|Turkey|61103099</x:v>
      </x:c>
      <x:c r="B64" s="2" t="str">
        <x:v>H1 2025</x:v>
      </x:c>
      <x:c r="C64" s="2" t="str">
        <x:v>Turkey</x:v>
      </x:c>
      <x:c r="D64" s="2" t="str">
        <x:v>61103099</x:v>
      </x:c>
      <x:c r="E64" s="14" t="n">
        <x:v>19881485</x:v>
      </x:c>
      <x:c r="F64" s="14" t="n">
        <x:v>1087527</x:v>
      </x:c>
      <x:c r="G64" s="2" t="n">
        <x:v>6</x:v>
      </x:c>
      <x:c r="H64" s="2" t="n">
        <x:v>0</x:v>
      </x:c>
      <x:c r="I64" s="15" t="n">
        <x:v>18.281371405031784</x:v>
      </x:c>
      <x:c r="J64" s="2" t="n">
        <x:v>202501</x:v>
      </x:c>
      <x:c r="K64" s="2" t="n">
        <x:v>202506</x:v>
      </x:c>
      <x:c r="L64" s="14" t="n">
        <x:f>SUMIFS(Monthly_Data!$E$6:$E$797,Monthly_Data!$B$6:$B$797,"&gt;="&amp;J64,Monthly_Data!$B$6:$B$797,"&lt;="&amp;K64,Monthly_Data!$C$6:$C$797,D64,Monthly_Data!$D$6:$D$797,C64,Monthly_Data!$I$6:$I$797,1)</x:f>
        <x:v>19881485</x:v>
      </x:c>
      <x:c r="M64" s="14" t="n">
        <x:f>SUMIFS(Monthly_Data!$F$6:$F$797,Monthly_Data!$B$6:$B$797,"&gt;="&amp;J64,Monthly_Data!$B$6:$B$797,"&lt;="&amp;K64,Monthly_Data!$C$6:$C$797,D64,Monthly_Data!$D$6:$D$797,C64,Monthly_Data!$I$6:$I$797,1)</x:f>
        <x:v>1087527</x:v>
      </x:c>
      <x:c r="N64" s="2" t="n">
        <x:f>COUNTIFS(Monthly_Data!$B$6:$B$797,"&gt;="&amp;J64,Monthly_Data!$B$6:$B$797,"&lt;="&amp;K64,Monthly_Data!$C$6:$C$797,D64,Monthly_Data!$D$6:$D$797,C64,Monthly_Data!$I$6:$I$797,1)</x:f>
        <x:v>6</x:v>
      </x:c>
      <x:c r="O64" s="16" t="n">
        <x:f>IF(M64&gt;0,L64/M64,"n.a.")</x:f>
        <x:v>18.281371405031784</x:v>
      </x:c>
      <x:c r="P64" s="16" t="n">
        <x:f>IF(F64&gt;0,E64/F64-I64,"n.a.")</x:f>
        <x:v>0</x:v>
      </x:c>
      <x:c r="Q64" s="2" t="n">
        <x:f>COUNTIF($A$6:$A$125,A64)</x:f>
        <x:v>1</x:v>
      </x:c>
      <x:c r="R64" s="2" t="n">
        <x:f>ABS(P64)</x:f>
        <x:v>0</x:v>
      </x:c>
    </x:row>
    <x:row r="65" ht="22" customHeight="1">
      <x:c r="A65" s="2" t="str">
        <x:v>H1 2025|Vietnam|61103099</x:v>
      </x:c>
      <x:c r="B65" s="2" t="str">
        <x:v>H1 2025</x:v>
      </x:c>
      <x:c r="C65" s="2" t="str">
        <x:v>Vietnam</x:v>
      </x:c>
      <x:c r="D65" s="2" t="str">
        <x:v>61103099</x:v>
      </x:c>
      <x:c r="E65" s="14" t="n">
        <x:v>4270297</x:v>
      </x:c>
      <x:c r="F65" s="14" t="n">
        <x:v>151487</x:v>
      </x:c>
      <x:c r="G65" s="2" t="n">
        <x:v>6</x:v>
      </x:c>
      <x:c r="H65" s="2" t="n">
        <x:v>0</x:v>
      </x:c>
      <x:c r="I65" s="15" t="n">
        <x:v>28.189197752942498</x:v>
      </x:c>
      <x:c r="J65" s="2" t="n">
        <x:v>202501</x:v>
      </x:c>
      <x:c r="K65" s="2" t="n">
        <x:v>202506</x:v>
      </x:c>
      <x:c r="L65" s="14" t="n">
        <x:f>SUMIFS(Monthly_Data!$E$6:$E$797,Monthly_Data!$B$6:$B$797,"&gt;="&amp;J65,Monthly_Data!$B$6:$B$797,"&lt;="&amp;K65,Monthly_Data!$C$6:$C$797,D65,Monthly_Data!$D$6:$D$797,C65,Monthly_Data!$I$6:$I$797,1)</x:f>
        <x:v>4270297</x:v>
      </x:c>
      <x:c r="M65" s="14" t="n">
        <x:f>SUMIFS(Monthly_Data!$F$6:$F$797,Monthly_Data!$B$6:$B$797,"&gt;="&amp;J65,Monthly_Data!$B$6:$B$797,"&lt;="&amp;K65,Monthly_Data!$C$6:$C$797,D65,Monthly_Data!$D$6:$D$797,C65,Monthly_Data!$I$6:$I$797,1)</x:f>
        <x:v>151487</x:v>
      </x:c>
      <x:c r="N65" s="2" t="n">
        <x:f>COUNTIFS(Monthly_Data!$B$6:$B$797,"&gt;="&amp;J65,Monthly_Data!$B$6:$B$797,"&lt;="&amp;K65,Monthly_Data!$C$6:$C$797,D65,Monthly_Data!$D$6:$D$797,C65,Monthly_Data!$I$6:$I$797,1)</x:f>
        <x:v>6</x:v>
      </x:c>
      <x:c r="O65" s="16" t="n">
        <x:f>IF(M65&gt;0,L65/M65,"n.a.")</x:f>
        <x:v>28.189197752942498</x:v>
      </x:c>
      <x:c r="P65" s="16" t="n">
        <x:f>IF(F65&gt;0,E65/F65-I65,"n.a.")</x:f>
        <x:v>0</x:v>
      </x:c>
      <x:c r="Q65" s="2" t="n">
        <x:f>COUNTIF($A$6:$A$125,A65)</x:f>
        <x:v>1</x:v>
      </x:c>
      <x:c r="R65" s="2" t="n">
        <x:f>ABS(P65)</x:f>
        <x:v>0</x:v>
      </x:c>
    </x:row>
    <x:row r="66" ht="22" customHeight="1">
      <x:c r="A66" s="2" t="str">
        <x:v>H1 2025|Bangladesh|62044300</x:v>
      </x:c>
      <x:c r="B66" s="2" t="str">
        <x:v>H1 2025</x:v>
      </x:c>
      <x:c r="C66" s="2" t="str">
        <x:v>Bangladesh</x:v>
      </x:c>
      <x:c r="D66" s="2" t="str">
        <x:v>62044300</x:v>
      </x:c>
      <x:c r="E66" s="14" t="n">
        <x:v>6638434</x:v>
      </x:c>
      <x:c r="F66" s="14" t="n">
        <x:v>395583</x:v>
      </x:c>
      <x:c r="G66" s="2" t="n">
        <x:v>6</x:v>
      </x:c>
      <x:c r="H66" s="2" t="n">
        <x:v>0</x:v>
      </x:c>
      <x:c r="I66" s="15" t="n">
        <x:v>16.781393538144965</x:v>
      </x:c>
      <x:c r="J66" s="2" t="n">
        <x:v>202501</x:v>
      </x:c>
      <x:c r="K66" s="2" t="n">
        <x:v>202506</x:v>
      </x:c>
      <x:c r="L66" s="14" t="n">
        <x:f>SUMIFS(Monthly_Data!$E$6:$E$797,Monthly_Data!$B$6:$B$797,"&gt;="&amp;J66,Monthly_Data!$B$6:$B$797,"&lt;="&amp;K66,Monthly_Data!$C$6:$C$797,D66,Monthly_Data!$D$6:$D$797,C66,Monthly_Data!$I$6:$I$797,1)</x:f>
        <x:v>6638434</x:v>
      </x:c>
      <x:c r="M66" s="14" t="n">
        <x:f>SUMIFS(Monthly_Data!$F$6:$F$797,Monthly_Data!$B$6:$B$797,"&gt;="&amp;J66,Monthly_Data!$B$6:$B$797,"&lt;="&amp;K66,Monthly_Data!$C$6:$C$797,D66,Monthly_Data!$D$6:$D$797,C66,Monthly_Data!$I$6:$I$797,1)</x:f>
        <x:v>395583</x:v>
      </x:c>
      <x:c r="N66" s="2" t="n">
        <x:f>COUNTIFS(Monthly_Data!$B$6:$B$797,"&gt;="&amp;J66,Monthly_Data!$B$6:$B$797,"&lt;="&amp;K66,Monthly_Data!$C$6:$C$797,D66,Monthly_Data!$D$6:$D$797,C66,Monthly_Data!$I$6:$I$797,1)</x:f>
        <x:v>6</x:v>
      </x:c>
      <x:c r="O66" s="16" t="n">
        <x:f>IF(M66&gt;0,L66/M66,"n.a.")</x:f>
        <x:v>16.781393538144965</x:v>
      </x:c>
      <x:c r="P66" s="16" t="n">
        <x:f>IF(F66&gt;0,E66/F66-I66,"n.a.")</x:f>
        <x:v>0</x:v>
      </x:c>
      <x:c r="Q66" s="2" t="n">
        <x:f>COUNTIF($A$6:$A$125,A66)</x:f>
        <x:v>1</x:v>
      </x:c>
      <x:c r="R66" s="2" t="n">
        <x:f>ABS(P66)</x:f>
        <x:v>0</x:v>
      </x:c>
    </x:row>
    <x:row r="67" ht="22" customHeight="1">
      <x:c r="A67" s="2" t="str">
        <x:v>H1 2025|Cambodia|62044300</x:v>
      </x:c>
      <x:c r="B67" s="2" t="str">
        <x:v>H1 2025</x:v>
      </x:c>
      <x:c r="C67" s="2" t="str">
        <x:v>Cambodia</x:v>
      </x:c>
      <x:c r="D67" s="2" t="str">
        <x:v>62044300</x:v>
      </x:c>
      <x:c r="E67" s="14" t="n">
        <x:v>1967492</x:v>
      </x:c>
      <x:c r="F67" s="14" t="n">
        <x:v>114785</x:v>
      </x:c>
      <x:c r="G67" s="2" t="n">
        <x:v>6</x:v>
      </x:c>
      <x:c r="H67" s="2" t="n">
        <x:v>0</x:v>
      </x:c>
      <x:c r="I67" s="15" t="n">
        <x:v>17.1406716905519</x:v>
      </x:c>
      <x:c r="J67" s="2" t="n">
        <x:v>202501</x:v>
      </x:c>
      <x:c r="K67" s="2" t="n">
        <x:v>202506</x:v>
      </x:c>
      <x:c r="L67" s="14" t="n">
        <x:f>SUMIFS(Monthly_Data!$E$6:$E$797,Monthly_Data!$B$6:$B$797,"&gt;="&amp;J67,Monthly_Data!$B$6:$B$797,"&lt;="&amp;K67,Monthly_Data!$C$6:$C$797,D67,Monthly_Data!$D$6:$D$797,C67,Monthly_Data!$I$6:$I$797,1)</x:f>
        <x:v>1967492</x:v>
      </x:c>
      <x:c r="M67" s="14" t="n">
        <x:f>SUMIFS(Monthly_Data!$F$6:$F$797,Monthly_Data!$B$6:$B$797,"&gt;="&amp;J67,Monthly_Data!$B$6:$B$797,"&lt;="&amp;K67,Monthly_Data!$C$6:$C$797,D67,Monthly_Data!$D$6:$D$797,C67,Monthly_Data!$I$6:$I$797,1)</x:f>
        <x:v>114785</x:v>
      </x:c>
      <x:c r="N67" s="2" t="n">
        <x:f>COUNTIFS(Monthly_Data!$B$6:$B$797,"&gt;="&amp;J67,Monthly_Data!$B$6:$B$797,"&lt;="&amp;K67,Monthly_Data!$C$6:$C$797,D67,Monthly_Data!$D$6:$D$797,C67,Monthly_Data!$I$6:$I$797,1)</x:f>
        <x:v>6</x:v>
      </x:c>
      <x:c r="O67" s="16" t="n">
        <x:f>IF(M67&gt;0,L67/M67,"n.a.")</x:f>
        <x:v>17.1406716905519</x:v>
      </x:c>
      <x:c r="P67" s="16" t="n">
        <x:f>IF(F67&gt;0,E67/F67-I67,"n.a.")</x:f>
        <x:v>0</x:v>
      </x:c>
      <x:c r="Q67" s="2" t="n">
        <x:f>COUNTIF($A$6:$A$125,A67)</x:f>
        <x:v>1</x:v>
      </x:c>
      <x:c r="R67" s="2" t="n">
        <x:f>ABS(P67)</x:f>
        <x:v>0</x:v>
      </x:c>
    </x:row>
    <x:row r="68" ht="22" customHeight="1">
      <x:c r="A68" s="2" t="str">
        <x:v>H1 2025|China|62044300</x:v>
      </x:c>
      <x:c r="B68" s="2" t="str">
        <x:v>H1 2025</x:v>
      </x:c>
      <x:c r="C68" s="2" t="str">
        <x:v>China</x:v>
      </x:c>
      <x:c r="D68" s="2" t="str">
        <x:v>62044300</x:v>
      </x:c>
      <x:c r="E68" s="14" t="n">
        <x:v>49523896</x:v>
      </x:c>
      <x:c r="F68" s="14" t="n">
        <x:v>1751053</x:v>
      </x:c>
      <x:c r="G68" s="2" t="n">
        <x:v>6</x:v>
      </x:c>
      <x:c r="H68" s="2" t="n">
        <x:v>0</x:v>
      </x:c>
      <x:c r="I68" s="15" t="n">
        <x:v>28.282351248077585</x:v>
      </x:c>
      <x:c r="J68" s="2" t="n">
        <x:v>202501</x:v>
      </x:c>
      <x:c r="K68" s="2" t="n">
        <x:v>202506</x:v>
      </x:c>
      <x:c r="L68" s="14" t="n">
        <x:f>SUMIFS(Monthly_Data!$E$6:$E$797,Monthly_Data!$B$6:$B$797,"&gt;="&amp;J68,Monthly_Data!$B$6:$B$797,"&lt;="&amp;K68,Monthly_Data!$C$6:$C$797,D68,Monthly_Data!$D$6:$D$797,C68,Monthly_Data!$I$6:$I$797,1)</x:f>
        <x:v>49523896</x:v>
      </x:c>
      <x:c r="M68" s="14" t="n">
        <x:f>SUMIFS(Monthly_Data!$F$6:$F$797,Monthly_Data!$B$6:$B$797,"&gt;="&amp;J68,Monthly_Data!$B$6:$B$797,"&lt;="&amp;K68,Monthly_Data!$C$6:$C$797,D68,Monthly_Data!$D$6:$D$797,C68,Monthly_Data!$I$6:$I$797,1)</x:f>
        <x:v>1751053</x:v>
      </x:c>
      <x:c r="N68" s="2" t="n">
        <x:f>COUNTIFS(Monthly_Data!$B$6:$B$797,"&gt;="&amp;J68,Monthly_Data!$B$6:$B$797,"&lt;="&amp;K68,Monthly_Data!$C$6:$C$797,D68,Monthly_Data!$D$6:$D$797,C68,Monthly_Data!$I$6:$I$797,1)</x:f>
        <x:v>6</x:v>
      </x:c>
      <x:c r="O68" s="16" t="n">
        <x:f>IF(M68&gt;0,L68/M68,"n.a.")</x:f>
        <x:v>28.282351248077585</x:v>
      </x:c>
      <x:c r="P68" s="16" t="n">
        <x:f>IF(F68&gt;0,E68/F68-I68,"n.a.")</x:f>
        <x:v>0</x:v>
      </x:c>
      <x:c r="Q68" s="2" t="n">
        <x:f>COUNTIF($A$6:$A$125,A68)</x:f>
        <x:v>1</x:v>
      </x:c>
      <x:c r="R68" s="2" t="n">
        <x:f>ABS(P68)</x:f>
        <x:v>0</x:v>
      </x:c>
    </x:row>
    <x:row r="69" ht="22" customHeight="1">
      <x:c r="A69" s="2" t="str">
        <x:v>H1 2025|India|62044300</x:v>
      </x:c>
      <x:c r="B69" s="2" t="str">
        <x:v>H1 2025</x:v>
      </x:c>
      <x:c r="C69" s="2" t="str">
        <x:v>India</x:v>
      </x:c>
      <x:c r="D69" s="2" t="str">
        <x:v>62044300</x:v>
      </x:c>
      <x:c r="E69" s="14" t="n">
        <x:v>20894616</x:v>
      </x:c>
      <x:c r="F69" s="14" t="n">
        <x:v>746374</x:v>
      </x:c>
      <x:c r="G69" s="2" t="n">
        <x:v>6</x:v>
      </x:c>
      <x:c r="H69" s="2" t="n">
        <x:v>0</x:v>
      </x:c>
      <x:c r="I69" s="15" t="n">
        <x:v>27.994833689276422</x:v>
      </x:c>
      <x:c r="J69" s="2" t="n">
        <x:v>202501</x:v>
      </x:c>
      <x:c r="K69" s="2" t="n">
        <x:v>202506</x:v>
      </x:c>
      <x:c r="L69" s="14" t="n">
        <x:f>SUMIFS(Monthly_Data!$E$6:$E$797,Monthly_Data!$B$6:$B$797,"&gt;="&amp;J69,Monthly_Data!$B$6:$B$797,"&lt;="&amp;K69,Monthly_Data!$C$6:$C$797,D69,Monthly_Data!$D$6:$D$797,C69,Monthly_Data!$I$6:$I$797,1)</x:f>
        <x:v>20894616</x:v>
      </x:c>
      <x:c r="M69" s="14" t="n">
        <x:f>SUMIFS(Monthly_Data!$F$6:$F$797,Monthly_Data!$B$6:$B$797,"&gt;="&amp;J69,Monthly_Data!$B$6:$B$797,"&lt;="&amp;K69,Monthly_Data!$C$6:$C$797,D69,Monthly_Data!$D$6:$D$797,C69,Monthly_Data!$I$6:$I$797,1)</x:f>
        <x:v>746374</x:v>
      </x:c>
      <x:c r="N69" s="2" t="n">
        <x:f>COUNTIFS(Monthly_Data!$B$6:$B$797,"&gt;="&amp;J69,Monthly_Data!$B$6:$B$797,"&lt;="&amp;K69,Monthly_Data!$C$6:$C$797,D69,Monthly_Data!$D$6:$D$797,C69,Monthly_Data!$I$6:$I$797,1)</x:f>
        <x:v>6</x:v>
      </x:c>
      <x:c r="O69" s="16" t="n">
        <x:f>IF(M69&gt;0,L69/M69,"n.a.")</x:f>
        <x:v>27.994833689276422</x:v>
      </x:c>
      <x:c r="P69" s="16" t="n">
        <x:f>IF(F69&gt;0,E69/F69-I69,"n.a.")</x:f>
        <x:v>0</x:v>
      </x:c>
      <x:c r="Q69" s="2" t="n">
        <x:f>COUNTIF($A$6:$A$125,A69)</x:f>
        <x:v>1</x:v>
      </x:c>
      <x:c r="R69" s="2" t="n">
        <x:f>ABS(P69)</x:f>
        <x:v>0</x:v>
      </x:c>
    </x:row>
    <x:row r="70" ht="22" customHeight="1">
      <x:c r="A70" s="2" t="str">
        <x:v>H1 2025|Morocco|62044300</x:v>
      </x:c>
      <x:c r="B70" s="2" t="str">
        <x:v>H1 2025</x:v>
      </x:c>
      <x:c r="C70" s="2" t="str">
        <x:v>Morocco</x:v>
      </x:c>
      <x:c r="D70" s="2" t="str">
        <x:v>62044300</x:v>
      </x:c>
      <x:c r="E70" s="14" t="n">
        <x:v>6596648</x:v>
      </x:c>
      <x:c r="F70" s="14" t="n">
        <x:v>313649</x:v>
      </x:c>
      <x:c r="G70" s="2" t="n">
        <x:v>6</x:v>
      </x:c>
      <x:c r="H70" s="2" t="n">
        <x:v>0</x:v>
      </x:c>
      <x:c r="I70" s="15" t="n">
        <x:v>21.03194335068819</x:v>
      </x:c>
      <x:c r="J70" s="2" t="n">
        <x:v>202501</x:v>
      </x:c>
      <x:c r="K70" s="2" t="n">
        <x:v>202506</x:v>
      </x:c>
      <x:c r="L70" s="14" t="n">
        <x:f>SUMIFS(Monthly_Data!$E$6:$E$797,Monthly_Data!$B$6:$B$797,"&gt;="&amp;J70,Monthly_Data!$B$6:$B$797,"&lt;="&amp;K70,Monthly_Data!$C$6:$C$797,D70,Monthly_Data!$D$6:$D$797,C70,Monthly_Data!$I$6:$I$797,1)</x:f>
        <x:v>6596648</x:v>
      </x:c>
      <x:c r="M70" s="14" t="n">
        <x:f>SUMIFS(Monthly_Data!$F$6:$F$797,Monthly_Data!$B$6:$B$797,"&gt;="&amp;J70,Monthly_Data!$B$6:$B$797,"&lt;="&amp;K70,Monthly_Data!$C$6:$C$797,D70,Monthly_Data!$D$6:$D$797,C70,Monthly_Data!$I$6:$I$797,1)</x:f>
        <x:v>313649</x:v>
      </x:c>
      <x:c r="N70" s="2" t="n">
        <x:f>COUNTIFS(Monthly_Data!$B$6:$B$797,"&gt;="&amp;J70,Monthly_Data!$B$6:$B$797,"&lt;="&amp;K70,Monthly_Data!$C$6:$C$797,D70,Monthly_Data!$D$6:$D$797,C70,Monthly_Data!$I$6:$I$797,1)</x:f>
        <x:v>6</x:v>
      </x:c>
      <x:c r="O70" s="16" t="n">
        <x:f>IF(M70&gt;0,L70/M70,"n.a.")</x:f>
        <x:v>21.03194335068819</x:v>
      </x:c>
      <x:c r="P70" s="16" t="n">
        <x:f>IF(F70&gt;0,E70/F70-I70,"n.a.")</x:f>
        <x:v>0</x:v>
      </x:c>
      <x:c r="Q70" s="2" t="n">
        <x:f>COUNTIF($A$6:$A$125,A70)</x:f>
        <x:v>1</x:v>
      </x:c>
      <x:c r="R70" s="2" t="n">
        <x:f>ABS(P70)</x:f>
        <x:v>0</x:v>
      </x:c>
    </x:row>
    <x:row r="71" ht="22" customHeight="1">
      <x:c r="A71" s="2" t="str">
        <x:v>H1 2025|Myanmar|62044300</x:v>
      </x:c>
      <x:c r="B71" s="2" t="str">
        <x:v>H1 2025</x:v>
      </x:c>
      <x:c r="C71" s="2" t="str">
        <x:v>Myanmar</x:v>
      </x:c>
      <x:c r="D71" s="2" t="str">
        <x:v>62044300</x:v>
      </x:c>
      <x:c r="E71" s="14" t="n">
        <x:v>2158407</x:v>
      </x:c>
      <x:c r="F71" s="14" t="n">
        <x:v>48030</x:v>
      </x:c>
      <x:c r="G71" s="2" t="n">
        <x:v>6</x:v>
      </x:c>
      <x:c r="H71" s="2" t="n">
        <x:v>0</x:v>
      </x:c>
      <x:c r="I71" s="15" t="n">
        <x:v>44.93872579637726</x:v>
      </x:c>
      <x:c r="J71" s="2" t="n">
        <x:v>202501</x:v>
      </x:c>
      <x:c r="K71" s="2" t="n">
        <x:v>202506</x:v>
      </x:c>
      <x:c r="L71" s="14" t="n">
        <x:f>SUMIFS(Monthly_Data!$E$6:$E$797,Monthly_Data!$B$6:$B$797,"&gt;="&amp;J71,Monthly_Data!$B$6:$B$797,"&lt;="&amp;K71,Monthly_Data!$C$6:$C$797,D71,Monthly_Data!$D$6:$D$797,C71,Monthly_Data!$I$6:$I$797,1)</x:f>
        <x:v>2158407</x:v>
      </x:c>
      <x:c r="M71" s="14" t="n">
        <x:f>SUMIFS(Monthly_Data!$F$6:$F$797,Monthly_Data!$B$6:$B$797,"&gt;="&amp;J71,Monthly_Data!$B$6:$B$797,"&lt;="&amp;K71,Monthly_Data!$C$6:$C$797,D71,Monthly_Data!$D$6:$D$797,C71,Monthly_Data!$I$6:$I$797,1)</x:f>
        <x:v>48030</x:v>
      </x:c>
      <x:c r="N71" s="2" t="n">
        <x:f>COUNTIFS(Monthly_Data!$B$6:$B$797,"&gt;="&amp;J71,Monthly_Data!$B$6:$B$797,"&lt;="&amp;K71,Monthly_Data!$C$6:$C$797,D71,Monthly_Data!$D$6:$D$797,C71,Monthly_Data!$I$6:$I$797,1)</x:f>
        <x:v>6</x:v>
      </x:c>
      <x:c r="O71" s="16" t="n">
        <x:f>IF(M71&gt;0,L71/M71,"n.a.")</x:f>
        <x:v>44.93872579637726</x:v>
      </x:c>
      <x:c r="P71" s="16" t="n">
        <x:f>IF(F71&gt;0,E71/F71-I71,"n.a.")</x:f>
        <x:v>0</x:v>
      </x:c>
      <x:c r="Q71" s="2" t="n">
        <x:f>COUNTIF($A$6:$A$125,A71)</x:f>
        <x:v>1</x:v>
      </x:c>
      <x:c r="R71" s="2" t="n">
        <x:f>ABS(P71)</x:f>
        <x:v>0</x:v>
      </x:c>
    </x:row>
    <x:row r="72" ht="22" customHeight="1">
      <x:c r="A72" s="2" t="str">
        <x:v>H1 2025|Pakistan|62044300</x:v>
      </x:c>
      <x:c r="B72" s="2" t="str">
        <x:v>H1 2025</x:v>
      </x:c>
      <x:c r="C72" s="2" t="str">
        <x:v>Pakistan</x:v>
      </x:c>
      <x:c r="D72" s="2" t="str">
        <x:v>62044300</x:v>
      </x:c>
      <x:c r="E72" s="14" t="n">
        <x:v>993215</x:v>
      </x:c>
      <x:c r="F72" s="14" t="n">
        <x:v>48507</x:v>
      </x:c>
      <x:c r="G72" s="2" t="n">
        <x:v>6</x:v>
      </x:c>
      <x:c r="H72" s="2" t="n">
        <x:v>0</x:v>
      </x:c>
      <x:c r="I72" s="15" t="n">
        <x:v>20.475704537489435</x:v>
      </x:c>
      <x:c r="J72" s="2" t="n">
        <x:v>202501</x:v>
      </x:c>
      <x:c r="K72" s="2" t="n">
        <x:v>202506</x:v>
      </x:c>
      <x:c r="L72" s="14" t="n">
        <x:f>SUMIFS(Monthly_Data!$E$6:$E$797,Monthly_Data!$B$6:$B$797,"&gt;="&amp;J72,Monthly_Data!$B$6:$B$797,"&lt;="&amp;K72,Monthly_Data!$C$6:$C$797,D72,Monthly_Data!$D$6:$D$797,C72,Monthly_Data!$I$6:$I$797,1)</x:f>
        <x:v>993215</x:v>
      </x:c>
      <x:c r="M72" s="14" t="n">
        <x:f>SUMIFS(Monthly_Data!$F$6:$F$797,Monthly_Data!$B$6:$B$797,"&gt;="&amp;J72,Monthly_Data!$B$6:$B$797,"&lt;="&amp;K72,Monthly_Data!$C$6:$C$797,D72,Monthly_Data!$D$6:$D$797,C72,Monthly_Data!$I$6:$I$797,1)</x:f>
        <x:v>48507</x:v>
      </x:c>
      <x:c r="N72" s="2" t="n">
        <x:f>COUNTIFS(Monthly_Data!$B$6:$B$797,"&gt;="&amp;J72,Monthly_Data!$B$6:$B$797,"&lt;="&amp;K72,Monthly_Data!$C$6:$C$797,D72,Monthly_Data!$D$6:$D$797,C72,Monthly_Data!$I$6:$I$797,1)</x:f>
        <x:v>6</x:v>
      </x:c>
      <x:c r="O72" s="16" t="n">
        <x:f>IF(M72&gt;0,L72/M72,"n.a.")</x:f>
        <x:v>20.475704537489435</x:v>
      </x:c>
      <x:c r="P72" s="16" t="n">
        <x:f>IF(F72&gt;0,E72/F72-I72,"n.a.")</x:f>
        <x:v>0</x:v>
      </x:c>
      <x:c r="Q72" s="2" t="n">
        <x:f>COUNTIF($A$6:$A$125,A72)</x:f>
        <x:v>1</x:v>
      </x:c>
      <x:c r="R72" s="2" t="n">
        <x:f>ABS(P72)</x:f>
        <x:v>0</x:v>
      </x:c>
    </x:row>
    <x:row r="73" ht="22" customHeight="1">
      <x:c r="A73" s="2" t="str">
        <x:v>H1 2025|Sri Lanka|62044300</x:v>
      </x:c>
      <x:c r="B73" s="2" t="str">
        <x:v>H1 2025</x:v>
      </x:c>
      <x:c r="C73" s="2" t="str">
        <x:v>Sri Lanka</x:v>
      </x:c>
      <x:c r="D73" s="2" t="str">
        <x:v>62044300</x:v>
      </x:c>
      <x:c r="E73" s="14" t="n">
        <x:v>7265946</x:v>
      </x:c>
      <x:c r="F73" s="14" t="n">
        <x:v>419671</x:v>
      </x:c>
      <x:c r="G73" s="2" t="n">
        <x:v>6</x:v>
      </x:c>
      <x:c r="H73" s="2" t="n">
        <x:v>0</x:v>
      </x:c>
      <x:c r="I73" s="15" t="n">
        <x:v>17.31343361823905</x:v>
      </x:c>
      <x:c r="J73" s="2" t="n">
        <x:v>202501</x:v>
      </x:c>
      <x:c r="K73" s="2" t="n">
        <x:v>202506</x:v>
      </x:c>
      <x:c r="L73" s="14" t="n">
        <x:f>SUMIFS(Monthly_Data!$E$6:$E$797,Monthly_Data!$B$6:$B$797,"&gt;="&amp;J73,Monthly_Data!$B$6:$B$797,"&lt;="&amp;K73,Monthly_Data!$C$6:$C$797,D73,Monthly_Data!$D$6:$D$797,C73,Monthly_Data!$I$6:$I$797,1)</x:f>
        <x:v>7265946</x:v>
      </x:c>
      <x:c r="M73" s="14" t="n">
        <x:f>SUMIFS(Monthly_Data!$F$6:$F$797,Monthly_Data!$B$6:$B$797,"&gt;="&amp;J73,Monthly_Data!$B$6:$B$797,"&lt;="&amp;K73,Monthly_Data!$C$6:$C$797,D73,Monthly_Data!$D$6:$D$797,C73,Monthly_Data!$I$6:$I$797,1)</x:f>
        <x:v>419671</x:v>
      </x:c>
      <x:c r="N73" s="2" t="n">
        <x:f>COUNTIFS(Monthly_Data!$B$6:$B$797,"&gt;="&amp;J73,Monthly_Data!$B$6:$B$797,"&lt;="&amp;K73,Monthly_Data!$C$6:$C$797,D73,Monthly_Data!$D$6:$D$797,C73,Monthly_Data!$I$6:$I$797,1)</x:f>
        <x:v>6</x:v>
      </x:c>
      <x:c r="O73" s="16" t="n">
        <x:f>IF(M73&gt;0,L73/M73,"n.a.")</x:f>
        <x:v>17.31343361823905</x:v>
      </x:c>
      <x:c r="P73" s="16" t="n">
        <x:f>IF(F73&gt;0,E73/F73-I73,"n.a.")</x:f>
        <x:v>0</x:v>
      </x:c>
      <x:c r="Q73" s="2" t="n">
        <x:f>COUNTIF($A$6:$A$125,A73)</x:f>
        <x:v>1</x:v>
      </x:c>
      <x:c r="R73" s="2" t="n">
        <x:f>ABS(P73)</x:f>
        <x:v>0</x:v>
      </x:c>
    </x:row>
    <x:row r="74" ht="22" customHeight="1">
      <x:c r="A74" s="2" t="str">
        <x:v>H1 2025|Turkey|62044300</x:v>
      </x:c>
      <x:c r="B74" s="2" t="str">
        <x:v>H1 2025</x:v>
      </x:c>
      <x:c r="C74" s="2" t="str">
        <x:v>Turkey</x:v>
      </x:c>
      <x:c r="D74" s="2" t="str">
        <x:v>62044300</x:v>
      </x:c>
      <x:c r="E74" s="14" t="n">
        <x:v>5868992</x:v>
      </x:c>
      <x:c r="F74" s="14" t="n">
        <x:v>158653</x:v>
      </x:c>
      <x:c r="G74" s="2" t="n">
        <x:v>6</x:v>
      </x:c>
      <x:c r="H74" s="2" t="n">
        <x:v>0</x:v>
      </x:c>
      <x:c r="I74" s="15" t="n">
        <x:v>36.992631718278254</x:v>
      </x:c>
      <x:c r="J74" s="2" t="n">
        <x:v>202501</x:v>
      </x:c>
      <x:c r="K74" s="2" t="n">
        <x:v>202506</x:v>
      </x:c>
      <x:c r="L74" s="14" t="n">
        <x:f>SUMIFS(Monthly_Data!$E$6:$E$797,Monthly_Data!$B$6:$B$797,"&gt;="&amp;J74,Monthly_Data!$B$6:$B$797,"&lt;="&amp;K74,Monthly_Data!$C$6:$C$797,D74,Monthly_Data!$D$6:$D$797,C74,Monthly_Data!$I$6:$I$797,1)</x:f>
        <x:v>5868992</x:v>
      </x:c>
      <x:c r="M74" s="14" t="n">
        <x:f>SUMIFS(Monthly_Data!$F$6:$F$797,Monthly_Data!$B$6:$B$797,"&gt;="&amp;J74,Monthly_Data!$B$6:$B$797,"&lt;="&amp;K74,Monthly_Data!$C$6:$C$797,D74,Monthly_Data!$D$6:$D$797,C74,Monthly_Data!$I$6:$I$797,1)</x:f>
        <x:v>158653</x:v>
      </x:c>
      <x:c r="N74" s="2" t="n">
        <x:f>COUNTIFS(Monthly_Data!$B$6:$B$797,"&gt;="&amp;J74,Monthly_Data!$B$6:$B$797,"&lt;="&amp;K74,Monthly_Data!$C$6:$C$797,D74,Monthly_Data!$D$6:$D$797,C74,Monthly_Data!$I$6:$I$797,1)</x:f>
        <x:v>6</x:v>
      </x:c>
      <x:c r="O74" s="16" t="n">
        <x:f>IF(M74&gt;0,L74/M74,"n.a.")</x:f>
        <x:v>36.992631718278254</x:v>
      </x:c>
      <x:c r="P74" s="16" t="n">
        <x:f>IF(F74&gt;0,E74/F74-I74,"n.a.")</x:f>
        <x:v>0</x:v>
      </x:c>
      <x:c r="Q74" s="2" t="n">
        <x:f>COUNTIF($A$6:$A$125,A74)</x:f>
        <x:v>1</x:v>
      </x:c>
      <x:c r="R74" s="2" t="n">
        <x:f>ABS(P74)</x:f>
        <x:v>0</x:v>
      </x:c>
    </x:row>
    <x:row r="75" ht="22" customHeight="1">
      <x:c r="A75" s="2" t="str">
        <x:v>H1 2025|Vietnam|62044300</x:v>
      </x:c>
      <x:c r="B75" s="2" t="str">
        <x:v>H1 2025</x:v>
      </x:c>
      <x:c r="C75" s="2" t="str">
        <x:v>Vietnam</x:v>
      </x:c>
      <x:c r="D75" s="2" t="str">
        <x:v>62044300</x:v>
      </x:c>
      <x:c r="E75" s="14" t="n">
        <x:v>4155142</x:v>
      </x:c>
      <x:c r="F75" s="14" t="n">
        <x:v>170600</x:v>
      </x:c>
      <x:c r="G75" s="2" t="n">
        <x:v>6</x:v>
      </x:c>
      <x:c r="H75" s="2" t="n">
        <x:v>0</x:v>
      </x:c>
      <x:c r="I75" s="15" t="n">
        <x:v>24.356049237983587</x:v>
      </x:c>
      <x:c r="J75" s="2" t="n">
        <x:v>202501</x:v>
      </x:c>
      <x:c r="K75" s="2" t="n">
        <x:v>202506</x:v>
      </x:c>
      <x:c r="L75" s="14" t="n">
        <x:f>SUMIFS(Monthly_Data!$E$6:$E$797,Monthly_Data!$B$6:$B$797,"&gt;="&amp;J75,Monthly_Data!$B$6:$B$797,"&lt;="&amp;K75,Monthly_Data!$C$6:$C$797,D75,Monthly_Data!$D$6:$D$797,C75,Monthly_Data!$I$6:$I$797,1)</x:f>
        <x:v>4155142</x:v>
      </x:c>
      <x:c r="M75" s="14" t="n">
        <x:f>SUMIFS(Monthly_Data!$F$6:$F$797,Monthly_Data!$B$6:$B$797,"&gt;="&amp;J75,Monthly_Data!$B$6:$B$797,"&lt;="&amp;K75,Monthly_Data!$C$6:$C$797,D75,Monthly_Data!$D$6:$D$797,C75,Monthly_Data!$I$6:$I$797,1)</x:f>
        <x:v>170600</x:v>
      </x:c>
      <x:c r="N75" s="2" t="n">
        <x:f>COUNTIFS(Monthly_Data!$B$6:$B$797,"&gt;="&amp;J75,Monthly_Data!$B$6:$B$797,"&lt;="&amp;K75,Monthly_Data!$C$6:$C$797,D75,Monthly_Data!$D$6:$D$797,C75,Monthly_Data!$I$6:$I$797,1)</x:f>
        <x:v>6</x:v>
      </x:c>
      <x:c r="O75" s="16" t="n">
        <x:f>IF(M75&gt;0,L75/M75,"n.a.")</x:f>
        <x:v>24.356049237983587</x:v>
      </x:c>
      <x:c r="P75" s="16" t="n">
        <x:f>IF(F75&gt;0,E75/F75-I75,"n.a.")</x:f>
        <x:v>0</x:v>
      </x:c>
      <x:c r="Q75" s="2" t="n">
        <x:f>COUNTIF($A$6:$A$125,A75)</x:f>
        <x:v>1</x:v>
      </x:c>
      <x:c r="R75" s="2" t="n">
        <x:f>ABS(P75)</x:f>
        <x:v>0</x:v>
      </x:c>
    </x:row>
    <x:row r="76" ht="22" customHeight="1">
      <x:c r="A76" s="2" t="str">
        <x:v>H1 2025|Bangladesh|62052000</x:v>
      </x:c>
      <x:c r="B76" s="2" t="str">
        <x:v>H1 2025</x:v>
      </x:c>
      <x:c r="C76" s="2" t="str">
        <x:v>Bangladesh</x:v>
      </x:c>
      <x:c r="D76" s="2" t="str">
        <x:v>62052000</x:v>
      </x:c>
      <x:c r="E76" s="14" t="n">
        <x:v>41153034</x:v>
      </x:c>
      <x:c r="F76" s="14" t="n">
        <x:v>2170454</x:v>
      </x:c>
      <x:c r="G76" s="2" t="n">
        <x:v>6</x:v>
      </x:c>
      <x:c r="H76" s="2" t="n">
        <x:v>0</x:v>
      </x:c>
      <x:c r="I76" s="15" t="n">
        <x:v>18.960564932497995</x:v>
      </x:c>
      <x:c r="J76" s="2" t="n">
        <x:v>202501</x:v>
      </x:c>
      <x:c r="K76" s="2" t="n">
        <x:v>202506</x:v>
      </x:c>
      <x:c r="L76" s="14" t="n">
        <x:f>SUMIFS(Monthly_Data!$E$6:$E$797,Monthly_Data!$B$6:$B$797,"&gt;="&amp;J76,Monthly_Data!$B$6:$B$797,"&lt;="&amp;K76,Monthly_Data!$C$6:$C$797,D76,Monthly_Data!$D$6:$D$797,C76,Monthly_Data!$I$6:$I$797,1)</x:f>
        <x:v>41153034</x:v>
      </x:c>
      <x:c r="M76" s="14" t="n">
        <x:f>SUMIFS(Monthly_Data!$F$6:$F$797,Monthly_Data!$B$6:$B$797,"&gt;="&amp;J76,Monthly_Data!$B$6:$B$797,"&lt;="&amp;K76,Monthly_Data!$C$6:$C$797,D76,Monthly_Data!$D$6:$D$797,C76,Monthly_Data!$I$6:$I$797,1)</x:f>
        <x:v>2170454</x:v>
      </x:c>
      <x:c r="N76" s="2" t="n">
        <x:f>COUNTIFS(Monthly_Data!$B$6:$B$797,"&gt;="&amp;J76,Monthly_Data!$B$6:$B$797,"&lt;="&amp;K76,Monthly_Data!$C$6:$C$797,D76,Monthly_Data!$D$6:$D$797,C76,Monthly_Data!$I$6:$I$797,1)</x:f>
        <x:v>6</x:v>
      </x:c>
      <x:c r="O76" s="16" t="n">
        <x:f>IF(M76&gt;0,L76/M76,"n.a.")</x:f>
        <x:v>18.960564932497995</x:v>
      </x:c>
      <x:c r="P76" s="16" t="n">
        <x:f>IF(F76&gt;0,E76/F76-I76,"n.a.")</x:f>
        <x:v>0</x:v>
      </x:c>
      <x:c r="Q76" s="2" t="n">
        <x:f>COUNTIF($A$6:$A$125,A76)</x:f>
        <x:v>1</x:v>
      </x:c>
      <x:c r="R76" s="2" t="n">
        <x:f>ABS(P76)</x:f>
        <x:v>0</x:v>
      </x:c>
    </x:row>
    <x:row r="77" ht="22" customHeight="1">
      <x:c r="A77" s="2" t="str">
        <x:v>H1 2025|Cambodia|62052000</x:v>
      </x:c>
      <x:c r="B77" s="2" t="str">
        <x:v>H1 2025</x:v>
      </x:c>
      <x:c r="C77" s="2" t="str">
        <x:v>Cambodia</x:v>
      </x:c>
      <x:c r="D77" s="2" t="str">
        <x:v>62052000</x:v>
      </x:c>
      <x:c r="E77" s="14" t="n">
        <x:v>6687232</x:v>
      </x:c>
      <x:c r="F77" s="14" t="n">
        <x:v>272970</x:v>
      </x:c>
      <x:c r="G77" s="2" t="n">
        <x:v>6</x:v>
      </x:c>
      <x:c r="H77" s="2" t="n">
        <x:v>0</x:v>
      </x:c>
      <x:c r="I77" s="15" t="n">
        <x:v>24.498047404476683</x:v>
      </x:c>
      <x:c r="J77" s="2" t="n">
        <x:v>202501</x:v>
      </x:c>
      <x:c r="K77" s="2" t="n">
        <x:v>202506</x:v>
      </x:c>
      <x:c r="L77" s="14" t="n">
        <x:f>SUMIFS(Monthly_Data!$E$6:$E$797,Monthly_Data!$B$6:$B$797,"&gt;="&amp;J77,Monthly_Data!$B$6:$B$797,"&lt;="&amp;K77,Monthly_Data!$C$6:$C$797,D77,Monthly_Data!$D$6:$D$797,C77,Monthly_Data!$I$6:$I$797,1)</x:f>
        <x:v>6687232</x:v>
      </x:c>
      <x:c r="M77" s="14" t="n">
        <x:f>SUMIFS(Monthly_Data!$F$6:$F$797,Monthly_Data!$B$6:$B$797,"&gt;="&amp;J77,Monthly_Data!$B$6:$B$797,"&lt;="&amp;K77,Monthly_Data!$C$6:$C$797,D77,Monthly_Data!$D$6:$D$797,C77,Monthly_Data!$I$6:$I$797,1)</x:f>
        <x:v>272970</x:v>
      </x:c>
      <x:c r="N77" s="2" t="n">
        <x:f>COUNTIFS(Monthly_Data!$B$6:$B$797,"&gt;="&amp;J77,Monthly_Data!$B$6:$B$797,"&lt;="&amp;K77,Monthly_Data!$C$6:$C$797,D77,Monthly_Data!$D$6:$D$797,C77,Monthly_Data!$I$6:$I$797,1)</x:f>
        <x:v>6</x:v>
      </x:c>
      <x:c r="O77" s="16" t="n">
        <x:f>IF(M77&gt;0,L77/M77,"n.a.")</x:f>
        <x:v>24.498047404476683</x:v>
      </x:c>
      <x:c r="P77" s="16" t="n">
        <x:f>IF(F77&gt;0,E77/F77-I77,"n.a.")</x:f>
        <x:v>0</x:v>
      </x:c>
      <x:c r="Q77" s="2" t="n">
        <x:f>COUNTIF($A$6:$A$125,A77)</x:f>
        <x:v>1</x:v>
      </x:c>
      <x:c r="R77" s="2" t="n">
        <x:f>ABS(P77)</x:f>
        <x:v>0</x:v>
      </x:c>
    </x:row>
    <x:row r="78" ht="22" customHeight="1">
      <x:c r="A78" s="2" t="str">
        <x:v>H1 2025|China|62052000</x:v>
      </x:c>
      <x:c r="B78" s="2" t="str">
        <x:v>H1 2025</x:v>
      </x:c>
      <x:c r="C78" s="2" t="str">
        <x:v>China</x:v>
      </x:c>
      <x:c r="D78" s="2" t="str">
        <x:v>62052000</x:v>
      </x:c>
      <x:c r="E78" s="14" t="n">
        <x:v>6741715</x:v>
      </x:c>
      <x:c r="F78" s="14" t="n">
        <x:v>310092</x:v>
      </x:c>
      <x:c r="G78" s="2" t="n">
        <x:v>6</x:v>
      </x:c>
      <x:c r="H78" s="2" t="n">
        <x:v>0</x:v>
      </x:c>
      <x:c r="I78" s="15" t="n">
        <x:v>21.7410155695729</x:v>
      </x:c>
      <x:c r="J78" s="2" t="n">
        <x:v>202501</x:v>
      </x:c>
      <x:c r="K78" s="2" t="n">
        <x:v>202506</x:v>
      </x:c>
      <x:c r="L78" s="14" t="n">
        <x:f>SUMIFS(Monthly_Data!$E$6:$E$797,Monthly_Data!$B$6:$B$797,"&gt;="&amp;J78,Monthly_Data!$B$6:$B$797,"&lt;="&amp;K78,Monthly_Data!$C$6:$C$797,D78,Monthly_Data!$D$6:$D$797,C78,Monthly_Data!$I$6:$I$797,1)</x:f>
        <x:v>6741715</x:v>
      </x:c>
      <x:c r="M78" s="14" t="n">
        <x:f>SUMIFS(Monthly_Data!$F$6:$F$797,Monthly_Data!$B$6:$B$797,"&gt;="&amp;J78,Monthly_Data!$B$6:$B$797,"&lt;="&amp;K78,Monthly_Data!$C$6:$C$797,D78,Monthly_Data!$D$6:$D$797,C78,Monthly_Data!$I$6:$I$797,1)</x:f>
        <x:v>310092</x:v>
      </x:c>
      <x:c r="N78" s="2" t="n">
        <x:f>COUNTIFS(Monthly_Data!$B$6:$B$797,"&gt;="&amp;J78,Monthly_Data!$B$6:$B$797,"&lt;="&amp;K78,Monthly_Data!$C$6:$C$797,D78,Monthly_Data!$D$6:$D$797,C78,Monthly_Data!$I$6:$I$797,1)</x:f>
        <x:v>6</x:v>
      </x:c>
      <x:c r="O78" s="16" t="n">
        <x:f>IF(M78&gt;0,L78/M78,"n.a.")</x:f>
        <x:v>21.7410155695729</x:v>
      </x:c>
      <x:c r="P78" s="16" t="n">
        <x:f>IF(F78&gt;0,E78/F78-I78,"n.a.")</x:f>
        <x:v>0</x:v>
      </x:c>
      <x:c r="Q78" s="2" t="n">
        <x:f>COUNTIF($A$6:$A$125,A78)</x:f>
        <x:v>1</x:v>
      </x:c>
      <x:c r="R78" s="2" t="n">
        <x:f>ABS(P78)</x:f>
        <x:v>0</x:v>
      </x:c>
    </x:row>
    <x:row r="79" ht="22" customHeight="1">
      <x:c r="A79" s="2" t="str">
        <x:v>H1 2025|India|62052000</x:v>
      </x:c>
      <x:c r="B79" s="2" t="str">
        <x:v>H1 2025</x:v>
      </x:c>
      <x:c r="C79" s="2" t="str">
        <x:v>India</x:v>
      </x:c>
      <x:c r="D79" s="2" t="str">
        <x:v>62052000</x:v>
      </x:c>
      <x:c r="E79" s="14" t="n">
        <x:v>16956630</x:v>
      </x:c>
      <x:c r="F79" s="14" t="n">
        <x:v>741612</x:v>
      </x:c>
      <x:c r="G79" s="2" t="n">
        <x:v>6</x:v>
      </x:c>
      <x:c r="H79" s="2" t="n">
        <x:v>0</x:v>
      </x:c>
      <x:c r="I79" s="15" t="n">
        <x:v>22.864557207812172</x:v>
      </x:c>
      <x:c r="J79" s="2" t="n">
        <x:v>202501</x:v>
      </x:c>
      <x:c r="K79" s="2" t="n">
        <x:v>202506</x:v>
      </x:c>
      <x:c r="L79" s="14" t="n">
        <x:f>SUMIFS(Monthly_Data!$E$6:$E$797,Monthly_Data!$B$6:$B$797,"&gt;="&amp;J79,Monthly_Data!$B$6:$B$797,"&lt;="&amp;K79,Monthly_Data!$C$6:$C$797,D79,Monthly_Data!$D$6:$D$797,C79,Monthly_Data!$I$6:$I$797,1)</x:f>
        <x:v>16956630</x:v>
      </x:c>
      <x:c r="M79" s="14" t="n">
        <x:f>SUMIFS(Monthly_Data!$F$6:$F$797,Monthly_Data!$B$6:$B$797,"&gt;="&amp;J79,Monthly_Data!$B$6:$B$797,"&lt;="&amp;K79,Monthly_Data!$C$6:$C$797,D79,Monthly_Data!$D$6:$D$797,C79,Monthly_Data!$I$6:$I$797,1)</x:f>
        <x:v>741612</x:v>
      </x:c>
      <x:c r="N79" s="2" t="n">
        <x:f>COUNTIFS(Monthly_Data!$B$6:$B$797,"&gt;="&amp;J79,Monthly_Data!$B$6:$B$797,"&lt;="&amp;K79,Monthly_Data!$C$6:$C$797,D79,Monthly_Data!$D$6:$D$797,C79,Monthly_Data!$I$6:$I$797,1)</x:f>
        <x:v>6</x:v>
      </x:c>
      <x:c r="O79" s="16" t="n">
        <x:f>IF(M79&gt;0,L79/M79,"n.a.")</x:f>
        <x:v>22.864557207812172</x:v>
      </x:c>
      <x:c r="P79" s="16" t="n">
        <x:f>IF(F79&gt;0,E79/F79-I79,"n.a.")</x:f>
        <x:v>0</x:v>
      </x:c>
      <x:c r="Q79" s="2" t="n">
        <x:f>COUNTIF($A$6:$A$125,A79)</x:f>
        <x:v>1</x:v>
      </x:c>
      <x:c r="R79" s="2" t="n">
        <x:f>ABS(P79)</x:f>
        <x:v>0</x:v>
      </x:c>
    </x:row>
    <x:row r="80" ht="22" customHeight="1">
      <x:c r="A80" s="2" t="str">
        <x:v>H1 2025|Morocco|62052000</x:v>
      </x:c>
      <x:c r="B80" s="2" t="str">
        <x:v>H1 2025</x:v>
      </x:c>
      <x:c r="C80" s="2" t="str">
        <x:v>Morocco</x:v>
      </x:c>
      <x:c r="D80" s="2" t="str">
        <x:v>62052000</x:v>
      </x:c>
      <x:c r="E80" s="14" t="n">
        <x:v>698186</x:v>
      </x:c>
      <x:c r="F80" s="14" t="n">
        <x:v>15659</x:v>
      </x:c>
      <x:c r="G80" s="2" t="n">
        <x:v>6</x:v>
      </x:c>
      <x:c r="H80" s="2" t="n">
        <x:v>0</x:v>
      </x:c>
      <x:c r="I80" s="15" t="n">
        <x:v>44.58688294271665</x:v>
      </x:c>
      <x:c r="J80" s="2" t="n">
        <x:v>202501</x:v>
      </x:c>
      <x:c r="K80" s="2" t="n">
        <x:v>202506</x:v>
      </x:c>
      <x:c r="L80" s="14" t="n">
        <x:f>SUMIFS(Monthly_Data!$E$6:$E$797,Monthly_Data!$B$6:$B$797,"&gt;="&amp;J80,Monthly_Data!$B$6:$B$797,"&lt;="&amp;K80,Monthly_Data!$C$6:$C$797,D80,Monthly_Data!$D$6:$D$797,C80,Monthly_Data!$I$6:$I$797,1)</x:f>
        <x:v>698186</x:v>
      </x:c>
      <x:c r="M80" s="14" t="n">
        <x:f>SUMIFS(Monthly_Data!$F$6:$F$797,Monthly_Data!$B$6:$B$797,"&gt;="&amp;J80,Monthly_Data!$B$6:$B$797,"&lt;="&amp;K80,Monthly_Data!$C$6:$C$797,D80,Monthly_Data!$D$6:$D$797,C80,Monthly_Data!$I$6:$I$797,1)</x:f>
        <x:v>15659</x:v>
      </x:c>
      <x:c r="N80" s="2" t="n">
        <x:f>COUNTIFS(Monthly_Data!$B$6:$B$797,"&gt;="&amp;J80,Monthly_Data!$B$6:$B$797,"&lt;="&amp;K80,Monthly_Data!$C$6:$C$797,D80,Monthly_Data!$D$6:$D$797,C80,Monthly_Data!$I$6:$I$797,1)</x:f>
        <x:v>6</x:v>
      </x:c>
      <x:c r="O80" s="16" t="n">
        <x:f>IF(M80&gt;0,L80/M80,"n.a.")</x:f>
        <x:v>44.58688294271665</x:v>
      </x:c>
      <x:c r="P80" s="16" t="n">
        <x:f>IF(F80&gt;0,E80/F80-I80,"n.a.")</x:f>
        <x:v>0</x:v>
      </x:c>
      <x:c r="Q80" s="2" t="n">
        <x:f>COUNTIF($A$6:$A$125,A80)</x:f>
        <x:v>1</x:v>
      </x:c>
      <x:c r="R80" s="2" t="n">
        <x:f>ABS(P80)</x:f>
        <x:v>0</x:v>
      </x:c>
    </x:row>
    <x:row r="81" ht="22" customHeight="1">
      <x:c r="A81" s="2" t="str">
        <x:v>H1 2025|Myanmar|62052000</x:v>
      </x:c>
      <x:c r="B81" s="2" t="str">
        <x:v>H1 2025</x:v>
      </x:c>
      <x:c r="C81" s="2" t="str">
        <x:v>Myanmar</x:v>
      </x:c>
      <x:c r="D81" s="2" t="str">
        <x:v>62052000</x:v>
      </x:c>
      <x:c r="E81" s="14" t="n">
        <x:v>549871</x:v>
      </x:c>
      <x:c r="F81" s="14" t="n">
        <x:v>31192</x:v>
      </x:c>
      <x:c r="G81" s="2" t="n">
        <x:v>6</x:v>
      </x:c>
      <x:c r="H81" s="2" t="n">
        <x:v>0</x:v>
      </x:c>
      <x:c r="I81" s="15" t="n">
        <x:v>17.628590664272892</x:v>
      </x:c>
      <x:c r="J81" s="2" t="n">
        <x:v>202501</x:v>
      </x:c>
      <x:c r="K81" s="2" t="n">
        <x:v>202506</x:v>
      </x:c>
      <x:c r="L81" s="14" t="n">
        <x:f>SUMIFS(Monthly_Data!$E$6:$E$797,Monthly_Data!$B$6:$B$797,"&gt;="&amp;J81,Monthly_Data!$B$6:$B$797,"&lt;="&amp;K81,Monthly_Data!$C$6:$C$797,D81,Monthly_Data!$D$6:$D$797,C81,Monthly_Data!$I$6:$I$797,1)</x:f>
        <x:v>549871</x:v>
      </x:c>
      <x:c r="M81" s="14" t="n">
        <x:f>SUMIFS(Monthly_Data!$F$6:$F$797,Monthly_Data!$B$6:$B$797,"&gt;="&amp;J81,Monthly_Data!$B$6:$B$797,"&lt;="&amp;K81,Monthly_Data!$C$6:$C$797,D81,Monthly_Data!$D$6:$D$797,C81,Monthly_Data!$I$6:$I$797,1)</x:f>
        <x:v>31192</x:v>
      </x:c>
      <x:c r="N81" s="2" t="n">
        <x:f>COUNTIFS(Monthly_Data!$B$6:$B$797,"&gt;="&amp;J81,Monthly_Data!$B$6:$B$797,"&lt;="&amp;K81,Monthly_Data!$C$6:$C$797,D81,Monthly_Data!$D$6:$D$797,C81,Monthly_Data!$I$6:$I$797,1)</x:f>
        <x:v>6</x:v>
      </x:c>
      <x:c r="O81" s="16" t="n">
        <x:f>IF(M81&gt;0,L81/M81,"n.a.")</x:f>
        <x:v>17.628590664272892</x:v>
      </x:c>
      <x:c r="P81" s="16" t="n">
        <x:f>IF(F81&gt;0,E81/F81-I81,"n.a.")</x:f>
        <x:v>0</x:v>
      </x:c>
      <x:c r="Q81" s="2" t="n">
        <x:f>COUNTIF($A$6:$A$125,A81)</x:f>
        <x:v>1</x:v>
      </x:c>
      <x:c r="R81" s="2" t="n">
        <x:f>ABS(P81)</x:f>
        <x:v>0</x:v>
      </x:c>
    </x:row>
    <x:row r="82" ht="22" customHeight="1">
      <x:c r="A82" s="2" t="str">
        <x:v>H1 2025|Pakistan|62052000</x:v>
      </x:c>
      <x:c r="B82" s="2" t="str">
        <x:v>H1 2025</x:v>
      </x:c>
      <x:c r="C82" s="2" t="str">
        <x:v>Pakistan</x:v>
      </x:c>
      <x:c r="D82" s="2" t="str">
        <x:v>62052000</x:v>
      </x:c>
      <x:c r="E82" s="14" t="n">
        <x:v>457665</x:v>
      </x:c>
      <x:c r="F82" s="14" t="n">
        <x:v>36660</x:v>
      </x:c>
      <x:c r="G82" s="2" t="n">
        <x:v>6</x:v>
      </x:c>
      <x:c r="H82" s="2" t="n">
        <x:v>0</x:v>
      </x:c>
      <x:c r="I82" s="15" t="n">
        <x:v>12.48404255319149</x:v>
      </x:c>
      <x:c r="J82" s="2" t="n">
        <x:v>202501</x:v>
      </x:c>
      <x:c r="K82" s="2" t="n">
        <x:v>202506</x:v>
      </x:c>
      <x:c r="L82" s="14" t="n">
        <x:f>SUMIFS(Monthly_Data!$E$6:$E$797,Monthly_Data!$B$6:$B$797,"&gt;="&amp;J82,Monthly_Data!$B$6:$B$797,"&lt;="&amp;K82,Monthly_Data!$C$6:$C$797,D82,Monthly_Data!$D$6:$D$797,C82,Monthly_Data!$I$6:$I$797,1)</x:f>
        <x:v>457665</x:v>
      </x:c>
      <x:c r="M82" s="14" t="n">
        <x:f>SUMIFS(Monthly_Data!$F$6:$F$797,Monthly_Data!$B$6:$B$797,"&gt;="&amp;J82,Monthly_Data!$B$6:$B$797,"&lt;="&amp;K82,Monthly_Data!$C$6:$C$797,D82,Monthly_Data!$D$6:$D$797,C82,Monthly_Data!$I$6:$I$797,1)</x:f>
        <x:v>36660</x:v>
      </x:c>
      <x:c r="N82" s="2" t="n">
        <x:f>COUNTIFS(Monthly_Data!$B$6:$B$797,"&gt;="&amp;J82,Monthly_Data!$B$6:$B$797,"&lt;="&amp;K82,Monthly_Data!$C$6:$C$797,D82,Monthly_Data!$D$6:$D$797,C82,Monthly_Data!$I$6:$I$797,1)</x:f>
        <x:v>6</x:v>
      </x:c>
      <x:c r="O82" s="16" t="n">
        <x:f>IF(M82&gt;0,L82/M82,"n.a.")</x:f>
        <x:v>12.48404255319149</x:v>
      </x:c>
      <x:c r="P82" s="16" t="n">
        <x:f>IF(F82&gt;0,E82/F82-I82,"n.a.")</x:f>
        <x:v>0</x:v>
      </x:c>
      <x:c r="Q82" s="2" t="n">
        <x:f>COUNTIF($A$6:$A$125,A82)</x:f>
        <x:v>1</x:v>
      </x:c>
      <x:c r="R82" s="2" t="n">
        <x:f>ABS(P82)</x:f>
        <x:v>0</x:v>
      </x:c>
    </x:row>
    <x:row r="83" ht="22" customHeight="1">
      <x:c r="A83" s="2" t="str">
        <x:v>H1 2025|Sri Lanka|62052000</x:v>
      </x:c>
      <x:c r="B83" s="2" t="str">
        <x:v>H1 2025</x:v>
      </x:c>
      <x:c r="C83" s="2" t="str">
        <x:v>Sri Lanka</x:v>
      </x:c>
      <x:c r="D83" s="2" t="str">
        <x:v>62052000</x:v>
      </x:c>
      <x:c r="E83" s="14" t="n">
        <x:v>1900906</x:v>
      </x:c>
      <x:c r="F83" s="14" t="n">
        <x:v>87885</x:v>
      </x:c>
      <x:c r="G83" s="2" t="n">
        <x:v>6</x:v>
      </x:c>
      <x:c r="H83" s="2" t="n">
        <x:v>0</x:v>
      </x:c>
      <x:c r="I83" s="15" t="n">
        <x:v>21.6294703305456</x:v>
      </x:c>
      <x:c r="J83" s="2" t="n">
        <x:v>202501</x:v>
      </x:c>
      <x:c r="K83" s="2" t="n">
        <x:v>202506</x:v>
      </x:c>
      <x:c r="L83" s="14" t="n">
        <x:f>SUMIFS(Monthly_Data!$E$6:$E$797,Monthly_Data!$B$6:$B$797,"&gt;="&amp;J83,Monthly_Data!$B$6:$B$797,"&lt;="&amp;K83,Monthly_Data!$C$6:$C$797,D83,Monthly_Data!$D$6:$D$797,C83,Monthly_Data!$I$6:$I$797,1)</x:f>
        <x:v>1900906</x:v>
      </x:c>
      <x:c r="M83" s="14" t="n">
        <x:f>SUMIFS(Monthly_Data!$F$6:$F$797,Monthly_Data!$B$6:$B$797,"&gt;="&amp;J83,Monthly_Data!$B$6:$B$797,"&lt;="&amp;K83,Monthly_Data!$C$6:$C$797,D83,Monthly_Data!$D$6:$D$797,C83,Monthly_Data!$I$6:$I$797,1)</x:f>
        <x:v>87885</x:v>
      </x:c>
      <x:c r="N83" s="2" t="n">
        <x:f>COUNTIFS(Monthly_Data!$B$6:$B$797,"&gt;="&amp;J83,Monthly_Data!$B$6:$B$797,"&lt;="&amp;K83,Monthly_Data!$C$6:$C$797,D83,Monthly_Data!$D$6:$D$797,C83,Monthly_Data!$I$6:$I$797,1)</x:f>
        <x:v>6</x:v>
      </x:c>
      <x:c r="O83" s="16" t="n">
        <x:f>IF(M83&gt;0,L83/M83,"n.a.")</x:f>
        <x:v>21.6294703305456</x:v>
      </x:c>
      <x:c r="P83" s="16" t="n">
        <x:f>IF(F83&gt;0,E83/F83-I83,"n.a.")</x:f>
        <x:v>0</x:v>
      </x:c>
      <x:c r="Q83" s="2" t="n">
        <x:f>COUNTIF($A$6:$A$125,A83)</x:f>
        <x:v>1</x:v>
      </x:c>
      <x:c r="R83" s="2" t="n">
        <x:f>ABS(P83)</x:f>
        <x:v>0</x:v>
      </x:c>
    </x:row>
    <x:row r="84" ht="22" customHeight="1">
      <x:c r="A84" s="2" t="str">
        <x:v>H1 2025|Turkey|62052000</x:v>
      </x:c>
      <x:c r="B84" s="2" t="str">
        <x:v>H1 2025</x:v>
      </x:c>
      <x:c r="C84" s="2" t="str">
        <x:v>Turkey</x:v>
      </x:c>
      <x:c r="D84" s="2" t="str">
        <x:v>62052000</x:v>
      </x:c>
      <x:c r="E84" s="14" t="n">
        <x:v>6632162</x:v>
      </x:c>
      <x:c r="F84" s="14" t="n">
        <x:v>176092</x:v>
      </x:c>
      <x:c r="G84" s="2" t="n">
        <x:v>6</x:v>
      </x:c>
      <x:c r="H84" s="2" t="n">
        <x:v>0</x:v>
      </x:c>
      <x:c r="I84" s="15" t="n">
        <x:v>37.663051132362625</x:v>
      </x:c>
      <x:c r="J84" s="2" t="n">
        <x:v>202501</x:v>
      </x:c>
      <x:c r="K84" s="2" t="n">
        <x:v>202506</x:v>
      </x:c>
      <x:c r="L84" s="14" t="n">
        <x:f>SUMIFS(Monthly_Data!$E$6:$E$797,Monthly_Data!$B$6:$B$797,"&gt;="&amp;J84,Monthly_Data!$B$6:$B$797,"&lt;="&amp;K84,Monthly_Data!$C$6:$C$797,D84,Monthly_Data!$D$6:$D$797,C84,Monthly_Data!$I$6:$I$797,1)</x:f>
        <x:v>6632162</x:v>
      </x:c>
      <x:c r="M84" s="14" t="n">
        <x:f>SUMIFS(Monthly_Data!$F$6:$F$797,Monthly_Data!$B$6:$B$797,"&gt;="&amp;J84,Monthly_Data!$B$6:$B$797,"&lt;="&amp;K84,Monthly_Data!$C$6:$C$797,D84,Monthly_Data!$D$6:$D$797,C84,Monthly_Data!$I$6:$I$797,1)</x:f>
        <x:v>176092</x:v>
      </x:c>
      <x:c r="N84" s="2" t="n">
        <x:f>COUNTIFS(Monthly_Data!$B$6:$B$797,"&gt;="&amp;J84,Monthly_Data!$B$6:$B$797,"&lt;="&amp;K84,Monthly_Data!$C$6:$C$797,D84,Monthly_Data!$D$6:$D$797,C84,Monthly_Data!$I$6:$I$797,1)</x:f>
        <x:v>6</x:v>
      </x:c>
      <x:c r="O84" s="16" t="n">
        <x:f>IF(M84&gt;0,L84/M84,"n.a.")</x:f>
        <x:v>37.663051132362625</x:v>
      </x:c>
      <x:c r="P84" s="16" t="n">
        <x:f>IF(F84&gt;0,E84/F84-I84,"n.a.")</x:f>
        <x:v>0</x:v>
      </x:c>
      <x:c r="Q84" s="2" t="n">
        <x:f>COUNTIF($A$6:$A$125,A84)</x:f>
        <x:v>1</x:v>
      </x:c>
      <x:c r="R84" s="2" t="n">
        <x:f>ABS(P84)</x:f>
        <x:v>0</x:v>
      </x:c>
    </x:row>
    <x:row r="85" ht="22" customHeight="1">
      <x:c r="A85" s="2" t="str">
        <x:v>H1 2025|Vietnam|62052000</x:v>
      </x:c>
      <x:c r="B85" s="2" t="str">
        <x:v>H1 2025</x:v>
      </x:c>
      <x:c r="C85" s="2" t="str">
        <x:v>Vietnam</x:v>
      </x:c>
      <x:c r="D85" s="2" t="str">
        <x:v>62052000</x:v>
      </x:c>
      <x:c r="E85" s="14" t="n">
        <x:v>4754680</x:v>
      </x:c>
      <x:c r="F85" s="14" t="n">
        <x:v>154077</x:v>
      </x:c>
      <x:c r="G85" s="2" t="n">
        <x:v>6</x:v>
      </x:c>
      <x:c r="H85" s="2" t="n">
        <x:v>0</x:v>
      </x:c>
      <x:c r="I85" s="15" t="n">
        <x:v>30.859115896597157</x:v>
      </x:c>
      <x:c r="J85" s="2" t="n">
        <x:v>202501</x:v>
      </x:c>
      <x:c r="K85" s="2" t="n">
        <x:v>202506</x:v>
      </x:c>
      <x:c r="L85" s="14" t="n">
        <x:f>SUMIFS(Monthly_Data!$E$6:$E$797,Monthly_Data!$B$6:$B$797,"&gt;="&amp;J85,Monthly_Data!$B$6:$B$797,"&lt;="&amp;K85,Monthly_Data!$C$6:$C$797,D85,Monthly_Data!$D$6:$D$797,C85,Monthly_Data!$I$6:$I$797,1)</x:f>
        <x:v>4754680</x:v>
      </x:c>
      <x:c r="M85" s="14" t="n">
        <x:f>SUMIFS(Monthly_Data!$F$6:$F$797,Monthly_Data!$B$6:$B$797,"&gt;="&amp;J85,Monthly_Data!$B$6:$B$797,"&lt;="&amp;K85,Monthly_Data!$C$6:$C$797,D85,Monthly_Data!$D$6:$D$797,C85,Monthly_Data!$I$6:$I$797,1)</x:f>
        <x:v>154077</x:v>
      </x:c>
      <x:c r="N85" s="2" t="n">
        <x:f>COUNTIFS(Monthly_Data!$B$6:$B$797,"&gt;="&amp;J85,Monthly_Data!$B$6:$B$797,"&lt;="&amp;K85,Monthly_Data!$C$6:$C$797,D85,Monthly_Data!$D$6:$D$797,C85,Monthly_Data!$I$6:$I$797,1)</x:f>
        <x:v>6</x:v>
      </x:c>
      <x:c r="O85" s="16" t="n">
        <x:f>IF(M85&gt;0,L85/M85,"n.a.")</x:f>
        <x:v>30.859115896597157</x:v>
      </x:c>
      <x:c r="P85" s="16" t="n">
        <x:f>IF(F85&gt;0,E85/F85-I85,"n.a.")</x:f>
        <x:v>0</x:v>
      </x:c>
      <x:c r="Q85" s="2" t="n">
        <x:f>COUNTIF($A$6:$A$125,A85)</x:f>
        <x:v>1</x:v>
      </x:c>
      <x:c r="R85" s="2" t="n">
        <x:f>ABS(P85)</x:f>
        <x:v>0</x:v>
      </x:c>
    </x:row>
    <x:row r="86" ht="22" customHeight="1">
      <x:c r="A86" s="2" t="str">
        <x:v>H1 2026|Bangladesh|61091000</x:v>
      </x:c>
      <x:c r="B86" s="2" t="str">
        <x:v>H1 2026</x:v>
      </x:c>
      <x:c r="C86" s="2" t="str">
        <x:v>Bangladesh</x:v>
      </x:c>
      <x:c r="D86" s="2" t="str">
        <x:v>61091000</x:v>
      </x:c>
      <x:c r="E86" s="14" t="n">
        <x:v>254631302</x:v>
      </x:c>
      <x:c r="F86" s="14" t="n">
        <x:v>24484056</x:v>
      </x:c>
      <x:c r="G86" s="2" t="n">
        <x:v>6</x:v>
      </x:c>
      <x:c r="H86" s="2" t="n">
        <x:v>0</x:v>
      </x:c>
      <x:c r="I86" s="15" t="n">
        <x:v>10.399882356093288</x:v>
      </x:c>
      <x:c r="J86" s="2" t="n">
        <x:v>202601</x:v>
      </x:c>
      <x:c r="K86" s="2" t="n">
        <x:v>202606</x:v>
      </x:c>
      <x:c r="L86" s="14" t="n">
        <x:f>SUMIFS(Monthly_Data!$E$6:$E$797,Monthly_Data!$B$6:$B$797,"&gt;="&amp;J86,Monthly_Data!$B$6:$B$797,"&lt;="&amp;K86,Monthly_Data!$C$6:$C$797,D86,Monthly_Data!$D$6:$D$797,C86,Monthly_Data!$I$6:$I$797,1)</x:f>
        <x:v>254631302</x:v>
      </x:c>
      <x:c r="M86" s="14" t="n">
        <x:f>SUMIFS(Monthly_Data!$F$6:$F$797,Monthly_Data!$B$6:$B$797,"&gt;="&amp;J86,Monthly_Data!$B$6:$B$797,"&lt;="&amp;K86,Monthly_Data!$C$6:$C$797,D86,Monthly_Data!$D$6:$D$797,C86,Monthly_Data!$I$6:$I$797,1)</x:f>
        <x:v>24484056</x:v>
      </x:c>
      <x:c r="N86" s="2" t="n">
        <x:f>COUNTIFS(Monthly_Data!$B$6:$B$797,"&gt;="&amp;J86,Monthly_Data!$B$6:$B$797,"&lt;="&amp;K86,Monthly_Data!$C$6:$C$797,D86,Monthly_Data!$D$6:$D$797,C86,Monthly_Data!$I$6:$I$797,1)</x:f>
        <x:v>6</x:v>
      </x:c>
      <x:c r="O86" s="16" t="n">
        <x:f>IF(M86&gt;0,L86/M86,"n.a.")</x:f>
        <x:v>10.399882356093288</x:v>
      </x:c>
      <x:c r="P86" s="16" t="n">
        <x:f>IF(F86&gt;0,E86/F86-I86,"n.a.")</x:f>
        <x:v>0</x:v>
      </x:c>
      <x:c r="Q86" s="2" t="n">
        <x:f>COUNTIF($A$6:$A$125,A86)</x:f>
        <x:v>1</x:v>
      </x:c>
      <x:c r="R86" s="2" t="n">
        <x:f>ABS(P86)</x:f>
        <x:v>0</x:v>
      </x:c>
    </x:row>
    <x:row r="87" ht="22" customHeight="1">
      <x:c r="A87" s="2" t="str">
        <x:v>H1 2026|Cambodia|61091000</x:v>
      </x:c>
      <x:c r="B87" s="2" t="str">
        <x:v>H1 2026</x:v>
      </x:c>
      <x:c r="C87" s="2" t="str">
        <x:v>Cambodia</x:v>
      </x:c>
      <x:c r="D87" s="2" t="str">
        <x:v>61091000</x:v>
      </x:c>
      <x:c r="E87" s="14" t="n">
        <x:v>5968533</x:v>
      </x:c>
      <x:c r="F87" s="14" t="n">
        <x:v>334694</x:v>
      </x:c>
      <x:c r="G87" s="2" t="n">
        <x:v>6</x:v>
      </x:c>
      <x:c r="H87" s="2" t="n">
        <x:v>0</x:v>
      </x:c>
      <x:c r="I87" s="15" t="n">
        <x:v>17.83280548799799</x:v>
      </x:c>
      <x:c r="J87" s="2" t="n">
        <x:v>202601</x:v>
      </x:c>
      <x:c r="K87" s="2" t="n">
        <x:v>202606</x:v>
      </x:c>
      <x:c r="L87" s="14" t="n">
        <x:f>SUMIFS(Monthly_Data!$E$6:$E$797,Monthly_Data!$B$6:$B$797,"&gt;="&amp;J87,Monthly_Data!$B$6:$B$797,"&lt;="&amp;K87,Monthly_Data!$C$6:$C$797,D87,Monthly_Data!$D$6:$D$797,C87,Monthly_Data!$I$6:$I$797,1)</x:f>
        <x:v>5968533</x:v>
      </x:c>
      <x:c r="M87" s="14" t="n">
        <x:f>SUMIFS(Monthly_Data!$F$6:$F$797,Monthly_Data!$B$6:$B$797,"&gt;="&amp;J87,Monthly_Data!$B$6:$B$797,"&lt;="&amp;K87,Monthly_Data!$C$6:$C$797,D87,Monthly_Data!$D$6:$D$797,C87,Monthly_Data!$I$6:$I$797,1)</x:f>
        <x:v>334694</x:v>
      </x:c>
      <x:c r="N87" s="2" t="n">
        <x:f>COUNTIFS(Monthly_Data!$B$6:$B$797,"&gt;="&amp;J87,Monthly_Data!$B$6:$B$797,"&lt;="&amp;K87,Monthly_Data!$C$6:$C$797,D87,Monthly_Data!$D$6:$D$797,C87,Monthly_Data!$I$6:$I$797,1)</x:f>
        <x:v>6</x:v>
      </x:c>
      <x:c r="O87" s="16" t="n">
        <x:f>IF(M87&gt;0,L87/M87,"n.a.")</x:f>
        <x:v>17.83280548799799</x:v>
      </x:c>
      <x:c r="P87" s="16" t="n">
        <x:f>IF(F87&gt;0,E87/F87-I87,"n.a.")</x:f>
        <x:v>0</x:v>
      </x:c>
      <x:c r="Q87" s="2" t="n">
        <x:f>COUNTIF($A$6:$A$125,A87)</x:f>
        <x:v>1</x:v>
      </x:c>
      <x:c r="R87" s="2" t="n">
        <x:f>ABS(P87)</x:f>
        <x:v>0</x:v>
      </x:c>
    </x:row>
    <x:row r="88" ht="22" customHeight="1">
      <x:c r="A88" s="2" t="str">
        <x:v>H1 2026|China|61091000</x:v>
      </x:c>
      <x:c r="B88" s="2" t="str">
        <x:v>H1 2026</x:v>
      </x:c>
      <x:c r="C88" s="2" t="str">
        <x:v>China</x:v>
      </x:c>
      <x:c r="D88" s="2" t="str">
        <x:v>61091000</x:v>
      </x:c>
      <x:c r="E88" s="14" t="n">
        <x:v>27268063</x:v>
      </x:c>
      <x:c r="F88" s="14" t="n">
        <x:v>1611661</x:v>
      </x:c>
      <x:c r="G88" s="2" t="n">
        <x:v>6</x:v>
      </x:c>
      <x:c r="H88" s="2" t="n">
        <x:v>0</x:v>
      </x:c>
      <x:c r="I88" s="15" t="n">
        <x:v>16.919229912494004</x:v>
      </x:c>
      <x:c r="J88" s="2" t="n">
        <x:v>202601</x:v>
      </x:c>
      <x:c r="K88" s="2" t="n">
        <x:v>202606</x:v>
      </x:c>
      <x:c r="L88" s="14" t="n">
        <x:f>SUMIFS(Monthly_Data!$E$6:$E$797,Monthly_Data!$B$6:$B$797,"&gt;="&amp;J88,Monthly_Data!$B$6:$B$797,"&lt;="&amp;K88,Monthly_Data!$C$6:$C$797,D88,Monthly_Data!$D$6:$D$797,C88,Monthly_Data!$I$6:$I$797,1)</x:f>
        <x:v>27268063</x:v>
      </x:c>
      <x:c r="M88" s="14" t="n">
        <x:f>SUMIFS(Monthly_Data!$F$6:$F$797,Monthly_Data!$B$6:$B$797,"&gt;="&amp;J88,Monthly_Data!$B$6:$B$797,"&lt;="&amp;K88,Monthly_Data!$C$6:$C$797,D88,Monthly_Data!$D$6:$D$797,C88,Monthly_Data!$I$6:$I$797,1)</x:f>
        <x:v>1611661</x:v>
      </x:c>
      <x:c r="N88" s="2" t="n">
        <x:f>COUNTIFS(Monthly_Data!$B$6:$B$797,"&gt;="&amp;J88,Monthly_Data!$B$6:$B$797,"&lt;="&amp;K88,Monthly_Data!$C$6:$C$797,D88,Monthly_Data!$D$6:$D$797,C88,Monthly_Data!$I$6:$I$797,1)</x:f>
        <x:v>6</x:v>
      </x:c>
      <x:c r="O88" s="16" t="n">
        <x:f>IF(M88&gt;0,L88/M88,"n.a.")</x:f>
        <x:v>16.919229912494004</x:v>
      </x:c>
      <x:c r="P88" s="16" t="n">
        <x:f>IF(F88&gt;0,E88/F88-I88,"n.a.")</x:f>
        <x:v>0</x:v>
      </x:c>
      <x:c r="Q88" s="2" t="n">
        <x:f>COUNTIF($A$6:$A$125,A88)</x:f>
        <x:v>1</x:v>
      </x:c>
      <x:c r="R88" s="2" t="n">
        <x:f>ABS(P88)</x:f>
        <x:v>0</x:v>
      </x:c>
    </x:row>
    <x:row r="89" ht="22" customHeight="1">
      <x:c r="A89" s="2" t="str">
        <x:v>H1 2026|India|61091000</x:v>
      </x:c>
      <x:c r="B89" s="2" t="str">
        <x:v>H1 2026</x:v>
      </x:c>
      <x:c r="C89" s="2" t="str">
        <x:v>India</x:v>
      </x:c>
      <x:c r="D89" s="2" t="str">
        <x:v>61091000</x:v>
      </x:c>
      <x:c r="E89" s="14" t="n">
        <x:v>54416583</x:v>
      </x:c>
      <x:c r="F89" s="14" t="n">
        <x:v>4347817</x:v>
      </x:c>
      <x:c r="G89" s="2" t="n">
        <x:v>6</x:v>
      </x:c>
      <x:c r="H89" s="2" t="n">
        <x:v>0</x:v>
      </x:c>
      <x:c r="I89" s="15" t="n">
        <x:v>12.515840248106118</x:v>
      </x:c>
      <x:c r="J89" s="2" t="n">
        <x:v>202601</x:v>
      </x:c>
      <x:c r="K89" s="2" t="n">
        <x:v>202606</x:v>
      </x:c>
      <x:c r="L89" s="14" t="n">
        <x:f>SUMIFS(Monthly_Data!$E$6:$E$797,Monthly_Data!$B$6:$B$797,"&gt;="&amp;J89,Monthly_Data!$B$6:$B$797,"&lt;="&amp;K89,Monthly_Data!$C$6:$C$797,D89,Monthly_Data!$D$6:$D$797,C89,Monthly_Data!$I$6:$I$797,1)</x:f>
        <x:v>54416583</x:v>
      </x:c>
      <x:c r="M89" s="14" t="n">
        <x:f>SUMIFS(Monthly_Data!$F$6:$F$797,Monthly_Data!$B$6:$B$797,"&gt;="&amp;J89,Monthly_Data!$B$6:$B$797,"&lt;="&amp;K89,Monthly_Data!$C$6:$C$797,D89,Monthly_Data!$D$6:$D$797,C89,Monthly_Data!$I$6:$I$797,1)</x:f>
        <x:v>4347817</x:v>
      </x:c>
      <x:c r="N89" s="2" t="n">
        <x:f>COUNTIFS(Monthly_Data!$B$6:$B$797,"&gt;="&amp;J89,Monthly_Data!$B$6:$B$797,"&lt;="&amp;K89,Monthly_Data!$C$6:$C$797,D89,Monthly_Data!$D$6:$D$797,C89,Monthly_Data!$I$6:$I$797,1)</x:f>
        <x:v>6</x:v>
      </x:c>
      <x:c r="O89" s="16" t="n">
        <x:f>IF(M89&gt;0,L89/M89,"n.a.")</x:f>
        <x:v>12.515840248106118</x:v>
      </x:c>
      <x:c r="P89" s="16" t="n">
        <x:f>IF(F89&gt;0,E89/F89-I89,"n.a.")</x:f>
        <x:v>0</x:v>
      </x:c>
      <x:c r="Q89" s="2" t="n">
        <x:f>COUNTIF($A$6:$A$125,A89)</x:f>
        <x:v>1</x:v>
      </x:c>
      <x:c r="R89" s="2" t="n">
        <x:f>ABS(P89)</x:f>
        <x:v>0</x:v>
      </x:c>
    </x:row>
    <x:row r="90" ht="22" customHeight="1">
      <x:c r="A90" s="2" t="str">
        <x:v>H1 2026|Morocco|61091000</x:v>
      </x:c>
      <x:c r="B90" s="2" t="str">
        <x:v>H1 2026</x:v>
      </x:c>
      <x:c r="C90" s="2" t="str">
        <x:v>Morocco</x:v>
      </x:c>
      <x:c r="D90" s="2" t="str">
        <x:v>61091000</x:v>
      </x:c>
      <x:c r="E90" s="14" t="n">
        <x:v>4957179</x:v>
      </x:c>
      <x:c r="F90" s="14" t="n">
        <x:v>526732</x:v>
      </x:c>
      <x:c r="G90" s="2" t="n">
        <x:v>6</x:v>
      </x:c>
      <x:c r="H90" s="2" t="n">
        <x:v>0</x:v>
      </x:c>
      <x:c r="I90" s="15" t="n">
        <x:v>9.411197724839198</x:v>
      </x:c>
      <x:c r="J90" s="2" t="n">
        <x:v>202601</x:v>
      </x:c>
      <x:c r="K90" s="2" t="n">
        <x:v>202606</x:v>
      </x:c>
      <x:c r="L90" s="14" t="n">
        <x:f>SUMIFS(Monthly_Data!$E$6:$E$797,Monthly_Data!$B$6:$B$797,"&gt;="&amp;J90,Monthly_Data!$B$6:$B$797,"&lt;="&amp;K90,Monthly_Data!$C$6:$C$797,D90,Monthly_Data!$D$6:$D$797,C90,Monthly_Data!$I$6:$I$797,1)</x:f>
        <x:v>4957179</x:v>
      </x:c>
      <x:c r="M90" s="14" t="n">
        <x:f>SUMIFS(Monthly_Data!$F$6:$F$797,Monthly_Data!$B$6:$B$797,"&gt;="&amp;J90,Monthly_Data!$B$6:$B$797,"&lt;="&amp;K90,Monthly_Data!$C$6:$C$797,D90,Monthly_Data!$D$6:$D$797,C90,Monthly_Data!$I$6:$I$797,1)</x:f>
        <x:v>526732</x:v>
      </x:c>
      <x:c r="N90" s="2" t="n">
        <x:f>COUNTIFS(Monthly_Data!$B$6:$B$797,"&gt;="&amp;J90,Monthly_Data!$B$6:$B$797,"&lt;="&amp;K90,Monthly_Data!$C$6:$C$797,D90,Monthly_Data!$D$6:$D$797,C90,Monthly_Data!$I$6:$I$797,1)</x:f>
        <x:v>6</x:v>
      </x:c>
      <x:c r="O90" s="16" t="n">
        <x:f>IF(M90&gt;0,L90/M90,"n.a.")</x:f>
        <x:v>9.411197724839198</x:v>
      </x:c>
      <x:c r="P90" s="16" t="n">
        <x:f>IF(F90&gt;0,E90/F90-I90,"n.a.")</x:f>
        <x:v>0</x:v>
      </x:c>
      <x:c r="Q90" s="2" t="n">
        <x:f>COUNTIF($A$6:$A$125,A90)</x:f>
        <x:v>1</x:v>
      </x:c>
      <x:c r="R90" s="2" t="n">
        <x:f>ABS(P90)</x:f>
        <x:v>0</x:v>
      </x:c>
    </x:row>
    <x:row r="91" ht="22" customHeight="1">
      <x:c r="A91" s="2" t="str">
        <x:v>H1 2026|Myanmar|61091000</x:v>
      </x:c>
      <x:c r="B91" s="2" t="str">
        <x:v>H1 2026</x:v>
      </x:c>
      <x:c r="C91" s="2" t="str">
        <x:v>Myanmar</x:v>
      </x:c>
      <x:c r="D91" s="2" t="str">
        <x:v>61091000</x:v>
      </x:c>
      <x:c r="E91" s="14" t="n">
        <x:v>619607</x:v>
      </x:c>
      <x:c r="F91" s="14" t="n">
        <x:v>58361</x:v>
      </x:c>
      <x:c r="G91" s="2" t="n">
        <x:v>6</x:v>
      </x:c>
      <x:c r="H91" s="2" t="n">
        <x:v>0</x:v>
      </x:c>
      <x:c r="I91" s="15" t="n">
        <x:v>10.616798889669472</x:v>
      </x:c>
      <x:c r="J91" s="2" t="n">
        <x:v>202601</x:v>
      </x:c>
      <x:c r="K91" s="2" t="n">
        <x:v>202606</x:v>
      </x:c>
      <x:c r="L91" s="14" t="n">
        <x:f>SUMIFS(Monthly_Data!$E$6:$E$797,Monthly_Data!$B$6:$B$797,"&gt;="&amp;J91,Monthly_Data!$B$6:$B$797,"&lt;="&amp;K91,Monthly_Data!$C$6:$C$797,D91,Monthly_Data!$D$6:$D$797,C91,Monthly_Data!$I$6:$I$797,1)</x:f>
        <x:v>619607</x:v>
      </x:c>
      <x:c r="M91" s="14" t="n">
        <x:f>SUMIFS(Monthly_Data!$F$6:$F$797,Monthly_Data!$B$6:$B$797,"&gt;="&amp;J91,Monthly_Data!$B$6:$B$797,"&lt;="&amp;K91,Monthly_Data!$C$6:$C$797,D91,Monthly_Data!$D$6:$D$797,C91,Monthly_Data!$I$6:$I$797,1)</x:f>
        <x:v>58361</x:v>
      </x:c>
      <x:c r="N91" s="2" t="n">
        <x:f>COUNTIFS(Monthly_Data!$B$6:$B$797,"&gt;="&amp;J91,Monthly_Data!$B$6:$B$797,"&lt;="&amp;K91,Monthly_Data!$C$6:$C$797,D91,Monthly_Data!$D$6:$D$797,C91,Monthly_Data!$I$6:$I$797,1)</x:f>
        <x:v>6</x:v>
      </x:c>
      <x:c r="O91" s="16" t="n">
        <x:f>IF(M91&gt;0,L91/M91,"n.a.")</x:f>
        <x:v>10.616798889669472</x:v>
      </x:c>
      <x:c r="P91" s="16" t="n">
        <x:f>IF(F91&gt;0,E91/F91-I91,"n.a.")</x:f>
        <x:v>0</x:v>
      </x:c>
      <x:c r="Q91" s="2" t="n">
        <x:f>COUNTIF($A$6:$A$125,A91)</x:f>
        <x:v>1</x:v>
      </x:c>
      <x:c r="R91" s="2" t="n">
        <x:f>ABS(P91)</x:f>
        <x:v>0</x:v>
      </x:c>
    </x:row>
    <x:row r="92" ht="22" customHeight="1">
      <x:c r="A92" s="2" t="str">
        <x:v>H1 2026|Pakistan|61091000</x:v>
      </x:c>
      <x:c r="B92" s="2" t="str">
        <x:v>H1 2026</x:v>
      </x:c>
      <x:c r="C92" s="2" t="str">
        <x:v>Pakistan</x:v>
      </x:c>
      <x:c r="D92" s="2" t="str">
        <x:v>61091000</x:v>
      </x:c>
      <x:c r="E92" s="14" t="n">
        <x:v>20868271</x:v>
      </x:c>
      <x:c r="F92" s="14" t="n">
        <x:v>1714193</x:v>
      </x:c>
      <x:c r="G92" s="2" t="n">
        <x:v>6</x:v>
      </x:c>
      <x:c r="H92" s="2" t="n">
        <x:v>0</x:v>
      </x:c>
      <x:c r="I92" s="15" t="n">
        <x:v>12.17381648390817</x:v>
      </x:c>
      <x:c r="J92" s="2" t="n">
        <x:v>202601</x:v>
      </x:c>
      <x:c r="K92" s="2" t="n">
        <x:v>202606</x:v>
      </x:c>
      <x:c r="L92" s="14" t="n">
        <x:f>SUMIFS(Monthly_Data!$E$6:$E$797,Monthly_Data!$B$6:$B$797,"&gt;="&amp;J92,Monthly_Data!$B$6:$B$797,"&lt;="&amp;K92,Monthly_Data!$C$6:$C$797,D92,Monthly_Data!$D$6:$D$797,C92,Monthly_Data!$I$6:$I$797,1)</x:f>
        <x:v>20868271</x:v>
      </x:c>
      <x:c r="M92" s="14" t="n">
        <x:f>SUMIFS(Monthly_Data!$F$6:$F$797,Monthly_Data!$B$6:$B$797,"&gt;="&amp;J92,Monthly_Data!$B$6:$B$797,"&lt;="&amp;K92,Monthly_Data!$C$6:$C$797,D92,Monthly_Data!$D$6:$D$797,C92,Monthly_Data!$I$6:$I$797,1)</x:f>
        <x:v>1714193</x:v>
      </x:c>
      <x:c r="N92" s="2" t="n">
        <x:f>COUNTIFS(Monthly_Data!$B$6:$B$797,"&gt;="&amp;J92,Monthly_Data!$B$6:$B$797,"&lt;="&amp;K92,Monthly_Data!$C$6:$C$797,D92,Monthly_Data!$D$6:$D$797,C92,Monthly_Data!$I$6:$I$797,1)</x:f>
        <x:v>6</x:v>
      </x:c>
      <x:c r="O92" s="16" t="n">
        <x:f>IF(M92&gt;0,L92/M92,"n.a.")</x:f>
        <x:v>12.17381648390817</x:v>
      </x:c>
      <x:c r="P92" s="16" t="n">
        <x:f>IF(F92&gt;0,E92/F92-I92,"n.a.")</x:f>
        <x:v>0</x:v>
      </x:c>
      <x:c r="Q92" s="2" t="n">
        <x:f>COUNTIF($A$6:$A$125,A92)</x:f>
        <x:v>1</x:v>
      </x:c>
      <x:c r="R92" s="2" t="n">
        <x:f>ABS(P92)</x:f>
        <x:v>0</x:v>
      </x:c>
    </x:row>
    <x:row r="93" ht="22" customHeight="1">
      <x:c r="A93" s="2" t="str">
        <x:v>H1 2026|Sri Lanka|61091000</x:v>
      </x:c>
      <x:c r="B93" s="2" t="str">
        <x:v>H1 2026</x:v>
      </x:c>
      <x:c r="C93" s="2" t="str">
        <x:v>Sri Lanka</x:v>
      </x:c>
      <x:c r="D93" s="2" t="str">
        <x:v>61091000</x:v>
      </x:c>
      <x:c r="E93" s="14" t="n">
        <x:v>8791535</x:v>
      </x:c>
      <x:c r="F93" s="14" t="n">
        <x:v>729136</x:v>
      </x:c>
      <x:c r="G93" s="2" t="n">
        <x:v>6</x:v>
      </x:c>
      <x:c r="H93" s="2" t="n">
        <x:v>0</x:v>
      </x:c>
      <x:c r="I93" s="15" t="n">
        <x:v>12.057469388426851</x:v>
      </x:c>
      <x:c r="J93" s="2" t="n">
        <x:v>202601</x:v>
      </x:c>
      <x:c r="K93" s="2" t="n">
        <x:v>202606</x:v>
      </x:c>
      <x:c r="L93" s="14" t="n">
        <x:f>SUMIFS(Monthly_Data!$E$6:$E$797,Monthly_Data!$B$6:$B$797,"&gt;="&amp;J93,Monthly_Data!$B$6:$B$797,"&lt;="&amp;K93,Monthly_Data!$C$6:$C$797,D93,Monthly_Data!$D$6:$D$797,C93,Monthly_Data!$I$6:$I$797,1)</x:f>
        <x:v>8791535</x:v>
      </x:c>
      <x:c r="M93" s="14" t="n">
        <x:f>SUMIFS(Monthly_Data!$F$6:$F$797,Monthly_Data!$B$6:$B$797,"&gt;="&amp;J93,Monthly_Data!$B$6:$B$797,"&lt;="&amp;K93,Monthly_Data!$C$6:$C$797,D93,Monthly_Data!$D$6:$D$797,C93,Monthly_Data!$I$6:$I$797,1)</x:f>
        <x:v>729136</x:v>
      </x:c>
      <x:c r="N93" s="2" t="n">
        <x:f>COUNTIFS(Monthly_Data!$B$6:$B$797,"&gt;="&amp;J93,Monthly_Data!$B$6:$B$797,"&lt;="&amp;K93,Monthly_Data!$C$6:$C$797,D93,Monthly_Data!$D$6:$D$797,C93,Monthly_Data!$I$6:$I$797,1)</x:f>
        <x:v>6</x:v>
      </x:c>
      <x:c r="O93" s="16" t="n">
        <x:f>IF(M93&gt;0,L93/M93,"n.a.")</x:f>
        <x:v>12.057469388426851</x:v>
      </x:c>
      <x:c r="P93" s="16" t="n">
        <x:f>IF(F93&gt;0,E93/F93-I93,"n.a.")</x:f>
        <x:v>0</x:v>
      </x:c>
      <x:c r="Q93" s="2" t="n">
        <x:f>COUNTIF($A$6:$A$125,A93)</x:f>
        <x:v>1</x:v>
      </x:c>
      <x:c r="R93" s="2" t="n">
        <x:f>ABS(P93)</x:f>
        <x:v>0</x:v>
      </x:c>
    </x:row>
    <x:row r="94" ht="22" customHeight="1">
      <x:c r="A94" s="2" t="str">
        <x:v>H1 2026|Turkey|61091000</x:v>
      </x:c>
      <x:c r="B94" s="2" t="str">
        <x:v>H1 2026</x:v>
      </x:c>
      <x:c r="C94" s="2" t="str">
        <x:v>Turkey</x:v>
      </x:c>
      <x:c r="D94" s="2" t="str">
        <x:v>61091000</x:v>
      </x:c>
      <x:c r="E94" s="14" t="n">
        <x:v>58384062</x:v>
      </x:c>
      <x:c r="F94" s="14" t="n">
        <x:v>2450042</x:v>
      </x:c>
      <x:c r="G94" s="2" t="n">
        <x:v>6</x:v>
      </x:c>
      <x:c r="H94" s="2" t="n">
        <x:v>0</x:v>
      </x:c>
      <x:c r="I94" s="15" t="n">
        <x:v>23.829820876540076</x:v>
      </x:c>
      <x:c r="J94" s="2" t="n">
        <x:v>202601</x:v>
      </x:c>
      <x:c r="K94" s="2" t="n">
        <x:v>202606</x:v>
      </x:c>
      <x:c r="L94" s="14" t="n">
        <x:f>SUMIFS(Monthly_Data!$E$6:$E$797,Monthly_Data!$B$6:$B$797,"&gt;="&amp;J94,Monthly_Data!$B$6:$B$797,"&lt;="&amp;K94,Monthly_Data!$C$6:$C$797,D94,Monthly_Data!$D$6:$D$797,C94,Monthly_Data!$I$6:$I$797,1)</x:f>
        <x:v>58384062</x:v>
      </x:c>
      <x:c r="M94" s="14" t="n">
        <x:f>SUMIFS(Monthly_Data!$F$6:$F$797,Monthly_Data!$B$6:$B$797,"&gt;="&amp;J94,Monthly_Data!$B$6:$B$797,"&lt;="&amp;K94,Monthly_Data!$C$6:$C$797,D94,Monthly_Data!$D$6:$D$797,C94,Monthly_Data!$I$6:$I$797,1)</x:f>
        <x:v>2450042</x:v>
      </x:c>
      <x:c r="N94" s="2" t="n">
        <x:f>COUNTIFS(Monthly_Data!$B$6:$B$797,"&gt;="&amp;J94,Monthly_Data!$B$6:$B$797,"&lt;="&amp;K94,Monthly_Data!$C$6:$C$797,D94,Monthly_Data!$D$6:$D$797,C94,Monthly_Data!$I$6:$I$797,1)</x:f>
        <x:v>6</x:v>
      </x:c>
      <x:c r="O94" s="16" t="n">
        <x:f>IF(M94&gt;0,L94/M94,"n.a.")</x:f>
        <x:v>23.829820876540076</x:v>
      </x:c>
      <x:c r="P94" s="16" t="n">
        <x:f>IF(F94&gt;0,E94/F94-I94,"n.a.")</x:f>
        <x:v>0</x:v>
      </x:c>
      <x:c r="Q94" s="2" t="n">
        <x:f>COUNTIF($A$6:$A$125,A94)</x:f>
        <x:v>1</x:v>
      </x:c>
      <x:c r="R94" s="2" t="n">
        <x:f>ABS(P94)</x:f>
        <x:v>0</x:v>
      </x:c>
    </x:row>
    <x:row r="95" ht="22" customHeight="1">
      <x:c r="A95" s="2" t="str">
        <x:v>H1 2026|Vietnam|61091000</x:v>
      </x:c>
      <x:c r="B95" s="2" t="str">
        <x:v>H1 2026</x:v>
      </x:c>
      <x:c r="C95" s="2" t="str">
        <x:v>Vietnam</x:v>
      </x:c>
      <x:c r="D95" s="2" t="str">
        <x:v>61091000</x:v>
      </x:c>
      <x:c r="E95" s="14" t="n">
        <x:v>13656174</x:v>
      </x:c>
      <x:c r="F95" s="14" t="n">
        <x:v>532624</x:v>
      </x:c>
      <x:c r="G95" s="2" t="n">
        <x:v>6</x:v>
      </x:c>
      <x:c r="H95" s="2" t="n">
        <x:v>0</x:v>
      </x:c>
      <x:c r="I95" s="15" t="n">
        <x:v>25.639426687494367</x:v>
      </x:c>
      <x:c r="J95" s="2" t="n">
        <x:v>202601</x:v>
      </x:c>
      <x:c r="K95" s="2" t="n">
        <x:v>202606</x:v>
      </x:c>
      <x:c r="L95" s="14" t="n">
        <x:f>SUMIFS(Monthly_Data!$E$6:$E$797,Monthly_Data!$B$6:$B$797,"&gt;="&amp;J95,Monthly_Data!$B$6:$B$797,"&lt;="&amp;K95,Monthly_Data!$C$6:$C$797,D95,Monthly_Data!$D$6:$D$797,C95,Monthly_Data!$I$6:$I$797,1)</x:f>
        <x:v>13656174</x:v>
      </x:c>
      <x:c r="M95" s="14" t="n">
        <x:f>SUMIFS(Monthly_Data!$F$6:$F$797,Monthly_Data!$B$6:$B$797,"&gt;="&amp;J95,Monthly_Data!$B$6:$B$797,"&lt;="&amp;K95,Monthly_Data!$C$6:$C$797,D95,Monthly_Data!$D$6:$D$797,C95,Monthly_Data!$I$6:$I$797,1)</x:f>
        <x:v>532624</x:v>
      </x:c>
      <x:c r="N95" s="2" t="n">
        <x:f>COUNTIFS(Monthly_Data!$B$6:$B$797,"&gt;="&amp;J95,Monthly_Data!$B$6:$B$797,"&lt;="&amp;K95,Monthly_Data!$C$6:$C$797,D95,Monthly_Data!$D$6:$D$797,C95,Monthly_Data!$I$6:$I$797,1)</x:f>
        <x:v>6</x:v>
      </x:c>
      <x:c r="O95" s="16" t="n">
        <x:f>IF(M95&gt;0,L95/M95,"n.a.")</x:f>
        <x:v>25.639426687494367</x:v>
      </x:c>
      <x:c r="P95" s="16" t="n">
        <x:f>IF(F95&gt;0,E95/F95-I95,"n.a.")</x:f>
        <x:v>0</x:v>
      </x:c>
      <x:c r="Q95" s="2" t="n">
        <x:f>COUNTIF($A$6:$A$125,A95)</x:f>
        <x:v>1</x:v>
      </x:c>
      <x:c r="R95" s="2" t="n">
        <x:f>ABS(P95)</x:f>
        <x:v>0</x:v>
      </x:c>
    </x:row>
    <x:row r="96" ht="22" customHeight="1">
      <x:c r="A96" s="2" t="str">
        <x:v>H1 2026|Bangladesh|61103099</x:v>
      </x:c>
      <x:c r="B96" s="2" t="str">
        <x:v>H1 2026</x:v>
      </x:c>
      <x:c r="C96" s="2" t="str">
        <x:v>Bangladesh</x:v>
      </x:c>
      <x:c r="D96" s="2" t="str">
        <x:v>61103099</x:v>
      </x:c>
      <x:c r="E96" s="14" t="n">
        <x:v>41106466</x:v>
      </x:c>
      <x:c r="F96" s="14" t="n">
        <x:v>3340374</x:v>
      </x:c>
      <x:c r="G96" s="2" t="n">
        <x:v>6</x:v>
      </x:c>
      <x:c r="H96" s="2" t="n">
        <x:v>0</x:v>
      </x:c>
      <x:c r="I96" s="15" t="n">
        <x:v>12.305947178369847</x:v>
      </x:c>
      <x:c r="J96" s="2" t="n">
        <x:v>202601</x:v>
      </x:c>
      <x:c r="K96" s="2" t="n">
        <x:v>202606</x:v>
      </x:c>
      <x:c r="L96" s="14" t="n">
        <x:f>SUMIFS(Monthly_Data!$E$6:$E$797,Monthly_Data!$B$6:$B$797,"&gt;="&amp;J96,Monthly_Data!$B$6:$B$797,"&lt;="&amp;K96,Monthly_Data!$C$6:$C$797,D96,Monthly_Data!$D$6:$D$797,C96,Monthly_Data!$I$6:$I$797,1)</x:f>
        <x:v>25038881</x:v>
      </x:c>
      <x:c r="M96" s="14" t="n">
        <x:f>SUMIFS(Monthly_Data!$F$6:$F$797,Monthly_Data!$B$6:$B$797,"&gt;="&amp;J96,Monthly_Data!$B$6:$B$797,"&lt;="&amp;K96,Monthly_Data!$C$6:$C$797,D96,Monthly_Data!$D$6:$D$797,C96,Monthly_Data!$I$6:$I$797,1)</x:f>
        <x:v>2031795</x:v>
      </x:c>
      <x:c r="N96" s="2" t="n">
        <x:f>COUNTIFS(Monthly_Data!$B$6:$B$797,"&gt;="&amp;J96,Monthly_Data!$B$6:$B$797,"&lt;="&amp;K96,Monthly_Data!$C$6:$C$797,D96,Monthly_Data!$D$6:$D$797,C96,Monthly_Data!$I$6:$I$797,1)</x:f>
        <x:v>3</x:v>
      </x:c>
      <x:c r="O96" s="16" t="n">
        <x:f>IF(M96&gt;0,L96/M96,"n.a.")</x:f>
        <x:v>12.323527225925844</x:v>
      </x:c>
      <x:c r="P96" s="16" t="n">
        <x:f>IF(F96&gt;0,E96/F96-I96,"n.a.")</x:f>
        <x:v>0</x:v>
      </x:c>
      <x:c r="Q96" s="2" t="n">
        <x:f>COUNTIF($A$6:$A$125,A96)</x:f>
        <x:v>1</x:v>
      </x:c>
      <x:c r="R96" s="2" t="n">
        <x:f>ABS(P96)</x:f>
        <x:v>0</x:v>
      </x:c>
    </x:row>
    <x:row r="97" ht="22" customHeight="1">
      <x:c r="A97" s="2" t="str">
        <x:v>H1 2026|Cambodia|61103099</x:v>
      </x:c>
      <x:c r="B97" s="2" t="str">
        <x:v>H1 2026</x:v>
      </x:c>
      <x:c r="C97" s="2" t="str">
        <x:v>Cambodia</x:v>
      </x:c>
      <x:c r="D97" s="2" t="str">
        <x:v>61103099</x:v>
      </x:c>
      <x:c r="E97" s="14" t="n">
        <x:v>20275618</x:v>
      </x:c>
      <x:c r="F97" s="14" t="n">
        <x:v>1804538</x:v>
      </x:c>
      <x:c r="G97" s="2" t="n">
        <x:v>6</x:v>
      </x:c>
      <x:c r="H97" s="2" t="n">
        <x:v>0</x:v>
      </x:c>
      <x:c r="I97" s="15" t="n">
        <x:v>11.235905256636325</x:v>
      </x:c>
      <x:c r="J97" s="2" t="n">
        <x:v>202601</x:v>
      </x:c>
      <x:c r="K97" s="2" t="n">
        <x:v>202606</x:v>
      </x:c>
      <x:c r="L97" s="14" t="n">
        <x:f>SUMIFS(Monthly_Data!$E$6:$E$797,Monthly_Data!$B$6:$B$797,"&gt;="&amp;J97,Monthly_Data!$B$6:$B$797,"&lt;="&amp;K97,Monthly_Data!$C$6:$C$797,D97,Monthly_Data!$D$6:$D$797,C97,Monthly_Data!$I$6:$I$797,1)</x:f>
        <x:v>13269420</x:v>
      </x:c>
      <x:c r="M97" s="14" t="n">
        <x:f>SUMIFS(Monthly_Data!$F$6:$F$797,Monthly_Data!$B$6:$B$797,"&gt;="&amp;J97,Monthly_Data!$B$6:$B$797,"&lt;="&amp;K97,Monthly_Data!$C$6:$C$797,D97,Monthly_Data!$D$6:$D$797,C97,Monthly_Data!$I$6:$I$797,1)</x:f>
        <x:v>1232292</x:v>
      </x:c>
      <x:c r="N97" s="2" t="n">
        <x:f>COUNTIFS(Monthly_Data!$B$6:$B$797,"&gt;="&amp;J97,Monthly_Data!$B$6:$B$797,"&lt;="&amp;K97,Monthly_Data!$C$6:$C$797,D97,Monthly_Data!$D$6:$D$797,C97,Monthly_Data!$I$6:$I$797,1)</x:f>
        <x:v>3</x:v>
      </x:c>
      <x:c r="O97" s="16" t="n">
        <x:f>IF(M97&gt;0,L97/M97,"n.a.")</x:f>
        <x:v>10.76808094185469</x:v>
      </x:c>
      <x:c r="P97" s="16" t="n">
        <x:f>IF(F97&gt;0,E97/F97-I97,"n.a.")</x:f>
        <x:v>0</x:v>
      </x:c>
      <x:c r="Q97" s="2" t="n">
        <x:f>COUNTIF($A$6:$A$125,A97)</x:f>
        <x:v>1</x:v>
      </x:c>
      <x:c r="R97" s="2" t="n">
        <x:f>ABS(P97)</x:f>
        <x:v>0</x:v>
      </x:c>
    </x:row>
    <x:row r="98" ht="22" customHeight="1">
      <x:c r="A98" s="2" t="str">
        <x:v>H1 2026|China|61103099</x:v>
      </x:c>
      <x:c r="B98" s="2" t="str">
        <x:v>H1 2026</x:v>
      </x:c>
      <x:c r="C98" s="2" t="str">
        <x:v>China</x:v>
      </x:c>
      <x:c r="D98" s="2" t="str">
        <x:v>61103099</x:v>
      </x:c>
      <x:c r="E98" s="14" t="n">
        <x:v>44515052</x:v>
      </x:c>
      <x:c r="F98" s="14" t="n">
        <x:v>2608798</x:v>
      </x:c>
      <x:c r="G98" s="2" t="n">
        <x:v>6</x:v>
      </x:c>
      <x:c r="H98" s="2" t="n">
        <x:v>0</x:v>
      </x:c>
      <x:c r="I98" s="15" t="n">
        <x:v>17.063433811280138</x:v>
      </x:c>
      <x:c r="J98" s="2" t="n">
        <x:v>202601</x:v>
      </x:c>
      <x:c r="K98" s="2" t="n">
        <x:v>202606</x:v>
      </x:c>
      <x:c r="L98" s="14" t="n">
        <x:f>SUMIFS(Monthly_Data!$E$6:$E$797,Monthly_Data!$B$6:$B$797,"&gt;="&amp;J98,Monthly_Data!$B$6:$B$797,"&lt;="&amp;K98,Monthly_Data!$C$6:$C$797,D98,Monthly_Data!$D$6:$D$797,C98,Monthly_Data!$I$6:$I$797,1)</x:f>
        <x:v>27014460</x:v>
      </x:c>
      <x:c r="M98" s="14" t="n">
        <x:f>SUMIFS(Monthly_Data!$F$6:$F$797,Monthly_Data!$B$6:$B$797,"&gt;="&amp;J98,Monthly_Data!$B$6:$B$797,"&lt;="&amp;K98,Monthly_Data!$C$6:$C$797,D98,Monthly_Data!$D$6:$D$797,C98,Monthly_Data!$I$6:$I$797,1)</x:f>
        <x:v>1632364</x:v>
      </x:c>
      <x:c r="N98" s="2" t="n">
        <x:f>COUNTIFS(Monthly_Data!$B$6:$B$797,"&gt;="&amp;J98,Monthly_Data!$B$6:$B$797,"&lt;="&amp;K98,Monthly_Data!$C$6:$C$797,D98,Monthly_Data!$D$6:$D$797,C98,Monthly_Data!$I$6:$I$797,1)</x:f>
        <x:v>3</x:v>
      </x:c>
      <x:c r="O98" s="16" t="n">
        <x:f>IF(M98&gt;0,L98/M98,"n.a.")</x:f>
        <x:v>16.549286801228156</x:v>
      </x:c>
      <x:c r="P98" s="16" t="n">
        <x:f>IF(F98&gt;0,E98/F98-I98,"n.a.")</x:f>
        <x:v>0</x:v>
      </x:c>
      <x:c r="Q98" s="2" t="n">
        <x:f>COUNTIF($A$6:$A$125,A98)</x:f>
        <x:v>1</x:v>
      </x:c>
      <x:c r="R98" s="2" t="n">
        <x:f>ABS(P98)</x:f>
        <x:v>0</x:v>
      </x:c>
    </x:row>
    <x:row r="99" ht="22" customHeight="1">
      <x:c r="A99" s="2" t="str">
        <x:v>H1 2026|India|61103099</x:v>
      </x:c>
      <x:c r="B99" s="2" t="str">
        <x:v>H1 2026</x:v>
      </x:c>
      <x:c r="C99" s="2" t="str">
        <x:v>India</x:v>
      </x:c>
      <x:c r="D99" s="2" t="str">
        <x:v>61103099</x:v>
      </x:c>
      <x:c r="E99" s="14" t="n">
        <x:v>709744</x:v>
      </x:c>
      <x:c r="F99" s="14" t="n">
        <x:v>46899</x:v>
      </x:c>
      <x:c r="G99" s="2" t="n">
        <x:v>6</x:v>
      </x:c>
      <x:c r="H99" s="2" t="n">
        <x:v>0</x:v>
      </x:c>
      <x:c r="I99" s="15" t="n">
        <x:v>15.133457003347619</x:v>
      </x:c>
      <x:c r="J99" s="2" t="n">
        <x:v>202601</x:v>
      </x:c>
      <x:c r="K99" s="2" t="n">
        <x:v>202606</x:v>
      </x:c>
      <x:c r="L99" s="14" t="n">
        <x:f>SUMIFS(Monthly_Data!$E$6:$E$797,Monthly_Data!$B$6:$B$797,"&gt;="&amp;J99,Monthly_Data!$B$6:$B$797,"&lt;="&amp;K99,Monthly_Data!$C$6:$C$797,D99,Monthly_Data!$D$6:$D$797,C99,Monthly_Data!$I$6:$I$797,1)</x:f>
        <x:v>404614</x:v>
      </x:c>
      <x:c r="M99" s="14" t="n">
        <x:f>SUMIFS(Monthly_Data!$F$6:$F$797,Monthly_Data!$B$6:$B$797,"&gt;="&amp;J99,Monthly_Data!$B$6:$B$797,"&lt;="&amp;K99,Monthly_Data!$C$6:$C$797,D99,Monthly_Data!$D$6:$D$797,C99,Monthly_Data!$I$6:$I$797,1)</x:f>
        <x:v>27619</x:v>
      </x:c>
      <x:c r="N99" s="2" t="n">
        <x:f>COUNTIFS(Monthly_Data!$B$6:$B$797,"&gt;="&amp;J99,Monthly_Data!$B$6:$B$797,"&lt;="&amp;K99,Monthly_Data!$C$6:$C$797,D99,Monthly_Data!$D$6:$D$797,C99,Monthly_Data!$I$6:$I$797,1)</x:f>
        <x:v>3</x:v>
      </x:c>
      <x:c r="O99" s="16" t="n">
        <x:f>IF(M99&gt;0,L99/M99,"n.a.")</x:f>
        <x:v>14.649842499728448</x:v>
      </x:c>
      <x:c r="P99" s="16" t="n">
        <x:f>IF(F99&gt;0,E99/F99-I99,"n.a.")</x:f>
        <x:v>0</x:v>
      </x:c>
      <x:c r="Q99" s="2" t="n">
        <x:f>COUNTIF($A$6:$A$125,A99)</x:f>
        <x:v>1</x:v>
      </x:c>
      <x:c r="R99" s="2" t="n">
        <x:f>ABS(P99)</x:f>
        <x:v>0</x:v>
      </x:c>
    </x:row>
    <x:row r="100" ht="22" customHeight="1">
      <x:c r="A100" s="2" t="str">
        <x:v>H1 2026|Morocco|61103099</x:v>
      </x:c>
      <x:c r="B100" s="2" t="str">
        <x:v>H1 2026</x:v>
      </x:c>
      <x:c r="C100" s="2" t="str">
        <x:v>Morocco</x:v>
      </x:c>
      <x:c r="D100" s="2" t="str">
        <x:v>61103099</x:v>
      </x:c>
      <x:c r="E100" s="14" t="n">
        <x:v>94543</x:v>
      </x:c>
      <x:c r="F100" s="14" t="n">
        <x:v>3440</x:v>
      </x:c>
      <x:c r="G100" s="2" t="n">
        <x:v>6</x:v>
      </x:c>
      <x:c r="H100" s="2" t="n">
        <x:v>0</x:v>
      </x:c>
      <x:c r="I100" s="15" t="n">
        <x:v>27.48343023255814</x:v>
      </x:c>
      <x:c r="J100" s="2" t="n">
        <x:v>202601</x:v>
      </x:c>
      <x:c r="K100" s="2" t="n">
        <x:v>202606</x:v>
      </x:c>
      <x:c r="L100" s="14" t="n">
        <x:f>SUMIFS(Monthly_Data!$E$6:$E$797,Monthly_Data!$B$6:$B$797,"&gt;="&amp;J100,Monthly_Data!$B$6:$B$797,"&lt;="&amp;K100,Monthly_Data!$C$6:$C$797,D100,Monthly_Data!$D$6:$D$797,C100,Monthly_Data!$I$6:$I$797,1)</x:f>
        <x:v>77048</x:v>
      </x:c>
      <x:c r="M100" s="14" t="n">
        <x:f>SUMIFS(Monthly_Data!$F$6:$F$797,Monthly_Data!$B$6:$B$797,"&gt;="&amp;J100,Monthly_Data!$B$6:$B$797,"&lt;="&amp;K100,Monthly_Data!$C$6:$C$797,D100,Monthly_Data!$D$6:$D$797,C100,Monthly_Data!$I$6:$I$797,1)</x:f>
        <x:v>2804</x:v>
      </x:c>
      <x:c r="N100" s="2" t="n">
        <x:f>COUNTIFS(Monthly_Data!$B$6:$B$797,"&gt;="&amp;J100,Monthly_Data!$B$6:$B$797,"&lt;="&amp;K100,Monthly_Data!$C$6:$C$797,D100,Monthly_Data!$D$6:$D$797,C100,Monthly_Data!$I$6:$I$797,1)</x:f>
        <x:v>3</x:v>
      </x:c>
      <x:c r="O100" s="16" t="n">
        <x:f>IF(M100&gt;0,L100/M100,"n.a.")</x:f>
        <x:v>27.477888730385164</x:v>
      </x:c>
      <x:c r="P100" s="16" t="n">
        <x:f>IF(F100&gt;0,E100/F100-I100,"n.a.")</x:f>
        <x:v>0</x:v>
      </x:c>
      <x:c r="Q100" s="2" t="n">
        <x:f>COUNTIF($A$6:$A$125,A100)</x:f>
        <x:v>1</x:v>
      </x:c>
      <x:c r="R100" s="2" t="n">
        <x:f>ABS(P100)</x:f>
        <x:v>0</x:v>
      </x:c>
    </x:row>
    <x:row r="101" ht="22" customHeight="1">
      <x:c r="A101" s="2" t="str">
        <x:v>H1 2026|Myanmar|61103099</x:v>
      </x:c>
      <x:c r="B101" s="2" t="str">
        <x:v>H1 2026</x:v>
      </x:c>
      <x:c r="C101" s="2" t="str">
        <x:v>Myanmar</x:v>
      </x:c>
      <x:c r="D101" s="2" t="str">
        <x:v>61103099</x:v>
      </x:c>
      <x:c r="E101" s="14" t="n">
        <x:v>1019595</x:v>
      </x:c>
      <x:c r="F101" s="14" t="n">
        <x:v>72000</x:v>
      </x:c>
      <x:c r="G101" s="2" t="n">
        <x:v>6</x:v>
      </x:c>
      <x:c r="H101" s="2" t="n">
        <x:v>0</x:v>
      </x:c>
      <x:c r="I101" s="15" t="n">
        <x:v>14.161041666666666</x:v>
      </x:c>
      <x:c r="J101" s="2" t="n">
        <x:v>202601</x:v>
      </x:c>
      <x:c r="K101" s="2" t="n">
        <x:v>202606</x:v>
      </x:c>
      <x:c r="L101" s="14" t="n">
        <x:f>SUMIFS(Monthly_Data!$E$6:$E$797,Monthly_Data!$B$6:$B$797,"&gt;="&amp;J101,Monthly_Data!$B$6:$B$797,"&lt;="&amp;K101,Monthly_Data!$C$6:$C$797,D101,Monthly_Data!$D$6:$D$797,C101,Monthly_Data!$I$6:$I$797,1)</x:f>
        <x:v>550135</x:v>
      </x:c>
      <x:c r="M101" s="14" t="n">
        <x:f>SUMIFS(Monthly_Data!$F$6:$F$797,Monthly_Data!$B$6:$B$797,"&gt;="&amp;J101,Monthly_Data!$B$6:$B$797,"&lt;="&amp;K101,Monthly_Data!$C$6:$C$797,D101,Monthly_Data!$D$6:$D$797,C101,Monthly_Data!$I$6:$I$797,1)</x:f>
        <x:v>36826</x:v>
      </x:c>
      <x:c r="N101" s="2" t="n">
        <x:f>COUNTIFS(Monthly_Data!$B$6:$B$797,"&gt;="&amp;J101,Monthly_Data!$B$6:$B$797,"&lt;="&amp;K101,Monthly_Data!$C$6:$C$797,D101,Monthly_Data!$D$6:$D$797,C101,Monthly_Data!$I$6:$I$797,1)</x:f>
        <x:v>3</x:v>
      </x:c>
      <x:c r="O101" s="16" t="n">
        <x:f>IF(M101&gt;0,L101/M101,"n.a.")</x:f>
        <x:v>14.938766089176125</x:v>
      </x:c>
      <x:c r="P101" s="16" t="n">
        <x:f>IF(F101&gt;0,E101/F101-I101,"n.a.")</x:f>
        <x:v>0</x:v>
      </x:c>
      <x:c r="Q101" s="2" t="n">
        <x:f>COUNTIF($A$6:$A$125,A101)</x:f>
        <x:v>1</x:v>
      </x:c>
      <x:c r="R101" s="2" t="n">
        <x:f>ABS(P101)</x:f>
        <x:v>0</x:v>
      </x:c>
    </x:row>
    <x:row r="102" ht="22" customHeight="1">
      <x:c r="A102" s="2" t="str">
        <x:v>H1 2026|Pakistan|61103099</x:v>
      </x:c>
      <x:c r="B102" s="2" t="str">
        <x:v>H1 2026</x:v>
      </x:c>
      <x:c r="C102" s="2" t="str">
        <x:v>Pakistan</x:v>
      </x:c>
      <x:c r="D102" s="2" t="str">
        <x:v>61103099</x:v>
      </x:c>
      <x:c r="E102" s="14" t="n">
        <x:v>2797761</x:v>
      </x:c>
      <x:c r="F102" s="14" t="n">
        <x:v>189105</x:v>
      </x:c>
      <x:c r="G102" s="2" t="n">
        <x:v>6</x:v>
      </x:c>
      <x:c r="H102" s="2" t="n">
        <x:v>0</x:v>
      </x:c>
      <x:c r="I102" s="15" t="n">
        <x:v>14.79474894899659</x:v>
      </x:c>
      <x:c r="J102" s="2" t="n">
        <x:v>202601</x:v>
      </x:c>
      <x:c r="K102" s="2" t="n">
        <x:v>202606</x:v>
      </x:c>
      <x:c r="L102" s="14" t="n">
        <x:f>SUMIFS(Monthly_Data!$E$6:$E$797,Monthly_Data!$B$6:$B$797,"&gt;="&amp;J102,Monthly_Data!$B$6:$B$797,"&lt;="&amp;K102,Monthly_Data!$C$6:$C$797,D102,Monthly_Data!$D$6:$D$797,C102,Monthly_Data!$I$6:$I$797,1)</x:f>
        <x:v>1564498</x:v>
      </x:c>
      <x:c r="M102" s="14" t="n">
        <x:f>SUMIFS(Monthly_Data!$F$6:$F$797,Monthly_Data!$B$6:$B$797,"&gt;="&amp;J102,Monthly_Data!$B$6:$B$797,"&lt;="&amp;K102,Monthly_Data!$C$6:$C$797,D102,Monthly_Data!$D$6:$D$797,C102,Monthly_Data!$I$6:$I$797,1)</x:f>
        <x:v>111136</x:v>
      </x:c>
      <x:c r="N102" s="2" t="n">
        <x:f>COUNTIFS(Monthly_Data!$B$6:$B$797,"&gt;="&amp;J102,Monthly_Data!$B$6:$B$797,"&lt;="&amp;K102,Monthly_Data!$C$6:$C$797,D102,Monthly_Data!$D$6:$D$797,C102,Monthly_Data!$I$6:$I$797,1)</x:f>
        <x:v>3</x:v>
      </x:c>
      <x:c r="O102" s="16" t="n">
        <x:f>IF(M102&gt;0,L102/M102,"n.a.")</x:f>
        <x:v>14.077328678376043</x:v>
      </x:c>
      <x:c r="P102" s="16" t="n">
        <x:f>IF(F102&gt;0,E102/F102-I102,"n.a.")</x:f>
        <x:v>0</x:v>
      </x:c>
      <x:c r="Q102" s="2" t="n">
        <x:f>COUNTIF($A$6:$A$125,A102)</x:f>
        <x:v>1</x:v>
      </x:c>
      <x:c r="R102" s="2" t="n">
        <x:f>ABS(P102)</x:f>
        <x:v>0</x:v>
      </x:c>
    </x:row>
    <x:row r="103" ht="22" customHeight="1">
      <x:c r="A103" s="2" t="str">
        <x:v>H1 2026|Sri Lanka|61103099</x:v>
      </x:c>
      <x:c r="B103" s="2" t="str">
        <x:v>H1 2026</x:v>
      </x:c>
      <x:c r="C103" s="2" t="str">
        <x:v>Sri Lanka</x:v>
      </x:c>
      <x:c r="D103" s="2" t="str">
        <x:v>61103099</x:v>
      </x:c>
      <x:c r="E103" s="14" t="n">
        <x:v>732589</x:v>
      </x:c>
      <x:c r="F103" s="14" t="n">
        <x:v>34757</x:v>
      </x:c>
      <x:c r="G103" s="2" t="n">
        <x:v>6</x:v>
      </x:c>
      <x:c r="H103" s="2" t="n">
        <x:v>0</x:v>
      </x:c>
      <x:c r="I103" s="15" t="n">
        <x:v>21.077452024052707</x:v>
      </x:c>
      <x:c r="J103" s="2" t="n">
        <x:v>202601</x:v>
      </x:c>
      <x:c r="K103" s="2" t="n">
        <x:v>202606</x:v>
      </x:c>
      <x:c r="L103" s="14" t="n">
        <x:f>SUMIFS(Monthly_Data!$E$6:$E$797,Monthly_Data!$B$6:$B$797,"&gt;="&amp;J103,Monthly_Data!$B$6:$B$797,"&lt;="&amp;K103,Monthly_Data!$C$6:$C$797,D103,Monthly_Data!$D$6:$D$797,C103,Monthly_Data!$I$6:$I$797,1)</x:f>
        <x:v>326827</x:v>
      </x:c>
      <x:c r="M103" s="14" t="n">
        <x:f>SUMIFS(Monthly_Data!$F$6:$F$797,Monthly_Data!$B$6:$B$797,"&gt;="&amp;J103,Monthly_Data!$B$6:$B$797,"&lt;="&amp;K103,Monthly_Data!$C$6:$C$797,D103,Monthly_Data!$D$6:$D$797,C103,Monthly_Data!$I$6:$I$797,1)</x:f>
        <x:v>14080</x:v>
      </x:c>
      <x:c r="N103" s="2" t="n">
        <x:f>COUNTIFS(Monthly_Data!$B$6:$B$797,"&gt;="&amp;J103,Monthly_Data!$B$6:$B$797,"&lt;="&amp;K103,Monthly_Data!$C$6:$C$797,D103,Monthly_Data!$D$6:$D$797,C103,Monthly_Data!$I$6:$I$797,1)</x:f>
        <x:v>3</x:v>
      </x:c>
      <x:c r="O103" s="16" t="n">
        <x:f>IF(M103&gt;0,L103/M103,"n.a.")</x:f>
        <x:v>23.212144886363635</x:v>
      </x:c>
      <x:c r="P103" s="16" t="n">
        <x:f>IF(F103&gt;0,E103/F103-I103,"n.a.")</x:f>
        <x:v>0</x:v>
      </x:c>
      <x:c r="Q103" s="2" t="n">
        <x:f>COUNTIF($A$6:$A$125,A103)</x:f>
        <x:v>1</x:v>
      </x:c>
      <x:c r="R103" s="2" t="n">
        <x:f>ABS(P103)</x:f>
        <x:v>0</x:v>
      </x:c>
    </x:row>
    <x:row r="104" ht="22" customHeight="1">
      <x:c r="A104" s="2" t="str">
        <x:v>H1 2026|Turkey|61103099</x:v>
      </x:c>
      <x:c r="B104" s="2" t="str">
        <x:v>H1 2026</x:v>
      </x:c>
      <x:c r="C104" s="2" t="str">
        <x:v>Turkey</x:v>
      </x:c>
      <x:c r="D104" s="2" t="str">
        <x:v>61103099</x:v>
      </x:c>
      <x:c r="E104" s="14" t="n">
        <x:v>15949155</x:v>
      </x:c>
      <x:c r="F104" s="14" t="n">
        <x:v>2413703</x:v>
      </x:c>
      <x:c r="G104" s="2" t="n">
        <x:v>6</x:v>
      </x:c>
      <x:c r="H104" s="2" t="n">
        <x:v>3</x:v>
      </x:c>
      <x:c r="I104" s="15" t="n">
        <x:v>6.607753729435643</x:v>
      </x:c>
      <x:c r="J104" s="2" t="n">
        <x:v>202601</x:v>
      </x:c>
      <x:c r="K104" s="2" t="n">
        <x:v>202606</x:v>
      </x:c>
      <x:c r="L104" s="14" t="n">
        <x:f>SUMIFS(Monthly_Data!$E$6:$E$797,Monthly_Data!$B$6:$B$797,"&gt;="&amp;J104,Monthly_Data!$B$6:$B$797,"&lt;="&amp;K104,Monthly_Data!$C$6:$C$797,D104,Monthly_Data!$D$6:$D$797,C104,Monthly_Data!$I$6:$I$797,1)</x:f>
        <x:v>8996246</x:v>
      </x:c>
      <x:c r="M104" s="14" t="n">
        <x:f>SUMIFS(Monthly_Data!$F$6:$F$797,Monthly_Data!$B$6:$B$797,"&gt;="&amp;J104,Monthly_Data!$B$6:$B$797,"&lt;="&amp;K104,Monthly_Data!$C$6:$C$797,D104,Monthly_Data!$D$6:$D$797,C104,Monthly_Data!$I$6:$I$797,1)</x:f>
        <x:v>835360</x:v>
      </x:c>
      <x:c r="N104" s="2" t="n">
        <x:f>COUNTIFS(Monthly_Data!$B$6:$B$797,"&gt;="&amp;J104,Monthly_Data!$B$6:$B$797,"&lt;="&amp;K104,Monthly_Data!$C$6:$C$797,D104,Monthly_Data!$D$6:$D$797,C104,Monthly_Data!$I$6:$I$797,1)</x:f>
        <x:v>3</x:v>
      </x:c>
      <x:c r="O104" s="16" t="n">
        <x:f>IF(M104&gt;0,L104/M104,"n.a.")</x:f>
        <x:v>10.769304252058992</x:v>
      </x:c>
      <x:c r="P104" s="16" t="n">
        <x:f>IF(F104&gt;0,E104/F104-I104,"n.a.")</x:f>
        <x:v>0</x:v>
      </x:c>
      <x:c r="Q104" s="2" t="n">
        <x:f>COUNTIF($A$6:$A$125,A104)</x:f>
        <x:v>1</x:v>
      </x:c>
      <x:c r="R104" s="2" t="n">
        <x:f>ABS(P104)</x:f>
        <x:v>0</x:v>
      </x:c>
    </x:row>
    <x:row r="105" ht="22" customHeight="1">
      <x:c r="A105" s="2" t="str">
        <x:v>H1 2026|Vietnam|61103099</x:v>
      </x:c>
      <x:c r="B105" s="2" t="str">
        <x:v>H1 2026</x:v>
      </x:c>
      <x:c r="C105" s="2" t="str">
        <x:v>Vietnam</x:v>
      </x:c>
      <x:c r="D105" s="2" t="str">
        <x:v>61103099</x:v>
      </x:c>
      <x:c r="E105" s="14" t="n">
        <x:v>6261277</x:v>
      </x:c>
      <x:c r="F105" s="14" t="n">
        <x:v>292287</x:v>
      </x:c>
      <x:c r="G105" s="2" t="n">
        <x:v>6</x:v>
      </x:c>
      <x:c r="H105" s="2" t="n">
        <x:v>1</x:v>
      </x:c>
      <x:c r="I105" s="15" t="n">
        <x:v>21.421674586964183</x:v>
      </x:c>
      <x:c r="J105" s="2" t="n">
        <x:v>202601</x:v>
      </x:c>
      <x:c r="K105" s="2" t="n">
        <x:v>202606</x:v>
      </x:c>
      <x:c r="L105" s="14" t="n">
        <x:f>SUMIFS(Monthly_Data!$E$6:$E$797,Monthly_Data!$B$6:$B$797,"&gt;="&amp;J105,Monthly_Data!$B$6:$B$797,"&lt;="&amp;K105,Monthly_Data!$C$6:$C$797,D105,Monthly_Data!$D$6:$D$797,C105,Monthly_Data!$I$6:$I$797,1)</x:f>
        <x:v>3494621</x:v>
      </x:c>
      <x:c r="M105" s="14" t="n">
        <x:f>SUMIFS(Monthly_Data!$F$6:$F$797,Monthly_Data!$B$6:$B$797,"&gt;="&amp;J105,Monthly_Data!$B$6:$B$797,"&lt;="&amp;K105,Monthly_Data!$C$6:$C$797,D105,Monthly_Data!$D$6:$D$797,C105,Monthly_Data!$I$6:$I$797,1)</x:f>
        <x:v>99649</x:v>
      </x:c>
      <x:c r="N105" s="2" t="n">
        <x:f>COUNTIFS(Monthly_Data!$B$6:$B$797,"&gt;="&amp;J105,Monthly_Data!$B$6:$B$797,"&lt;="&amp;K105,Monthly_Data!$C$6:$C$797,D105,Monthly_Data!$D$6:$D$797,C105,Monthly_Data!$I$6:$I$797,1)</x:f>
        <x:v>3</x:v>
      </x:c>
      <x:c r="O105" s="16" t="n">
        <x:f>IF(M105&gt;0,L105/M105,"n.a.")</x:f>
        <x:v>35.069303254423026</x:v>
      </x:c>
      <x:c r="P105" s="16" t="n">
        <x:f>IF(F105&gt;0,E105/F105-I105,"n.a.")</x:f>
        <x:v>0</x:v>
      </x:c>
      <x:c r="Q105" s="2" t="n">
        <x:f>COUNTIF($A$6:$A$125,A105)</x:f>
        <x:v>1</x:v>
      </x:c>
      <x:c r="R105" s="2" t="n">
        <x:f>ABS(P105)</x:f>
        <x:v>0</x:v>
      </x:c>
    </x:row>
    <x:row r="106" ht="22" customHeight="1">
      <x:c r="A106" s="2" t="str">
        <x:v>H1 2026|Bangladesh|62044300</x:v>
      </x:c>
      <x:c r="B106" s="2" t="str">
        <x:v>H1 2026</x:v>
      </x:c>
      <x:c r="C106" s="2" t="str">
        <x:v>Bangladesh</x:v>
      </x:c>
      <x:c r="D106" s="2" t="str">
        <x:v>62044300</x:v>
      </x:c>
      <x:c r="E106" s="14" t="n">
        <x:v>6924029</x:v>
      </x:c>
      <x:c r="F106" s="14" t="n">
        <x:v>450236</x:v>
      </x:c>
      <x:c r="G106" s="2" t="n">
        <x:v>6</x:v>
      </x:c>
      <x:c r="H106" s="2" t="n">
        <x:v>0</x:v>
      </x:c>
      <x:c r="I106" s="15" t="n">
        <x:v>15.378665855240364</x:v>
      </x:c>
      <x:c r="J106" s="2" t="n">
        <x:v>202601</x:v>
      </x:c>
      <x:c r="K106" s="2" t="n">
        <x:v>202606</x:v>
      </x:c>
      <x:c r="L106" s="14" t="n">
        <x:f>SUMIFS(Monthly_Data!$E$6:$E$797,Monthly_Data!$B$6:$B$797,"&gt;="&amp;J106,Monthly_Data!$B$6:$B$797,"&lt;="&amp;K106,Monthly_Data!$C$6:$C$797,D106,Monthly_Data!$D$6:$D$797,C106,Monthly_Data!$I$6:$I$797,1)</x:f>
        <x:v>6924029</x:v>
      </x:c>
      <x:c r="M106" s="14" t="n">
        <x:f>SUMIFS(Monthly_Data!$F$6:$F$797,Monthly_Data!$B$6:$B$797,"&gt;="&amp;J106,Monthly_Data!$B$6:$B$797,"&lt;="&amp;K106,Monthly_Data!$C$6:$C$797,D106,Monthly_Data!$D$6:$D$797,C106,Monthly_Data!$I$6:$I$797,1)</x:f>
        <x:v>450236</x:v>
      </x:c>
      <x:c r="N106" s="2" t="n">
        <x:f>COUNTIFS(Monthly_Data!$B$6:$B$797,"&gt;="&amp;J106,Monthly_Data!$B$6:$B$797,"&lt;="&amp;K106,Monthly_Data!$C$6:$C$797,D106,Monthly_Data!$D$6:$D$797,C106,Monthly_Data!$I$6:$I$797,1)</x:f>
        <x:v>6</x:v>
      </x:c>
      <x:c r="O106" s="16" t="n">
        <x:f>IF(M106&gt;0,L106/M106,"n.a.")</x:f>
        <x:v>15.378665855240364</x:v>
      </x:c>
      <x:c r="P106" s="16" t="n">
        <x:f>IF(F106&gt;0,E106/F106-I106,"n.a.")</x:f>
        <x:v>0</x:v>
      </x:c>
      <x:c r="Q106" s="2" t="n">
        <x:f>COUNTIF($A$6:$A$125,A106)</x:f>
        <x:v>1</x:v>
      </x:c>
      <x:c r="R106" s="2" t="n">
        <x:f>ABS(P106)</x:f>
        <x:v>0</x:v>
      </x:c>
    </x:row>
    <x:row r="107" ht="22" customHeight="1">
      <x:c r="A107" s="2" t="str">
        <x:v>H1 2026|Cambodia|62044300</x:v>
      </x:c>
      <x:c r="B107" s="2" t="str">
        <x:v>H1 2026</x:v>
      </x:c>
      <x:c r="C107" s="2" t="str">
        <x:v>Cambodia</x:v>
      </x:c>
      <x:c r="D107" s="2" t="str">
        <x:v>62044300</x:v>
      </x:c>
      <x:c r="E107" s="14" t="n">
        <x:v>2808404</x:v>
      </x:c>
      <x:c r="F107" s="14" t="n">
        <x:v>150870</x:v>
      </x:c>
      <x:c r="G107" s="2" t="n">
        <x:v>6</x:v>
      </x:c>
      <x:c r="H107" s="2" t="n">
        <x:v>0</x:v>
      </x:c>
      <x:c r="I107" s="15" t="n">
        <x:v>18.61472791144694</x:v>
      </x:c>
      <x:c r="J107" s="2" t="n">
        <x:v>202601</x:v>
      </x:c>
      <x:c r="K107" s="2" t="n">
        <x:v>202606</x:v>
      </x:c>
      <x:c r="L107" s="14" t="n">
        <x:f>SUMIFS(Monthly_Data!$E$6:$E$797,Monthly_Data!$B$6:$B$797,"&gt;="&amp;J107,Monthly_Data!$B$6:$B$797,"&lt;="&amp;K107,Monthly_Data!$C$6:$C$797,D107,Monthly_Data!$D$6:$D$797,C107,Monthly_Data!$I$6:$I$797,1)</x:f>
        <x:v>2808404</x:v>
      </x:c>
      <x:c r="M107" s="14" t="n">
        <x:f>SUMIFS(Monthly_Data!$F$6:$F$797,Monthly_Data!$B$6:$B$797,"&gt;="&amp;J107,Monthly_Data!$B$6:$B$797,"&lt;="&amp;K107,Monthly_Data!$C$6:$C$797,D107,Monthly_Data!$D$6:$D$797,C107,Monthly_Data!$I$6:$I$797,1)</x:f>
        <x:v>150870</x:v>
      </x:c>
      <x:c r="N107" s="2" t="n">
        <x:f>COUNTIFS(Monthly_Data!$B$6:$B$797,"&gt;="&amp;J107,Monthly_Data!$B$6:$B$797,"&lt;="&amp;K107,Monthly_Data!$C$6:$C$797,D107,Monthly_Data!$D$6:$D$797,C107,Monthly_Data!$I$6:$I$797,1)</x:f>
        <x:v>6</x:v>
      </x:c>
      <x:c r="O107" s="16" t="n">
        <x:f>IF(M107&gt;0,L107/M107,"n.a.")</x:f>
        <x:v>18.61472791144694</x:v>
      </x:c>
      <x:c r="P107" s="16" t="n">
        <x:f>IF(F107&gt;0,E107/F107-I107,"n.a.")</x:f>
        <x:v>0</x:v>
      </x:c>
      <x:c r="Q107" s="2" t="n">
        <x:f>COUNTIF($A$6:$A$125,A107)</x:f>
        <x:v>1</x:v>
      </x:c>
      <x:c r="R107" s="2" t="n">
        <x:f>ABS(P107)</x:f>
        <x:v>0</x:v>
      </x:c>
    </x:row>
    <x:row r="108" ht="22" customHeight="1">
      <x:c r="A108" s="2" t="str">
        <x:v>H1 2026|China|62044300</x:v>
      </x:c>
      <x:c r="B108" s="2" t="str">
        <x:v>H1 2026</x:v>
      </x:c>
      <x:c r="C108" s="2" t="str">
        <x:v>China</x:v>
      </x:c>
      <x:c r="D108" s="2" t="str">
        <x:v>62044300</x:v>
      </x:c>
      <x:c r="E108" s="14" t="n">
        <x:v>52333750</x:v>
      </x:c>
      <x:c r="F108" s="14" t="n">
        <x:v>1892903</x:v>
      </x:c>
      <x:c r="G108" s="2" t="n">
        <x:v>6</x:v>
      </x:c>
      <x:c r="H108" s="2" t="n">
        <x:v>0</x:v>
      </x:c>
      <x:c r="I108" s="15" t="n">
        <x:v>27.647349071769657</x:v>
      </x:c>
      <x:c r="J108" s="2" t="n">
        <x:v>202601</x:v>
      </x:c>
      <x:c r="K108" s="2" t="n">
        <x:v>202606</x:v>
      </x:c>
      <x:c r="L108" s="14" t="n">
        <x:f>SUMIFS(Monthly_Data!$E$6:$E$797,Monthly_Data!$B$6:$B$797,"&gt;="&amp;J108,Monthly_Data!$B$6:$B$797,"&lt;="&amp;K108,Monthly_Data!$C$6:$C$797,D108,Monthly_Data!$D$6:$D$797,C108,Monthly_Data!$I$6:$I$797,1)</x:f>
        <x:v>52333750</x:v>
      </x:c>
      <x:c r="M108" s="14" t="n">
        <x:f>SUMIFS(Monthly_Data!$F$6:$F$797,Monthly_Data!$B$6:$B$797,"&gt;="&amp;J108,Monthly_Data!$B$6:$B$797,"&lt;="&amp;K108,Monthly_Data!$C$6:$C$797,D108,Monthly_Data!$D$6:$D$797,C108,Monthly_Data!$I$6:$I$797,1)</x:f>
        <x:v>1892903</x:v>
      </x:c>
      <x:c r="N108" s="2" t="n">
        <x:f>COUNTIFS(Monthly_Data!$B$6:$B$797,"&gt;="&amp;J108,Monthly_Data!$B$6:$B$797,"&lt;="&amp;K108,Monthly_Data!$C$6:$C$797,D108,Monthly_Data!$D$6:$D$797,C108,Monthly_Data!$I$6:$I$797,1)</x:f>
        <x:v>6</x:v>
      </x:c>
      <x:c r="O108" s="16" t="n">
        <x:f>IF(M108&gt;0,L108/M108,"n.a.")</x:f>
        <x:v>27.647349071769657</x:v>
      </x:c>
      <x:c r="P108" s="16" t="n">
        <x:f>IF(F108&gt;0,E108/F108-I108,"n.a.")</x:f>
        <x:v>0</x:v>
      </x:c>
      <x:c r="Q108" s="2" t="n">
        <x:f>COUNTIF($A$6:$A$125,A108)</x:f>
        <x:v>1</x:v>
      </x:c>
      <x:c r="R108" s="2" t="n">
        <x:f>ABS(P108)</x:f>
        <x:v>0</x:v>
      </x:c>
    </x:row>
    <x:row r="109" ht="22" customHeight="1">
      <x:c r="A109" s="2" t="str">
        <x:v>H1 2026|India|62044300</x:v>
      </x:c>
      <x:c r="B109" s="2" t="str">
        <x:v>H1 2026</x:v>
      </x:c>
      <x:c r="C109" s="2" t="str">
        <x:v>India</x:v>
      </x:c>
      <x:c r="D109" s="2" t="str">
        <x:v>62044300</x:v>
      </x:c>
      <x:c r="E109" s="14" t="n">
        <x:v>20258876</x:v>
      </x:c>
      <x:c r="F109" s="14" t="n">
        <x:v>721170</x:v>
      </x:c>
      <x:c r="G109" s="2" t="n">
        <x:v>6</x:v>
      </x:c>
      <x:c r="H109" s="2" t="n">
        <x:v>0</x:v>
      </x:c>
      <x:c r="I109" s="15" t="n">
        <x:v>28.091678799728218</x:v>
      </x:c>
      <x:c r="J109" s="2" t="n">
        <x:v>202601</x:v>
      </x:c>
      <x:c r="K109" s="2" t="n">
        <x:v>202606</x:v>
      </x:c>
      <x:c r="L109" s="14" t="n">
        <x:f>SUMIFS(Monthly_Data!$E$6:$E$797,Monthly_Data!$B$6:$B$797,"&gt;="&amp;J109,Monthly_Data!$B$6:$B$797,"&lt;="&amp;K109,Monthly_Data!$C$6:$C$797,D109,Monthly_Data!$D$6:$D$797,C109,Monthly_Data!$I$6:$I$797,1)</x:f>
        <x:v>20258876</x:v>
      </x:c>
      <x:c r="M109" s="14" t="n">
        <x:f>SUMIFS(Monthly_Data!$F$6:$F$797,Monthly_Data!$B$6:$B$797,"&gt;="&amp;J109,Monthly_Data!$B$6:$B$797,"&lt;="&amp;K109,Monthly_Data!$C$6:$C$797,D109,Monthly_Data!$D$6:$D$797,C109,Monthly_Data!$I$6:$I$797,1)</x:f>
        <x:v>721170</x:v>
      </x:c>
      <x:c r="N109" s="2" t="n">
        <x:f>COUNTIFS(Monthly_Data!$B$6:$B$797,"&gt;="&amp;J109,Monthly_Data!$B$6:$B$797,"&lt;="&amp;K109,Monthly_Data!$C$6:$C$797,D109,Monthly_Data!$D$6:$D$797,C109,Monthly_Data!$I$6:$I$797,1)</x:f>
        <x:v>6</x:v>
      </x:c>
      <x:c r="O109" s="16" t="n">
        <x:f>IF(M109&gt;0,L109/M109,"n.a.")</x:f>
        <x:v>28.091678799728218</x:v>
      </x:c>
      <x:c r="P109" s="16" t="n">
        <x:f>IF(F109&gt;0,E109/F109-I109,"n.a.")</x:f>
        <x:v>0</x:v>
      </x:c>
      <x:c r="Q109" s="2" t="n">
        <x:f>COUNTIF($A$6:$A$125,A109)</x:f>
        <x:v>1</x:v>
      </x:c>
      <x:c r="R109" s="2" t="n">
        <x:f>ABS(P109)</x:f>
        <x:v>0</x:v>
      </x:c>
    </x:row>
    <x:row r="110" ht="22" customHeight="1">
      <x:c r="A110" s="2" t="str">
        <x:v>H1 2026|Morocco|62044300</x:v>
      </x:c>
      <x:c r="B110" s="2" t="str">
        <x:v>H1 2026</x:v>
      </x:c>
      <x:c r="C110" s="2" t="str">
        <x:v>Morocco</x:v>
      </x:c>
      <x:c r="D110" s="2" t="str">
        <x:v>62044300</x:v>
      </x:c>
      <x:c r="E110" s="14" t="n">
        <x:v>5511176</x:v>
      </x:c>
      <x:c r="F110" s="14" t="n">
        <x:v>218537</x:v>
      </x:c>
      <x:c r="G110" s="2" t="n">
        <x:v>6</x:v>
      </x:c>
      <x:c r="H110" s="2" t="n">
        <x:v>0</x:v>
      </x:c>
      <x:c r="I110" s="15" t="n">
        <x:v>25.21850304525092</x:v>
      </x:c>
      <x:c r="J110" s="2" t="n">
        <x:v>202601</x:v>
      </x:c>
      <x:c r="K110" s="2" t="n">
        <x:v>202606</x:v>
      </x:c>
      <x:c r="L110" s="14" t="n">
        <x:f>SUMIFS(Monthly_Data!$E$6:$E$797,Monthly_Data!$B$6:$B$797,"&gt;="&amp;J110,Monthly_Data!$B$6:$B$797,"&lt;="&amp;K110,Monthly_Data!$C$6:$C$797,D110,Monthly_Data!$D$6:$D$797,C110,Monthly_Data!$I$6:$I$797,1)</x:f>
        <x:v>5511176</x:v>
      </x:c>
      <x:c r="M110" s="14" t="n">
        <x:f>SUMIFS(Monthly_Data!$F$6:$F$797,Monthly_Data!$B$6:$B$797,"&gt;="&amp;J110,Monthly_Data!$B$6:$B$797,"&lt;="&amp;K110,Monthly_Data!$C$6:$C$797,D110,Monthly_Data!$D$6:$D$797,C110,Monthly_Data!$I$6:$I$797,1)</x:f>
        <x:v>218537</x:v>
      </x:c>
      <x:c r="N110" s="2" t="n">
        <x:f>COUNTIFS(Monthly_Data!$B$6:$B$797,"&gt;="&amp;J110,Monthly_Data!$B$6:$B$797,"&lt;="&amp;K110,Monthly_Data!$C$6:$C$797,D110,Monthly_Data!$D$6:$D$797,C110,Monthly_Data!$I$6:$I$797,1)</x:f>
        <x:v>6</x:v>
      </x:c>
      <x:c r="O110" s="16" t="n">
        <x:f>IF(M110&gt;0,L110/M110,"n.a.")</x:f>
        <x:v>25.21850304525092</x:v>
      </x:c>
      <x:c r="P110" s="16" t="n">
        <x:f>IF(F110&gt;0,E110/F110-I110,"n.a.")</x:f>
        <x:v>0</x:v>
      </x:c>
      <x:c r="Q110" s="2" t="n">
        <x:f>COUNTIF($A$6:$A$125,A110)</x:f>
        <x:v>1</x:v>
      </x:c>
      <x:c r="R110" s="2" t="n">
        <x:f>ABS(P110)</x:f>
        <x:v>0</x:v>
      </x:c>
    </x:row>
    <x:row r="111" ht="22" customHeight="1">
      <x:c r="A111" s="2" t="str">
        <x:v>H1 2026|Myanmar|62044300</x:v>
      </x:c>
      <x:c r="B111" s="2" t="str">
        <x:v>H1 2026</x:v>
      </x:c>
      <x:c r="C111" s="2" t="str">
        <x:v>Myanmar</x:v>
      </x:c>
      <x:c r="D111" s="2" t="str">
        <x:v>62044300</x:v>
      </x:c>
      <x:c r="E111" s="14" t="n">
        <x:v>2412796</x:v>
      </x:c>
      <x:c r="F111" s="14" t="n">
        <x:v>37986</x:v>
      </x:c>
      <x:c r="G111" s="2" t="n">
        <x:v>6</x:v>
      </x:c>
      <x:c r="H111" s="2" t="n">
        <x:v>0</x:v>
      </x:c>
      <x:c r="I111" s="15" t="n">
        <x:v>63.5180329595114</x:v>
      </x:c>
      <x:c r="J111" s="2" t="n">
        <x:v>202601</x:v>
      </x:c>
      <x:c r="K111" s="2" t="n">
        <x:v>202606</x:v>
      </x:c>
      <x:c r="L111" s="14" t="n">
        <x:f>SUMIFS(Monthly_Data!$E$6:$E$797,Monthly_Data!$B$6:$B$797,"&gt;="&amp;J111,Monthly_Data!$B$6:$B$797,"&lt;="&amp;K111,Monthly_Data!$C$6:$C$797,D111,Monthly_Data!$D$6:$D$797,C111,Monthly_Data!$I$6:$I$797,1)</x:f>
        <x:v>2412796</x:v>
      </x:c>
      <x:c r="M111" s="14" t="n">
        <x:f>SUMIFS(Monthly_Data!$F$6:$F$797,Monthly_Data!$B$6:$B$797,"&gt;="&amp;J111,Monthly_Data!$B$6:$B$797,"&lt;="&amp;K111,Monthly_Data!$C$6:$C$797,D111,Monthly_Data!$D$6:$D$797,C111,Monthly_Data!$I$6:$I$797,1)</x:f>
        <x:v>37986</x:v>
      </x:c>
      <x:c r="N111" s="2" t="n">
        <x:f>COUNTIFS(Monthly_Data!$B$6:$B$797,"&gt;="&amp;J111,Monthly_Data!$B$6:$B$797,"&lt;="&amp;K111,Monthly_Data!$C$6:$C$797,D111,Monthly_Data!$D$6:$D$797,C111,Monthly_Data!$I$6:$I$797,1)</x:f>
        <x:v>6</x:v>
      </x:c>
      <x:c r="O111" s="16" t="n">
        <x:f>IF(M111&gt;0,L111/M111,"n.a.")</x:f>
        <x:v>63.5180329595114</x:v>
      </x:c>
      <x:c r="P111" s="16" t="n">
        <x:f>IF(F111&gt;0,E111/F111-I111,"n.a.")</x:f>
        <x:v>0</x:v>
      </x:c>
      <x:c r="Q111" s="2" t="n">
        <x:f>COUNTIF($A$6:$A$125,A111)</x:f>
        <x:v>1</x:v>
      </x:c>
      <x:c r="R111" s="2" t="n">
        <x:f>ABS(P111)</x:f>
        <x:v>0</x:v>
      </x:c>
    </x:row>
    <x:row r="112" ht="22" customHeight="1">
      <x:c r="A112" s="2" t="str">
        <x:v>H1 2026|Pakistan|62044300</x:v>
      </x:c>
      <x:c r="B112" s="2" t="str">
        <x:v>H1 2026</x:v>
      </x:c>
      <x:c r="C112" s="2" t="str">
        <x:v>Pakistan</x:v>
      </x:c>
      <x:c r="D112" s="2" t="str">
        <x:v>62044300</x:v>
      </x:c>
      <x:c r="E112" s="14" t="n">
        <x:v>496523</x:v>
      </x:c>
      <x:c r="F112" s="14" t="n">
        <x:v>26975</x:v>
      </x:c>
      <x:c r="G112" s="2" t="n">
        <x:v>6</x:v>
      </x:c>
      <x:c r="H112" s="2" t="n">
        <x:v>0</x:v>
      </x:c>
      <x:c r="I112" s="15" t="n">
        <x:v>18.40678405931418</x:v>
      </x:c>
      <x:c r="J112" s="2" t="n">
        <x:v>202601</x:v>
      </x:c>
      <x:c r="K112" s="2" t="n">
        <x:v>202606</x:v>
      </x:c>
      <x:c r="L112" s="14" t="n">
        <x:f>SUMIFS(Monthly_Data!$E$6:$E$797,Monthly_Data!$B$6:$B$797,"&gt;="&amp;J112,Monthly_Data!$B$6:$B$797,"&lt;="&amp;K112,Monthly_Data!$C$6:$C$797,D112,Monthly_Data!$D$6:$D$797,C112,Monthly_Data!$I$6:$I$797,1)</x:f>
        <x:v>496523</x:v>
      </x:c>
      <x:c r="M112" s="14" t="n">
        <x:f>SUMIFS(Monthly_Data!$F$6:$F$797,Monthly_Data!$B$6:$B$797,"&gt;="&amp;J112,Monthly_Data!$B$6:$B$797,"&lt;="&amp;K112,Monthly_Data!$C$6:$C$797,D112,Monthly_Data!$D$6:$D$797,C112,Monthly_Data!$I$6:$I$797,1)</x:f>
        <x:v>26975</x:v>
      </x:c>
      <x:c r="N112" s="2" t="n">
        <x:f>COUNTIFS(Monthly_Data!$B$6:$B$797,"&gt;="&amp;J112,Monthly_Data!$B$6:$B$797,"&lt;="&amp;K112,Monthly_Data!$C$6:$C$797,D112,Monthly_Data!$D$6:$D$797,C112,Monthly_Data!$I$6:$I$797,1)</x:f>
        <x:v>6</x:v>
      </x:c>
      <x:c r="O112" s="16" t="n">
        <x:f>IF(M112&gt;0,L112/M112,"n.a.")</x:f>
        <x:v>18.40678405931418</x:v>
      </x:c>
      <x:c r="P112" s="16" t="n">
        <x:f>IF(F112&gt;0,E112/F112-I112,"n.a.")</x:f>
        <x:v>0</x:v>
      </x:c>
      <x:c r="Q112" s="2" t="n">
        <x:f>COUNTIF($A$6:$A$125,A112)</x:f>
        <x:v>1</x:v>
      </x:c>
      <x:c r="R112" s="2" t="n">
        <x:f>ABS(P112)</x:f>
        <x:v>0</x:v>
      </x:c>
    </x:row>
    <x:row r="113" ht="22" customHeight="1">
      <x:c r="A113" s="2" t="str">
        <x:v>H1 2026|Sri Lanka|62044300</x:v>
      </x:c>
      <x:c r="B113" s="2" t="str">
        <x:v>H1 2026</x:v>
      </x:c>
      <x:c r="C113" s="2" t="str">
        <x:v>Sri Lanka</x:v>
      </x:c>
      <x:c r="D113" s="2" t="str">
        <x:v>62044300</x:v>
      </x:c>
      <x:c r="E113" s="14" t="n">
        <x:v>7697741</x:v>
      </x:c>
      <x:c r="F113" s="14" t="n">
        <x:v>462849</x:v>
      </x:c>
      <x:c r="G113" s="2" t="n">
        <x:v>6</x:v>
      </x:c>
      <x:c r="H113" s="2" t="n">
        <x:v>0</x:v>
      </x:c>
      <x:c r="I113" s="15" t="n">
        <x:v>16.63121449976126</x:v>
      </x:c>
      <x:c r="J113" s="2" t="n">
        <x:v>202601</x:v>
      </x:c>
      <x:c r="K113" s="2" t="n">
        <x:v>202606</x:v>
      </x:c>
      <x:c r="L113" s="14" t="n">
        <x:f>SUMIFS(Monthly_Data!$E$6:$E$797,Monthly_Data!$B$6:$B$797,"&gt;="&amp;J113,Monthly_Data!$B$6:$B$797,"&lt;="&amp;K113,Monthly_Data!$C$6:$C$797,D113,Monthly_Data!$D$6:$D$797,C113,Monthly_Data!$I$6:$I$797,1)</x:f>
        <x:v>7697741</x:v>
      </x:c>
      <x:c r="M113" s="14" t="n">
        <x:f>SUMIFS(Monthly_Data!$F$6:$F$797,Monthly_Data!$B$6:$B$797,"&gt;="&amp;J113,Monthly_Data!$B$6:$B$797,"&lt;="&amp;K113,Monthly_Data!$C$6:$C$797,D113,Monthly_Data!$D$6:$D$797,C113,Monthly_Data!$I$6:$I$797,1)</x:f>
        <x:v>462849</x:v>
      </x:c>
      <x:c r="N113" s="2" t="n">
        <x:f>COUNTIFS(Monthly_Data!$B$6:$B$797,"&gt;="&amp;J113,Monthly_Data!$B$6:$B$797,"&lt;="&amp;K113,Monthly_Data!$C$6:$C$797,D113,Monthly_Data!$D$6:$D$797,C113,Monthly_Data!$I$6:$I$797,1)</x:f>
        <x:v>6</x:v>
      </x:c>
      <x:c r="O113" s="16" t="n">
        <x:f>IF(M113&gt;0,L113/M113,"n.a.")</x:f>
        <x:v>16.63121449976126</x:v>
      </x:c>
      <x:c r="P113" s="16" t="n">
        <x:f>IF(F113&gt;0,E113/F113-I113,"n.a.")</x:f>
        <x:v>0</x:v>
      </x:c>
      <x:c r="Q113" s="2" t="n">
        <x:f>COUNTIF($A$6:$A$125,A113)</x:f>
        <x:v>1</x:v>
      </x:c>
      <x:c r="R113" s="2" t="n">
        <x:f>ABS(P113)</x:f>
        <x:v>0</x:v>
      </x:c>
    </x:row>
    <x:row r="114" ht="22" customHeight="1">
      <x:c r="A114" s="2" t="str">
        <x:v>H1 2026|Turkey|62044300</x:v>
      </x:c>
      <x:c r="B114" s="2" t="str">
        <x:v>H1 2026</x:v>
      </x:c>
      <x:c r="C114" s="2" t="str">
        <x:v>Turkey</x:v>
      </x:c>
      <x:c r="D114" s="2" t="str">
        <x:v>62044300</x:v>
      </x:c>
      <x:c r="E114" s="14" t="n">
        <x:v>2652697</x:v>
      </x:c>
      <x:c r="F114" s="14" t="n">
        <x:v>68957</x:v>
      </x:c>
      <x:c r="G114" s="2" t="n">
        <x:v>6</x:v>
      </x:c>
      <x:c r="H114" s="2" t="n">
        <x:v>0</x:v>
      </x:c>
      <x:c r="I114" s="15" t="n">
        <x:v>38.46885740388938</x:v>
      </x:c>
      <x:c r="J114" s="2" t="n">
        <x:v>202601</x:v>
      </x:c>
      <x:c r="K114" s="2" t="n">
        <x:v>202606</x:v>
      </x:c>
      <x:c r="L114" s="14" t="n">
        <x:f>SUMIFS(Monthly_Data!$E$6:$E$797,Monthly_Data!$B$6:$B$797,"&gt;="&amp;J114,Monthly_Data!$B$6:$B$797,"&lt;="&amp;K114,Monthly_Data!$C$6:$C$797,D114,Monthly_Data!$D$6:$D$797,C114,Monthly_Data!$I$6:$I$797,1)</x:f>
        <x:v>2652697</x:v>
      </x:c>
      <x:c r="M114" s="14" t="n">
        <x:f>SUMIFS(Monthly_Data!$F$6:$F$797,Monthly_Data!$B$6:$B$797,"&gt;="&amp;J114,Monthly_Data!$B$6:$B$797,"&lt;="&amp;K114,Monthly_Data!$C$6:$C$797,D114,Monthly_Data!$D$6:$D$797,C114,Monthly_Data!$I$6:$I$797,1)</x:f>
        <x:v>68957</x:v>
      </x:c>
      <x:c r="N114" s="2" t="n">
        <x:f>COUNTIFS(Monthly_Data!$B$6:$B$797,"&gt;="&amp;J114,Monthly_Data!$B$6:$B$797,"&lt;="&amp;K114,Monthly_Data!$C$6:$C$797,D114,Monthly_Data!$D$6:$D$797,C114,Monthly_Data!$I$6:$I$797,1)</x:f>
        <x:v>6</x:v>
      </x:c>
      <x:c r="O114" s="16" t="n">
        <x:f>IF(M114&gt;0,L114/M114,"n.a.")</x:f>
        <x:v>38.46885740388938</x:v>
      </x:c>
      <x:c r="P114" s="16" t="n">
        <x:f>IF(F114&gt;0,E114/F114-I114,"n.a.")</x:f>
        <x:v>0</x:v>
      </x:c>
      <x:c r="Q114" s="2" t="n">
        <x:f>COUNTIF($A$6:$A$125,A114)</x:f>
        <x:v>1</x:v>
      </x:c>
      <x:c r="R114" s="2" t="n">
        <x:f>ABS(P114)</x:f>
        <x:v>0</x:v>
      </x:c>
    </x:row>
    <x:row r="115" ht="22" customHeight="1">
      <x:c r="A115" s="2" t="str">
        <x:v>H1 2026|Vietnam|62044300</x:v>
      </x:c>
      <x:c r="B115" s="2" t="str">
        <x:v>H1 2026</x:v>
      </x:c>
      <x:c r="C115" s="2" t="str">
        <x:v>Vietnam</x:v>
      </x:c>
      <x:c r="D115" s="2" t="str">
        <x:v>62044300</x:v>
      </x:c>
      <x:c r="E115" s="14" t="n">
        <x:v>4252865</x:v>
      </x:c>
      <x:c r="F115" s="14" t="n">
        <x:v>181343</x:v>
      </x:c>
      <x:c r="G115" s="2" t="n">
        <x:v>6</x:v>
      </x:c>
      <x:c r="H115" s="2" t="n">
        <x:v>0</x:v>
      </x:c>
      <x:c r="I115" s="15" t="n">
        <x:v>23.45204943118841</x:v>
      </x:c>
      <x:c r="J115" s="2" t="n">
        <x:v>202601</x:v>
      </x:c>
      <x:c r="K115" s="2" t="n">
        <x:v>202606</x:v>
      </x:c>
      <x:c r="L115" s="14" t="n">
        <x:f>SUMIFS(Monthly_Data!$E$6:$E$797,Monthly_Data!$B$6:$B$797,"&gt;="&amp;J115,Monthly_Data!$B$6:$B$797,"&lt;="&amp;K115,Monthly_Data!$C$6:$C$797,D115,Monthly_Data!$D$6:$D$797,C115,Monthly_Data!$I$6:$I$797,1)</x:f>
        <x:v>4252865</x:v>
      </x:c>
      <x:c r="M115" s="14" t="n">
        <x:f>SUMIFS(Monthly_Data!$F$6:$F$797,Monthly_Data!$B$6:$B$797,"&gt;="&amp;J115,Monthly_Data!$B$6:$B$797,"&lt;="&amp;K115,Monthly_Data!$C$6:$C$797,D115,Monthly_Data!$D$6:$D$797,C115,Monthly_Data!$I$6:$I$797,1)</x:f>
        <x:v>181343</x:v>
      </x:c>
      <x:c r="N115" s="2" t="n">
        <x:f>COUNTIFS(Monthly_Data!$B$6:$B$797,"&gt;="&amp;J115,Monthly_Data!$B$6:$B$797,"&lt;="&amp;K115,Monthly_Data!$C$6:$C$797,D115,Monthly_Data!$D$6:$D$797,C115,Monthly_Data!$I$6:$I$797,1)</x:f>
        <x:v>6</x:v>
      </x:c>
      <x:c r="O115" s="16" t="n">
        <x:f>IF(M115&gt;0,L115/M115,"n.a.")</x:f>
        <x:v>23.45204943118841</x:v>
      </x:c>
      <x:c r="P115" s="16" t="n">
        <x:f>IF(F115&gt;0,E115/F115-I115,"n.a.")</x:f>
        <x:v>0</x:v>
      </x:c>
      <x:c r="Q115" s="2" t="n">
        <x:f>COUNTIF($A$6:$A$125,A115)</x:f>
        <x:v>1</x:v>
      </x:c>
      <x:c r="R115" s="2" t="n">
        <x:f>ABS(P115)</x:f>
        <x:v>0</x:v>
      </x:c>
    </x:row>
    <x:row r="116" ht="22" customHeight="1">
      <x:c r="A116" s="2" t="str">
        <x:v>H1 2026|Bangladesh|62052000</x:v>
      </x:c>
      <x:c r="B116" s="2" t="str">
        <x:v>H1 2026</x:v>
      </x:c>
      <x:c r="C116" s="2" t="str">
        <x:v>Bangladesh</x:v>
      </x:c>
      <x:c r="D116" s="2" t="str">
        <x:v>62052000</x:v>
      </x:c>
      <x:c r="E116" s="14" t="n">
        <x:v>36256449</x:v>
      </x:c>
      <x:c r="F116" s="14" t="n">
        <x:v>2116872</x:v>
      </x:c>
      <x:c r="G116" s="2" t="n">
        <x:v>6</x:v>
      </x:c>
      <x:c r="H116" s="2" t="n">
        <x:v>0</x:v>
      </x:c>
      <x:c r="I116" s="15" t="n">
        <x:v>17.12736953391608</x:v>
      </x:c>
      <x:c r="J116" s="2" t="n">
        <x:v>202601</x:v>
      </x:c>
      <x:c r="K116" s="2" t="n">
        <x:v>202606</x:v>
      </x:c>
      <x:c r="L116" s="14" t="n">
        <x:f>SUMIFS(Monthly_Data!$E$6:$E$797,Monthly_Data!$B$6:$B$797,"&gt;="&amp;J116,Monthly_Data!$B$6:$B$797,"&lt;="&amp;K116,Monthly_Data!$C$6:$C$797,D116,Monthly_Data!$D$6:$D$797,C116,Monthly_Data!$I$6:$I$797,1)</x:f>
        <x:v>32094245</x:v>
      </x:c>
      <x:c r="M116" s="14" t="n">
        <x:f>SUMIFS(Monthly_Data!$F$6:$F$797,Monthly_Data!$B$6:$B$797,"&gt;="&amp;J116,Monthly_Data!$B$6:$B$797,"&lt;="&amp;K116,Monthly_Data!$C$6:$C$797,D116,Monthly_Data!$D$6:$D$797,C116,Monthly_Data!$I$6:$I$797,1)</x:f>
        <x:v>1866070</x:v>
      </x:c>
      <x:c r="N116" s="2" t="n">
        <x:f>COUNTIFS(Monthly_Data!$B$6:$B$797,"&gt;="&amp;J116,Monthly_Data!$B$6:$B$797,"&lt;="&amp;K116,Monthly_Data!$C$6:$C$797,D116,Monthly_Data!$D$6:$D$797,C116,Monthly_Data!$I$6:$I$797,1)</x:f>
        <x:v>5</x:v>
      </x:c>
      <x:c r="O116" s="16" t="n">
        <x:f>IF(M116&gt;0,L116/M116,"n.a.")</x:f>
        <x:v>17.19884302303772</x:v>
      </x:c>
      <x:c r="P116" s="16" t="n">
        <x:f>IF(F116&gt;0,E116/F116-I116,"n.a.")</x:f>
        <x:v>0</x:v>
      </x:c>
      <x:c r="Q116" s="2" t="n">
        <x:f>COUNTIF($A$6:$A$125,A116)</x:f>
        <x:v>1</x:v>
      </x:c>
      <x:c r="R116" s="2" t="n">
        <x:f>ABS(P116)</x:f>
        <x:v>0</x:v>
      </x:c>
    </x:row>
    <x:row r="117" ht="22" customHeight="1">
      <x:c r="A117" s="2" t="str">
        <x:v>H1 2026|Cambodia|62052000</x:v>
      </x:c>
      <x:c r="B117" s="2" t="str">
        <x:v>H1 2026</x:v>
      </x:c>
      <x:c r="C117" s="2" t="str">
        <x:v>Cambodia</x:v>
      </x:c>
      <x:c r="D117" s="2" t="str">
        <x:v>62052000</x:v>
      </x:c>
      <x:c r="E117" s="14" t="n">
        <x:v>6216726</x:v>
      </x:c>
      <x:c r="F117" s="14" t="n">
        <x:v>285166</x:v>
      </x:c>
      <x:c r="G117" s="2" t="n">
        <x:v>6</x:v>
      </x:c>
      <x:c r="H117" s="2" t="n">
        <x:v>0</x:v>
      </x:c>
      <x:c r="I117" s="15" t="n">
        <x:v>21.800375921393154</x:v>
      </x:c>
      <x:c r="J117" s="2" t="n">
        <x:v>202601</x:v>
      </x:c>
      <x:c r="K117" s="2" t="n">
        <x:v>202606</x:v>
      </x:c>
      <x:c r="L117" s="14" t="n">
        <x:f>SUMIFS(Monthly_Data!$E$6:$E$797,Monthly_Data!$B$6:$B$797,"&gt;="&amp;J117,Monthly_Data!$B$6:$B$797,"&lt;="&amp;K117,Monthly_Data!$C$6:$C$797,D117,Monthly_Data!$D$6:$D$797,C117,Monthly_Data!$I$6:$I$797,1)</x:f>
        <x:v>5141198</x:v>
      </x:c>
      <x:c r="M117" s="14" t="n">
        <x:f>SUMIFS(Monthly_Data!$F$6:$F$797,Monthly_Data!$B$6:$B$797,"&gt;="&amp;J117,Monthly_Data!$B$6:$B$797,"&lt;="&amp;K117,Monthly_Data!$C$6:$C$797,D117,Monthly_Data!$D$6:$D$797,C117,Monthly_Data!$I$6:$I$797,1)</x:f>
        <x:v>231959</x:v>
      </x:c>
      <x:c r="N117" s="2" t="n">
        <x:f>COUNTIFS(Monthly_Data!$B$6:$B$797,"&gt;="&amp;J117,Monthly_Data!$B$6:$B$797,"&lt;="&amp;K117,Monthly_Data!$C$6:$C$797,D117,Monthly_Data!$D$6:$D$797,C117,Monthly_Data!$I$6:$I$797,1)</x:f>
        <x:v>5</x:v>
      </x:c>
      <x:c r="O117" s="16" t="n">
        <x:f>IF(M117&gt;0,L117/M117,"n.a.")</x:f>
        <x:v>22.164253165430097</x:v>
      </x:c>
      <x:c r="P117" s="16" t="n">
        <x:f>IF(F117&gt;0,E117/F117-I117,"n.a.")</x:f>
        <x:v>0</x:v>
      </x:c>
      <x:c r="Q117" s="2" t="n">
        <x:f>COUNTIF($A$6:$A$125,A117)</x:f>
        <x:v>1</x:v>
      </x:c>
      <x:c r="R117" s="2" t="n">
        <x:f>ABS(P117)</x:f>
        <x:v>0</x:v>
      </x:c>
    </x:row>
    <x:row r="118" ht="22" customHeight="1">
      <x:c r="A118" s="2" t="str">
        <x:v>H1 2026|China|62052000</x:v>
      </x:c>
      <x:c r="B118" s="2" t="str">
        <x:v>H1 2026</x:v>
      </x:c>
      <x:c r="C118" s="2" t="str">
        <x:v>China</x:v>
      </x:c>
      <x:c r="D118" s="2" t="str">
        <x:v>62052000</x:v>
      </x:c>
      <x:c r="E118" s="14" t="n">
        <x:v>5317772</x:v>
      </x:c>
      <x:c r="F118" s="14" t="n">
        <x:v>245226</x:v>
      </x:c>
      <x:c r="G118" s="2" t="n">
        <x:v>6</x:v>
      </x:c>
      <x:c r="H118" s="2" t="n">
        <x:v>0</x:v>
      </x:c>
      <x:c r="I118" s="15" t="n">
        <x:v>21.68518835686265</x:v>
      </x:c>
      <x:c r="J118" s="2" t="n">
        <x:v>202601</x:v>
      </x:c>
      <x:c r="K118" s="2" t="n">
        <x:v>202606</x:v>
      </x:c>
      <x:c r="L118" s="14" t="n">
        <x:f>SUMIFS(Monthly_Data!$E$6:$E$797,Monthly_Data!$B$6:$B$797,"&gt;="&amp;J118,Monthly_Data!$B$6:$B$797,"&lt;="&amp;K118,Monthly_Data!$C$6:$C$797,D118,Monthly_Data!$D$6:$D$797,C118,Monthly_Data!$I$6:$I$797,1)</x:f>
        <x:v>4551362</x:v>
      </x:c>
      <x:c r="M118" s="14" t="n">
        <x:f>SUMIFS(Monthly_Data!$F$6:$F$797,Monthly_Data!$B$6:$B$797,"&gt;="&amp;J118,Monthly_Data!$B$6:$B$797,"&lt;="&amp;K118,Monthly_Data!$C$6:$C$797,D118,Monthly_Data!$D$6:$D$797,C118,Monthly_Data!$I$6:$I$797,1)</x:f>
        <x:v>211429</x:v>
      </x:c>
      <x:c r="N118" s="2" t="n">
        <x:f>COUNTIFS(Monthly_Data!$B$6:$B$797,"&gt;="&amp;J118,Monthly_Data!$B$6:$B$797,"&lt;="&amp;K118,Monthly_Data!$C$6:$C$797,D118,Monthly_Data!$D$6:$D$797,C118,Monthly_Data!$I$6:$I$797,1)</x:f>
        <x:v>5</x:v>
      </x:c>
      <x:c r="O118" s="16" t="n">
        <x:f>IF(M118&gt;0,L118/M118,"n.a.")</x:f>
        <x:v>21.526668527023254</x:v>
      </x:c>
      <x:c r="P118" s="16" t="n">
        <x:f>IF(F118&gt;0,E118/F118-I118,"n.a.")</x:f>
        <x:v>0</x:v>
      </x:c>
      <x:c r="Q118" s="2" t="n">
        <x:f>COUNTIF($A$6:$A$125,A118)</x:f>
        <x:v>1</x:v>
      </x:c>
      <x:c r="R118" s="2" t="n">
        <x:f>ABS(P118)</x:f>
        <x:v>0</x:v>
      </x:c>
    </x:row>
    <x:row r="119" ht="22" customHeight="1">
      <x:c r="A119" s="2" t="str">
        <x:v>H1 2026|India|62052000</x:v>
      </x:c>
      <x:c r="B119" s="2" t="str">
        <x:v>H1 2026</x:v>
      </x:c>
      <x:c r="C119" s="2" t="str">
        <x:v>India</x:v>
      </x:c>
      <x:c r="D119" s="2" t="str">
        <x:v>62052000</x:v>
      </x:c>
      <x:c r="E119" s="14" t="n">
        <x:v>16147727</x:v>
      </x:c>
      <x:c r="F119" s="14" t="n">
        <x:v>737427</x:v>
      </x:c>
      <x:c r="G119" s="2" t="n">
        <x:v>6</x:v>
      </x:c>
      <x:c r="H119" s="2" t="n">
        <x:v>0</x:v>
      </x:c>
      <x:c r="I119" s="15" t="n">
        <x:v>21.897390521366862</x:v>
      </x:c>
      <x:c r="J119" s="2" t="n">
        <x:v>202601</x:v>
      </x:c>
      <x:c r="K119" s="2" t="n">
        <x:v>202606</x:v>
      </x:c>
      <x:c r="L119" s="14" t="n">
        <x:f>SUMIFS(Monthly_Data!$E$6:$E$797,Monthly_Data!$B$6:$B$797,"&gt;="&amp;J119,Monthly_Data!$B$6:$B$797,"&lt;="&amp;K119,Monthly_Data!$C$6:$C$797,D119,Monthly_Data!$D$6:$D$797,C119,Monthly_Data!$I$6:$I$797,1)</x:f>
        <x:v>12912313</x:v>
      </x:c>
      <x:c r="M119" s="14" t="n">
        <x:f>SUMIFS(Monthly_Data!$F$6:$F$797,Monthly_Data!$B$6:$B$797,"&gt;="&amp;J119,Monthly_Data!$B$6:$B$797,"&lt;="&amp;K119,Monthly_Data!$C$6:$C$797,D119,Monthly_Data!$D$6:$D$797,C119,Monthly_Data!$I$6:$I$797,1)</x:f>
        <x:v>607034</x:v>
      </x:c>
      <x:c r="N119" s="2" t="n">
        <x:f>COUNTIFS(Monthly_Data!$B$6:$B$797,"&gt;="&amp;J119,Monthly_Data!$B$6:$B$797,"&lt;="&amp;K119,Monthly_Data!$C$6:$C$797,D119,Monthly_Data!$D$6:$D$797,C119,Monthly_Data!$I$6:$I$797,1)</x:f>
        <x:v>5</x:v>
      </x:c>
      <x:c r="O119" s="16" t="n">
        <x:f>IF(M119&gt;0,L119/M119,"n.a.")</x:f>
        <x:v>21.271152851405358</x:v>
      </x:c>
      <x:c r="P119" s="16" t="n">
        <x:f>IF(F119&gt;0,E119/F119-I119,"n.a.")</x:f>
        <x:v>0</x:v>
      </x:c>
      <x:c r="Q119" s="2" t="n">
        <x:f>COUNTIF($A$6:$A$125,A119)</x:f>
        <x:v>1</x:v>
      </x:c>
      <x:c r="R119" s="2" t="n">
        <x:f>ABS(P119)</x:f>
        <x:v>0</x:v>
      </x:c>
    </x:row>
    <x:row r="120" ht="22" customHeight="1">
      <x:c r="A120" s="2" t="str">
        <x:v>H1 2026|Morocco|62052000</x:v>
      </x:c>
      <x:c r="B120" s="2" t="str">
        <x:v>H1 2026</x:v>
      </x:c>
      <x:c r="C120" s="2" t="str">
        <x:v>Morocco</x:v>
      </x:c>
      <x:c r="D120" s="2" t="str">
        <x:v>62052000</x:v>
      </x:c>
      <x:c r="E120" s="14" t="n">
        <x:v>561115</x:v>
      </x:c>
      <x:c r="F120" s="14" t="n">
        <x:v>15750</x:v>
      </x:c>
      <x:c r="G120" s="2" t="n">
        <x:v>6</x:v>
      </x:c>
      <x:c r="H120" s="2" t="n">
        <x:v>0</x:v>
      </x:c>
      <x:c r="I120" s="15" t="n">
        <x:v>35.626349206349204</x:v>
      </x:c>
      <x:c r="J120" s="2" t="n">
        <x:v>202601</x:v>
      </x:c>
      <x:c r="K120" s="2" t="n">
        <x:v>202606</x:v>
      </x:c>
      <x:c r="L120" s="14" t="n">
        <x:f>SUMIFS(Monthly_Data!$E$6:$E$797,Monthly_Data!$B$6:$B$797,"&gt;="&amp;J120,Monthly_Data!$B$6:$B$797,"&lt;="&amp;K120,Monthly_Data!$C$6:$C$797,D120,Monthly_Data!$D$6:$D$797,C120,Monthly_Data!$I$6:$I$797,1)</x:f>
        <x:v>470879</x:v>
      </x:c>
      <x:c r="M120" s="14" t="n">
        <x:f>SUMIFS(Monthly_Data!$F$6:$F$797,Monthly_Data!$B$6:$B$797,"&gt;="&amp;J120,Monthly_Data!$B$6:$B$797,"&lt;="&amp;K120,Monthly_Data!$C$6:$C$797,D120,Monthly_Data!$D$6:$D$797,C120,Monthly_Data!$I$6:$I$797,1)</x:f>
        <x:v>13295</x:v>
      </x:c>
      <x:c r="N120" s="2" t="n">
        <x:f>COUNTIFS(Monthly_Data!$B$6:$B$797,"&gt;="&amp;J120,Monthly_Data!$B$6:$B$797,"&lt;="&amp;K120,Monthly_Data!$C$6:$C$797,D120,Monthly_Data!$D$6:$D$797,C120,Monthly_Data!$I$6:$I$797,1)</x:f>
        <x:v>5</x:v>
      </x:c>
      <x:c r="O120" s="16" t="n">
        <x:f>IF(M120&gt;0,L120/M120,"n.a.")</x:f>
        <x:v>35.41775103422339</x:v>
      </x:c>
      <x:c r="P120" s="16" t="n">
        <x:f>IF(F120&gt;0,E120/F120-I120,"n.a.")</x:f>
        <x:v>0</x:v>
      </x:c>
      <x:c r="Q120" s="2" t="n">
        <x:f>COUNTIF($A$6:$A$125,A120)</x:f>
        <x:v>1</x:v>
      </x:c>
      <x:c r="R120" s="2" t="n">
        <x:f>ABS(P120)</x:f>
        <x:v>0</x:v>
      </x:c>
    </x:row>
    <x:row r="121" ht="22" customHeight="1">
      <x:c r="A121" s="2" t="str">
        <x:v>H1 2026|Myanmar|62052000</x:v>
      </x:c>
      <x:c r="B121" s="2" t="str">
        <x:v>H1 2026</x:v>
      </x:c>
      <x:c r="C121" s="2" t="str">
        <x:v>Myanmar</x:v>
      </x:c>
      <x:c r="D121" s="2" t="str">
        <x:v>62052000</x:v>
      </x:c>
      <x:c r="E121" s="14" t="n">
        <x:v>438060</x:v>
      </x:c>
      <x:c r="F121" s="14" t="n">
        <x:v>30188</x:v>
      </x:c>
      <x:c r="G121" s="2" t="n">
        <x:v>6</x:v>
      </x:c>
      <x:c r="H121" s="2" t="n">
        <x:v>1</x:v>
      </x:c>
      <x:c r="I121" s="15" t="n">
        <x:v>14.511063998939976</x:v>
      </x:c>
      <x:c r="J121" s="2" t="n">
        <x:v>202601</x:v>
      </x:c>
      <x:c r="K121" s="2" t="n">
        <x:v>202606</x:v>
      </x:c>
      <x:c r="L121" s="14" t="n">
        <x:f>SUMIFS(Monthly_Data!$E$6:$E$797,Monthly_Data!$B$6:$B$797,"&gt;="&amp;J121,Monthly_Data!$B$6:$B$797,"&lt;="&amp;K121,Monthly_Data!$C$6:$C$797,D121,Monthly_Data!$D$6:$D$797,C121,Monthly_Data!$I$6:$I$797,1)</x:f>
        <x:v>429586</x:v>
      </x:c>
      <x:c r="M121" s="14" t="n">
        <x:f>SUMIFS(Monthly_Data!$F$6:$F$797,Monthly_Data!$B$6:$B$797,"&gt;="&amp;J121,Monthly_Data!$B$6:$B$797,"&lt;="&amp;K121,Monthly_Data!$C$6:$C$797,D121,Monthly_Data!$D$6:$D$797,C121,Monthly_Data!$I$6:$I$797,1)</x:f>
        <x:v>29172</x:v>
      </x:c>
      <x:c r="N121" s="2" t="n">
        <x:f>COUNTIFS(Monthly_Data!$B$6:$B$797,"&gt;="&amp;J121,Monthly_Data!$B$6:$B$797,"&lt;="&amp;K121,Monthly_Data!$C$6:$C$797,D121,Monthly_Data!$D$6:$D$797,C121,Monthly_Data!$I$6:$I$797,1)</x:f>
        <x:v>5</x:v>
      </x:c>
      <x:c r="O121" s="16" t="n">
        <x:f>IF(M121&gt;0,L121/M121,"n.a.")</x:f>
        <x:v>14.72597010832305</x:v>
      </x:c>
      <x:c r="P121" s="16" t="n">
        <x:f>IF(F121&gt;0,E121/F121-I121,"n.a.")</x:f>
        <x:v>0</x:v>
      </x:c>
      <x:c r="Q121" s="2" t="n">
        <x:f>COUNTIF($A$6:$A$125,A121)</x:f>
        <x:v>1</x:v>
      </x:c>
      <x:c r="R121" s="2" t="n">
        <x:f>ABS(P121)</x:f>
        <x:v>0</x:v>
      </x:c>
    </x:row>
    <x:row r="122" ht="22" customHeight="1">
      <x:c r="A122" s="2" t="str">
        <x:v>H1 2026|Pakistan|62052000</x:v>
      </x:c>
      <x:c r="B122" s="2" t="str">
        <x:v>H1 2026</x:v>
      </x:c>
      <x:c r="C122" s="2" t="str">
        <x:v>Pakistan</x:v>
      </x:c>
      <x:c r="D122" s="2" t="str">
        <x:v>62052000</x:v>
      </x:c>
      <x:c r="E122" s="14" t="n">
        <x:v>358538</x:v>
      </x:c>
      <x:c r="F122" s="14" t="n">
        <x:v>25923</x:v>
      </x:c>
      <x:c r="G122" s="2" t="n">
        <x:v>6</x:v>
      </x:c>
      <x:c r="H122" s="2" t="n">
        <x:v>0</x:v>
      </x:c>
      <x:c r="I122" s="15" t="n">
        <x:v>13.83088377116846</x:v>
      </x:c>
      <x:c r="J122" s="2" t="n">
        <x:v>202601</x:v>
      </x:c>
      <x:c r="K122" s="2" t="n">
        <x:v>202606</x:v>
      </x:c>
      <x:c r="L122" s="14" t="n">
        <x:f>SUMIFS(Monthly_Data!$E$6:$E$797,Monthly_Data!$B$6:$B$797,"&gt;="&amp;J122,Monthly_Data!$B$6:$B$797,"&lt;="&amp;K122,Monthly_Data!$C$6:$C$797,D122,Monthly_Data!$D$6:$D$797,C122,Monthly_Data!$I$6:$I$797,1)</x:f>
        <x:v>239651</x:v>
      </x:c>
      <x:c r="M122" s="14" t="n">
        <x:f>SUMIFS(Monthly_Data!$F$6:$F$797,Monthly_Data!$B$6:$B$797,"&gt;="&amp;J122,Monthly_Data!$B$6:$B$797,"&lt;="&amp;K122,Monthly_Data!$C$6:$C$797,D122,Monthly_Data!$D$6:$D$797,C122,Monthly_Data!$I$6:$I$797,1)</x:f>
        <x:v>17412</x:v>
      </x:c>
      <x:c r="N122" s="2" t="n">
        <x:f>COUNTIFS(Monthly_Data!$B$6:$B$797,"&gt;="&amp;J122,Monthly_Data!$B$6:$B$797,"&lt;="&amp;K122,Monthly_Data!$C$6:$C$797,D122,Monthly_Data!$D$6:$D$797,C122,Monthly_Data!$I$6:$I$797,1)</x:f>
        <x:v>5</x:v>
      </x:c>
      <x:c r="O122" s="16" t="n">
        <x:f>IF(M122&gt;0,L122/M122,"n.a.")</x:f>
        <x:v>13.763553870893636</x:v>
      </x:c>
      <x:c r="P122" s="16" t="n">
        <x:f>IF(F122&gt;0,E122/F122-I122,"n.a.")</x:f>
        <x:v>0</x:v>
      </x:c>
      <x:c r="Q122" s="2" t="n">
        <x:f>COUNTIF($A$6:$A$125,A122)</x:f>
        <x:v>1</x:v>
      </x:c>
      <x:c r="R122" s="2" t="n">
        <x:f>ABS(P122)</x:f>
        <x:v>0</x:v>
      </x:c>
    </x:row>
    <x:row r="123" ht="22" customHeight="1">
      <x:c r="A123" s="2" t="str">
        <x:v>H1 2026|Sri Lanka|62052000</x:v>
      </x:c>
      <x:c r="B123" s="2" t="str">
        <x:v>H1 2026</x:v>
      </x:c>
      <x:c r="C123" s="2" t="str">
        <x:v>Sri Lanka</x:v>
      </x:c>
      <x:c r="D123" s="2" t="str">
        <x:v>62052000</x:v>
      </x:c>
      <x:c r="E123" s="14" t="n">
        <x:v>1556820</x:v>
      </x:c>
      <x:c r="F123" s="14" t="n">
        <x:v>79138</x:v>
      </x:c>
      <x:c r="G123" s="2" t="n">
        <x:v>6</x:v>
      </x:c>
      <x:c r="H123" s="2" t="n">
        <x:v>0</x:v>
      </x:c>
      <x:c r="I123" s="15" t="n">
        <x:v>19.67221815057242</x:v>
      </x:c>
      <x:c r="J123" s="2" t="n">
        <x:v>202601</x:v>
      </x:c>
      <x:c r="K123" s="2" t="n">
        <x:v>202606</x:v>
      </x:c>
      <x:c r="L123" s="14" t="n">
        <x:f>SUMIFS(Monthly_Data!$E$6:$E$797,Monthly_Data!$B$6:$B$797,"&gt;="&amp;J123,Monthly_Data!$B$6:$B$797,"&lt;="&amp;K123,Monthly_Data!$C$6:$C$797,D123,Monthly_Data!$D$6:$D$797,C123,Monthly_Data!$I$6:$I$797,1)</x:f>
        <x:v>1293061</x:v>
      </x:c>
      <x:c r="M123" s="14" t="n">
        <x:f>SUMIFS(Monthly_Data!$F$6:$F$797,Monthly_Data!$B$6:$B$797,"&gt;="&amp;J123,Monthly_Data!$B$6:$B$797,"&lt;="&amp;K123,Monthly_Data!$C$6:$C$797,D123,Monthly_Data!$D$6:$D$797,C123,Monthly_Data!$I$6:$I$797,1)</x:f>
        <x:v>65575</x:v>
      </x:c>
      <x:c r="N123" s="2" t="n">
        <x:f>COUNTIFS(Monthly_Data!$B$6:$B$797,"&gt;="&amp;J123,Monthly_Data!$B$6:$B$797,"&lt;="&amp;K123,Monthly_Data!$C$6:$C$797,D123,Monthly_Data!$D$6:$D$797,C123,Monthly_Data!$I$6:$I$797,1)</x:f>
        <x:v>5</x:v>
      </x:c>
      <x:c r="O123" s="16" t="n">
        <x:f>IF(M123&gt;0,L123/M123,"n.a.")</x:f>
        <x:v>19.718810522302707</x:v>
      </x:c>
      <x:c r="P123" s="16" t="n">
        <x:f>IF(F123&gt;0,E123/F123-I123,"n.a.")</x:f>
        <x:v>0</x:v>
      </x:c>
      <x:c r="Q123" s="2" t="n">
        <x:f>COUNTIF($A$6:$A$125,A123)</x:f>
        <x:v>1</x:v>
      </x:c>
      <x:c r="R123" s="2" t="n">
        <x:f>ABS(P123)</x:f>
        <x:v>0</x:v>
      </x:c>
    </x:row>
    <x:row r="124" ht="22" customHeight="1">
      <x:c r="A124" s="2" t="str">
        <x:v>H1 2026|Turkey|62052000</x:v>
      </x:c>
      <x:c r="B124" s="2" t="str">
        <x:v>H1 2026</x:v>
      </x:c>
      <x:c r="C124" s="2" t="str">
        <x:v>Turkey</x:v>
      </x:c>
      <x:c r="D124" s="2" t="str">
        <x:v>62052000</x:v>
      </x:c>
      <x:c r="E124" s="14" t="n">
        <x:v>5825379</x:v>
      </x:c>
      <x:c r="F124" s="14" t="n">
        <x:v>147992</x:v>
      </x:c>
      <x:c r="G124" s="2" t="n">
        <x:v>6</x:v>
      </x:c>
      <x:c r="H124" s="2" t="n">
        <x:v>0</x:v>
      </x:c>
      <x:c r="I124" s="15" t="n">
        <x:v>39.36279663765609</x:v>
      </x:c>
      <x:c r="J124" s="2" t="n">
        <x:v>202601</x:v>
      </x:c>
      <x:c r="K124" s="2" t="n">
        <x:v>202606</x:v>
      </x:c>
      <x:c r="L124" s="14" t="n">
        <x:f>SUMIFS(Monthly_Data!$E$6:$E$797,Monthly_Data!$B$6:$B$797,"&gt;="&amp;J124,Monthly_Data!$B$6:$B$797,"&lt;="&amp;K124,Monthly_Data!$C$6:$C$797,D124,Monthly_Data!$D$6:$D$797,C124,Monthly_Data!$I$6:$I$797,1)</x:f>
        <x:v>4707773</x:v>
      </x:c>
      <x:c r="M124" s="14" t="n">
        <x:f>SUMIFS(Monthly_Data!$F$6:$F$797,Monthly_Data!$B$6:$B$797,"&gt;="&amp;J124,Monthly_Data!$B$6:$B$797,"&lt;="&amp;K124,Monthly_Data!$C$6:$C$797,D124,Monthly_Data!$D$6:$D$797,C124,Monthly_Data!$I$6:$I$797,1)</x:f>
        <x:v>119701</x:v>
      </x:c>
      <x:c r="N124" s="2" t="n">
        <x:f>COUNTIFS(Monthly_Data!$B$6:$B$797,"&gt;="&amp;J124,Monthly_Data!$B$6:$B$797,"&lt;="&amp;K124,Monthly_Data!$C$6:$C$797,D124,Monthly_Data!$D$6:$D$797,C124,Monthly_Data!$I$6:$I$797,1)</x:f>
        <x:v>5</x:v>
      </x:c>
      <x:c r="O124" s="16" t="n">
        <x:f>IF(M124&gt;0,L124/M124,"n.a.")</x:f>
        <x:v>39.3294375151419</x:v>
      </x:c>
      <x:c r="P124" s="16" t="n">
        <x:f>IF(F124&gt;0,E124/F124-I124,"n.a.")</x:f>
        <x:v>0</x:v>
      </x:c>
      <x:c r="Q124" s="2" t="n">
        <x:f>COUNTIF($A$6:$A$125,A124)</x:f>
        <x:v>1</x:v>
      </x:c>
      <x:c r="R124" s="2" t="n">
        <x:f>ABS(P124)</x:f>
        <x:v>0</x:v>
      </x:c>
    </x:row>
    <x:row r="125" ht="22" customHeight="1">
      <x:c r="A125" s="2" t="str">
        <x:v>H1 2026|Vietnam|62052000</x:v>
      </x:c>
      <x:c r="B125" s="2" t="str">
        <x:v>H1 2026</x:v>
      </x:c>
      <x:c r="C125" s="2" t="str">
        <x:v>Vietnam</x:v>
      </x:c>
      <x:c r="D125" s="2" t="str">
        <x:v>62052000</x:v>
      </x:c>
      <x:c r="E125" s="14" t="n">
        <x:v>5885338</x:v>
      </x:c>
      <x:c r="F125" s="14" t="n">
        <x:v>196825</x:v>
      </x:c>
      <x:c r="G125" s="2" t="n">
        <x:v>6</x:v>
      </x:c>
      <x:c r="H125" s="2" t="n">
        <x:v>0</x:v>
      </x:c>
      <x:c r="I125" s="15" t="n">
        <x:v>29.90137431728693</x:v>
      </x:c>
      <x:c r="J125" s="2" t="n">
        <x:v>202601</x:v>
      </x:c>
      <x:c r="K125" s="2" t="n">
        <x:v>202606</x:v>
      </x:c>
      <x:c r="L125" s="14" t="n">
        <x:f>SUMIFS(Monthly_Data!$E$6:$E$797,Monthly_Data!$B$6:$B$797,"&gt;="&amp;J125,Monthly_Data!$B$6:$B$797,"&lt;="&amp;K125,Monthly_Data!$C$6:$C$797,D125,Monthly_Data!$D$6:$D$797,C125,Monthly_Data!$I$6:$I$797,1)</x:f>
        <x:v>4696585</x:v>
      </x:c>
      <x:c r="M125" s="14" t="n">
        <x:f>SUMIFS(Monthly_Data!$F$6:$F$797,Monthly_Data!$B$6:$B$797,"&gt;="&amp;J125,Monthly_Data!$B$6:$B$797,"&lt;="&amp;K125,Monthly_Data!$C$6:$C$797,D125,Monthly_Data!$D$6:$D$797,C125,Monthly_Data!$I$6:$I$797,1)</x:f>
        <x:v>156499</x:v>
      </x:c>
      <x:c r="N125" s="2" t="n">
        <x:f>COUNTIFS(Monthly_Data!$B$6:$B$797,"&gt;="&amp;J125,Monthly_Data!$B$6:$B$797,"&lt;="&amp;K125,Monthly_Data!$C$6:$C$797,D125,Monthly_Data!$D$6:$D$797,C125,Monthly_Data!$I$6:$I$797,1)</x:f>
        <x:v>5</x:v>
      </x:c>
      <x:c r="O125" s="16" t="n">
        <x:f>IF(M125&gt;0,L125/M125,"n.a.")</x:f>
        <x:v>30.010319554757537</x:v>
      </x:c>
      <x:c r="P125" s="16" t="n">
        <x:f>IF(F125&gt;0,E125/F125-I125,"n.a.")</x:f>
        <x:v>0</x:v>
      </x:c>
      <x:c r="Q125" s="2" t="n">
        <x:f>COUNTIF($A$6:$A$125,A125)</x:f>
        <x:v>1</x:v>
      </x:c>
      <x:c r="R125" s="2" t="n">
        <x:f>ABS(P125)</x:f>
        <x:v>0</x:v>
      </x:c>
    </x:row>
    <x:row r="126" ht="22" customHeight="1">
      <x:c r="A126" s="2"/>
      <x:c r="B126" s="2"/>
      <x:c r="C126" s="2"/>
      <x:c r="D126" s="2"/>
      <x:c r="E126" s="2"/>
      <x:c r="F126" s="2"/>
      <x:c r="G126" s="2"/>
      <x:c r="H126" s="2"/>
      <x:c r="I126" s="2"/>
      <x:c r="J126" s="2"/>
      <x:c r="K126" s="2"/>
      <x:c r="L126" s="2"/>
      <x:c r="M126" s="2"/>
      <x:c r="N126" s="2"/>
      <x:c r="O126" s="2"/>
      <x:c r="P126" s="2"/>
      <x:c r="Q126" s="2"/>
      <x:c r="R126" s="2"/>
    </x:row>
    <x:row r="127" ht="22" customHeight="1">
      <x:c r="A127" s="2"/>
      <x:c r="B127" s="2"/>
      <x:c r="C127" s="2"/>
      <x:c r="D127" s="2"/>
      <x:c r="E127" s="2"/>
      <x:c r="F127" s="2"/>
      <x:c r="G127" s="2"/>
      <x:c r="H127" s="2"/>
      <x:c r="I127" s="2"/>
      <x:c r="J127" s="2"/>
      <x:c r="K127" s="2"/>
      <x:c r="L127" s="2"/>
      <x:c r="M127" s="2"/>
      <x:c r="N127" s="2"/>
      <x:c r="O127" s="2"/>
      <x:c r="P127" s="2"/>
      <x:c r="Q127" s="2"/>
      <x:c r="R127" s="2"/>
    </x:row>
  </x:sheetData>
  <x:mergeCells>
    <x:mergeCell ref="A4:P4"/>
  </x:mergeCells>
  <x:pageMargins left="0.7" right="0.7" top="0.75" bottom="0.75" header="0.3" footer="0.3"/>
  <x:tableParts count="1">
    <x:tablePart xmlns:r="http://schemas.openxmlformats.org/officeDocument/2006/relationships" r:id="Re25379bb07cf42e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9" hidden="0" customWidth="1"/>
    <x:col min="2" max="2" width="15" hidden="0" customWidth="1"/>
    <x:col min="3" max="3" width="15" hidden="0" customWidth="1"/>
    <x:col min="4" max="4" width="17" hidden="0" customWidth="1"/>
    <x:col min="5" max="5" width="15" hidden="0" customWidth="1"/>
    <x:col min="6" max="6" width="15" hidden="0" customWidth="1"/>
    <x:col min="7" max="7" width="19" hidden="0" customWidth="1"/>
    <x:col min="8" max="8" width="15" hidden="0" customWidth="1"/>
    <x:col min="9" max="9" width="15" hidden="0" customWidth="1"/>
  </x:cols>
  <x:sheetData>
    <x:row r="1" ht="22" customHeight="1">
      <x:c r="A1" s="2"/>
      <x:c r="B1" s="2"/>
      <x:c r="C1" s="2"/>
      <x:c r="D1" s="2"/>
      <x:c r="E1" s="2"/>
      <x:c r="F1" s="2"/>
      <x:c r="G1" s="2"/>
      <x:c r="H1" s="2"/>
      <x:c r="I1" s="2"/>
    </x:row>
    <x:row r="2" ht="29" customHeight="1">
      <x:c r="A2" s="3" t="str">
        <x:v>Monthly trade observations</x:v>
      </x:c>
      <x:c r="B2" s="3"/>
      <x:c r="C2" s="3"/>
      <x:c r="D2" s="3"/>
      <x:c r="E2" s="3"/>
      <x:c r="F2" s="3"/>
      <x:c r="G2" s="3"/>
      <x:c r="H2" s="3"/>
      <x:c r="I2" s="3"/>
    </x:row>
    <x:row r="3" ht="22" customHeight="1">
      <x:c r="A3" s="4"/>
      <x:c r="B3" s="4"/>
      <x:c r="C3" s="4"/>
      <x:c r="D3" s="4"/>
      <x:c r="E3" s="4"/>
      <x:c r="F3" s="4"/>
      <x:c r="G3" s="4"/>
      <x:c r="H3" s="4"/>
      <x:c r="I3" s="4"/>
    </x:row>
    <x:row r="4" ht="30" customHeight="1">
      <x:c r="A4" s="13" t="str">
        <x:v>Source: WP006 Inputs, governed WP005 partner and World monthly CSVs. Jan 2025–Jun 2026. Original values and REVIEW flags retained.</x:v>
      </x:c>
      <x:c r="B4" s="13"/>
      <x:c r="C4" s="13"/>
      <x:c r="D4" s="13"/>
      <x:c r="E4" s="13"/>
      <x:c r="F4" s="13"/>
      <x:c r="G4" s="13"/>
      <x:c r="H4" s="13"/>
      <x:c r="I4" s="13"/>
    </x:row>
    <x:row r="5" ht="34" customHeight="1">
      <x:c r="A5" s="12" t="str">
        <x:v>Observation key</x:v>
      </x:c>
      <x:c r="B5" s="12" t="str">
        <x:v>Month ID</x:v>
      </x:c>
      <x:c r="C5" s="12" t="str">
        <x:v>CN8</x:v>
      </x:c>
      <x:c r="D5" s="12" t="str">
        <x:v>Partner</x:v>
      </x:c>
      <x:c r="E5" s="12" t="str">
        <x:v>Import value (£)</x:v>
      </x:c>
      <x:c r="F5" s="12" t="str">
        <x:v>Net mass (kg)</x:v>
      </x:c>
      <x:c r="G5" s="12" t="str">
        <x:v>Review flag</x:v>
      </x:c>
      <x:c r="H5" s="12" t="str">
        <x:v>API present</x:v>
      </x:c>
      <x:c r="I5" s="12" t="str">
        <x:v>Common keep</x:v>
      </x:c>
    </x:row>
    <x:row r="6" ht="22" customHeight="1">
      <x:c r="A6" s="2" t="str">
        <x:v>61091000_BD_202501_IMPORT</x:v>
      </x:c>
      <x:c r="B6" s="2" t="n">
        <x:v>202501</x:v>
      </x:c>
      <x:c r="C6" s="2" t="str">
        <x:v>61091000</x:v>
      </x:c>
      <x:c r="D6" s="2" t="str">
        <x:v>Bangladesh</x:v>
      </x:c>
      <x:c r="E6" s="14" t="n">
        <x:v>37635639</x:v>
      </x:c>
      <x:c r="F6" s="14" t="n">
        <x:v>3598131</x:v>
      </x:c>
      <x:c r="G6" s="2" t="str">
        <x:v>WITHIN_BAND</x:v>
      </x:c>
      <x:c r="H6" s="2" t="n">
        <x:v>1</x:v>
      </x:c>
      <x:c r="I6" s="2" t="n">
        <x:f>IF(AND(COUNTIFS($B$6:$B$797,B6,$C$6:$C$797,C6)=11,COUNTIFS($B$6:$B$797,B6,$C$6:$C$797,C6,$G$6:$G$797,"REVIEW")=0,COUNTIFS($B$6:$B$797,B6,$C$6:$C$797,C6,$H$6:$H$797,1)=11,COUNTIFS($B$6:$B$797,B6,$C$6:$C$797,C6,$F$6:$F$797,"&gt;0")=11),1,0)</x:f>
        <x:v>1</x:v>
      </x:c>
    </x:row>
    <x:row r="7" ht="22" customHeight="1">
      <x:c r="A7" s="2" t="str">
        <x:v>61091000_KH_202501_IMPORT</x:v>
      </x:c>
      <x:c r="B7" s="2" t="n">
        <x:v>202501</x:v>
      </x:c>
      <x:c r="C7" s="2" t="str">
        <x:v>61091000</x:v>
      </x:c>
      <x:c r="D7" s="2" t="str">
        <x:v>Cambodia</x:v>
      </x:c>
      <x:c r="E7" s="14" t="n">
        <x:v>815302</x:v>
      </x:c>
      <x:c r="F7" s="14" t="n">
        <x:v>48927</x:v>
      </x:c>
      <x:c r="G7" s="2" t="str">
        <x:v>WITHIN_BAND</x:v>
      </x:c>
      <x:c r="H7" s="2" t="n">
        <x:v>1</x:v>
      </x:c>
      <x:c r="I7" s="2" t="n">
        <x:f>IF(AND(COUNTIFS($B$6:$B$797,B7,$C$6:$C$797,C7)=11,COUNTIFS($B$6:$B$797,B7,$C$6:$C$797,C7,$G$6:$G$797,"REVIEW")=0,COUNTIFS($B$6:$B$797,B7,$C$6:$C$797,C7,$H$6:$H$797,1)=11,COUNTIFS($B$6:$B$797,B7,$C$6:$C$797,C7,$F$6:$F$797,"&gt;0")=11),1,0)</x:f>
        <x:v>1</x:v>
      </x:c>
    </x:row>
    <x:row r="8" ht="22" customHeight="1">
      <x:c r="A8" s="2" t="str">
        <x:v>61091000_CN_202501_IMPORT</x:v>
      </x:c>
      <x:c r="B8" s="2" t="n">
        <x:v>202501</x:v>
      </x:c>
      <x:c r="C8" s="2" t="str">
        <x:v>61091000</x:v>
      </x:c>
      <x:c r="D8" s="2" t="str">
        <x:v>China</x:v>
      </x:c>
      <x:c r="E8" s="14" t="n">
        <x:v>4906522</x:v>
      </x:c>
      <x:c r="F8" s="14" t="n">
        <x:v>287181</x:v>
      </x:c>
      <x:c r="G8" s="2" t="str">
        <x:v>WITHIN_BAND</x:v>
      </x:c>
      <x:c r="H8" s="2" t="n">
        <x:v>1</x:v>
      </x:c>
      <x:c r="I8" s="2" t="n">
        <x:f>IF(AND(COUNTIFS($B$6:$B$797,B8,$C$6:$C$797,C8)=11,COUNTIFS($B$6:$B$797,B8,$C$6:$C$797,C8,$G$6:$G$797,"REVIEW")=0,COUNTIFS($B$6:$B$797,B8,$C$6:$C$797,C8,$H$6:$H$797,1)=11,COUNTIFS($B$6:$B$797,B8,$C$6:$C$797,C8,$F$6:$F$797,"&gt;0")=11),1,0)</x:f>
        <x:v>1</x:v>
      </x:c>
    </x:row>
    <x:row r="9" ht="22" customHeight="1">
      <x:c r="A9" s="2" t="str">
        <x:v>61091000_IN_202501_IMPORT</x:v>
      </x:c>
      <x:c r="B9" s="2" t="n">
        <x:v>202501</x:v>
      </x:c>
      <x:c r="C9" s="2" t="str">
        <x:v>61091000</x:v>
      </x:c>
      <x:c r="D9" s="2" t="str">
        <x:v>India</x:v>
      </x:c>
      <x:c r="E9" s="14" t="n">
        <x:v>6612624</x:v>
      </x:c>
      <x:c r="F9" s="14" t="n">
        <x:v>447550</x:v>
      </x:c>
      <x:c r="G9" s="2" t="str">
        <x:v>WITHIN_BAND</x:v>
      </x:c>
      <x:c r="H9" s="2" t="n">
        <x:v>1</x:v>
      </x:c>
      <x:c r="I9" s="2" t="n">
        <x:f>IF(AND(COUNTIFS($B$6:$B$797,B9,$C$6:$C$797,C9)=11,COUNTIFS($B$6:$B$797,B9,$C$6:$C$797,C9,$G$6:$G$797,"REVIEW")=0,COUNTIFS($B$6:$B$797,B9,$C$6:$C$797,C9,$H$6:$H$797,1)=11,COUNTIFS($B$6:$B$797,B9,$C$6:$C$797,C9,$F$6:$F$797,"&gt;0")=11),1,0)</x:f>
        <x:v>1</x:v>
      </x:c>
    </x:row>
    <x:row r="10" ht="22" customHeight="1">
      <x:c r="A10" s="2" t="str">
        <x:v>61091000_MA_202501_IMPORT</x:v>
      </x:c>
      <x:c r="B10" s="2" t="n">
        <x:v>202501</x:v>
      </x:c>
      <x:c r="C10" s="2" t="str">
        <x:v>61091000</x:v>
      </x:c>
      <x:c r="D10" s="2" t="str">
        <x:v>Morocco</x:v>
      </x:c>
      <x:c r="E10" s="14" t="n">
        <x:v>595595</x:v>
      </x:c>
      <x:c r="F10" s="14" t="n">
        <x:v>58622</x:v>
      </x:c>
      <x:c r="G10" s="2" t="str">
        <x:v>WITHIN_BAND</x:v>
      </x:c>
      <x:c r="H10" s="2" t="n">
        <x:v>1</x:v>
      </x:c>
      <x:c r="I10" s="2" t="n">
        <x:f>IF(AND(COUNTIFS($B$6:$B$797,B10,$C$6:$C$797,C10)=11,COUNTIFS($B$6:$B$797,B10,$C$6:$C$797,C10,$G$6:$G$797,"REVIEW")=0,COUNTIFS($B$6:$B$797,B10,$C$6:$C$797,C10,$H$6:$H$797,1)=11,COUNTIFS($B$6:$B$797,B10,$C$6:$C$797,C10,$F$6:$F$797,"&gt;0")=11),1,0)</x:f>
        <x:v>1</x:v>
      </x:c>
    </x:row>
    <x:row r="11" ht="22" customHeight="1">
      <x:c r="A11" s="2" t="str">
        <x:v>61091000_MM_202501_IMPORT</x:v>
      </x:c>
      <x:c r="B11" s="2" t="n">
        <x:v>202501</x:v>
      </x:c>
      <x:c r="C11" s="2" t="str">
        <x:v>61091000</x:v>
      </x:c>
      <x:c r="D11" s="2" t="str">
        <x:v>Myanmar</x:v>
      </x:c>
      <x:c r="E11" s="14" t="n">
        <x:v>47447</x:v>
      </x:c>
      <x:c r="F11" s="14" t="n">
        <x:v>3108</x:v>
      </x:c>
      <x:c r="G11" s="2" t="str">
        <x:v>WITHIN_BAND</x:v>
      </x:c>
      <x:c r="H11" s="2" t="n">
        <x:v>1</x:v>
      </x:c>
      <x:c r="I11" s="2" t="n">
        <x:f>IF(AND(COUNTIFS($B$6:$B$797,B11,$C$6:$C$797,C11)=11,COUNTIFS($B$6:$B$797,B11,$C$6:$C$797,C11,$G$6:$G$797,"REVIEW")=0,COUNTIFS($B$6:$B$797,B11,$C$6:$C$797,C11,$H$6:$H$797,1)=11,COUNTIFS($B$6:$B$797,B11,$C$6:$C$797,C11,$F$6:$F$797,"&gt;0")=11),1,0)</x:f>
        <x:v>1</x:v>
      </x:c>
    </x:row>
    <x:row r="12" ht="22" customHeight="1">
      <x:c r="A12" s="2" t="str">
        <x:v>61091000_PK_202501_IMPORT</x:v>
      </x:c>
      <x:c r="B12" s="2" t="n">
        <x:v>202501</x:v>
      </x:c>
      <x:c r="C12" s="2" t="str">
        <x:v>61091000</x:v>
      </x:c>
      <x:c r="D12" s="2" t="str">
        <x:v>Pakistan</x:v>
      </x:c>
      <x:c r="E12" s="14" t="n">
        <x:v>4215403</x:v>
      </x:c>
      <x:c r="F12" s="14" t="n">
        <x:v>375044</x:v>
      </x:c>
      <x:c r="G12" s="2" t="str">
        <x:v>WITHIN_BAND</x:v>
      </x:c>
      <x:c r="H12" s="2" t="n">
        <x:v>1</x:v>
      </x:c>
      <x:c r="I12" s="2" t="n">
        <x:f>IF(AND(COUNTIFS($B$6:$B$797,B12,$C$6:$C$797,C12)=11,COUNTIFS($B$6:$B$797,B12,$C$6:$C$797,C12,$G$6:$G$797,"REVIEW")=0,COUNTIFS($B$6:$B$797,B12,$C$6:$C$797,C12,$H$6:$H$797,1)=11,COUNTIFS($B$6:$B$797,B12,$C$6:$C$797,C12,$F$6:$F$797,"&gt;0")=11),1,0)</x:f>
        <x:v>1</x:v>
      </x:c>
    </x:row>
    <x:row r="13" ht="22" customHeight="1">
      <x:c r="A13" s="2" t="str">
        <x:v>61091000_LK_202501_IMPORT</x:v>
      </x:c>
      <x:c r="B13" s="2" t="n">
        <x:v>202501</x:v>
      </x:c>
      <x:c r="C13" s="2" t="str">
        <x:v>61091000</x:v>
      </x:c>
      <x:c r="D13" s="2" t="str">
        <x:v>Sri Lanka</x:v>
      </x:c>
      <x:c r="E13" s="14" t="n">
        <x:v>1867891</x:v>
      </x:c>
      <x:c r="F13" s="14" t="n">
        <x:v>190782</x:v>
      </x:c>
      <x:c r="G13" s="2" t="str">
        <x:v>WITHIN_BAND</x:v>
      </x:c>
      <x:c r="H13" s="2" t="n">
        <x:v>1</x:v>
      </x:c>
      <x:c r="I13" s="2" t="n">
        <x:f>IF(AND(COUNTIFS($B$6:$B$797,B13,$C$6:$C$797,C13)=11,COUNTIFS($B$6:$B$797,B13,$C$6:$C$797,C13,$G$6:$G$797,"REVIEW")=0,COUNTIFS($B$6:$B$797,B13,$C$6:$C$797,C13,$H$6:$H$797,1)=11,COUNTIFS($B$6:$B$797,B13,$C$6:$C$797,C13,$F$6:$F$797,"&gt;0")=11),1,0)</x:f>
        <x:v>1</x:v>
      </x:c>
    </x:row>
    <x:row r="14" ht="22" customHeight="1">
      <x:c r="A14" s="2" t="str">
        <x:v>61091000_TR_202501_IMPORT</x:v>
      </x:c>
      <x:c r="B14" s="2" t="n">
        <x:v>202501</x:v>
      </x:c>
      <x:c r="C14" s="2" t="str">
        <x:v>61091000</x:v>
      </x:c>
      <x:c r="D14" s="2" t="str">
        <x:v>Turkey</x:v>
      </x:c>
      <x:c r="E14" s="14" t="n">
        <x:v>9498438</x:v>
      </x:c>
      <x:c r="F14" s="14" t="n">
        <x:v>427107</x:v>
      </x:c>
      <x:c r="G14" s="2" t="str">
        <x:v>WITHIN_BAND</x:v>
      </x:c>
      <x:c r="H14" s="2" t="n">
        <x:v>1</x:v>
      </x:c>
      <x:c r="I14" s="2" t="n">
        <x:f>IF(AND(COUNTIFS($B$6:$B$797,B14,$C$6:$C$797,C14)=11,COUNTIFS($B$6:$B$797,B14,$C$6:$C$797,C14,$G$6:$G$797,"REVIEW")=0,COUNTIFS($B$6:$B$797,B14,$C$6:$C$797,C14,$H$6:$H$797,1)=11,COUNTIFS($B$6:$B$797,B14,$C$6:$C$797,C14,$F$6:$F$797,"&gt;0")=11),1,0)</x:f>
        <x:v>1</x:v>
      </x:c>
    </x:row>
    <x:row r="15" ht="22" customHeight="1">
      <x:c r="A15" s="2" t="str">
        <x:v>61091000_VN_202501_IMPORT</x:v>
      </x:c>
      <x:c r="B15" s="2" t="n">
        <x:v>202501</x:v>
      </x:c>
      <x:c r="C15" s="2" t="str">
        <x:v>61091000</x:v>
      </x:c>
      <x:c r="D15" s="2" t="str">
        <x:v>Vietnam</x:v>
      </x:c>
      <x:c r="E15" s="14" t="n">
        <x:v>1759203</x:v>
      </x:c>
      <x:c r="F15" s="14" t="n">
        <x:v>80140</x:v>
      </x:c>
      <x:c r="G15" s="2" t="str">
        <x:v>WITHIN_BAND</x:v>
      </x:c>
      <x:c r="H15" s="2" t="n">
        <x:v>1</x:v>
      </x:c>
      <x:c r="I15" s="2" t="n">
        <x:f>IF(AND(COUNTIFS($B$6:$B$797,B15,$C$6:$C$797,C15)=11,COUNTIFS($B$6:$B$797,B15,$C$6:$C$797,C15,$G$6:$G$797,"REVIEW")=0,COUNTIFS($B$6:$B$797,B15,$C$6:$C$797,C15,$H$6:$H$797,1)=11,COUNTIFS($B$6:$B$797,B15,$C$6:$C$797,C15,$F$6:$F$797,"&gt;0")=11),1,0)</x:f>
        <x:v>1</x:v>
      </x:c>
    </x:row>
    <x:row r="16" ht="22" customHeight="1">
      <x:c r="A16" s="2" t="str">
        <x:v>61091000_WORLD_202501_IMPORT</x:v>
      </x:c>
      <x:c r="B16" s="2" t="n">
        <x:v>202501</x:v>
      </x:c>
      <x:c r="C16" s="2" t="str">
        <x:v>61091000</x:v>
      </x:c>
      <x:c r="D16" s="2" t="str">
        <x:v>World</x:v>
      </x:c>
      <x:c r="E16" s="14" t="n">
        <x:v>97780137</x:v>
      </x:c>
      <x:c r="F16" s="14" t="n">
        <x:v>6822727</x:v>
      </x:c>
      <x:c r="G16" s="2" t="str">
        <x:v>WITHIN_BAND</x:v>
      </x:c>
      <x:c r="H16" s="2" t="n">
        <x:v>1</x:v>
      </x:c>
      <x:c r="I16" s="2" t="n">
        <x:f>IF(AND(COUNTIFS($B$6:$B$797,B16,$C$6:$C$797,C16)=11,COUNTIFS($B$6:$B$797,B16,$C$6:$C$797,C16,$G$6:$G$797,"REVIEW")=0,COUNTIFS($B$6:$B$797,B16,$C$6:$C$797,C16,$H$6:$H$797,1)=11,COUNTIFS($B$6:$B$797,B16,$C$6:$C$797,C16,$F$6:$F$797,"&gt;0")=11),1,0)</x:f>
        <x:v>1</x:v>
      </x:c>
    </x:row>
    <x:row r="17" ht="22" customHeight="1">
      <x:c r="A17" s="2" t="str">
        <x:v>61091000_BD_202502_IMPORT</x:v>
      </x:c>
      <x:c r="B17" s="2" t="n">
        <x:v>202502</x:v>
      </x:c>
      <x:c r="C17" s="2" t="str">
        <x:v>61091000</x:v>
      </x:c>
      <x:c r="D17" s="2" t="str">
        <x:v>Bangladesh</x:v>
      </x:c>
      <x:c r="E17" s="14" t="n">
        <x:v>34909984</x:v>
      </x:c>
      <x:c r="F17" s="14" t="n">
        <x:v>3246390</x:v>
      </x:c>
      <x:c r="G17" s="2" t="str">
        <x:v>WITHIN_BAND</x:v>
      </x:c>
      <x:c r="H17" s="2" t="n">
        <x:v>1</x:v>
      </x:c>
      <x:c r="I17" s="2" t="n">
        <x:f>IF(AND(COUNTIFS($B$6:$B$797,B17,$C$6:$C$797,C17)=11,COUNTIFS($B$6:$B$797,B17,$C$6:$C$797,C17,$G$6:$G$797,"REVIEW")=0,COUNTIFS($B$6:$B$797,B17,$C$6:$C$797,C17,$H$6:$H$797,1)=11,COUNTIFS($B$6:$B$797,B17,$C$6:$C$797,C17,$F$6:$F$797,"&gt;0")=11),1,0)</x:f>
        <x:v>1</x:v>
      </x:c>
    </x:row>
    <x:row r="18" ht="22" customHeight="1">
      <x:c r="A18" s="2" t="str">
        <x:v>61091000_KH_202502_IMPORT</x:v>
      </x:c>
      <x:c r="B18" s="2" t="n">
        <x:v>202502</x:v>
      </x:c>
      <x:c r="C18" s="2" t="str">
        <x:v>61091000</x:v>
      </x:c>
      <x:c r="D18" s="2" t="str">
        <x:v>Cambodia</x:v>
      </x:c>
      <x:c r="E18" s="14" t="n">
        <x:v>795698</x:v>
      </x:c>
      <x:c r="F18" s="14" t="n">
        <x:v>47380</x:v>
      </x:c>
      <x:c r="G18" s="2" t="str">
        <x:v>WITHIN_BAND</x:v>
      </x:c>
      <x:c r="H18" s="2" t="n">
        <x:v>1</x:v>
      </x:c>
      <x:c r="I18" s="2" t="n">
        <x:f>IF(AND(COUNTIFS($B$6:$B$797,B18,$C$6:$C$797,C18)=11,COUNTIFS($B$6:$B$797,B18,$C$6:$C$797,C18,$G$6:$G$797,"REVIEW")=0,COUNTIFS($B$6:$B$797,B18,$C$6:$C$797,C18,$H$6:$H$797,1)=11,COUNTIFS($B$6:$B$797,B18,$C$6:$C$797,C18,$F$6:$F$797,"&gt;0")=11),1,0)</x:f>
        <x:v>1</x:v>
      </x:c>
    </x:row>
    <x:row r="19" ht="22" customHeight="1">
      <x:c r="A19" s="2" t="str">
        <x:v>61091000_CN_202502_IMPORT</x:v>
      </x:c>
      <x:c r="B19" s="2" t="n">
        <x:v>202502</x:v>
      </x:c>
      <x:c r="C19" s="2" t="str">
        <x:v>61091000</x:v>
      </x:c>
      <x:c r="D19" s="2" t="str">
        <x:v>China</x:v>
      </x:c>
      <x:c r="E19" s="14" t="n">
        <x:v>5035781</x:v>
      </x:c>
      <x:c r="F19" s="14" t="n">
        <x:v>242269</x:v>
      </x:c>
      <x:c r="G19" s="2" t="str">
        <x:v>WITHIN_BAND</x:v>
      </x:c>
      <x:c r="H19" s="2" t="n">
        <x:v>1</x:v>
      </x:c>
      <x:c r="I19" s="2" t="n">
        <x:f>IF(AND(COUNTIFS($B$6:$B$797,B19,$C$6:$C$797,C19)=11,COUNTIFS($B$6:$B$797,B19,$C$6:$C$797,C19,$G$6:$G$797,"REVIEW")=0,COUNTIFS($B$6:$B$797,B19,$C$6:$C$797,C19,$H$6:$H$797,1)=11,COUNTIFS($B$6:$B$797,B19,$C$6:$C$797,C19,$F$6:$F$797,"&gt;0")=11),1,0)</x:f>
        <x:v>1</x:v>
      </x:c>
    </x:row>
    <x:row r="20" ht="22" customHeight="1">
      <x:c r="A20" s="2" t="str">
        <x:v>61091000_IN_202502_IMPORT</x:v>
      </x:c>
      <x:c r="B20" s="2" t="n">
        <x:v>202502</x:v>
      </x:c>
      <x:c r="C20" s="2" t="str">
        <x:v>61091000</x:v>
      </x:c>
      <x:c r="D20" s="2" t="str">
        <x:v>India</x:v>
      </x:c>
      <x:c r="E20" s="14" t="n">
        <x:v>7699201</x:v>
      </x:c>
      <x:c r="F20" s="14" t="n">
        <x:v>513134</x:v>
      </x:c>
      <x:c r="G20" s="2" t="str">
        <x:v>WITHIN_BAND</x:v>
      </x:c>
      <x:c r="H20" s="2" t="n">
        <x:v>1</x:v>
      </x:c>
      <x:c r="I20" s="2" t="n">
        <x:f>IF(AND(COUNTIFS($B$6:$B$797,B20,$C$6:$C$797,C20)=11,COUNTIFS($B$6:$B$797,B20,$C$6:$C$797,C20,$G$6:$G$797,"REVIEW")=0,COUNTIFS($B$6:$B$797,B20,$C$6:$C$797,C20,$H$6:$H$797,1)=11,COUNTIFS($B$6:$B$797,B20,$C$6:$C$797,C20,$F$6:$F$797,"&gt;0")=11),1,0)</x:f>
        <x:v>1</x:v>
      </x:c>
    </x:row>
    <x:row r="21" ht="22" customHeight="1">
      <x:c r="A21" s="2" t="str">
        <x:v>61091000_MA_202502_IMPORT</x:v>
      </x:c>
      <x:c r="B21" s="2" t="n">
        <x:v>202502</x:v>
      </x:c>
      <x:c r="C21" s="2" t="str">
        <x:v>61091000</x:v>
      </x:c>
      <x:c r="D21" s="2" t="str">
        <x:v>Morocco</x:v>
      </x:c>
      <x:c r="E21" s="14" t="n">
        <x:v>1166399</x:v>
      </x:c>
      <x:c r="F21" s="14" t="n">
        <x:v>130928</x:v>
      </x:c>
      <x:c r="G21" s="2" t="str">
        <x:v>WITHIN_BAND</x:v>
      </x:c>
      <x:c r="H21" s="2" t="n">
        <x:v>1</x:v>
      </x:c>
      <x:c r="I21" s="2" t="n">
        <x:f>IF(AND(COUNTIFS($B$6:$B$797,B21,$C$6:$C$797,C21)=11,COUNTIFS($B$6:$B$797,B21,$C$6:$C$797,C21,$G$6:$G$797,"REVIEW")=0,COUNTIFS($B$6:$B$797,B21,$C$6:$C$797,C21,$H$6:$H$797,1)=11,COUNTIFS($B$6:$B$797,B21,$C$6:$C$797,C21,$F$6:$F$797,"&gt;0")=11),1,0)</x:f>
        <x:v>1</x:v>
      </x:c>
    </x:row>
    <x:row r="22" ht="22" customHeight="1">
      <x:c r="A22" s="2" t="str">
        <x:v>61091000_MM_202502_IMPORT</x:v>
      </x:c>
      <x:c r="B22" s="2" t="n">
        <x:v>202502</x:v>
      </x:c>
      <x:c r="C22" s="2" t="str">
        <x:v>61091000</x:v>
      </x:c>
      <x:c r="D22" s="2" t="str">
        <x:v>Myanmar</x:v>
      </x:c>
      <x:c r="E22" s="14" t="n">
        <x:v>40891</x:v>
      </x:c>
      <x:c r="F22" s="14" t="n">
        <x:v>2547</x:v>
      </x:c>
      <x:c r="G22" s="2" t="str">
        <x:v>WITHIN_BAND</x:v>
      </x:c>
      <x:c r="H22" s="2" t="n">
        <x:v>1</x:v>
      </x:c>
      <x:c r="I22" s="2" t="n">
        <x:f>IF(AND(COUNTIFS($B$6:$B$797,B22,$C$6:$C$797,C22)=11,COUNTIFS($B$6:$B$797,B22,$C$6:$C$797,C22,$G$6:$G$797,"REVIEW")=0,COUNTIFS($B$6:$B$797,B22,$C$6:$C$797,C22,$H$6:$H$797,1)=11,COUNTIFS($B$6:$B$797,B22,$C$6:$C$797,C22,$F$6:$F$797,"&gt;0")=11),1,0)</x:f>
        <x:v>1</x:v>
      </x:c>
    </x:row>
    <x:row r="23" ht="22" customHeight="1">
      <x:c r="A23" s="2" t="str">
        <x:v>61091000_PK_202502_IMPORT</x:v>
      </x:c>
      <x:c r="B23" s="2" t="n">
        <x:v>202502</x:v>
      </x:c>
      <x:c r="C23" s="2" t="str">
        <x:v>61091000</x:v>
      </x:c>
      <x:c r="D23" s="2" t="str">
        <x:v>Pakistan</x:v>
      </x:c>
      <x:c r="E23" s="14" t="n">
        <x:v>4282086</x:v>
      </x:c>
      <x:c r="F23" s="14" t="n">
        <x:v>368691</x:v>
      </x:c>
      <x:c r="G23" s="2" t="str">
        <x:v>WITHIN_BAND</x:v>
      </x:c>
      <x:c r="H23" s="2" t="n">
        <x:v>1</x:v>
      </x:c>
      <x:c r="I23" s="2" t="n">
        <x:f>IF(AND(COUNTIFS($B$6:$B$797,B23,$C$6:$C$797,C23)=11,COUNTIFS($B$6:$B$797,B23,$C$6:$C$797,C23,$G$6:$G$797,"REVIEW")=0,COUNTIFS($B$6:$B$797,B23,$C$6:$C$797,C23,$H$6:$H$797,1)=11,COUNTIFS($B$6:$B$797,B23,$C$6:$C$797,C23,$F$6:$F$797,"&gt;0")=11),1,0)</x:f>
        <x:v>1</x:v>
      </x:c>
    </x:row>
    <x:row r="24" ht="22" customHeight="1">
      <x:c r="A24" s="2" t="str">
        <x:v>61091000_LK_202502_IMPORT</x:v>
      </x:c>
      <x:c r="B24" s="2" t="n">
        <x:v>202502</x:v>
      </x:c>
      <x:c r="C24" s="2" t="str">
        <x:v>61091000</x:v>
      </x:c>
      <x:c r="D24" s="2" t="str">
        <x:v>Sri Lanka</x:v>
      </x:c>
      <x:c r="E24" s="14" t="n">
        <x:v>2435125</x:v>
      </x:c>
      <x:c r="F24" s="14" t="n">
        <x:v>207897</x:v>
      </x:c>
      <x:c r="G24" s="2" t="str">
        <x:v>WITHIN_BAND</x:v>
      </x:c>
      <x:c r="H24" s="2" t="n">
        <x:v>1</x:v>
      </x:c>
      <x:c r="I24" s="2" t="n">
        <x:f>IF(AND(COUNTIFS($B$6:$B$797,B24,$C$6:$C$797,C24)=11,COUNTIFS($B$6:$B$797,B24,$C$6:$C$797,C24,$G$6:$G$797,"REVIEW")=0,COUNTIFS($B$6:$B$797,B24,$C$6:$C$797,C24,$H$6:$H$797,1)=11,COUNTIFS($B$6:$B$797,B24,$C$6:$C$797,C24,$F$6:$F$797,"&gt;0")=11),1,0)</x:f>
        <x:v>1</x:v>
      </x:c>
    </x:row>
    <x:row r="25" ht="22" customHeight="1">
      <x:c r="A25" s="2" t="str">
        <x:v>61091000_TR_202502_IMPORT</x:v>
      </x:c>
      <x:c r="B25" s="2" t="n">
        <x:v>202502</x:v>
      </x:c>
      <x:c r="C25" s="2" t="str">
        <x:v>61091000</x:v>
      </x:c>
      <x:c r="D25" s="2" t="str">
        <x:v>Turkey</x:v>
      </x:c>
      <x:c r="E25" s="14" t="n">
        <x:v>8168522</x:v>
      </x:c>
      <x:c r="F25" s="14" t="n">
        <x:v>358435</x:v>
      </x:c>
      <x:c r="G25" s="2" t="str">
        <x:v>WITHIN_BAND</x:v>
      </x:c>
      <x:c r="H25" s="2" t="n">
        <x:v>1</x:v>
      </x:c>
      <x:c r="I25" s="2" t="n">
        <x:f>IF(AND(COUNTIFS($B$6:$B$797,B25,$C$6:$C$797,C25)=11,COUNTIFS($B$6:$B$797,B25,$C$6:$C$797,C25,$G$6:$G$797,"REVIEW")=0,COUNTIFS($B$6:$B$797,B25,$C$6:$C$797,C25,$H$6:$H$797,1)=11,COUNTIFS($B$6:$B$797,B25,$C$6:$C$797,C25,$F$6:$F$797,"&gt;0")=11),1,0)</x:f>
        <x:v>1</x:v>
      </x:c>
    </x:row>
    <x:row r="26" ht="22" customHeight="1">
      <x:c r="A26" s="2" t="str">
        <x:v>61091000_VN_202502_IMPORT</x:v>
      </x:c>
      <x:c r="B26" s="2" t="n">
        <x:v>202502</x:v>
      </x:c>
      <x:c r="C26" s="2" t="str">
        <x:v>61091000</x:v>
      </x:c>
      <x:c r="D26" s="2" t="str">
        <x:v>Vietnam</x:v>
      </x:c>
      <x:c r="E26" s="14" t="n">
        <x:v>1368679</x:v>
      </x:c>
      <x:c r="F26" s="14" t="n">
        <x:v>56859</x:v>
      </x:c>
      <x:c r="G26" s="2" t="str">
        <x:v>WITHIN_BAND</x:v>
      </x:c>
      <x:c r="H26" s="2" t="n">
        <x:v>1</x:v>
      </x:c>
      <x:c r="I26" s="2" t="n">
        <x:f>IF(AND(COUNTIFS($B$6:$B$797,B26,$C$6:$C$797,C26)=11,COUNTIFS($B$6:$B$797,B26,$C$6:$C$797,C26,$G$6:$G$797,"REVIEW")=0,COUNTIFS($B$6:$B$797,B26,$C$6:$C$797,C26,$H$6:$H$797,1)=11,COUNTIFS($B$6:$B$797,B26,$C$6:$C$797,C26,$F$6:$F$797,"&gt;0")=11),1,0)</x:f>
        <x:v>1</x:v>
      </x:c>
    </x:row>
    <x:row r="27" ht="22" customHeight="1">
      <x:c r="A27" s="2" t="str">
        <x:v>61091000_WORLD_202502_IMPORT</x:v>
      </x:c>
      <x:c r="B27" s="2" t="n">
        <x:v>202502</x:v>
      </x:c>
      <x:c r="C27" s="2" t="str">
        <x:v>61091000</x:v>
      </x:c>
      <x:c r="D27" s="2" t="str">
        <x:v>World</x:v>
      </x:c>
      <x:c r="E27" s="14" t="n">
        <x:v>91782684</x:v>
      </x:c>
      <x:c r="F27" s="14" t="n">
        <x:v>6054669</x:v>
      </x:c>
      <x:c r="G27" s="2" t="str">
        <x:v>WITHIN_BAND</x:v>
      </x:c>
      <x:c r="H27" s="2" t="n">
        <x:v>1</x:v>
      </x:c>
      <x:c r="I27" s="2" t="n">
        <x:f>IF(AND(COUNTIFS($B$6:$B$797,B27,$C$6:$C$797,C27)=11,COUNTIFS($B$6:$B$797,B27,$C$6:$C$797,C27,$G$6:$G$797,"REVIEW")=0,COUNTIFS($B$6:$B$797,B27,$C$6:$C$797,C27,$H$6:$H$797,1)=11,COUNTIFS($B$6:$B$797,B27,$C$6:$C$797,C27,$F$6:$F$797,"&gt;0")=11),1,0)</x:f>
        <x:v>1</x:v>
      </x:c>
    </x:row>
    <x:row r="28" ht="22" customHeight="1">
      <x:c r="A28" s="2" t="str">
        <x:v>61091000_BD_202503_IMPORT</x:v>
      </x:c>
      <x:c r="B28" s="2" t="n">
        <x:v>202503</x:v>
      </x:c>
      <x:c r="C28" s="2" t="str">
        <x:v>61091000</x:v>
      </x:c>
      <x:c r="D28" s="2" t="str">
        <x:v>Bangladesh</x:v>
      </x:c>
      <x:c r="E28" s="14" t="n">
        <x:v>49334359</x:v>
      </x:c>
      <x:c r="F28" s="14" t="n">
        <x:v>4591029</x:v>
      </x:c>
      <x:c r="G28" s="2" t="str">
        <x:v>WITHIN_BAND</x:v>
      </x:c>
      <x:c r="H28" s="2" t="n">
        <x:v>1</x:v>
      </x:c>
      <x:c r="I28" s="2" t="n">
        <x:f>IF(AND(COUNTIFS($B$6:$B$797,B28,$C$6:$C$797,C28)=11,COUNTIFS($B$6:$B$797,B28,$C$6:$C$797,C28,$G$6:$G$797,"REVIEW")=0,COUNTIFS($B$6:$B$797,B28,$C$6:$C$797,C28,$H$6:$H$797,1)=11,COUNTIFS($B$6:$B$797,B28,$C$6:$C$797,C28,$F$6:$F$797,"&gt;0")=11),1,0)</x:f>
        <x:v>1</x:v>
      </x:c>
    </x:row>
    <x:row r="29" ht="22" customHeight="1">
      <x:c r="A29" s="2" t="str">
        <x:v>61091000_KH_202503_IMPORT</x:v>
      </x:c>
      <x:c r="B29" s="2" t="n">
        <x:v>202503</x:v>
      </x:c>
      <x:c r="C29" s="2" t="str">
        <x:v>61091000</x:v>
      </x:c>
      <x:c r="D29" s="2" t="str">
        <x:v>Cambodia</x:v>
      </x:c>
      <x:c r="E29" s="14" t="n">
        <x:v>1023714</x:v>
      </x:c>
      <x:c r="F29" s="14" t="n">
        <x:v>48441</x:v>
      </x:c>
      <x:c r="G29" s="2" t="str">
        <x:v>WITHIN_BAND</x:v>
      </x:c>
      <x:c r="H29" s="2" t="n">
        <x:v>1</x:v>
      </x:c>
      <x:c r="I29" s="2" t="n">
        <x:f>IF(AND(COUNTIFS($B$6:$B$797,B29,$C$6:$C$797,C29)=11,COUNTIFS($B$6:$B$797,B29,$C$6:$C$797,C29,$G$6:$G$797,"REVIEW")=0,COUNTIFS($B$6:$B$797,B29,$C$6:$C$797,C29,$H$6:$H$797,1)=11,COUNTIFS($B$6:$B$797,B29,$C$6:$C$797,C29,$F$6:$F$797,"&gt;0")=11),1,0)</x:f>
        <x:v>1</x:v>
      </x:c>
    </x:row>
    <x:row r="30" ht="22" customHeight="1">
      <x:c r="A30" s="2" t="str">
        <x:v>61091000_CN_202503_IMPORT</x:v>
      </x:c>
      <x:c r="B30" s="2" t="n">
        <x:v>202503</x:v>
      </x:c>
      <x:c r="C30" s="2" t="str">
        <x:v>61091000</x:v>
      </x:c>
      <x:c r="D30" s="2" t="str">
        <x:v>China</x:v>
      </x:c>
      <x:c r="E30" s="14" t="n">
        <x:v>5519660</x:v>
      </x:c>
      <x:c r="F30" s="14" t="n">
        <x:v>291992</x:v>
      </x:c>
      <x:c r="G30" s="2" t="str">
        <x:v>WITHIN_BAND</x:v>
      </x:c>
      <x:c r="H30" s="2" t="n">
        <x:v>1</x:v>
      </x:c>
      <x:c r="I30" s="2" t="n">
        <x:f>IF(AND(COUNTIFS($B$6:$B$797,B30,$C$6:$C$797,C30)=11,COUNTIFS($B$6:$B$797,B30,$C$6:$C$797,C30,$G$6:$G$797,"REVIEW")=0,COUNTIFS($B$6:$B$797,B30,$C$6:$C$797,C30,$H$6:$H$797,1)=11,COUNTIFS($B$6:$B$797,B30,$C$6:$C$797,C30,$F$6:$F$797,"&gt;0")=11),1,0)</x:f>
        <x:v>1</x:v>
      </x:c>
    </x:row>
    <x:row r="31" ht="22" customHeight="1">
      <x:c r="A31" s="2" t="str">
        <x:v>61091000_IN_202503_IMPORT</x:v>
      </x:c>
      <x:c r="B31" s="2" t="n">
        <x:v>202503</x:v>
      </x:c>
      <x:c r="C31" s="2" t="str">
        <x:v>61091000</x:v>
      </x:c>
      <x:c r="D31" s="2" t="str">
        <x:v>India</x:v>
      </x:c>
      <x:c r="E31" s="14" t="n">
        <x:v>10865112</x:v>
      </x:c>
      <x:c r="F31" s="14" t="n">
        <x:v>799821</x:v>
      </x:c>
      <x:c r="G31" s="2" t="str">
        <x:v>WITHIN_BAND</x:v>
      </x:c>
      <x:c r="H31" s="2" t="n">
        <x:v>1</x:v>
      </x:c>
      <x:c r="I31" s="2" t="n">
        <x:f>IF(AND(COUNTIFS($B$6:$B$797,B31,$C$6:$C$797,C31)=11,COUNTIFS($B$6:$B$797,B31,$C$6:$C$797,C31,$G$6:$G$797,"REVIEW")=0,COUNTIFS($B$6:$B$797,B31,$C$6:$C$797,C31,$H$6:$H$797,1)=11,COUNTIFS($B$6:$B$797,B31,$C$6:$C$797,C31,$F$6:$F$797,"&gt;0")=11),1,0)</x:f>
        <x:v>1</x:v>
      </x:c>
    </x:row>
    <x:row r="32" ht="22" customHeight="1">
      <x:c r="A32" s="2" t="str">
        <x:v>61091000_MA_202503_IMPORT</x:v>
      </x:c>
      <x:c r="B32" s="2" t="n">
        <x:v>202503</x:v>
      </x:c>
      <x:c r="C32" s="2" t="str">
        <x:v>61091000</x:v>
      </x:c>
      <x:c r="D32" s="2" t="str">
        <x:v>Morocco</x:v>
      </x:c>
      <x:c r="E32" s="14" t="n">
        <x:v>1475455</x:v>
      </x:c>
      <x:c r="F32" s="14" t="n">
        <x:v>158709</x:v>
      </x:c>
      <x:c r="G32" s="2" t="str">
        <x:v>WITHIN_BAND</x:v>
      </x:c>
      <x:c r="H32" s="2" t="n">
        <x:v>1</x:v>
      </x:c>
      <x:c r="I32" s="2" t="n">
        <x:f>IF(AND(COUNTIFS($B$6:$B$797,B32,$C$6:$C$797,C32)=11,COUNTIFS($B$6:$B$797,B32,$C$6:$C$797,C32,$G$6:$G$797,"REVIEW")=0,COUNTIFS($B$6:$B$797,B32,$C$6:$C$797,C32,$H$6:$H$797,1)=11,COUNTIFS($B$6:$B$797,B32,$C$6:$C$797,C32,$F$6:$F$797,"&gt;0")=11),1,0)</x:f>
        <x:v>1</x:v>
      </x:c>
    </x:row>
    <x:row r="33" ht="22" customHeight="1">
      <x:c r="A33" s="2" t="str">
        <x:v>61091000_MM_202503_IMPORT</x:v>
      </x:c>
      <x:c r="B33" s="2" t="n">
        <x:v>202503</x:v>
      </x:c>
      <x:c r="C33" s="2" t="str">
        <x:v>61091000</x:v>
      </x:c>
      <x:c r="D33" s="2" t="str">
        <x:v>Myanmar</x:v>
      </x:c>
      <x:c r="E33" s="14" t="n">
        <x:v>26730</x:v>
      </x:c>
      <x:c r="F33" s="14" t="n">
        <x:v>1133</x:v>
      </x:c>
      <x:c r="G33" s="2" t="str">
        <x:v>WITHIN_BAND</x:v>
      </x:c>
      <x:c r="H33" s="2" t="n">
        <x:v>1</x:v>
      </x:c>
      <x:c r="I33" s="2" t="n">
        <x:f>IF(AND(COUNTIFS($B$6:$B$797,B33,$C$6:$C$797,C33)=11,COUNTIFS($B$6:$B$797,B33,$C$6:$C$797,C33,$G$6:$G$797,"REVIEW")=0,COUNTIFS($B$6:$B$797,B33,$C$6:$C$797,C33,$H$6:$H$797,1)=11,COUNTIFS($B$6:$B$797,B33,$C$6:$C$797,C33,$F$6:$F$797,"&gt;0")=11),1,0)</x:f>
        <x:v>1</x:v>
      </x:c>
    </x:row>
    <x:row r="34" ht="22" customHeight="1">
      <x:c r="A34" s="2" t="str">
        <x:v>61091000_PK_202503_IMPORT</x:v>
      </x:c>
      <x:c r="B34" s="2" t="n">
        <x:v>202503</x:v>
      </x:c>
      <x:c r="C34" s="2" t="str">
        <x:v>61091000</x:v>
      </x:c>
      <x:c r="D34" s="2" t="str">
        <x:v>Pakistan</x:v>
      </x:c>
      <x:c r="E34" s="14" t="n">
        <x:v>6243490</x:v>
      </x:c>
      <x:c r="F34" s="14" t="n">
        <x:v>490700</x:v>
      </x:c>
      <x:c r="G34" s="2" t="str">
        <x:v>WITHIN_BAND</x:v>
      </x:c>
      <x:c r="H34" s="2" t="n">
        <x:v>1</x:v>
      </x:c>
      <x:c r="I34" s="2" t="n">
        <x:f>IF(AND(COUNTIFS($B$6:$B$797,B34,$C$6:$C$797,C34)=11,COUNTIFS($B$6:$B$797,B34,$C$6:$C$797,C34,$G$6:$G$797,"REVIEW")=0,COUNTIFS($B$6:$B$797,B34,$C$6:$C$797,C34,$H$6:$H$797,1)=11,COUNTIFS($B$6:$B$797,B34,$C$6:$C$797,C34,$F$6:$F$797,"&gt;0")=11),1,0)</x:f>
        <x:v>1</x:v>
      </x:c>
    </x:row>
    <x:row r="35" ht="22" customHeight="1">
      <x:c r="A35" s="2" t="str">
        <x:v>61091000_LK_202503_IMPORT</x:v>
      </x:c>
      <x:c r="B35" s="2" t="n">
        <x:v>202503</x:v>
      </x:c>
      <x:c r="C35" s="2" t="str">
        <x:v>61091000</x:v>
      </x:c>
      <x:c r="D35" s="2" t="str">
        <x:v>Sri Lanka</x:v>
      </x:c>
      <x:c r="E35" s="14" t="n">
        <x:v>2254033</x:v>
      </x:c>
      <x:c r="F35" s="14" t="n">
        <x:v>192677</x:v>
      </x:c>
      <x:c r="G35" s="2" t="str">
        <x:v>WITHIN_BAND</x:v>
      </x:c>
      <x:c r="H35" s="2" t="n">
        <x:v>1</x:v>
      </x:c>
      <x:c r="I35" s="2" t="n">
        <x:f>IF(AND(COUNTIFS($B$6:$B$797,B35,$C$6:$C$797,C35)=11,COUNTIFS($B$6:$B$797,B35,$C$6:$C$797,C35,$G$6:$G$797,"REVIEW")=0,COUNTIFS($B$6:$B$797,B35,$C$6:$C$797,C35,$H$6:$H$797,1)=11,COUNTIFS($B$6:$B$797,B35,$C$6:$C$797,C35,$F$6:$F$797,"&gt;0")=11),1,0)</x:f>
        <x:v>1</x:v>
      </x:c>
    </x:row>
    <x:row r="36" ht="22" customHeight="1">
      <x:c r="A36" s="2" t="str">
        <x:v>61091000_TR_202503_IMPORT</x:v>
      </x:c>
      <x:c r="B36" s="2" t="n">
        <x:v>202503</x:v>
      </x:c>
      <x:c r="C36" s="2" t="str">
        <x:v>61091000</x:v>
      </x:c>
      <x:c r="D36" s="2" t="str">
        <x:v>Turkey</x:v>
      </x:c>
      <x:c r="E36" s="14" t="n">
        <x:v>9693391</x:v>
      </x:c>
      <x:c r="F36" s="14" t="n">
        <x:v>425225</x:v>
      </x:c>
      <x:c r="G36" s="2" t="str">
        <x:v>WITHIN_BAND</x:v>
      </x:c>
      <x:c r="H36" s="2" t="n">
        <x:v>1</x:v>
      </x:c>
      <x:c r="I36" s="2" t="n">
        <x:f>IF(AND(COUNTIFS($B$6:$B$797,B36,$C$6:$C$797,C36)=11,COUNTIFS($B$6:$B$797,B36,$C$6:$C$797,C36,$G$6:$G$797,"REVIEW")=0,COUNTIFS($B$6:$B$797,B36,$C$6:$C$797,C36,$H$6:$H$797,1)=11,COUNTIFS($B$6:$B$797,B36,$C$6:$C$797,C36,$F$6:$F$797,"&gt;0")=11),1,0)</x:f>
        <x:v>1</x:v>
      </x:c>
    </x:row>
    <x:row r="37" ht="22" customHeight="1">
      <x:c r="A37" s="2" t="str">
        <x:v>61091000_VN_202503_IMPORT</x:v>
      </x:c>
      <x:c r="B37" s="2" t="n">
        <x:v>202503</x:v>
      </x:c>
      <x:c r="C37" s="2" t="str">
        <x:v>61091000</x:v>
      </x:c>
      <x:c r="D37" s="2" t="str">
        <x:v>Vietnam</x:v>
      </x:c>
      <x:c r="E37" s="14" t="n">
        <x:v>2172591</x:v>
      </x:c>
      <x:c r="F37" s="14" t="n">
        <x:v>101764</x:v>
      </x:c>
      <x:c r="G37" s="2" t="str">
        <x:v>WITHIN_BAND</x:v>
      </x:c>
      <x:c r="H37" s="2" t="n">
        <x:v>1</x:v>
      </x:c>
      <x:c r="I37" s="2" t="n">
        <x:f>IF(AND(COUNTIFS($B$6:$B$797,B37,$C$6:$C$797,C37)=11,COUNTIFS($B$6:$B$797,B37,$C$6:$C$797,C37,$G$6:$G$797,"REVIEW")=0,COUNTIFS($B$6:$B$797,B37,$C$6:$C$797,C37,$H$6:$H$797,1)=11,COUNTIFS($B$6:$B$797,B37,$C$6:$C$797,C37,$F$6:$F$797,"&gt;0")=11),1,0)</x:f>
        <x:v>1</x:v>
      </x:c>
    </x:row>
    <x:row r="38" ht="22" customHeight="1">
      <x:c r="A38" s="2" t="str">
        <x:v>61091000_WORLD_202503_IMPORT</x:v>
      </x:c>
      <x:c r="B38" s="2" t="n">
        <x:v>202503</x:v>
      </x:c>
      <x:c r="C38" s="2" t="str">
        <x:v>61091000</x:v>
      </x:c>
      <x:c r="D38" s="2" t="str">
        <x:v>World</x:v>
      </x:c>
      <x:c r="E38" s="14" t="n">
        <x:v>121168985</x:v>
      </x:c>
      <x:c r="F38" s="14" t="n">
        <x:v>8373322</x:v>
      </x:c>
      <x:c r="G38" s="2" t="str">
        <x:v>WITHIN_BAND</x:v>
      </x:c>
      <x:c r="H38" s="2" t="n">
        <x:v>1</x:v>
      </x:c>
      <x:c r="I38" s="2" t="n">
        <x:f>IF(AND(COUNTIFS($B$6:$B$797,B38,$C$6:$C$797,C38)=11,COUNTIFS($B$6:$B$797,B38,$C$6:$C$797,C38,$G$6:$G$797,"REVIEW")=0,COUNTIFS($B$6:$B$797,B38,$C$6:$C$797,C38,$H$6:$H$797,1)=11,COUNTIFS($B$6:$B$797,B38,$C$6:$C$797,C38,$F$6:$F$797,"&gt;0")=11),1,0)</x:f>
        <x:v>1</x:v>
      </x:c>
    </x:row>
    <x:row r="39" ht="22" customHeight="1">
      <x:c r="A39" s="2" t="str">
        <x:v>61091000_BD_202504_IMPORT</x:v>
      </x:c>
      <x:c r="B39" s="2" t="n">
        <x:v>202504</x:v>
      </x:c>
      <x:c r="C39" s="2" t="str">
        <x:v>61091000</x:v>
      </x:c>
      <x:c r="D39" s="2" t="str">
        <x:v>Bangladesh</x:v>
      </x:c>
      <x:c r="E39" s="14" t="n">
        <x:v>48906353</x:v>
      </x:c>
      <x:c r="F39" s="14" t="n">
        <x:v>4627983</x:v>
      </x:c>
      <x:c r="G39" s="2" t="str">
        <x:v>WITHIN_BAND</x:v>
      </x:c>
      <x:c r="H39" s="2" t="n">
        <x:v>1</x:v>
      </x:c>
      <x:c r="I39" s="2" t="n">
        <x:f>IF(AND(COUNTIFS($B$6:$B$797,B39,$C$6:$C$797,C39)=11,COUNTIFS($B$6:$B$797,B39,$C$6:$C$797,C39,$G$6:$G$797,"REVIEW")=0,COUNTIFS($B$6:$B$797,B39,$C$6:$C$797,C39,$H$6:$H$797,1)=11,COUNTIFS($B$6:$B$797,B39,$C$6:$C$797,C39,$F$6:$F$797,"&gt;0")=11),1,0)</x:f>
        <x:v>0</x:v>
      </x:c>
    </x:row>
    <x:row r="40" ht="22" customHeight="1">
      <x:c r="A40" s="2" t="str">
        <x:v>61091000_KH_202504_IMPORT</x:v>
      </x:c>
      <x:c r="B40" s="2" t="n">
        <x:v>202504</x:v>
      </x:c>
      <x:c r="C40" s="2" t="str">
        <x:v>61091000</x:v>
      </x:c>
      <x:c r="D40" s="2" t="str">
        <x:v>Cambodia</x:v>
      </x:c>
      <x:c r="E40" s="14" t="n">
        <x:v>1729553</x:v>
      </x:c>
      <x:c r="F40" s="14" t="n">
        <x:v>81154</x:v>
      </x:c>
      <x:c r="G40" s="2" t="str">
        <x:v>WITHIN_BAND</x:v>
      </x:c>
      <x:c r="H40" s="2" t="n">
        <x:v>1</x:v>
      </x:c>
      <x:c r="I40" s="2" t="n">
        <x:f>IF(AND(COUNTIFS($B$6:$B$797,B40,$C$6:$C$797,C40)=11,COUNTIFS($B$6:$B$797,B40,$C$6:$C$797,C40,$G$6:$G$797,"REVIEW")=0,COUNTIFS($B$6:$B$797,B40,$C$6:$C$797,C40,$H$6:$H$797,1)=11,COUNTIFS($B$6:$B$797,B40,$C$6:$C$797,C40,$F$6:$F$797,"&gt;0")=11),1,0)</x:f>
        <x:v>0</x:v>
      </x:c>
    </x:row>
    <x:row r="41" ht="22" customHeight="1">
      <x:c r="A41" s="2" t="str">
        <x:v>61091000_CN_202504_IMPORT</x:v>
      </x:c>
      <x:c r="B41" s="2" t="n">
        <x:v>202504</x:v>
      </x:c>
      <x:c r="C41" s="2" t="str">
        <x:v>61091000</x:v>
      </x:c>
      <x:c r="D41" s="2" t="str">
        <x:v>China</x:v>
      </x:c>
      <x:c r="E41" s="14" t="n">
        <x:v>3730338</x:v>
      </x:c>
      <x:c r="F41" s="14" t="n">
        <x:v>168903</x:v>
      </x:c>
      <x:c r="G41" s="2" t="str">
        <x:v>WITHIN_BAND</x:v>
      </x:c>
      <x:c r="H41" s="2" t="n">
        <x:v>1</x:v>
      </x:c>
      <x:c r="I41" s="2" t="n">
        <x:f>IF(AND(COUNTIFS($B$6:$B$797,B41,$C$6:$C$797,C41)=11,COUNTIFS($B$6:$B$797,B41,$C$6:$C$797,C41,$G$6:$G$797,"REVIEW")=0,COUNTIFS($B$6:$B$797,B41,$C$6:$C$797,C41,$H$6:$H$797,1)=11,COUNTIFS($B$6:$B$797,B41,$C$6:$C$797,C41,$F$6:$F$797,"&gt;0")=11),1,0)</x:f>
        <x:v>0</x:v>
      </x:c>
    </x:row>
    <x:row r="42" ht="22" customHeight="1">
      <x:c r="A42" s="2" t="str">
        <x:v>61091000_IN_202504_IMPORT</x:v>
      </x:c>
      <x:c r="B42" s="2" t="n">
        <x:v>202504</x:v>
      </x:c>
      <x:c r="C42" s="2" t="str">
        <x:v>61091000</x:v>
      </x:c>
      <x:c r="D42" s="2" t="str">
        <x:v>India</x:v>
      </x:c>
      <x:c r="E42" s="14" t="n">
        <x:v>10814486</x:v>
      </x:c>
      <x:c r="F42" s="14" t="n">
        <x:v>757226</x:v>
      </x:c>
      <x:c r="G42" s="2" t="str">
        <x:v>WITHIN_BAND</x:v>
      </x:c>
      <x:c r="H42" s="2" t="n">
        <x:v>1</x:v>
      </x:c>
      <x:c r="I42" s="2" t="n">
        <x:f>IF(AND(COUNTIFS($B$6:$B$797,B42,$C$6:$C$797,C42)=11,COUNTIFS($B$6:$B$797,B42,$C$6:$C$797,C42,$G$6:$G$797,"REVIEW")=0,COUNTIFS($B$6:$B$797,B42,$C$6:$C$797,C42,$H$6:$H$797,1)=11,COUNTIFS($B$6:$B$797,B42,$C$6:$C$797,C42,$F$6:$F$797,"&gt;0")=11),1,0)</x:f>
        <x:v>0</x:v>
      </x:c>
    </x:row>
    <x:row r="43" ht="22" customHeight="1">
      <x:c r="A43" s="2" t="str">
        <x:v>61091000_MA_202504_IMPORT</x:v>
      </x:c>
      <x:c r="B43" s="2" t="n">
        <x:v>202504</x:v>
      </x:c>
      <x:c r="C43" s="2" t="str">
        <x:v>61091000</x:v>
      </x:c>
      <x:c r="D43" s="2" t="str">
        <x:v>Morocco</x:v>
      </x:c>
      <x:c r="E43" s="14" t="n">
        <x:v>1520653</x:v>
      </x:c>
      <x:c r="F43" s="14" t="n">
        <x:v>175983</x:v>
      </x:c>
      <x:c r="G43" s="2" t="str">
        <x:v>WITHIN_BAND</x:v>
      </x:c>
      <x:c r="H43" s="2" t="n">
        <x:v>1</x:v>
      </x:c>
      <x:c r="I43" s="2" t="n">
        <x:f>IF(AND(COUNTIFS($B$6:$B$797,B43,$C$6:$C$797,C43)=11,COUNTIFS($B$6:$B$797,B43,$C$6:$C$797,C43,$G$6:$G$797,"REVIEW")=0,COUNTIFS($B$6:$B$797,B43,$C$6:$C$797,C43,$H$6:$H$797,1)=11,COUNTIFS($B$6:$B$797,B43,$C$6:$C$797,C43,$F$6:$F$797,"&gt;0")=11),1,0)</x:f>
        <x:v>0</x:v>
      </x:c>
    </x:row>
    <x:row r="44" ht="22" customHeight="1">
      <x:c r="A44" s="2" t="str">
        <x:v>61091000_MM_202504_IMPORT</x:v>
      </x:c>
      <x:c r="B44" s="2" t="n">
        <x:v>202504</x:v>
      </x:c>
      <x:c r="C44" s="2" t="str">
        <x:v>61091000</x:v>
      </x:c>
      <x:c r="D44" s="2" t="str">
        <x:v>Myanmar</x:v>
      </x:c>
      <x:c r="E44" s="14" t="n">
        <x:v>14689</x:v>
      </x:c>
      <x:c r="F44" s="14" t="n">
        <x:v>772</x:v>
      </x:c>
      <x:c r="G44" s="2" t="str">
        <x:v>WITHIN_BAND</x:v>
      </x:c>
      <x:c r="H44" s="2" t="n">
        <x:v>1</x:v>
      </x:c>
      <x:c r="I44" s="2" t="n">
        <x:f>IF(AND(COUNTIFS($B$6:$B$797,B44,$C$6:$C$797,C44)=11,COUNTIFS($B$6:$B$797,B44,$C$6:$C$797,C44,$G$6:$G$797,"REVIEW")=0,COUNTIFS($B$6:$B$797,B44,$C$6:$C$797,C44,$H$6:$H$797,1)=11,COUNTIFS($B$6:$B$797,B44,$C$6:$C$797,C44,$F$6:$F$797,"&gt;0")=11),1,0)</x:f>
        <x:v>0</x:v>
      </x:c>
    </x:row>
    <x:row r="45" ht="22" customHeight="1">
      <x:c r="A45" s="2" t="str">
        <x:v>61091000_PK_202504_IMPORT</x:v>
      </x:c>
      <x:c r="B45" s="2" t="n">
        <x:v>202504</x:v>
      </x:c>
      <x:c r="C45" s="2" t="str">
        <x:v>61091000</x:v>
      </x:c>
      <x:c r="D45" s="2" t="str">
        <x:v>Pakistan</x:v>
      </x:c>
      <x:c r="E45" s="14" t="n">
        <x:v>4962494</x:v>
      </x:c>
      <x:c r="F45" s="14" t="n">
        <x:v>1690165</x:v>
      </x:c>
      <x:c r="G45" s="2" t="str">
        <x:v>REVIEW</x:v>
      </x:c>
      <x:c r="H45" s="2" t="n">
        <x:v>1</x:v>
      </x:c>
      <x:c r="I45" s="2" t="n">
        <x:f>IF(AND(COUNTIFS($B$6:$B$797,B45,$C$6:$C$797,C45)=11,COUNTIFS($B$6:$B$797,B45,$C$6:$C$797,C45,$G$6:$G$797,"REVIEW")=0,COUNTIFS($B$6:$B$797,B45,$C$6:$C$797,C45,$H$6:$H$797,1)=11,COUNTIFS($B$6:$B$797,B45,$C$6:$C$797,C45,$F$6:$F$797,"&gt;0")=11),1,0)</x:f>
        <x:v>0</x:v>
      </x:c>
    </x:row>
    <x:row r="46" ht="22" customHeight="1">
      <x:c r="A46" s="2" t="str">
        <x:v>61091000_LK_202504_IMPORT</x:v>
      </x:c>
      <x:c r="B46" s="2" t="n">
        <x:v>202504</x:v>
      </x:c>
      <x:c r="C46" s="2" t="str">
        <x:v>61091000</x:v>
      </x:c>
      <x:c r="D46" s="2" t="str">
        <x:v>Sri Lanka</x:v>
      </x:c>
      <x:c r="E46" s="14" t="n">
        <x:v>2522811</x:v>
      </x:c>
      <x:c r="F46" s="14" t="n">
        <x:v>232233</x:v>
      </x:c>
      <x:c r="G46" s="2" t="str">
        <x:v>WITHIN_BAND</x:v>
      </x:c>
      <x:c r="H46" s="2" t="n">
        <x:v>1</x:v>
      </x:c>
      <x:c r="I46" s="2" t="n">
        <x:f>IF(AND(COUNTIFS($B$6:$B$797,B46,$C$6:$C$797,C46)=11,COUNTIFS($B$6:$B$797,B46,$C$6:$C$797,C46,$G$6:$G$797,"REVIEW")=0,COUNTIFS($B$6:$B$797,B46,$C$6:$C$797,C46,$H$6:$H$797,1)=11,COUNTIFS($B$6:$B$797,B46,$C$6:$C$797,C46,$F$6:$F$797,"&gt;0")=11),1,0)</x:f>
        <x:v>0</x:v>
      </x:c>
    </x:row>
    <x:row r="47" ht="22" customHeight="1">
      <x:c r="A47" s="2" t="str">
        <x:v>61091000_TR_202504_IMPORT</x:v>
      </x:c>
      <x:c r="B47" s="2" t="n">
        <x:v>202504</x:v>
      </x:c>
      <x:c r="C47" s="2" t="str">
        <x:v>61091000</x:v>
      </x:c>
      <x:c r="D47" s="2" t="str">
        <x:v>Turkey</x:v>
      </x:c>
      <x:c r="E47" s="14" t="n">
        <x:v>9453970</x:v>
      </x:c>
      <x:c r="F47" s="14" t="n">
        <x:v>427719</x:v>
      </x:c>
      <x:c r="G47" s="2" t="str">
        <x:v>WITHIN_BAND</x:v>
      </x:c>
      <x:c r="H47" s="2" t="n">
        <x:v>1</x:v>
      </x:c>
      <x:c r="I47" s="2" t="n">
        <x:f>IF(AND(COUNTIFS($B$6:$B$797,B47,$C$6:$C$797,C47)=11,COUNTIFS($B$6:$B$797,B47,$C$6:$C$797,C47,$G$6:$G$797,"REVIEW")=0,COUNTIFS($B$6:$B$797,B47,$C$6:$C$797,C47,$H$6:$H$797,1)=11,COUNTIFS($B$6:$B$797,B47,$C$6:$C$797,C47,$F$6:$F$797,"&gt;0")=11),1,0)</x:f>
        <x:v>0</x:v>
      </x:c>
    </x:row>
    <x:row r="48" ht="22" customHeight="1">
      <x:c r="A48" s="2" t="str">
        <x:v>61091000_VN_202504_IMPORT</x:v>
      </x:c>
      <x:c r="B48" s="2" t="n">
        <x:v>202504</x:v>
      </x:c>
      <x:c r="C48" s="2" t="str">
        <x:v>61091000</x:v>
      </x:c>
      <x:c r="D48" s="2" t="str">
        <x:v>Vietnam</x:v>
      </x:c>
      <x:c r="E48" s="14" t="n">
        <x:v>2894351</x:v>
      </x:c>
      <x:c r="F48" s="14" t="n">
        <x:v>127438</x:v>
      </x:c>
      <x:c r="G48" s="2" t="str">
        <x:v>WITHIN_BAND</x:v>
      </x:c>
      <x:c r="H48" s="2" t="n">
        <x:v>1</x:v>
      </x:c>
      <x:c r="I48" s="2" t="n">
        <x:f>IF(AND(COUNTIFS($B$6:$B$797,B48,$C$6:$C$797,C48)=11,COUNTIFS($B$6:$B$797,B48,$C$6:$C$797,C48,$G$6:$G$797,"REVIEW")=0,COUNTIFS($B$6:$B$797,B48,$C$6:$C$797,C48,$H$6:$H$797,1)=11,COUNTIFS($B$6:$B$797,B48,$C$6:$C$797,C48,$F$6:$F$797,"&gt;0")=11),1,0)</x:f>
        <x:v>0</x:v>
      </x:c>
    </x:row>
    <x:row r="49" ht="22" customHeight="1">
      <x:c r="A49" s="2" t="str">
        <x:v>61091000_WORLD_202504_IMPORT</x:v>
      </x:c>
      <x:c r="B49" s="2" t="n">
        <x:v>202504</x:v>
      </x:c>
      <x:c r="C49" s="2" t="str">
        <x:v>61091000</x:v>
      </x:c>
      <x:c r="D49" s="2" t="str">
        <x:v>World</x:v>
      </x:c>
      <x:c r="E49" s="14" t="n">
        <x:v>121169793</x:v>
      </x:c>
      <x:c r="F49" s="14" t="n">
        <x:v>9488825</x:v>
      </x:c>
      <x:c r="G49" s="2" t="str">
        <x:v>WITHIN_BAND</x:v>
      </x:c>
      <x:c r="H49" s="2" t="n">
        <x:v>1</x:v>
      </x:c>
      <x:c r="I49" s="2" t="n">
        <x:f>IF(AND(COUNTIFS($B$6:$B$797,B49,$C$6:$C$797,C49)=11,COUNTIFS($B$6:$B$797,B49,$C$6:$C$797,C49,$G$6:$G$797,"REVIEW")=0,COUNTIFS($B$6:$B$797,B49,$C$6:$C$797,C49,$H$6:$H$797,1)=11,COUNTIFS($B$6:$B$797,B49,$C$6:$C$797,C49,$F$6:$F$797,"&gt;0")=11),1,0)</x:f>
        <x:v>0</x:v>
      </x:c>
    </x:row>
    <x:row r="50" ht="22" customHeight="1">
      <x:c r="A50" s="2" t="str">
        <x:v>61091000_BD_202505_IMPORT</x:v>
      </x:c>
      <x:c r="B50" s="2" t="n">
        <x:v>202505</x:v>
      </x:c>
      <x:c r="C50" s="2" t="str">
        <x:v>61091000</x:v>
      </x:c>
      <x:c r="D50" s="2" t="str">
        <x:v>Bangladesh</x:v>
      </x:c>
      <x:c r="E50" s="14" t="n">
        <x:v>49402908</x:v>
      </x:c>
      <x:c r="F50" s="14" t="n">
        <x:v>4653368</x:v>
      </x:c>
      <x:c r="G50" s="2" t="str">
        <x:v>WITHIN_BAND</x:v>
      </x:c>
      <x:c r="H50" s="2" t="n">
        <x:v>1</x:v>
      </x:c>
      <x:c r="I50" s="2" t="n">
        <x:f>IF(AND(COUNTIFS($B$6:$B$797,B50,$C$6:$C$797,C50)=11,COUNTIFS($B$6:$B$797,B50,$C$6:$C$797,C50,$G$6:$G$797,"REVIEW")=0,COUNTIFS($B$6:$B$797,B50,$C$6:$C$797,C50,$H$6:$H$797,1)=11,COUNTIFS($B$6:$B$797,B50,$C$6:$C$797,C50,$F$6:$F$797,"&gt;0")=11),1,0)</x:f>
        <x:v>0</x:v>
      </x:c>
    </x:row>
    <x:row r="51" ht="22" customHeight="1">
      <x:c r="A51" s="2" t="str">
        <x:v>61091000_KH_202505_IMPORT</x:v>
      </x:c>
      <x:c r="B51" s="2" t="n">
        <x:v>202505</x:v>
      </x:c>
      <x:c r="C51" s="2" t="str">
        <x:v>61091000</x:v>
      </x:c>
      <x:c r="D51" s="2" t="str">
        <x:v>Cambodia</x:v>
      </x:c>
      <x:c r="E51" s="14" t="n">
        <x:v>761662</x:v>
      </x:c>
      <x:c r="F51" s="14" t="n">
        <x:v>43357</x:v>
      </x:c>
      <x:c r="G51" s="2" t="str">
        <x:v>WITHIN_BAND</x:v>
      </x:c>
      <x:c r="H51" s="2" t="n">
        <x:v>1</x:v>
      </x:c>
      <x:c r="I51" s="2" t="n">
        <x:f>IF(AND(COUNTIFS($B$6:$B$797,B51,$C$6:$C$797,C51)=11,COUNTIFS($B$6:$B$797,B51,$C$6:$C$797,C51,$G$6:$G$797,"REVIEW")=0,COUNTIFS($B$6:$B$797,B51,$C$6:$C$797,C51,$H$6:$H$797,1)=11,COUNTIFS($B$6:$B$797,B51,$C$6:$C$797,C51,$F$6:$F$797,"&gt;0")=11),1,0)</x:f>
        <x:v>0</x:v>
      </x:c>
    </x:row>
    <x:row r="52" ht="22" customHeight="1">
      <x:c r="A52" s="2" t="str">
        <x:v>61091000_CN_202505_IMPORT</x:v>
      </x:c>
      <x:c r="B52" s="2" t="n">
        <x:v>202505</x:v>
      </x:c>
      <x:c r="C52" s="2" t="str">
        <x:v>61091000</x:v>
      </x:c>
      <x:c r="D52" s="2" t="str">
        <x:v>China</x:v>
      </x:c>
      <x:c r="E52" s="14" t="n">
        <x:v>4249391</x:v>
      </x:c>
      <x:c r="F52" s="14" t="n">
        <x:v>217550</x:v>
      </x:c>
      <x:c r="G52" s="2" t="str">
        <x:v>WITHIN_BAND</x:v>
      </x:c>
      <x:c r="H52" s="2" t="n">
        <x:v>1</x:v>
      </x:c>
      <x:c r="I52" s="2" t="n">
        <x:f>IF(AND(COUNTIFS($B$6:$B$797,B52,$C$6:$C$797,C52)=11,COUNTIFS($B$6:$B$797,B52,$C$6:$C$797,C52,$G$6:$G$797,"REVIEW")=0,COUNTIFS($B$6:$B$797,B52,$C$6:$C$797,C52,$H$6:$H$797,1)=11,COUNTIFS($B$6:$B$797,B52,$C$6:$C$797,C52,$F$6:$F$797,"&gt;0")=11),1,0)</x:f>
        <x:v>0</x:v>
      </x:c>
    </x:row>
    <x:row r="53" ht="22" customHeight="1">
      <x:c r="A53" s="2" t="str">
        <x:v>61091000_IN_202505_IMPORT</x:v>
      </x:c>
      <x:c r="B53" s="2" t="n">
        <x:v>202505</x:v>
      </x:c>
      <x:c r="C53" s="2" t="str">
        <x:v>61091000</x:v>
      </x:c>
      <x:c r="D53" s="2" t="str">
        <x:v>India</x:v>
      </x:c>
      <x:c r="E53" s="14" t="n">
        <x:v>11614345</x:v>
      </x:c>
      <x:c r="F53" s="14" t="n">
        <x:v>936075</x:v>
      </x:c>
      <x:c r="G53" s="2" t="str">
        <x:v>WITHIN_BAND</x:v>
      </x:c>
      <x:c r="H53" s="2" t="n">
        <x:v>1</x:v>
      </x:c>
      <x:c r="I53" s="2" t="n">
        <x:f>IF(AND(COUNTIFS($B$6:$B$797,B53,$C$6:$C$797,C53)=11,COUNTIFS($B$6:$B$797,B53,$C$6:$C$797,C53,$G$6:$G$797,"REVIEW")=0,COUNTIFS($B$6:$B$797,B53,$C$6:$C$797,C53,$H$6:$H$797,1)=11,COUNTIFS($B$6:$B$797,B53,$C$6:$C$797,C53,$F$6:$F$797,"&gt;0")=11),1,0)</x:f>
        <x:v>0</x:v>
      </x:c>
    </x:row>
    <x:row r="54" ht="22" customHeight="1">
      <x:c r="A54" s="2" t="str">
        <x:v>61091000_MA_202505_IMPORT</x:v>
      </x:c>
      <x:c r="B54" s="2" t="n">
        <x:v>202505</x:v>
      </x:c>
      <x:c r="C54" s="2" t="str">
        <x:v>61091000</x:v>
      </x:c>
      <x:c r="D54" s="2" t="str">
        <x:v>Morocco</x:v>
      </x:c>
      <x:c r="E54" s="14" t="n">
        <x:v>1745982</x:v>
      </x:c>
      <x:c r="F54" s="14" t="n">
        <x:v>207656</x:v>
      </x:c>
      <x:c r="G54" s="2" t="str">
        <x:v>WITHIN_BAND</x:v>
      </x:c>
      <x:c r="H54" s="2" t="n">
        <x:v>1</x:v>
      </x:c>
      <x:c r="I54" s="2" t="n">
        <x:f>IF(AND(COUNTIFS($B$6:$B$797,B54,$C$6:$C$797,C54)=11,COUNTIFS($B$6:$B$797,B54,$C$6:$C$797,C54,$G$6:$G$797,"REVIEW")=0,COUNTIFS($B$6:$B$797,B54,$C$6:$C$797,C54,$H$6:$H$797,1)=11,COUNTIFS($B$6:$B$797,B54,$C$6:$C$797,C54,$F$6:$F$797,"&gt;0")=11),1,0)</x:f>
        <x:v>0</x:v>
      </x:c>
    </x:row>
    <x:row r="55" ht="22" customHeight="1">
      <x:c r="A55" s="2" t="str">
        <x:v>61091000_MM_202505_IMPORT</x:v>
      </x:c>
      <x:c r="B55" s="2" t="n">
        <x:v>202505</x:v>
      </x:c>
      <x:c r="C55" s="2" t="str">
        <x:v>61091000</x:v>
      </x:c>
      <x:c r="D55" s="2" t="str">
        <x:v>Myanmar</x:v>
      </x:c>
      <x:c r="E55" s="14" t="n">
        <x:v>17668</x:v>
      </x:c>
      <x:c r="F55" s="14" t="n">
        <x:v>689</x:v>
      </x:c>
      <x:c r="G55" s="2" t="str">
        <x:v>WITHIN_BAND</x:v>
      </x:c>
      <x:c r="H55" s="2" t="n">
        <x:v>1</x:v>
      </x:c>
      <x:c r="I55" s="2" t="n">
        <x:f>IF(AND(COUNTIFS($B$6:$B$797,B55,$C$6:$C$797,C55)=11,COUNTIFS($B$6:$B$797,B55,$C$6:$C$797,C55,$G$6:$G$797,"REVIEW")=0,COUNTIFS($B$6:$B$797,B55,$C$6:$C$797,C55,$H$6:$H$797,1)=11,COUNTIFS($B$6:$B$797,B55,$C$6:$C$797,C55,$F$6:$F$797,"&gt;0")=11),1,0)</x:f>
        <x:v>0</x:v>
      </x:c>
    </x:row>
    <x:row r="56" ht="22" customHeight="1">
      <x:c r="A56" s="2" t="str">
        <x:v>61091000_PK_202505_IMPORT</x:v>
      </x:c>
      <x:c r="B56" s="2" t="n">
        <x:v>202505</x:v>
      </x:c>
      <x:c r="C56" s="2" t="str">
        <x:v>61091000</x:v>
      </x:c>
      <x:c r="D56" s="2" t="str">
        <x:v>Pakistan</x:v>
      </x:c>
      <x:c r="E56" s="14" t="n">
        <x:v>6794255</x:v>
      </x:c>
      <x:c r="F56" s="14" t="n">
        <x:v>3037931</x:v>
      </x:c>
      <x:c r="G56" s="2" t="str">
        <x:v>REVIEW</x:v>
      </x:c>
      <x:c r="H56" s="2" t="n">
        <x:v>1</x:v>
      </x:c>
      <x:c r="I56" s="2" t="n">
        <x:f>IF(AND(COUNTIFS($B$6:$B$797,B56,$C$6:$C$797,C56)=11,COUNTIFS($B$6:$B$797,B56,$C$6:$C$797,C56,$G$6:$G$797,"REVIEW")=0,COUNTIFS($B$6:$B$797,B56,$C$6:$C$797,C56,$H$6:$H$797,1)=11,COUNTIFS($B$6:$B$797,B56,$C$6:$C$797,C56,$F$6:$F$797,"&gt;0")=11),1,0)</x:f>
        <x:v>0</x:v>
      </x:c>
    </x:row>
    <x:row r="57" ht="22" customHeight="1">
      <x:c r="A57" s="2" t="str">
        <x:v>61091000_LK_202505_IMPORT</x:v>
      </x:c>
      <x:c r="B57" s="2" t="n">
        <x:v>202505</x:v>
      </x:c>
      <x:c r="C57" s="2" t="str">
        <x:v>61091000</x:v>
      </x:c>
      <x:c r="D57" s="2" t="str">
        <x:v>Sri Lanka</x:v>
      </x:c>
      <x:c r="E57" s="14" t="n">
        <x:v>2254296</x:v>
      </x:c>
      <x:c r="F57" s="14" t="n">
        <x:v>194677</x:v>
      </x:c>
      <x:c r="G57" s="2" t="str">
        <x:v>WITHIN_BAND</x:v>
      </x:c>
      <x:c r="H57" s="2" t="n">
        <x:v>1</x:v>
      </x:c>
      <x:c r="I57" s="2" t="n">
        <x:f>IF(AND(COUNTIFS($B$6:$B$797,B57,$C$6:$C$797,C57)=11,COUNTIFS($B$6:$B$797,B57,$C$6:$C$797,C57,$G$6:$G$797,"REVIEW")=0,COUNTIFS($B$6:$B$797,B57,$C$6:$C$797,C57,$H$6:$H$797,1)=11,COUNTIFS($B$6:$B$797,B57,$C$6:$C$797,C57,$F$6:$F$797,"&gt;0")=11),1,0)</x:f>
        <x:v>0</x:v>
      </x:c>
    </x:row>
    <x:row r="58" ht="22" customHeight="1">
      <x:c r="A58" s="2" t="str">
        <x:v>61091000_TR_202505_IMPORT</x:v>
      </x:c>
      <x:c r="B58" s="2" t="n">
        <x:v>202505</x:v>
      </x:c>
      <x:c r="C58" s="2" t="str">
        <x:v>61091000</x:v>
      </x:c>
      <x:c r="D58" s="2" t="str">
        <x:v>Turkey</x:v>
      </x:c>
      <x:c r="E58" s="14" t="n">
        <x:v>12270553</x:v>
      </x:c>
      <x:c r="F58" s="14" t="n">
        <x:v>498668</x:v>
      </x:c>
      <x:c r="G58" s="2" t="str">
        <x:v>WITHIN_BAND</x:v>
      </x:c>
      <x:c r="H58" s="2" t="n">
        <x:v>1</x:v>
      </x:c>
      <x:c r="I58" s="2" t="n">
        <x:f>IF(AND(COUNTIFS($B$6:$B$797,B58,$C$6:$C$797,C58)=11,COUNTIFS($B$6:$B$797,B58,$C$6:$C$797,C58,$G$6:$G$797,"REVIEW")=0,COUNTIFS($B$6:$B$797,B58,$C$6:$C$797,C58,$H$6:$H$797,1)=11,COUNTIFS($B$6:$B$797,B58,$C$6:$C$797,C58,$F$6:$F$797,"&gt;0")=11),1,0)</x:f>
        <x:v>0</x:v>
      </x:c>
    </x:row>
    <x:row r="59" ht="22" customHeight="1">
      <x:c r="A59" s="2" t="str">
        <x:v>61091000_VN_202505_IMPORT</x:v>
      </x:c>
      <x:c r="B59" s="2" t="n">
        <x:v>202505</x:v>
      </x:c>
      <x:c r="C59" s="2" t="str">
        <x:v>61091000</x:v>
      </x:c>
      <x:c r="D59" s="2" t="str">
        <x:v>Vietnam</x:v>
      </x:c>
      <x:c r="E59" s="14" t="n">
        <x:v>2693973</x:v>
      </x:c>
      <x:c r="F59" s="14" t="n">
        <x:v>134827</x:v>
      </x:c>
      <x:c r="G59" s="2" t="str">
        <x:v>WITHIN_BAND</x:v>
      </x:c>
      <x:c r="H59" s="2" t="n">
        <x:v>1</x:v>
      </x:c>
      <x:c r="I59" s="2" t="n">
        <x:f>IF(AND(COUNTIFS($B$6:$B$797,B59,$C$6:$C$797,C59)=11,COUNTIFS($B$6:$B$797,B59,$C$6:$C$797,C59,$G$6:$G$797,"REVIEW")=0,COUNTIFS($B$6:$B$797,B59,$C$6:$C$797,C59,$H$6:$H$797,1)=11,COUNTIFS($B$6:$B$797,B59,$C$6:$C$797,C59,$F$6:$F$797,"&gt;0")=11),1,0)</x:f>
        <x:v>0</x:v>
      </x:c>
    </x:row>
    <x:row r="60" ht="22" customHeight="1">
      <x:c r="A60" s="2" t="str">
        <x:v>61091000_WORLD_202505_IMPORT</x:v>
      </x:c>
      <x:c r="B60" s="2" t="n">
        <x:v>202505</x:v>
      </x:c>
      <x:c r="C60" s="2" t="str">
        <x:v>61091000</x:v>
      </x:c>
      <x:c r="D60" s="2" t="str">
        <x:v>World</x:v>
      </x:c>
      <x:c r="E60" s="14" t="n">
        <x:v>131665365</x:v>
      </x:c>
      <x:c r="F60" s="14" t="n">
        <x:v>11325525</x:v>
      </x:c>
      <x:c r="G60" s="2" t="str">
        <x:v>WITHIN_BAND</x:v>
      </x:c>
      <x:c r="H60" s="2" t="n">
        <x:v>1</x:v>
      </x:c>
      <x:c r="I60" s="2" t="n">
        <x:f>IF(AND(COUNTIFS($B$6:$B$797,B60,$C$6:$C$797,C60)=11,COUNTIFS($B$6:$B$797,B60,$C$6:$C$797,C60,$G$6:$G$797,"REVIEW")=0,COUNTIFS($B$6:$B$797,B60,$C$6:$C$797,C60,$H$6:$H$797,1)=11,COUNTIFS($B$6:$B$797,B60,$C$6:$C$797,C60,$F$6:$F$797,"&gt;0")=11),1,0)</x:f>
        <x:v>0</x:v>
      </x:c>
    </x:row>
    <x:row r="61" ht="22" customHeight="1">
      <x:c r="A61" s="2" t="str">
        <x:v>61091000_BD_202506_IMPORT</x:v>
      </x:c>
      <x:c r="B61" s="2" t="n">
        <x:v>202506</x:v>
      </x:c>
      <x:c r="C61" s="2" t="str">
        <x:v>61091000</x:v>
      </x:c>
      <x:c r="D61" s="2" t="str">
        <x:v>Bangladesh</x:v>
      </x:c>
      <x:c r="E61" s="14" t="n">
        <x:v>38374659</x:v>
      </x:c>
      <x:c r="F61" s="14" t="n">
        <x:v>3942873</x:v>
      </x:c>
      <x:c r="G61" s="2" t="str">
        <x:v>WITHIN_BAND</x:v>
      </x:c>
      <x:c r="H61" s="2" t="n">
        <x:v>1</x:v>
      </x:c>
      <x:c r="I61" s="2" t="n">
        <x:f>IF(AND(COUNTIFS($B$6:$B$797,B61,$C$6:$C$797,C61)=11,COUNTIFS($B$6:$B$797,B61,$C$6:$C$797,C61,$G$6:$G$797,"REVIEW")=0,COUNTIFS($B$6:$B$797,B61,$C$6:$C$797,C61,$H$6:$H$797,1)=11,COUNTIFS($B$6:$B$797,B61,$C$6:$C$797,C61,$F$6:$F$797,"&gt;0")=11),1,0)</x:f>
        <x:v>0</x:v>
      </x:c>
    </x:row>
    <x:row r="62" ht="22" customHeight="1">
      <x:c r="A62" s="2" t="str">
        <x:v>61091000_KH_202506_IMPORT</x:v>
      </x:c>
      <x:c r="B62" s="2" t="n">
        <x:v>202506</x:v>
      </x:c>
      <x:c r="C62" s="2" t="str">
        <x:v>61091000</x:v>
      </x:c>
      <x:c r="D62" s="2" t="str">
        <x:v>Cambodia</x:v>
      </x:c>
      <x:c r="E62" s="14" t="n">
        <x:v>432995</x:v>
      </x:c>
      <x:c r="F62" s="14" t="n">
        <x:v>18488</x:v>
      </x:c>
      <x:c r="G62" s="2" t="str">
        <x:v>WITHIN_BAND</x:v>
      </x:c>
      <x:c r="H62" s="2" t="n">
        <x:v>1</x:v>
      </x:c>
      <x:c r="I62" s="2" t="n">
        <x:f>IF(AND(COUNTIFS($B$6:$B$797,B62,$C$6:$C$797,C62)=11,COUNTIFS($B$6:$B$797,B62,$C$6:$C$797,C62,$G$6:$G$797,"REVIEW")=0,COUNTIFS($B$6:$B$797,B62,$C$6:$C$797,C62,$H$6:$H$797,1)=11,COUNTIFS($B$6:$B$797,B62,$C$6:$C$797,C62,$F$6:$F$797,"&gt;0")=11),1,0)</x:f>
        <x:v>0</x:v>
      </x:c>
    </x:row>
    <x:row r="63" ht="22" customHeight="1">
      <x:c r="A63" s="2" t="str">
        <x:v>61091000_CN_202506_IMPORT</x:v>
      </x:c>
      <x:c r="B63" s="2" t="n">
        <x:v>202506</x:v>
      </x:c>
      <x:c r="C63" s="2" t="str">
        <x:v>61091000</x:v>
      </x:c>
      <x:c r="D63" s="2" t="str">
        <x:v>China</x:v>
      </x:c>
      <x:c r="E63" s="14" t="n">
        <x:v>3329222</x:v>
      </x:c>
      <x:c r="F63" s="14" t="n">
        <x:v>181905</x:v>
      </x:c>
      <x:c r="G63" s="2" t="str">
        <x:v>WITHIN_BAND</x:v>
      </x:c>
      <x:c r="H63" s="2" t="n">
        <x:v>1</x:v>
      </x:c>
      <x:c r="I63" s="2" t="n">
        <x:f>IF(AND(COUNTIFS($B$6:$B$797,B63,$C$6:$C$797,C63)=11,COUNTIFS($B$6:$B$797,B63,$C$6:$C$797,C63,$G$6:$G$797,"REVIEW")=0,COUNTIFS($B$6:$B$797,B63,$C$6:$C$797,C63,$H$6:$H$797,1)=11,COUNTIFS($B$6:$B$797,B63,$C$6:$C$797,C63,$F$6:$F$797,"&gt;0")=11),1,0)</x:f>
        <x:v>0</x:v>
      </x:c>
    </x:row>
    <x:row r="64" ht="22" customHeight="1">
      <x:c r="A64" s="2" t="str">
        <x:v>61091000_IN_202506_IMPORT</x:v>
      </x:c>
      <x:c r="B64" s="2" t="n">
        <x:v>202506</x:v>
      </x:c>
      <x:c r="C64" s="2" t="str">
        <x:v>61091000</x:v>
      </x:c>
      <x:c r="D64" s="2" t="str">
        <x:v>India</x:v>
      </x:c>
      <x:c r="E64" s="14" t="n">
        <x:v>9996136</x:v>
      </x:c>
      <x:c r="F64" s="14" t="n">
        <x:v>801827</x:v>
      </x:c>
      <x:c r="G64" s="2" t="str">
        <x:v>WITHIN_BAND</x:v>
      </x:c>
      <x:c r="H64" s="2" t="n">
        <x:v>1</x:v>
      </x:c>
      <x:c r="I64" s="2" t="n">
        <x:f>IF(AND(COUNTIFS($B$6:$B$797,B64,$C$6:$C$797,C64)=11,COUNTIFS($B$6:$B$797,B64,$C$6:$C$797,C64,$G$6:$G$797,"REVIEW")=0,COUNTIFS($B$6:$B$797,B64,$C$6:$C$797,C64,$H$6:$H$797,1)=11,COUNTIFS($B$6:$B$797,B64,$C$6:$C$797,C64,$F$6:$F$797,"&gt;0")=11),1,0)</x:f>
        <x:v>0</x:v>
      </x:c>
    </x:row>
    <x:row r="65" ht="22" customHeight="1">
      <x:c r="A65" s="2" t="str">
        <x:v>61091000_MA_202506_IMPORT</x:v>
      </x:c>
      <x:c r="B65" s="2" t="n">
        <x:v>202506</x:v>
      </x:c>
      <x:c r="C65" s="2" t="str">
        <x:v>61091000</x:v>
      </x:c>
      <x:c r="D65" s="2" t="str">
        <x:v>Morocco</x:v>
      </x:c>
      <x:c r="E65" s="14" t="n">
        <x:v>601598</x:v>
      </x:c>
      <x:c r="F65" s="14" t="n">
        <x:v>48151</x:v>
      </x:c>
      <x:c r="G65" s="2" t="str">
        <x:v>WITHIN_BAND</x:v>
      </x:c>
      <x:c r="H65" s="2" t="n">
        <x:v>1</x:v>
      </x:c>
      <x:c r="I65" s="2" t="n">
        <x:f>IF(AND(COUNTIFS($B$6:$B$797,B65,$C$6:$C$797,C65)=11,COUNTIFS($B$6:$B$797,B65,$C$6:$C$797,C65,$G$6:$G$797,"REVIEW")=0,COUNTIFS($B$6:$B$797,B65,$C$6:$C$797,C65,$H$6:$H$797,1)=11,COUNTIFS($B$6:$B$797,B65,$C$6:$C$797,C65,$F$6:$F$797,"&gt;0")=11),1,0)</x:f>
        <x:v>0</x:v>
      </x:c>
    </x:row>
    <x:row r="66" ht="22" customHeight="1">
      <x:c r="A66" s="2" t="str">
        <x:v>61091000_MM_202506_IMPORT</x:v>
      </x:c>
      <x:c r="B66" s="2" t="n">
        <x:v>202506</x:v>
      </x:c>
      <x:c r="C66" s="2" t="str">
        <x:v>61091000</x:v>
      </x:c>
      <x:c r="D66" s="2" t="str">
        <x:v>Myanmar</x:v>
      </x:c>
      <x:c r="E66" s="14" t="n">
        <x:v>73983</x:v>
      </x:c>
      <x:c r="F66" s="14" t="n">
        <x:v>6308</x:v>
      </x:c>
      <x:c r="G66" s="2" t="str">
        <x:v>WITHIN_BAND</x:v>
      </x:c>
      <x:c r="H66" s="2" t="n">
        <x:v>1</x:v>
      </x:c>
      <x:c r="I66" s="2" t="n">
        <x:f>IF(AND(COUNTIFS($B$6:$B$797,B66,$C$6:$C$797,C66)=11,COUNTIFS($B$6:$B$797,B66,$C$6:$C$797,C66,$G$6:$G$797,"REVIEW")=0,COUNTIFS($B$6:$B$797,B66,$C$6:$C$797,C66,$H$6:$H$797,1)=11,COUNTIFS($B$6:$B$797,B66,$C$6:$C$797,C66,$F$6:$F$797,"&gt;0")=11),1,0)</x:f>
        <x:v>0</x:v>
      </x:c>
    </x:row>
    <x:row r="67" ht="22" customHeight="1">
      <x:c r="A67" s="2" t="str">
        <x:v>61091000_PK_202506_IMPORT</x:v>
      </x:c>
      <x:c r="B67" s="2" t="n">
        <x:v>202506</x:v>
      </x:c>
      <x:c r="C67" s="2" t="str">
        <x:v>61091000</x:v>
      </x:c>
      <x:c r="D67" s="2" t="str">
        <x:v>Pakistan</x:v>
      </x:c>
      <x:c r="E67" s="14" t="n">
        <x:v>3623560</x:v>
      </x:c>
      <x:c r="F67" s="14" t="n">
        <x:v>1912801</x:v>
      </x:c>
      <x:c r="G67" s="2" t="str">
        <x:v>REVIEW</x:v>
      </x:c>
      <x:c r="H67" s="2" t="n">
        <x:v>1</x:v>
      </x:c>
      <x:c r="I67" s="2" t="n">
        <x:f>IF(AND(COUNTIFS($B$6:$B$797,B67,$C$6:$C$797,C67)=11,COUNTIFS($B$6:$B$797,B67,$C$6:$C$797,C67,$G$6:$G$797,"REVIEW")=0,COUNTIFS($B$6:$B$797,B67,$C$6:$C$797,C67,$H$6:$H$797,1)=11,COUNTIFS($B$6:$B$797,B67,$C$6:$C$797,C67,$F$6:$F$797,"&gt;0")=11),1,0)</x:f>
        <x:v>0</x:v>
      </x:c>
    </x:row>
    <x:row r="68" ht="22" customHeight="1">
      <x:c r="A68" s="2" t="str">
        <x:v>61091000_LK_202506_IMPORT</x:v>
      </x:c>
      <x:c r="B68" s="2" t="n">
        <x:v>202506</x:v>
      </x:c>
      <x:c r="C68" s="2" t="str">
        <x:v>61091000</x:v>
      </x:c>
      <x:c r="D68" s="2" t="str">
        <x:v>Sri Lanka</x:v>
      </x:c>
      <x:c r="E68" s="14" t="n">
        <x:v>1725990</x:v>
      </x:c>
      <x:c r="F68" s="14" t="n">
        <x:v>177578</x:v>
      </x:c>
      <x:c r="G68" s="2" t="str">
        <x:v>WITHIN_BAND</x:v>
      </x:c>
      <x:c r="H68" s="2" t="n">
        <x:v>1</x:v>
      </x:c>
      <x:c r="I68" s="2" t="n">
        <x:f>IF(AND(COUNTIFS($B$6:$B$797,B68,$C$6:$C$797,C68)=11,COUNTIFS($B$6:$B$797,B68,$C$6:$C$797,C68,$G$6:$G$797,"REVIEW")=0,COUNTIFS($B$6:$B$797,B68,$C$6:$C$797,C68,$H$6:$H$797,1)=11,COUNTIFS($B$6:$B$797,B68,$C$6:$C$797,C68,$F$6:$F$797,"&gt;0")=11),1,0)</x:f>
        <x:v>0</x:v>
      </x:c>
    </x:row>
    <x:row r="69" ht="22" customHeight="1">
      <x:c r="A69" s="2" t="str">
        <x:v>61091000_TR_202506_IMPORT</x:v>
      </x:c>
      <x:c r="B69" s="2" t="n">
        <x:v>202506</x:v>
      </x:c>
      <x:c r="C69" s="2" t="str">
        <x:v>61091000</x:v>
      </x:c>
      <x:c r="D69" s="2" t="str">
        <x:v>Turkey</x:v>
      </x:c>
      <x:c r="E69" s="14" t="n">
        <x:v>11238763</x:v>
      </x:c>
      <x:c r="F69" s="14" t="n">
        <x:v>467817</x:v>
      </x:c>
      <x:c r="G69" s="2" t="str">
        <x:v>WITHIN_BAND</x:v>
      </x:c>
      <x:c r="H69" s="2" t="n">
        <x:v>1</x:v>
      </x:c>
      <x:c r="I69" s="2" t="n">
        <x:f>IF(AND(COUNTIFS($B$6:$B$797,B69,$C$6:$C$797,C69)=11,COUNTIFS($B$6:$B$797,B69,$C$6:$C$797,C69,$G$6:$G$797,"REVIEW")=0,COUNTIFS($B$6:$B$797,B69,$C$6:$C$797,C69,$H$6:$H$797,1)=11,COUNTIFS($B$6:$B$797,B69,$C$6:$C$797,C69,$F$6:$F$797,"&gt;0")=11),1,0)</x:f>
        <x:v>0</x:v>
      </x:c>
    </x:row>
    <x:row r="70" ht="22" customHeight="1">
      <x:c r="A70" s="2" t="str">
        <x:v>61091000_VN_202506_IMPORT</x:v>
      </x:c>
      <x:c r="B70" s="2" t="n">
        <x:v>202506</x:v>
      </x:c>
      <x:c r="C70" s="2" t="str">
        <x:v>61091000</x:v>
      </x:c>
      <x:c r="D70" s="2" t="str">
        <x:v>Vietnam</x:v>
      </x:c>
      <x:c r="E70" s="14" t="n">
        <x:v>2934932</x:v>
      </x:c>
      <x:c r="F70" s="14" t="n">
        <x:v>146776</x:v>
      </x:c>
      <x:c r="G70" s="2" t="str">
        <x:v>WITHIN_BAND</x:v>
      </x:c>
      <x:c r="H70" s="2" t="n">
        <x:v>1</x:v>
      </x:c>
      <x:c r="I70" s="2" t="n">
        <x:f>IF(AND(COUNTIFS($B$6:$B$797,B70,$C$6:$C$797,C70)=11,COUNTIFS($B$6:$B$797,B70,$C$6:$C$797,C70,$G$6:$G$797,"REVIEW")=0,COUNTIFS($B$6:$B$797,B70,$C$6:$C$797,C70,$H$6:$H$797,1)=11,COUNTIFS($B$6:$B$797,B70,$C$6:$C$797,C70,$F$6:$F$797,"&gt;0")=11),1,0)</x:f>
        <x:v>0</x:v>
      </x:c>
    </x:row>
    <x:row r="71" ht="22" customHeight="1">
      <x:c r="A71" s="2" t="str">
        <x:v>61091000_WORLD_202506_IMPORT</x:v>
      </x:c>
      <x:c r="B71" s="2" t="n">
        <x:v>202506</x:v>
      </x:c>
      <x:c r="C71" s="2" t="str">
        <x:v>61091000</x:v>
      </x:c>
      <x:c r="D71" s="2" t="str">
        <x:v>World</x:v>
      </x:c>
      <x:c r="E71" s="14" t="n">
        <x:v>111578798</x:v>
      </x:c>
      <x:c r="F71" s="14" t="n">
        <x:v>9678731</x:v>
      </x:c>
      <x:c r="G71" s="2" t="str">
        <x:v>WITHIN_BAND</x:v>
      </x:c>
      <x:c r="H71" s="2" t="n">
        <x:v>1</x:v>
      </x:c>
      <x:c r="I71" s="2" t="n">
        <x:f>IF(AND(COUNTIFS($B$6:$B$797,B71,$C$6:$C$797,C71)=11,COUNTIFS($B$6:$B$797,B71,$C$6:$C$797,C71,$G$6:$G$797,"REVIEW")=0,COUNTIFS($B$6:$B$797,B71,$C$6:$C$797,C71,$H$6:$H$797,1)=11,COUNTIFS($B$6:$B$797,B71,$C$6:$C$797,C71,$F$6:$F$797,"&gt;0")=11),1,0)</x:f>
        <x:v>0</x:v>
      </x:c>
    </x:row>
    <x:row r="72" ht="22" customHeight="1">
      <x:c r="A72" s="2" t="str">
        <x:v>61091000_BD_202507_IMPORT</x:v>
      </x:c>
      <x:c r="B72" s="2" t="n">
        <x:v>202507</x:v>
      </x:c>
      <x:c r="C72" s="2" t="str">
        <x:v>61091000</x:v>
      </x:c>
      <x:c r="D72" s="2" t="str">
        <x:v>Bangladesh</x:v>
      </x:c>
      <x:c r="E72" s="14" t="n">
        <x:v>39076567</x:v>
      </x:c>
      <x:c r="F72" s="14" t="n">
        <x:v>3842620</x:v>
      </x:c>
      <x:c r="G72" s="2" t="str">
        <x:v>WITHIN_BAND</x:v>
      </x:c>
      <x:c r="H72" s="2" t="n">
        <x:v>1</x:v>
      </x:c>
      <x:c r="I72" s="2" t="n">
        <x:f>IF(AND(COUNTIFS($B$6:$B$797,B72,$C$6:$C$797,C72)=11,COUNTIFS($B$6:$B$797,B72,$C$6:$C$797,C72,$G$6:$G$797,"REVIEW")=0,COUNTIFS($B$6:$B$797,B72,$C$6:$C$797,C72,$H$6:$H$797,1)=11,COUNTIFS($B$6:$B$797,B72,$C$6:$C$797,C72,$F$6:$F$797,"&gt;0")=11),1,0)</x:f>
        <x:v>0</x:v>
      </x:c>
    </x:row>
    <x:row r="73" ht="22" customHeight="1">
      <x:c r="A73" s="2" t="str">
        <x:v>61091000_KH_202507_IMPORT</x:v>
      </x:c>
      <x:c r="B73" s="2" t="n">
        <x:v>202507</x:v>
      </x:c>
      <x:c r="C73" s="2" t="str">
        <x:v>61091000</x:v>
      </x:c>
      <x:c r="D73" s="2" t="str">
        <x:v>Cambodia</x:v>
      </x:c>
      <x:c r="E73" s="14" t="n">
        <x:v>521047</x:v>
      </x:c>
      <x:c r="F73" s="14" t="n">
        <x:v>27574</x:v>
      </x:c>
      <x:c r="G73" s="2" t="str">
        <x:v>WITHIN_BAND</x:v>
      </x:c>
      <x:c r="H73" s="2" t="n">
        <x:v>1</x:v>
      </x:c>
      <x:c r="I73" s="2" t="n">
        <x:f>IF(AND(COUNTIFS($B$6:$B$797,B73,$C$6:$C$797,C73)=11,COUNTIFS($B$6:$B$797,B73,$C$6:$C$797,C73,$G$6:$G$797,"REVIEW")=0,COUNTIFS($B$6:$B$797,B73,$C$6:$C$797,C73,$H$6:$H$797,1)=11,COUNTIFS($B$6:$B$797,B73,$C$6:$C$797,C73,$F$6:$F$797,"&gt;0")=11),1,0)</x:f>
        <x:v>0</x:v>
      </x:c>
    </x:row>
    <x:row r="74" ht="22" customHeight="1">
      <x:c r="A74" s="2" t="str">
        <x:v>61091000_CN_202507_IMPORT</x:v>
      </x:c>
      <x:c r="B74" s="2" t="n">
        <x:v>202507</x:v>
      </x:c>
      <x:c r="C74" s="2" t="str">
        <x:v>61091000</x:v>
      </x:c>
      <x:c r="D74" s="2" t="str">
        <x:v>China</x:v>
      </x:c>
      <x:c r="E74" s="14" t="n">
        <x:v>3560001</x:v>
      </x:c>
      <x:c r="F74" s="14" t="n">
        <x:v>185715</x:v>
      </x:c>
      <x:c r="G74" s="2" t="str">
        <x:v>WITHIN_BAND</x:v>
      </x:c>
      <x:c r="H74" s="2" t="n">
        <x:v>1</x:v>
      </x:c>
      <x:c r="I74" s="2" t="n">
        <x:f>IF(AND(COUNTIFS($B$6:$B$797,B74,$C$6:$C$797,C74)=11,COUNTIFS($B$6:$B$797,B74,$C$6:$C$797,C74,$G$6:$G$797,"REVIEW")=0,COUNTIFS($B$6:$B$797,B74,$C$6:$C$797,C74,$H$6:$H$797,1)=11,COUNTIFS($B$6:$B$797,B74,$C$6:$C$797,C74,$F$6:$F$797,"&gt;0")=11),1,0)</x:f>
        <x:v>0</x:v>
      </x:c>
    </x:row>
    <x:row r="75" ht="22" customHeight="1">
      <x:c r="A75" s="2" t="str">
        <x:v>61091000_IN_202507_IMPORT</x:v>
      </x:c>
      <x:c r="B75" s="2" t="n">
        <x:v>202507</x:v>
      </x:c>
      <x:c r="C75" s="2" t="str">
        <x:v>61091000</x:v>
      </x:c>
      <x:c r="D75" s="2" t="str">
        <x:v>India</x:v>
      </x:c>
      <x:c r="E75" s="14" t="n">
        <x:v>9892531</x:v>
      </x:c>
      <x:c r="F75" s="14" t="n">
        <x:v>797886</x:v>
      </x:c>
      <x:c r="G75" s="2" t="str">
        <x:v>WITHIN_BAND</x:v>
      </x:c>
      <x:c r="H75" s="2" t="n">
        <x:v>1</x:v>
      </x:c>
      <x:c r="I75" s="2" t="n">
        <x:f>IF(AND(COUNTIFS($B$6:$B$797,B75,$C$6:$C$797,C75)=11,COUNTIFS($B$6:$B$797,B75,$C$6:$C$797,C75,$G$6:$G$797,"REVIEW")=0,COUNTIFS($B$6:$B$797,B75,$C$6:$C$797,C75,$H$6:$H$797,1)=11,COUNTIFS($B$6:$B$797,B75,$C$6:$C$797,C75,$F$6:$F$797,"&gt;0")=11),1,0)</x:f>
        <x:v>0</x:v>
      </x:c>
    </x:row>
    <x:row r="76" ht="22" customHeight="1">
      <x:c r="A76" s="2" t="str">
        <x:v>61091000_MA_202507_IMPORT</x:v>
      </x:c>
      <x:c r="B76" s="2" t="n">
        <x:v>202507</x:v>
      </x:c>
      <x:c r="C76" s="2" t="str">
        <x:v>61091000</x:v>
      </x:c>
      <x:c r="D76" s="2" t="str">
        <x:v>Morocco</x:v>
      </x:c>
      <x:c r="E76" s="14" t="n">
        <x:v>621854</x:v>
      </x:c>
      <x:c r="F76" s="14" t="n">
        <x:v>31591</x:v>
      </x:c>
      <x:c r="G76" s="2" t="str">
        <x:v>REVIEW</x:v>
      </x:c>
      <x:c r="H76" s="2" t="n">
        <x:v>1</x:v>
      </x:c>
      <x:c r="I76" s="2" t="n">
        <x:f>IF(AND(COUNTIFS($B$6:$B$797,B76,$C$6:$C$797,C76)=11,COUNTIFS($B$6:$B$797,B76,$C$6:$C$797,C76,$G$6:$G$797,"REVIEW")=0,COUNTIFS($B$6:$B$797,B76,$C$6:$C$797,C76,$H$6:$H$797,1)=11,COUNTIFS($B$6:$B$797,B76,$C$6:$C$797,C76,$F$6:$F$797,"&gt;0")=11),1,0)</x:f>
        <x:v>0</x:v>
      </x:c>
    </x:row>
    <x:row r="77" ht="22" customHeight="1">
      <x:c r="A77" s="2" t="str">
        <x:v>61091000_MM_202507_IMPORT</x:v>
      </x:c>
      <x:c r="B77" s="2" t="n">
        <x:v>202507</x:v>
      </x:c>
      <x:c r="C77" s="2" t="str">
        <x:v>61091000</x:v>
      </x:c>
      <x:c r="D77" s="2" t="str">
        <x:v>Myanmar</x:v>
      </x:c>
      <x:c r="E77" s="14" t="n">
        <x:v>17154</x:v>
      </x:c>
      <x:c r="F77" s="14" t="n">
        <x:v>843</x:v>
      </x:c>
      <x:c r="G77" s="2" t="str">
        <x:v>WITHIN_BAND</x:v>
      </x:c>
      <x:c r="H77" s="2" t="n">
        <x:v>1</x:v>
      </x:c>
      <x:c r="I77" s="2" t="n">
        <x:f>IF(AND(COUNTIFS($B$6:$B$797,B77,$C$6:$C$797,C77)=11,COUNTIFS($B$6:$B$797,B77,$C$6:$C$797,C77,$G$6:$G$797,"REVIEW")=0,COUNTIFS($B$6:$B$797,B77,$C$6:$C$797,C77,$H$6:$H$797,1)=11,COUNTIFS($B$6:$B$797,B77,$C$6:$C$797,C77,$F$6:$F$797,"&gt;0")=11),1,0)</x:f>
        <x:v>0</x:v>
      </x:c>
    </x:row>
    <x:row r="78" ht="22" customHeight="1">
      <x:c r="A78" s="2" t="str">
        <x:v>61091000_PK_202507_IMPORT</x:v>
      </x:c>
      <x:c r="B78" s="2" t="n">
        <x:v>202507</x:v>
      </x:c>
      <x:c r="C78" s="2" t="str">
        <x:v>61091000</x:v>
      </x:c>
      <x:c r="D78" s="2" t="str">
        <x:v>Pakistan</x:v>
      </x:c>
      <x:c r="E78" s="14" t="n">
        <x:v>3981108</x:v>
      </x:c>
      <x:c r="F78" s="14" t="n">
        <x:v>1371785</x:v>
      </x:c>
      <x:c r="G78" s="2" t="str">
        <x:v>REVIEW</x:v>
      </x:c>
      <x:c r="H78" s="2" t="n">
        <x:v>1</x:v>
      </x:c>
      <x:c r="I78" s="2" t="n">
        <x:f>IF(AND(COUNTIFS($B$6:$B$797,B78,$C$6:$C$797,C78)=11,COUNTIFS($B$6:$B$797,B78,$C$6:$C$797,C78,$G$6:$G$797,"REVIEW")=0,COUNTIFS($B$6:$B$797,B78,$C$6:$C$797,C78,$H$6:$H$797,1)=11,COUNTIFS($B$6:$B$797,B78,$C$6:$C$797,C78,$F$6:$F$797,"&gt;0")=11),1,0)</x:f>
        <x:v>0</x:v>
      </x:c>
    </x:row>
    <x:row r="79" ht="22" customHeight="1">
      <x:c r="A79" s="2" t="str">
        <x:v>61091000_LK_202507_IMPORT</x:v>
      </x:c>
      <x:c r="B79" s="2" t="n">
        <x:v>202507</x:v>
      </x:c>
      <x:c r="C79" s="2" t="str">
        <x:v>61091000</x:v>
      </x:c>
      <x:c r="D79" s="2" t="str">
        <x:v>Sri Lanka</x:v>
      </x:c>
      <x:c r="E79" s="14" t="n">
        <x:v>2150880</x:v>
      </x:c>
      <x:c r="F79" s="14" t="n">
        <x:v>203890</x:v>
      </x:c>
      <x:c r="G79" s="2" t="str">
        <x:v>WITHIN_BAND</x:v>
      </x:c>
      <x:c r="H79" s="2" t="n">
        <x:v>1</x:v>
      </x:c>
      <x:c r="I79" s="2" t="n">
        <x:f>IF(AND(COUNTIFS($B$6:$B$797,B79,$C$6:$C$797,C79)=11,COUNTIFS($B$6:$B$797,B79,$C$6:$C$797,C79,$G$6:$G$797,"REVIEW")=0,COUNTIFS($B$6:$B$797,B79,$C$6:$C$797,C79,$H$6:$H$797,1)=11,COUNTIFS($B$6:$B$797,B79,$C$6:$C$797,C79,$F$6:$F$797,"&gt;0")=11),1,0)</x:f>
        <x:v>0</x:v>
      </x:c>
    </x:row>
    <x:row r="80" ht="22" customHeight="1">
      <x:c r="A80" s="2" t="str">
        <x:v>61091000_TR_202507_IMPORT</x:v>
      </x:c>
      <x:c r="B80" s="2" t="n">
        <x:v>202507</x:v>
      </x:c>
      <x:c r="C80" s="2" t="str">
        <x:v>61091000</x:v>
      </x:c>
      <x:c r="D80" s="2" t="str">
        <x:v>Turkey</x:v>
      </x:c>
      <x:c r="E80" s="14" t="n">
        <x:v>10796049</x:v>
      </x:c>
      <x:c r="F80" s="14" t="n">
        <x:v>455991</x:v>
      </x:c>
      <x:c r="G80" s="2" t="str">
        <x:v>WITHIN_BAND</x:v>
      </x:c>
      <x:c r="H80" s="2" t="n">
        <x:v>1</x:v>
      </x:c>
      <x:c r="I80" s="2" t="n">
        <x:f>IF(AND(COUNTIFS($B$6:$B$797,B80,$C$6:$C$797,C80)=11,COUNTIFS($B$6:$B$797,B80,$C$6:$C$797,C80,$G$6:$G$797,"REVIEW")=0,COUNTIFS($B$6:$B$797,B80,$C$6:$C$797,C80,$H$6:$H$797,1)=11,COUNTIFS($B$6:$B$797,B80,$C$6:$C$797,C80,$F$6:$F$797,"&gt;0")=11),1,0)</x:f>
        <x:v>0</x:v>
      </x:c>
    </x:row>
    <x:row r="81" ht="22" customHeight="1">
      <x:c r="A81" s="2" t="str">
        <x:v>61091000_VN_202507_IMPORT</x:v>
      </x:c>
      <x:c r="B81" s="2" t="n">
        <x:v>202507</x:v>
      </x:c>
      <x:c r="C81" s="2" t="str">
        <x:v>61091000</x:v>
      </x:c>
      <x:c r="D81" s="2" t="str">
        <x:v>Vietnam</x:v>
      </x:c>
      <x:c r="E81" s="14" t="n">
        <x:v>2392573</x:v>
      </x:c>
      <x:c r="F81" s="14" t="n">
        <x:v>119114</x:v>
      </x:c>
      <x:c r="G81" s="2" t="str">
        <x:v>WITHIN_BAND</x:v>
      </x:c>
      <x:c r="H81" s="2" t="n">
        <x:v>1</x:v>
      </x:c>
      <x:c r="I81" s="2" t="n">
        <x:f>IF(AND(COUNTIFS($B$6:$B$797,B81,$C$6:$C$797,C81)=11,COUNTIFS($B$6:$B$797,B81,$C$6:$C$797,C81,$G$6:$G$797,"REVIEW")=0,COUNTIFS($B$6:$B$797,B81,$C$6:$C$797,C81,$H$6:$H$797,1)=11,COUNTIFS($B$6:$B$797,B81,$C$6:$C$797,C81,$F$6:$F$797,"&gt;0")=11),1,0)</x:f>
        <x:v>0</x:v>
      </x:c>
    </x:row>
    <x:row r="82" ht="22" customHeight="1">
      <x:c r="A82" s="2" t="str">
        <x:v>61091000_WORLD_202507_IMPORT</x:v>
      </x:c>
      <x:c r="B82" s="2" t="n">
        <x:v>202507</x:v>
      </x:c>
      <x:c r="C82" s="2" t="str">
        <x:v>61091000</x:v>
      </x:c>
      <x:c r="D82" s="2" t="str">
        <x:v>World</x:v>
      </x:c>
      <x:c r="E82" s="14" t="n">
        <x:v>113264142</x:v>
      </x:c>
      <x:c r="F82" s="14" t="n">
        <x:v>8458016</x:v>
      </x:c>
      <x:c r="G82" s="2" t="str">
        <x:v>WITHIN_BAND</x:v>
      </x:c>
      <x:c r="H82" s="2" t="n">
        <x:v>1</x:v>
      </x:c>
      <x:c r="I82" s="2" t="n">
        <x:f>IF(AND(COUNTIFS($B$6:$B$797,B82,$C$6:$C$797,C82)=11,COUNTIFS($B$6:$B$797,B82,$C$6:$C$797,C82,$G$6:$G$797,"REVIEW")=0,COUNTIFS($B$6:$B$797,B82,$C$6:$C$797,C82,$H$6:$H$797,1)=11,COUNTIFS($B$6:$B$797,B82,$C$6:$C$797,C82,$F$6:$F$797,"&gt;0")=11),1,0)</x:f>
        <x:v>0</x:v>
      </x:c>
    </x:row>
    <x:row r="83" ht="22" customHeight="1">
      <x:c r="A83" s="2" t="str">
        <x:v>61091000_BD_202508_IMPORT</x:v>
      </x:c>
      <x:c r="B83" s="2" t="n">
        <x:v>202508</x:v>
      </x:c>
      <x:c r="C83" s="2" t="str">
        <x:v>61091000</x:v>
      </x:c>
      <x:c r="D83" s="2" t="str">
        <x:v>Bangladesh</x:v>
      </x:c>
      <x:c r="E83" s="14" t="n">
        <x:v>30445215</x:v>
      </x:c>
      <x:c r="F83" s="14" t="n">
        <x:v>2983029</x:v>
      </x:c>
      <x:c r="G83" s="2" t="str">
        <x:v>WITHIN_BAND</x:v>
      </x:c>
      <x:c r="H83" s="2" t="n">
        <x:v>1</x:v>
      </x:c>
      <x:c r="I83" s="2" t="n">
        <x:f>IF(AND(COUNTIFS($B$6:$B$797,B83,$C$6:$C$797,C83)=11,COUNTIFS($B$6:$B$797,B83,$C$6:$C$797,C83,$G$6:$G$797,"REVIEW")=0,COUNTIFS($B$6:$B$797,B83,$C$6:$C$797,C83,$H$6:$H$797,1)=11,COUNTIFS($B$6:$B$797,B83,$C$6:$C$797,C83,$F$6:$F$797,"&gt;0")=11),1,0)</x:f>
        <x:v>1</x:v>
      </x:c>
    </x:row>
    <x:row r="84" ht="22" customHeight="1">
      <x:c r="A84" s="2" t="str">
        <x:v>61091000_KH_202508_IMPORT</x:v>
      </x:c>
      <x:c r="B84" s="2" t="n">
        <x:v>202508</x:v>
      </x:c>
      <x:c r="C84" s="2" t="str">
        <x:v>61091000</x:v>
      </x:c>
      <x:c r="D84" s="2" t="str">
        <x:v>Cambodia</x:v>
      </x:c>
      <x:c r="E84" s="14" t="n">
        <x:v>893762</x:v>
      </x:c>
      <x:c r="F84" s="14" t="n">
        <x:v>57771</x:v>
      </x:c>
      <x:c r="G84" s="2" t="str">
        <x:v>WITHIN_BAND</x:v>
      </x:c>
      <x:c r="H84" s="2" t="n">
        <x:v>1</x:v>
      </x:c>
      <x:c r="I84" s="2" t="n">
        <x:f>IF(AND(COUNTIFS($B$6:$B$797,B84,$C$6:$C$797,C84)=11,COUNTIFS($B$6:$B$797,B84,$C$6:$C$797,C84,$G$6:$G$797,"REVIEW")=0,COUNTIFS($B$6:$B$797,B84,$C$6:$C$797,C84,$H$6:$H$797,1)=11,COUNTIFS($B$6:$B$797,B84,$C$6:$C$797,C84,$F$6:$F$797,"&gt;0")=11),1,0)</x:f>
        <x:v>1</x:v>
      </x:c>
    </x:row>
    <x:row r="85" ht="22" customHeight="1">
      <x:c r="A85" s="2" t="str">
        <x:v>61091000_CN_202508_IMPORT</x:v>
      </x:c>
      <x:c r="B85" s="2" t="n">
        <x:v>202508</x:v>
      </x:c>
      <x:c r="C85" s="2" t="str">
        <x:v>61091000</x:v>
      </x:c>
      <x:c r="D85" s="2" t="str">
        <x:v>China</x:v>
      </x:c>
      <x:c r="E85" s="14" t="n">
        <x:v>3210787</x:v>
      </x:c>
      <x:c r="F85" s="14" t="n">
        <x:v>183460</x:v>
      </x:c>
      <x:c r="G85" s="2" t="str">
        <x:v>WITHIN_BAND</x:v>
      </x:c>
      <x:c r="H85" s="2" t="n">
        <x:v>1</x:v>
      </x:c>
      <x:c r="I85" s="2" t="n">
        <x:f>IF(AND(COUNTIFS($B$6:$B$797,B85,$C$6:$C$797,C85)=11,COUNTIFS($B$6:$B$797,B85,$C$6:$C$797,C85,$G$6:$G$797,"REVIEW")=0,COUNTIFS($B$6:$B$797,B85,$C$6:$C$797,C85,$H$6:$H$797,1)=11,COUNTIFS($B$6:$B$797,B85,$C$6:$C$797,C85,$F$6:$F$797,"&gt;0")=11),1,0)</x:f>
        <x:v>1</x:v>
      </x:c>
    </x:row>
    <x:row r="86" ht="22" customHeight="1">
      <x:c r="A86" s="2" t="str">
        <x:v>61091000_IN_202508_IMPORT</x:v>
      </x:c>
      <x:c r="B86" s="2" t="n">
        <x:v>202508</x:v>
      </x:c>
      <x:c r="C86" s="2" t="str">
        <x:v>61091000</x:v>
      </x:c>
      <x:c r="D86" s="2" t="str">
        <x:v>India</x:v>
      </x:c>
      <x:c r="E86" s="14" t="n">
        <x:v>6358389</x:v>
      </x:c>
      <x:c r="F86" s="14" t="n">
        <x:v>483257</x:v>
      </x:c>
      <x:c r="G86" s="2" t="str">
        <x:v>WITHIN_BAND</x:v>
      </x:c>
      <x:c r="H86" s="2" t="n">
        <x:v>1</x:v>
      </x:c>
      <x:c r="I86" s="2" t="n">
        <x:f>IF(AND(COUNTIFS($B$6:$B$797,B86,$C$6:$C$797,C86)=11,COUNTIFS($B$6:$B$797,B86,$C$6:$C$797,C86,$G$6:$G$797,"REVIEW")=0,COUNTIFS($B$6:$B$797,B86,$C$6:$C$797,C86,$H$6:$H$797,1)=11,COUNTIFS($B$6:$B$797,B86,$C$6:$C$797,C86,$F$6:$F$797,"&gt;0")=11),1,0)</x:f>
        <x:v>1</x:v>
      </x:c>
    </x:row>
    <x:row r="87" ht="22" customHeight="1">
      <x:c r="A87" s="2" t="str">
        <x:v>61091000_MA_202508_IMPORT</x:v>
      </x:c>
      <x:c r="B87" s="2" t="n">
        <x:v>202508</x:v>
      </x:c>
      <x:c r="C87" s="2" t="str">
        <x:v>61091000</x:v>
      </x:c>
      <x:c r="D87" s="2" t="str">
        <x:v>Morocco</x:v>
      </x:c>
      <x:c r="E87" s="14" t="n">
        <x:v>956325</x:v>
      </x:c>
      <x:c r="F87" s="14" t="n">
        <x:v>101872</x:v>
      </x:c>
      <x:c r="G87" s="2" t="str">
        <x:v>WITHIN_BAND</x:v>
      </x:c>
      <x:c r="H87" s="2" t="n">
        <x:v>1</x:v>
      </x:c>
      <x:c r="I87" s="2" t="n">
        <x:f>IF(AND(COUNTIFS($B$6:$B$797,B87,$C$6:$C$797,C87)=11,COUNTIFS($B$6:$B$797,B87,$C$6:$C$797,C87,$G$6:$G$797,"REVIEW")=0,COUNTIFS($B$6:$B$797,B87,$C$6:$C$797,C87,$H$6:$H$797,1)=11,COUNTIFS($B$6:$B$797,B87,$C$6:$C$797,C87,$F$6:$F$797,"&gt;0")=11),1,0)</x:f>
        <x:v>1</x:v>
      </x:c>
    </x:row>
    <x:row r="88" ht="22" customHeight="1">
      <x:c r="A88" s="2" t="str">
        <x:v>61091000_MM_202508_IMPORT</x:v>
      </x:c>
      <x:c r="B88" s="2" t="n">
        <x:v>202508</x:v>
      </x:c>
      <x:c r="C88" s="2" t="str">
        <x:v>61091000</x:v>
      </x:c>
      <x:c r="D88" s="2" t="str">
        <x:v>Myanmar</x:v>
      </x:c>
      <x:c r="E88" s="14" t="n">
        <x:v>1457</x:v>
      </x:c>
      <x:c r="F88" s="14" t="n">
        <x:v>151</x:v>
      </x:c>
      <x:c r="G88" s="2" t="str">
        <x:v>WITHIN_BAND</x:v>
      </x:c>
      <x:c r="H88" s="2" t="n">
        <x:v>1</x:v>
      </x:c>
      <x:c r="I88" s="2" t="n">
        <x:f>IF(AND(COUNTIFS($B$6:$B$797,B88,$C$6:$C$797,C88)=11,COUNTIFS($B$6:$B$797,B88,$C$6:$C$797,C88,$G$6:$G$797,"REVIEW")=0,COUNTIFS($B$6:$B$797,B88,$C$6:$C$797,C88,$H$6:$H$797,1)=11,COUNTIFS($B$6:$B$797,B88,$C$6:$C$797,C88,$F$6:$F$797,"&gt;0")=11),1,0)</x:f>
        <x:v>1</x:v>
      </x:c>
    </x:row>
    <x:row r="89" ht="22" customHeight="1">
      <x:c r="A89" s="2" t="str">
        <x:v>61091000_PK_202508_IMPORT</x:v>
      </x:c>
      <x:c r="B89" s="2" t="n">
        <x:v>202508</x:v>
      </x:c>
      <x:c r="C89" s="2" t="str">
        <x:v>61091000</x:v>
      </x:c>
      <x:c r="D89" s="2" t="str">
        <x:v>Pakistan</x:v>
      </x:c>
      <x:c r="E89" s="14" t="n">
        <x:v>3497808</x:v>
      </x:c>
      <x:c r="F89" s="14" t="n">
        <x:v>491153</x:v>
      </x:c>
      <x:c r="G89" s="2" t="str">
        <x:v>WITHIN_BAND</x:v>
      </x:c>
      <x:c r="H89" s="2" t="n">
        <x:v>1</x:v>
      </x:c>
      <x:c r="I89" s="2" t="n">
        <x:f>IF(AND(COUNTIFS($B$6:$B$797,B89,$C$6:$C$797,C89)=11,COUNTIFS($B$6:$B$797,B89,$C$6:$C$797,C89,$G$6:$G$797,"REVIEW")=0,COUNTIFS($B$6:$B$797,B89,$C$6:$C$797,C89,$H$6:$H$797,1)=11,COUNTIFS($B$6:$B$797,B89,$C$6:$C$797,C89,$F$6:$F$797,"&gt;0")=11),1,0)</x:f>
        <x:v>1</x:v>
      </x:c>
    </x:row>
    <x:row r="90" ht="22" customHeight="1">
      <x:c r="A90" s="2" t="str">
        <x:v>61091000_LK_202508_IMPORT</x:v>
      </x:c>
      <x:c r="B90" s="2" t="n">
        <x:v>202508</x:v>
      </x:c>
      <x:c r="C90" s="2" t="str">
        <x:v>61091000</x:v>
      </x:c>
      <x:c r="D90" s="2" t="str">
        <x:v>Sri Lanka</x:v>
      </x:c>
      <x:c r="E90" s="14" t="n">
        <x:v>2177003</x:v>
      </x:c>
      <x:c r="F90" s="14" t="n">
        <x:v>238763</x:v>
      </x:c>
      <x:c r="G90" s="2" t="str">
        <x:v>WITHIN_BAND</x:v>
      </x:c>
      <x:c r="H90" s="2" t="n">
        <x:v>1</x:v>
      </x:c>
      <x:c r="I90" s="2" t="n">
        <x:f>IF(AND(COUNTIFS($B$6:$B$797,B90,$C$6:$C$797,C90)=11,COUNTIFS($B$6:$B$797,B90,$C$6:$C$797,C90,$G$6:$G$797,"REVIEW")=0,COUNTIFS($B$6:$B$797,B90,$C$6:$C$797,C90,$H$6:$H$797,1)=11,COUNTIFS($B$6:$B$797,B90,$C$6:$C$797,C90,$F$6:$F$797,"&gt;0")=11),1,0)</x:f>
        <x:v>1</x:v>
      </x:c>
    </x:row>
    <x:row r="91" ht="22" customHeight="1">
      <x:c r="A91" s="2" t="str">
        <x:v>61091000_TR_202508_IMPORT</x:v>
      </x:c>
      <x:c r="B91" s="2" t="n">
        <x:v>202508</x:v>
      </x:c>
      <x:c r="C91" s="2" t="str">
        <x:v>61091000</x:v>
      </x:c>
      <x:c r="D91" s="2" t="str">
        <x:v>Turkey</x:v>
      </x:c>
      <x:c r="E91" s="14" t="n">
        <x:v>9808895</x:v>
      </x:c>
      <x:c r="F91" s="14" t="n">
        <x:v>443559</x:v>
      </x:c>
      <x:c r="G91" s="2" t="str">
        <x:v>WITHIN_BAND</x:v>
      </x:c>
      <x:c r="H91" s="2" t="n">
        <x:v>1</x:v>
      </x:c>
      <x:c r="I91" s="2" t="n">
        <x:f>IF(AND(COUNTIFS($B$6:$B$797,B91,$C$6:$C$797,C91)=11,COUNTIFS($B$6:$B$797,B91,$C$6:$C$797,C91,$G$6:$G$797,"REVIEW")=0,COUNTIFS($B$6:$B$797,B91,$C$6:$C$797,C91,$H$6:$H$797,1)=11,COUNTIFS($B$6:$B$797,B91,$C$6:$C$797,C91,$F$6:$F$797,"&gt;0")=11),1,0)</x:f>
        <x:v>1</x:v>
      </x:c>
    </x:row>
    <x:row r="92" ht="22" customHeight="1">
      <x:c r="A92" s="2" t="str">
        <x:v>61091000_VN_202508_IMPORT</x:v>
      </x:c>
      <x:c r="B92" s="2" t="n">
        <x:v>202508</x:v>
      </x:c>
      <x:c r="C92" s="2" t="str">
        <x:v>61091000</x:v>
      </x:c>
      <x:c r="D92" s="2" t="str">
        <x:v>Vietnam</x:v>
      </x:c>
      <x:c r="E92" s="14" t="n">
        <x:v>1875536</x:v>
      </x:c>
      <x:c r="F92" s="14" t="n">
        <x:v>103558</x:v>
      </x:c>
      <x:c r="G92" s="2" t="str">
        <x:v>WITHIN_BAND</x:v>
      </x:c>
      <x:c r="H92" s="2" t="n">
        <x:v>1</x:v>
      </x:c>
      <x:c r="I92" s="2" t="n">
        <x:f>IF(AND(COUNTIFS($B$6:$B$797,B92,$C$6:$C$797,C92)=11,COUNTIFS($B$6:$B$797,B92,$C$6:$C$797,C92,$G$6:$G$797,"REVIEW")=0,COUNTIFS($B$6:$B$797,B92,$C$6:$C$797,C92,$H$6:$H$797,1)=11,COUNTIFS($B$6:$B$797,B92,$C$6:$C$797,C92,$F$6:$F$797,"&gt;0")=11),1,0)</x:f>
        <x:v>1</x:v>
      </x:c>
    </x:row>
    <x:row r="93" ht="22" customHeight="1">
      <x:c r="A93" s="2" t="str">
        <x:v>61091000_WORLD_202508_IMPORT</x:v>
      </x:c>
      <x:c r="B93" s="2" t="n">
        <x:v>202508</x:v>
      </x:c>
      <x:c r="C93" s="2" t="str">
        <x:v>61091000</x:v>
      </x:c>
      <x:c r="D93" s="2" t="str">
        <x:v>World</x:v>
      </x:c>
      <x:c r="E93" s="14" t="n">
        <x:v>93012938</x:v>
      </x:c>
      <x:c r="F93" s="14" t="n">
        <x:v>6308421</x:v>
      </x:c>
      <x:c r="G93" s="2" t="str">
        <x:v>WITHIN_BAND</x:v>
      </x:c>
      <x:c r="H93" s="2" t="n">
        <x:v>1</x:v>
      </x:c>
      <x:c r="I93" s="2" t="n">
        <x:f>IF(AND(COUNTIFS($B$6:$B$797,B93,$C$6:$C$797,C93)=11,COUNTIFS($B$6:$B$797,B93,$C$6:$C$797,C93,$G$6:$G$797,"REVIEW")=0,COUNTIFS($B$6:$B$797,B93,$C$6:$C$797,C93,$H$6:$H$797,1)=11,COUNTIFS($B$6:$B$797,B93,$C$6:$C$797,C93,$F$6:$F$797,"&gt;0")=11),1,0)</x:f>
        <x:v>1</x:v>
      </x:c>
    </x:row>
    <x:row r="94" ht="22" customHeight="1">
      <x:c r="A94" s="2" t="str">
        <x:v>61091000_BD_202509_IMPORT</x:v>
      </x:c>
      <x:c r="B94" s="2" t="n">
        <x:v>202509</x:v>
      </x:c>
      <x:c r="C94" s="2" t="str">
        <x:v>61091000</x:v>
      </x:c>
      <x:c r="D94" s="2" t="str">
        <x:v>Bangladesh</x:v>
      </x:c>
      <x:c r="E94" s="14" t="n">
        <x:v>35881271</x:v>
      </x:c>
      <x:c r="F94" s="14" t="n">
        <x:v>3674947</x:v>
      </x:c>
      <x:c r="G94" s="2" t="str">
        <x:v>WITHIN_BAND</x:v>
      </x:c>
      <x:c r="H94" s="2" t="n">
        <x:v>1</x:v>
      </x:c>
      <x:c r="I94" s="2" t="n">
        <x:f>IF(AND(COUNTIFS($B$6:$B$797,B94,$C$6:$C$797,C94)=11,COUNTIFS($B$6:$B$797,B94,$C$6:$C$797,C94,$G$6:$G$797,"REVIEW")=0,COUNTIFS($B$6:$B$797,B94,$C$6:$C$797,C94,$H$6:$H$797,1)=11,COUNTIFS($B$6:$B$797,B94,$C$6:$C$797,C94,$F$6:$F$797,"&gt;0")=11),1,0)</x:f>
        <x:v>1</x:v>
      </x:c>
    </x:row>
    <x:row r="95" ht="22" customHeight="1">
      <x:c r="A95" s="2" t="str">
        <x:v>61091000_KH_202509_IMPORT</x:v>
      </x:c>
      <x:c r="B95" s="2" t="n">
        <x:v>202509</x:v>
      </x:c>
      <x:c r="C95" s="2" t="str">
        <x:v>61091000</x:v>
      </x:c>
      <x:c r="D95" s="2" t="str">
        <x:v>Cambodia</x:v>
      </x:c>
      <x:c r="E95" s="14" t="n">
        <x:v>732565</x:v>
      </x:c>
      <x:c r="F95" s="14" t="n">
        <x:v>36414</x:v>
      </x:c>
      <x:c r="G95" s="2" t="str">
        <x:v>WITHIN_BAND</x:v>
      </x:c>
      <x:c r="H95" s="2" t="n">
        <x:v>1</x:v>
      </x:c>
      <x:c r="I95" s="2" t="n">
        <x:f>IF(AND(COUNTIFS($B$6:$B$797,B95,$C$6:$C$797,C95)=11,COUNTIFS($B$6:$B$797,B95,$C$6:$C$797,C95,$G$6:$G$797,"REVIEW")=0,COUNTIFS($B$6:$B$797,B95,$C$6:$C$797,C95,$H$6:$H$797,1)=11,COUNTIFS($B$6:$B$797,B95,$C$6:$C$797,C95,$F$6:$F$797,"&gt;0")=11),1,0)</x:f>
        <x:v>1</x:v>
      </x:c>
    </x:row>
    <x:row r="96" ht="22" customHeight="1">
      <x:c r="A96" s="2" t="str">
        <x:v>61091000_CN_202509_IMPORT</x:v>
      </x:c>
      <x:c r="B96" s="2" t="n">
        <x:v>202509</x:v>
      </x:c>
      <x:c r="C96" s="2" t="str">
        <x:v>61091000</x:v>
      </x:c>
      <x:c r="D96" s="2" t="str">
        <x:v>China</x:v>
      </x:c>
      <x:c r="E96" s="14" t="n">
        <x:v>2169584</x:v>
      </x:c>
      <x:c r="F96" s="14" t="n">
        <x:v>139734</x:v>
      </x:c>
      <x:c r="G96" s="2" t="str">
        <x:v>WITHIN_BAND</x:v>
      </x:c>
      <x:c r="H96" s="2" t="n">
        <x:v>1</x:v>
      </x:c>
      <x:c r="I96" s="2" t="n">
        <x:f>IF(AND(COUNTIFS($B$6:$B$797,B96,$C$6:$C$797,C96)=11,COUNTIFS($B$6:$B$797,B96,$C$6:$C$797,C96,$G$6:$G$797,"REVIEW")=0,COUNTIFS($B$6:$B$797,B96,$C$6:$C$797,C96,$H$6:$H$797,1)=11,COUNTIFS($B$6:$B$797,B96,$C$6:$C$797,C96,$F$6:$F$797,"&gt;0")=11),1,0)</x:f>
        <x:v>1</x:v>
      </x:c>
    </x:row>
    <x:row r="97" ht="22" customHeight="1">
      <x:c r="A97" s="2" t="str">
        <x:v>61091000_IN_202509_IMPORT</x:v>
      </x:c>
      <x:c r="B97" s="2" t="n">
        <x:v>202509</x:v>
      </x:c>
      <x:c r="C97" s="2" t="str">
        <x:v>61091000</x:v>
      </x:c>
      <x:c r="D97" s="2" t="str">
        <x:v>India</x:v>
      </x:c>
      <x:c r="E97" s="14" t="n">
        <x:v>7648799</x:v>
      </x:c>
      <x:c r="F97" s="14" t="n">
        <x:v>614177</x:v>
      </x:c>
      <x:c r="G97" s="2" t="str">
        <x:v>WITHIN_BAND</x:v>
      </x:c>
      <x:c r="H97" s="2" t="n">
        <x:v>1</x:v>
      </x:c>
      <x:c r="I97" s="2" t="n">
        <x:f>IF(AND(COUNTIFS($B$6:$B$797,B97,$C$6:$C$797,C97)=11,COUNTIFS($B$6:$B$797,B97,$C$6:$C$797,C97,$G$6:$G$797,"REVIEW")=0,COUNTIFS($B$6:$B$797,B97,$C$6:$C$797,C97,$H$6:$H$797,1)=11,COUNTIFS($B$6:$B$797,B97,$C$6:$C$797,C97,$F$6:$F$797,"&gt;0")=11),1,0)</x:f>
        <x:v>1</x:v>
      </x:c>
    </x:row>
    <x:row r="98" ht="22" customHeight="1">
      <x:c r="A98" s="2" t="str">
        <x:v>61091000_MA_202509_IMPORT</x:v>
      </x:c>
      <x:c r="B98" s="2" t="n">
        <x:v>202509</x:v>
      </x:c>
      <x:c r="C98" s="2" t="str">
        <x:v>61091000</x:v>
      </x:c>
      <x:c r="D98" s="2" t="str">
        <x:v>Morocco</x:v>
      </x:c>
      <x:c r="E98" s="14" t="n">
        <x:v>1260971</x:v>
      </x:c>
      <x:c r="F98" s="14" t="n">
        <x:v>149520</x:v>
      </x:c>
      <x:c r="G98" s="2" t="str">
        <x:v>WITHIN_BAND</x:v>
      </x:c>
      <x:c r="H98" s="2" t="n">
        <x:v>1</x:v>
      </x:c>
      <x:c r="I98" s="2" t="n">
        <x:f>IF(AND(COUNTIFS($B$6:$B$797,B98,$C$6:$C$797,C98)=11,COUNTIFS($B$6:$B$797,B98,$C$6:$C$797,C98,$G$6:$G$797,"REVIEW")=0,COUNTIFS($B$6:$B$797,B98,$C$6:$C$797,C98,$H$6:$H$797,1)=11,COUNTIFS($B$6:$B$797,B98,$C$6:$C$797,C98,$F$6:$F$797,"&gt;0")=11),1,0)</x:f>
        <x:v>1</x:v>
      </x:c>
    </x:row>
    <x:row r="99" ht="22" customHeight="1">
      <x:c r="A99" s="2" t="str">
        <x:v>61091000_MM_202509_IMPORT</x:v>
      </x:c>
      <x:c r="B99" s="2" t="n">
        <x:v>202509</x:v>
      </x:c>
      <x:c r="C99" s="2" t="str">
        <x:v>61091000</x:v>
      </x:c>
      <x:c r="D99" s="2" t="str">
        <x:v>Myanmar</x:v>
      </x:c>
      <x:c r="E99" s="14" t="n">
        <x:v>1263</x:v>
      </x:c>
      <x:c r="F99" s="14" t="n">
        <x:v>151</x:v>
      </x:c>
      <x:c r="G99" s="2" t="str">
        <x:v>WITHIN_BAND</x:v>
      </x:c>
      <x:c r="H99" s="2" t="n">
        <x:v>1</x:v>
      </x:c>
      <x:c r="I99" s="2" t="n">
        <x:f>IF(AND(COUNTIFS($B$6:$B$797,B99,$C$6:$C$797,C99)=11,COUNTIFS($B$6:$B$797,B99,$C$6:$C$797,C99,$G$6:$G$797,"REVIEW")=0,COUNTIFS($B$6:$B$797,B99,$C$6:$C$797,C99,$H$6:$H$797,1)=11,COUNTIFS($B$6:$B$797,B99,$C$6:$C$797,C99,$F$6:$F$797,"&gt;0")=11),1,0)</x:f>
        <x:v>1</x:v>
      </x:c>
    </x:row>
    <x:row r="100" ht="22" customHeight="1">
      <x:c r="A100" s="2" t="str">
        <x:v>61091000_PK_202509_IMPORT</x:v>
      </x:c>
      <x:c r="B100" s="2" t="n">
        <x:v>202509</x:v>
      </x:c>
      <x:c r="C100" s="2" t="str">
        <x:v>61091000</x:v>
      </x:c>
      <x:c r="D100" s="2" t="str">
        <x:v>Pakistan</x:v>
      </x:c>
      <x:c r="E100" s="14" t="n">
        <x:v>3116735</x:v>
      </x:c>
      <x:c r="F100" s="14" t="n">
        <x:v>285833</x:v>
      </x:c>
      <x:c r="G100" s="2" t="str">
        <x:v>WITHIN_BAND</x:v>
      </x:c>
      <x:c r="H100" s="2" t="n">
        <x:v>1</x:v>
      </x:c>
      <x:c r="I100" s="2" t="n">
        <x:f>IF(AND(COUNTIFS($B$6:$B$797,B100,$C$6:$C$797,C100)=11,COUNTIFS($B$6:$B$797,B100,$C$6:$C$797,C100,$G$6:$G$797,"REVIEW")=0,COUNTIFS($B$6:$B$797,B100,$C$6:$C$797,C100,$H$6:$H$797,1)=11,COUNTIFS($B$6:$B$797,B100,$C$6:$C$797,C100,$F$6:$F$797,"&gt;0")=11),1,0)</x:f>
        <x:v>1</x:v>
      </x:c>
    </x:row>
    <x:row r="101" ht="22" customHeight="1">
      <x:c r="A101" s="2" t="str">
        <x:v>61091000_LK_202509_IMPORT</x:v>
      </x:c>
      <x:c r="B101" s="2" t="n">
        <x:v>202509</x:v>
      </x:c>
      <x:c r="C101" s="2" t="str">
        <x:v>61091000</x:v>
      </x:c>
      <x:c r="D101" s="2" t="str">
        <x:v>Sri Lanka</x:v>
      </x:c>
      <x:c r="E101" s="14" t="n">
        <x:v>1281010</x:v>
      </x:c>
      <x:c r="F101" s="14" t="n">
        <x:v>113144</x:v>
      </x:c>
      <x:c r="G101" s="2" t="str">
        <x:v>WITHIN_BAND</x:v>
      </x:c>
      <x:c r="H101" s="2" t="n">
        <x:v>1</x:v>
      </x:c>
      <x:c r="I101" s="2" t="n">
        <x:f>IF(AND(COUNTIFS($B$6:$B$797,B101,$C$6:$C$797,C101)=11,COUNTIFS($B$6:$B$797,B101,$C$6:$C$797,C101,$G$6:$G$797,"REVIEW")=0,COUNTIFS($B$6:$B$797,B101,$C$6:$C$797,C101,$H$6:$H$797,1)=11,COUNTIFS($B$6:$B$797,B101,$C$6:$C$797,C101,$F$6:$F$797,"&gt;0")=11),1,0)</x:f>
        <x:v>1</x:v>
      </x:c>
    </x:row>
    <x:row r="102" ht="22" customHeight="1">
      <x:c r="A102" s="2" t="str">
        <x:v>61091000_TR_202509_IMPORT</x:v>
      </x:c>
      <x:c r="B102" s="2" t="n">
        <x:v>202509</x:v>
      </x:c>
      <x:c r="C102" s="2" t="str">
        <x:v>61091000</x:v>
      </x:c>
      <x:c r="D102" s="2" t="str">
        <x:v>Turkey</x:v>
      </x:c>
      <x:c r="E102" s="14" t="n">
        <x:v>8273950</x:v>
      </x:c>
      <x:c r="F102" s="14" t="n">
        <x:v>431723</x:v>
      </x:c>
      <x:c r="G102" s="2" t="str">
        <x:v>WITHIN_BAND</x:v>
      </x:c>
      <x:c r="H102" s="2" t="n">
        <x:v>1</x:v>
      </x:c>
      <x:c r="I102" s="2" t="n">
        <x:f>IF(AND(COUNTIFS($B$6:$B$797,B102,$C$6:$C$797,C102)=11,COUNTIFS($B$6:$B$797,B102,$C$6:$C$797,C102,$G$6:$G$797,"REVIEW")=0,COUNTIFS($B$6:$B$797,B102,$C$6:$C$797,C102,$H$6:$H$797,1)=11,COUNTIFS($B$6:$B$797,B102,$C$6:$C$797,C102,$F$6:$F$797,"&gt;0")=11),1,0)</x:f>
        <x:v>1</x:v>
      </x:c>
    </x:row>
    <x:row r="103" ht="22" customHeight="1">
      <x:c r="A103" s="2" t="str">
        <x:v>61091000_VN_202509_IMPORT</x:v>
      </x:c>
      <x:c r="B103" s="2" t="n">
        <x:v>202509</x:v>
      </x:c>
      <x:c r="C103" s="2" t="str">
        <x:v>61091000</x:v>
      </x:c>
      <x:c r="D103" s="2" t="str">
        <x:v>Vietnam</x:v>
      </x:c>
      <x:c r="E103" s="14" t="n">
        <x:v>1502846</x:v>
      </x:c>
      <x:c r="F103" s="14" t="n">
        <x:v>60217</x:v>
      </x:c>
      <x:c r="G103" s="2" t="str">
        <x:v>WITHIN_BAND</x:v>
      </x:c>
      <x:c r="H103" s="2" t="n">
        <x:v>1</x:v>
      </x:c>
      <x:c r="I103" s="2" t="n">
        <x:f>IF(AND(COUNTIFS($B$6:$B$797,B103,$C$6:$C$797,C103)=11,COUNTIFS($B$6:$B$797,B103,$C$6:$C$797,C103,$G$6:$G$797,"REVIEW")=0,COUNTIFS($B$6:$B$797,B103,$C$6:$C$797,C103,$H$6:$H$797,1)=11,COUNTIFS($B$6:$B$797,B103,$C$6:$C$797,C103,$F$6:$F$797,"&gt;0")=11),1,0)</x:f>
        <x:v>1</x:v>
      </x:c>
    </x:row>
    <x:row r="104" ht="22" customHeight="1">
      <x:c r="A104" s="2" t="str">
        <x:v>61091000_WORLD_202509_IMPORT</x:v>
      </x:c>
      <x:c r="B104" s="2" t="n">
        <x:v>202509</x:v>
      </x:c>
      <x:c r="C104" s="2" t="str">
        <x:v>61091000</x:v>
      </x:c>
      <x:c r="D104" s="2" t="str">
        <x:v>World</x:v>
      </x:c>
      <x:c r="E104" s="14" t="n">
        <x:v>92852108</x:v>
      </x:c>
      <x:c r="F104" s="14" t="n">
        <x:v>7059358</x:v>
      </x:c>
      <x:c r="G104" s="2" t="str">
        <x:v>WITHIN_BAND</x:v>
      </x:c>
      <x:c r="H104" s="2" t="n">
        <x:v>1</x:v>
      </x:c>
      <x:c r="I104" s="2" t="n">
        <x:f>IF(AND(COUNTIFS($B$6:$B$797,B104,$C$6:$C$797,C104)=11,COUNTIFS($B$6:$B$797,B104,$C$6:$C$797,C104,$G$6:$G$797,"REVIEW")=0,COUNTIFS($B$6:$B$797,B104,$C$6:$C$797,C104,$H$6:$H$797,1)=11,COUNTIFS($B$6:$B$797,B104,$C$6:$C$797,C104,$F$6:$F$797,"&gt;0")=11),1,0)</x:f>
        <x:v>1</x:v>
      </x:c>
    </x:row>
    <x:row r="105" ht="22" customHeight="1">
      <x:c r="A105" s="2" t="str">
        <x:v>61091000_BD_202510_IMPORT</x:v>
      </x:c>
      <x:c r="B105" s="2" t="n">
        <x:v>202510</x:v>
      </x:c>
      <x:c r="C105" s="2" t="str">
        <x:v>61091000</x:v>
      </x:c>
      <x:c r="D105" s="2" t="str">
        <x:v>Bangladesh</x:v>
      </x:c>
      <x:c r="E105" s="14" t="n">
        <x:v>33462332</x:v>
      </x:c>
      <x:c r="F105" s="14" t="n">
        <x:v>3276421</x:v>
      </x:c>
      <x:c r="G105" s="2" t="str">
        <x:v>WITHIN_BAND</x:v>
      </x:c>
      <x:c r="H105" s="2" t="n">
        <x:v>1</x:v>
      </x:c>
      <x:c r="I105" s="2" t="n">
        <x:f>IF(AND(COUNTIFS($B$6:$B$797,B105,$C$6:$C$797,C105)=11,COUNTIFS($B$6:$B$797,B105,$C$6:$C$797,C105,$G$6:$G$797,"REVIEW")=0,COUNTIFS($B$6:$B$797,B105,$C$6:$C$797,C105,$H$6:$H$797,1)=11,COUNTIFS($B$6:$B$797,B105,$C$6:$C$797,C105,$F$6:$F$797,"&gt;0")=11),1,0)</x:f>
        <x:v>1</x:v>
      </x:c>
    </x:row>
    <x:row r="106" ht="22" customHeight="1">
      <x:c r="A106" s="2" t="str">
        <x:v>61091000_KH_202510_IMPORT</x:v>
      </x:c>
      <x:c r="B106" s="2" t="n">
        <x:v>202510</x:v>
      </x:c>
      <x:c r="C106" s="2" t="str">
        <x:v>61091000</x:v>
      </x:c>
      <x:c r="D106" s="2" t="str">
        <x:v>Cambodia</x:v>
      </x:c>
      <x:c r="E106" s="14" t="n">
        <x:v>1407919</x:v>
      </x:c>
      <x:c r="F106" s="14" t="n">
        <x:v>60511</x:v>
      </x:c>
      <x:c r="G106" s="2" t="str">
        <x:v>WITHIN_BAND</x:v>
      </x:c>
      <x:c r="H106" s="2" t="n">
        <x:v>1</x:v>
      </x:c>
      <x:c r="I106" s="2" t="n">
        <x:f>IF(AND(COUNTIFS($B$6:$B$797,B106,$C$6:$C$797,C106)=11,COUNTIFS($B$6:$B$797,B106,$C$6:$C$797,C106,$G$6:$G$797,"REVIEW")=0,COUNTIFS($B$6:$B$797,B106,$C$6:$C$797,C106,$H$6:$H$797,1)=11,COUNTIFS($B$6:$B$797,B106,$C$6:$C$797,C106,$F$6:$F$797,"&gt;0")=11),1,0)</x:f>
        <x:v>1</x:v>
      </x:c>
    </x:row>
    <x:row r="107" ht="22" customHeight="1">
      <x:c r="A107" s="2" t="str">
        <x:v>61091000_CN_202510_IMPORT</x:v>
      </x:c>
      <x:c r="B107" s="2" t="n">
        <x:v>202510</x:v>
      </x:c>
      <x:c r="C107" s="2" t="str">
        <x:v>61091000</x:v>
      </x:c>
      <x:c r="D107" s="2" t="str">
        <x:v>China</x:v>
      </x:c>
      <x:c r="E107" s="14" t="n">
        <x:v>3385435</x:v>
      </x:c>
      <x:c r="F107" s="14" t="n">
        <x:v>203612</x:v>
      </x:c>
      <x:c r="G107" s="2" t="str">
        <x:v>WITHIN_BAND</x:v>
      </x:c>
      <x:c r="H107" s="2" t="n">
        <x:v>1</x:v>
      </x:c>
      <x:c r="I107" s="2" t="n">
        <x:f>IF(AND(COUNTIFS($B$6:$B$797,B107,$C$6:$C$797,C107)=11,COUNTIFS($B$6:$B$797,B107,$C$6:$C$797,C107,$G$6:$G$797,"REVIEW")=0,COUNTIFS($B$6:$B$797,B107,$C$6:$C$797,C107,$H$6:$H$797,1)=11,COUNTIFS($B$6:$B$797,B107,$C$6:$C$797,C107,$F$6:$F$797,"&gt;0")=11),1,0)</x:f>
        <x:v>1</x:v>
      </x:c>
    </x:row>
    <x:row r="108" ht="22" customHeight="1">
      <x:c r="A108" s="2" t="str">
        <x:v>61091000_IN_202510_IMPORT</x:v>
      </x:c>
      <x:c r="B108" s="2" t="n">
        <x:v>202510</x:v>
      </x:c>
      <x:c r="C108" s="2" t="str">
        <x:v>61091000</x:v>
      </x:c>
      <x:c r="D108" s="2" t="str">
        <x:v>India</x:v>
      </x:c>
      <x:c r="E108" s="14" t="n">
        <x:v>7590084</x:v>
      </x:c>
      <x:c r="F108" s="14" t="n">
        <x:v>611634</x:v>
      </x:c>
      <x:c r="G108" s="2" t="str">
        <x:v>WITHIN_BAND</x:v>
      </x:c>
      <x:c r="H108" s="2" t="n">
        <x:v>1</x:v>
      </x:c>
      <x:c r="I108" s="2" t="n">
        <x:f>IF(AND(COUNTIFS($B$6:$B$797,B108,$C$6:$C$797,C108)=11,COUNTIFS($B$6:$B$797,B108,$C$6:$C$797,C108,$G$6:$G$797,"REVIEW")=0,COUNTIFS($B$6:$B$797,B108,$C$6:$C$797,C108,$H$6:$H$797,1)=11,COUNTIFS($B$6:$B$797,B108,$C$6:$C$797,C108,$F$6:$F$797,"&gt;0")=11),1,0)</x:f>
        <x:v>1</x:v>
      </x:c>
    </x:row>
    <x:row r="109" ht="22" customHeight="1">
      <x:c r="A109" s="2" t="str">
        <x:v>61091000_MA_202510_IMPORT</x:v>
      </x:c>
      <x:c r="B109" s="2" t="n">
        <x:v>202510</x:v>
      </x:c>
      <x:c r="C109" s="2" t="str">
        <x:v>61091000</x:v>
      </x:c>
      <x:c r="D109" s="2" t="str">
        <x:v>Morocco</x:v>
      </x:c>
      <x:c r="E109" s="14" t="n">
        <x:v>887550</x:v>
      </x:c>
      <x:c r="F109" s="14" t="n">
        <x:v>81521</x:v>
      </x:c>
      <x:c r="G109" s="2" t="str">
        <x:v>WITHIN_BAND</x:v>
      </x:c>
      <x:c r="H109" s="2" t="n">
        <x:v>1</x:v>
      </x:c>
      <x:c r="I109" s="2" t="n">
        <x:f>IF(AND(COUNTIFS($B$6:$B$797,B109,$C$6:$C$797,C109)=11,COUNTIFS($B$6:$B$797,B109,$C$6:$C$797,C109,$G$6:$G$797,"REVIEW")=0,COUNTIFS($B$6:$B$797,B109,$C$6:$C$797,C109,$H$6:$H$797,1)=11,COUNTIFS($B$6:$B$797,B109,$C$6:$C$797,C109,$F$6:$F$797,"&gt;0")=11),1,0)</x:f>
        <x:v>1</x:v>
      </x:c>
    </x:row>
    <x:row r="110" ht="22" customHeight="1">
      <x:c r="A110" s="2" t="str">
        <x:v>61091000_MM_202510_IMPORT</x:v>
      </x:c>
      <x:c r="B110" s="2" t="n">
        <x:v>202510</x:v>
      </x:c>
      <x:c r="C110" s="2" t="str">
        <x:v>61091000</x:v>
      </x:c>
      <x:c r="D110" s="2" t="str">
        <x:v>Myanmar</x:v>
      </x:c>
      <x:c r="E110" s="14" t="n">
        <x:v>17824</x:v>
      </x:c>
      <x:c r="F110" s="14" t="n">
        <x:v>1248</x:v>
      </x:c>
      <x:c r="G110" s="2" t="str">
        <x:v>WITHIN_BAND</x:v>
      </x:c>
      <x:c r="H110" s="2" t="n">
        <x:v>1</x:v>
      </x:c>
      <x:c r="I110" s="2" t="n">
        <x:f>IF(AND(COUNTIFS($B$6:$B$797,B110,$C$6:$C$797,C110)=11,COUNTIFS($B$6:$B$797,B110,$C$6:$C$797,C110,$G$6:$G$797,"REVIEW")=0,COUNTIFS($B$6:$B$797,B110,$C$6:$C$797,C110,$H$6:$H$797,1)=11,COUNTIFS($B$6:$B$797,B110,$C$6:$C$797,C110,$F$6:$F$797,"&gt;0")=11),1,0)</x:f>
        <x:v>1</x:v>
      </x:c>
    </x:row>
    <x:row r="111" ht="22" customHeight="1">
      <x:c r="A111" s="2" t="str">
        <x:v>61091000_PK_202510_IMPORT</x:v>
      </x:c>
      <x:c r="B111" s="2" t="n">
        <x:v>202510</x:v>
      </x:c>
      <x:c r="C111" s="2" t="str">
        <x:v>61091000</x:v>
      </x:c>
      <x:c r="D111" s="2" t="str">
        <x:v>Pakistan</x:v>
      </x:c>
      <x:c r="E111" s="14" t="n">
        <x:v>3660321</x:v>
      </x:c>
      <x:c r="F111" s="14" t="n">
        <x:v>303870</x:v>
      </x:c>
      <x:c r="G111" s="2" t="str">
        <x:v>WITHIN_BAND</x:v>
      </x:c>
      <x:c r="H111" s="2" t="n">
        <x:v>1</x:v>
      </x:c>
      <x:c r="I111" s="2" t="n">
        <x:f>IF(AND(COUNTIFS($B$6:$B$797,B111,$C$6:$C$797,C111)=11,COUNTIFS($B$6:$B$797,B111,$C$6:$C$797,C111,$G$6:$G$797,"REVIEW")=0,COUNTIFS($B$6:$B$797,B111,$C$6:$C$797,C111,$H$6:$H$797,1)=11,COUNTIFS($B$6:$B$797,B111,$C$6:$C$797,C111,$F$6:$F$797,"&gt;0")=11),1,0)</x:f>
        <x:v>1</x:v>
      </x:c>
    </x:row>
    <x:row r="112" ht="22" customHeight="1">
      <x:c r="A112" s="2" t="str">
        <x:v>61091000_LK_202510_IMPORT</x:v>
      </x:c>
      <x:c r="B112" s="2" t="n">
        <x:v>202510</x:v>
      </x:c>
      <x:c r="C112" s="2" t="str">
        <x:v>61091000</x:v>
      </x:c>
      <x:c r="D112" s="2" t="str">
        <x:v>Sri Lanka</x:v>
      </x:c>
      <x:c r="E112" s="14" t="n">
        <x:v>1630740</x:v>
      </x:c>
      <x:c r="F112" s="14" t="n">
        <x:v>202579</x:v>
      </x:c>
      <x:c r="G112" s="2" t="str">
        <x:v>WITHIN_BAND</x:v>
      </x:c>
      <x:c r="H112" s="2" t="n">
        <x:v>1</x:v>
      </x:c>
      <x:c r="I112" s="2" t="n">
        <x:f>IF(AND(COUNTIFS($B$6:$B$797,B112,$C$6:$C$797,C112)=11,COUNTIFS($B$6:$B$797,B112,$C$6:$C$797,C112,$G$6:$G$797,"REVIEW")=0,COUNTIFS($B$6:$B$797,B112,$C$6:$C$797,C112,$H$6:$H$797,1)=11,COUNTIFS($B$6:$B$797,B112,$C$6:$C$797,C112,$F$6:$F$797,"&gt;0")=11),1,0)</x:f>
        <x:v>1</x:v>
      </x:c>
    </x:row>
    <x:row r="113" ht="22" customHeight="1">
      <x:c r="A113" s="2" t="str">
        <x:v>61091000_TR_202510_IMPORT</x:v>
      </x:c>
      <x:c r="B113" s="2" t="n">
        <x:v>202510</x:v>
      </x:c>
      <x:c r="C113" s="2" t="str">
        <x:v>61091000</x:v>
      </x:c>
      <x:c r="D113" s="2" t="str">
        <x:v>Turkey</x:v>
      </x:c>
      <x:c r="E113" s="14" t="n">
        <x:v>7138599</x:v>
      </x:c>
      <x:c r="F113" s="14" t="n">
        <x:v>339530</x:v>
      </x:c>
      <x:c r="G113" s="2" t="str">
        <x:v>WITHIN_BAND</x:v>
      </x:c>
      <x:c r="H113" s="2" t="n">
        <x:v>1</x:v>
      </x:c>
      <x:c r="I113" s="2" t="n">
        <x:f>IF(AND(COUNTIFS($B$6:$B$797,B113,$C$6:$C$797,C113)=11,COUNTIFS($B$6:$B$797,B113,$C$6:$C$797,C113,$G$6:$G$797,"REVIEW")=0,COUNTIFS($B$6:$B$797,B113,$C$6:$C$797,C113,$H$6:$H$797,1)=11,COUNTIFS($B$6:$B$797,B113,$C$6:$C$797,C113,$F$6:$F$797,"&gt;0")=11),1,0)</x:f>
        <x:v>1</x:v>
      </x:c>
    </x:row>
    <x:row r="114" ht="22" customHeight="1">
      <x:c r="A114" s="2" t="str">
        <x:v>61091000_VN_202510_IMPORT</x:v>
      </x:c>
      <x:c r="B114" s="2" t="n">
        <x:v>202510</x:v>
      </x:c>
      <x:c r="C114" s="2" t="str">
        <x:v>61091000</x:v>
      </x:c>
      <x:c r="D114" s="2" t="str">
        <x:v>Vietnam</x:v>
      </x:c>
      <x:c r="E114" s="14" t="n">
        <x:v>984572</x:v>
      </x:c>
      <x:c r="F114" s="14" t="n">
        <x:v>48805</x:v>
      </x:c>
      <x:c r="G114" s="2" t="str">
        <x:v>WITHIN_BAND</x:v>
      </x:c>
      <x:c r="H114" s="2" t="n">
        <x:v>1</x:v>
      </x:c>
      <x:c r="I114" s="2" t="n">
        <x:f>IF(AND(COUNTIFS($B$6:$B$797,B114,$C$6:$C$797,C114)=11,COUNTIFS($B$6:$B$797,B114,$C$6:$C$797,C114,$G$6:$G$797,"REVIEW")=0,COUNTIFS($B$6:$B$797,B114,$C$6:$C$797,C114,$H$6:$H$797,1)=11,COUNTIFS($B$6:$B$797,B114,$C$6:$C$797,C114,$F$6:$F$797,"&gt;0")=11),1,0)</x:f>
        <x:v>1</x:v>
      </x:c>
    </x:row>
    <x:row r="115" ht="22" customHeight="1">
      <x:c r="A115" s="2" t="str">
        <x:v>61091000_WORLD_202510_IMPORT</x:v>
      </x:c>
      <x:c r="B115" s="2" t="n">
        <x:v>202510</x:v>
      </x:c>
      <x:c r="C115" s="2" t="str">
        <x:v>61091000</x:v>
      </x:c>
      <x:c r="D115" s="2" t="str">
        <x:v>World</x:v>
      </x:c>
      <x:c r="E115" s="14" t="n">
        <x:v>91915424</x:v>
      </x:c>
      <x:c r="F115" s="14" t="n">
        <x:v>6190983</x:v>
      </x:c>
      <x:c r="G115" s="2" t="str">
        <x:v>WITHIN_BAND</x:v>
      </x:c>
      <x:c r="H115" s="2" t="n">
        <x:v>1</x:v>
      </x:c>
      <x:c r="I115" s="2" t="n">
        <x:f>IF(AND(COUNTIFS($B$6:$B$797,B115,$C$6:$C$797,C115)=11,COUNTIFS($B$6:$B$797,B115,$C$6:$C$797,C115,$G$6:$G$797,"REVIEW")=0,COUNTIFS($B$6:$B$797,B115,$C$6:$C$797,C115,$H$6:$H$797,1)=11,COUNTIFS($B$6:$B$797,B115,$C$6:$C$797,C115,$F$6:$F$797,"&gt;0")=11),1,0)</x:f>
        <x:v>1</x:v>
      </x:c>
    </x:row>
    <x:row r="116" ht="22" customHeight="1">
      <x:c r="A116" s="2" t="str">
        <x:v>61091000_BD_202511_IMPORT</x:v>
      </x:c>
      <x:c r="B116" s="2" t="n">
        <x:v>202511</x:v>
      </x:c>
      <x:c r="C116" s="2" t="str">
        <x:v>61091000</x:v>
      </x:c>
      <x:c r="D116" s="2" t="str">
        <x:v>Bangladesh</x:v>
      </x:c>
      <x:c r="E116" s="14" t="n">
        <x:v>29640810</x:v>
      </x:c>
      <x:c r="F116" s="14" t="n">
        <x:v>3057922</x:v>
      </x:c>
      <x:c r="G116" s="2" t="str">
        <x:v>WITHIN_BAND</x:v>
      </x:c>
      <x:c r="H116" s="2" t="n">
        <x:v>1</x:v>
      </x:c>
      <x:c r="I116" s="2" t="n">
        <x:f>IF(AND(COUNTIFS($B$6:$B$797,B116,$C$6:$C$797,C116)=11,COUNTIFS($B$6:$B$797,B116,$C$6:$C$797,C116,$G$6:$G$797,"REVIEW")=0,COUNTIFS($B$6:$B$797,B116,$C$6:$C$797,C116,$H$6:$H$797,1)=11,COUNTIFS($B$6:$B$797,B116,$C$6:$C$797,C116,$F$6:$F$797,"&gt;0")=11),1,0)</x:f>
        <x:v>1</x:v>
      </x:c>
    </x:row>
    <x:row r="117" ht="22" customHeight="1">
      <x:c r="A117" s="2" t="str">
        <x:v>61091000_KH_202511_IMPORT</x:v>
      </x:c>
      <x:c r="B117" s="2" t="n">
        <x:v>202511</x:v>
      </x:c>
      <x:c r="C117" s="2" t="str">
        <x:v>61091000</x:v>
      </x:c>
      <x:c r="D117" s="2" t="str">
        <x:v>Cambodia</x:v>
      </x:c>
      <x:c r="E117" s="14" t="n">
        <x:v>590069</x:v>
      </x:c>
      <x:c r="F117" s="14" t="n">
        <x:v>28458</x:v>
      </x:c>
      <x:c r="G117" s="2" t="str">
        <x:v>WITHIN_BAND</x:v>
      </x:c>
      <x:c r="H117" s="2" t="n">
        <x:v>1</x:v>
      </x:c>
      <x:c r="I117" s="2" t="n">
        <x:f>IF(AND(COUNTIFS($B$6:$B$797,B117,$C$6:$C$797,C117)=11,COUNTIFS($B$6:$B$797,B117,$C$6:$C$797,C117,$G$6:$G$797,"REVIEW")=0,COUNTIFS($B$6:$B$797,B117,$C$6:$C$797,C117,$H$6:$H$797,1)=11,COUNTIFS($B$6:$B$797,B117,$C$6:$C$797,C117,$F$6:$F$797,"&gt;0")=11),1,0)</x:f>
        <x:v>1</x:v>
      </x:c>
    </x:row>
    <x:row r="118" ht="22" customHeight="1">
      <x:c r="A118" s="2" t="str">
        <x:v>61091000_CN_202511_IMPORT</x:v>
      </x:c>
      <x:c r="B118" s="2" t="n">
        <x:v>202511</x:v>
      </x:c>
      <x:c r="C118" s="2" t="str">
        <x:v>61091000</x:v>
      </x:c>
      <x:c r="D118" s="2" t="str">
        <x:v>China</x:v>
      </x:c>
      <x:c r="E118" s="14" t="n">
        <x:v>2550741</x:v>
      </x:c>
      <x:c r="F118" s="14" t="n">
        <x:v>160627</x:v>
      </x:c>
      <x:c r="G118" s="2" t="str">
        <x:v>WITHIN_BAND</x:v>
      </x:c>
      <x:c r="H118" s="2" t="n">
        <x:v>1</x:v>
      </x:c>
      <x:c r="I118" s="2" t="n">
        <x:f>IF(AND(COUNTIFS($B$6:$B$797,B118,$C$6:$C$797,C118)=11,COUNTIFS($B$6:$B$797,B118,$C$6:$C$797,C118,$G$6:$G$797,"REVIEW")=0,COUNTIFS($B$6:$B$797,B118,$C$6:$C$797,C118,$H$6:$H$797,1)=11,COUNTIFS($B$6:$B$797,B118,$C$6:$C$797,C118,$F$6:$F$797,"&gt;0")=11),1,0)</x:f>
        <x:v>1</x:v>
      </x:c>
    </x:row>
    <x:row r="119" ht="22" customHeight="1">
      <x:c r="A119" s="2" t="str">
        <x:v>61091000_IN_202511_IMPORT</x:v>
      </x:c>
      <x:c r="B119" s="2" t="n">
        <x:v>202511</x:v>
      </x:c>
      <x:c r="C119" s="2" t="str">
        <x:v>61091000</x:v>
      </x:c>
      <x:c r="D119" s="2" t="str">
        <x:v>India</x:v>
      </x:c>
      <x:c r="E119" s="14" t="n">
        <x:v>6214639</x:v>
      </x:c>
      <x:c r="F119" s="14" t="n">
        <x:v>512627</x:v>
      </x:c>
      <x:c r="G119" s="2" t="str">
        <x:v>WITHIN_BAND</x:v>
      </x:c>
      <x:c r="H119" s="2" t="n">
        <x:v>1</x:v>
      </x:c>
      <x:c r="I119" s="2" t="n">
        <x:f>IF(AND(COUNTIFS($B$6:$B$797,B119,$C$6:$C$797,C119)=11,COUNTIFS($B$6:$B$797,B119,$C$6:$C$797,C119,$G$6:$G$797,"REVIEW")=0,COUNTIFS($B$6:$B$797,B119,$C$6:$C$797,C119,$H$6:$H$797,1)=11,COUNTIFS($B$6:$B$797,B119,$C$6:$C$797,C119,$F$6:$F$797,"&gt;0")=11),1,0)</x:f>
        <x:v>1</x:v>
      </x:c>
    </x:row>
    <x:row r="120" ht="22" customHeight="1">
      <x:c r="A120" s="2" t="str">
        <x:v>61091000_MA_202511_IMPORT</x:v>
      </x:c>
      <x:c r="B120" s="2" t="n">
        <x:v>202511</x:v>
      </x:c>
      <x:c r="C120" s="2" t="str">
        <x:v>61091000</x:v>
      </x:c>
      <x:c r="D120" s="2" t="str">
        <x:v>Morocco</x:v>
      </x:c>
      <x:c r="E120" s="14" t="n">
        <x:v>873263</x:v>
      </x:c>
      <x:c r="F120" s="14" t="n">
        <x:v>105461</x:v>
      </x:c>
      <x:c r="G120" s="2" t="str">
        <x:v>WITHIN_BAND</x:v>
      </x:c>
      <x:c r="H120" s="2" t="n">
        <x:v>1</x:v>
      </x:c>
      <x:c r="I120" s="2" t="n">
        <x:f>IF(AND(COUNTIFS($B$6:$B$797,B120,$C$6:$C$797,C120)=11,COUNTIFS($B$6:$B$797,B120,$C$6:$C$797,C120,$G$6:$G$797,"REVIEW")=0,COUNTIFS($B$6:$B$797,B120,$C$6:$C$797,C120,$H$6:$H$797,1)=11,COUNTIFS($B$6:$B$797,B120,$C$6:$C$797,C120,$F$6:$F$797,"&gt;0")=11),1,0)</x:f>
        <x:v>1</x:v>
      </x:c>
    </x:row>
    <x:row r="121" ht="22" customHeight="1">
      <x:c r="A121" s="2" t="str">
        <x:v>61091000_MM_202511_IMPORT</x:v>
      </x:c>
      <x:c r="B121" s="2" t="n">
        <x:v>202511</x:v>
      </x:c>
      <x:c r="C121" s="2" t="str">
        <x:v>61091000</x:v>
      </x:c>
      <x:c r="D121" s="2" t="str">
        <x:v>Myanmar</x:v>
      </x:c>
      <x:c r="E121" s="14" t="n">
        <x:v>1255</x:v>
      </x:c>
      <x:c r="F121" s="14" t="n">
        <x:v>38</x:v>
      </x:c>
      <x:c r="G121" s="2" t="str">
        <x:v>WITHIN_BAND</x:v>
      </x:c>
      <x:c r="H121" s="2" t="n">
        <x:v>1</x:v>
      </x:c>
      <x:c r="I121" s="2" t="n">
        <x:f>IF(AND(COUNTIFS($B$6:$B$797,B121,$C$6:$C$797,C121)=11,COUNTIFS($B$6:$B$797,B121,$C$6:$C$797,C121,$G$6:$G$797,"REVIEW")=0,COUNTIFS($B$6:$B$797,B121,$C$6:$C$797,C121,$H$6:$H$797,1)=11,COUNTIFS($B$6:$B$797,B121,$C$6:$C$797,C121,$F$6:$F$797,"&gt;0")=11),1,0)</x:f>
        <x:v>1</x:v>
      </x:c>
    </x:row>
    <x:row r="122" ht="22" customHeight="1">
      <x:c r="A122" s="2" t="str">
        <x:v>61091000_PK_202511_IMPORT</x:v>
      </x:c>
      <x:c r="B122" s="2" t="n">
        <x:v>202511</x:v>
      </x:c>
      <x:c r="C122" s="2" t="str">
        <x:v>61091000</x:v>
      </x:c>
      <x:c r="D122" s="2" t="str">
        <x:v>Pakistan</x:v>
      </x:c>
      <x:c r="E122" s="14" t="n">
        <x:v>3103123</x:v>
      </x:c>
      <x:c r="F122" s="14" t="n">
        <x:v>282048</x:v>
      </x:c>
      <x:c r="G122" s="2" t="str">
        <x:v>WITHIN_BAND</x:v>
      </x:c>
      <x:c r="H122" s="2" t="n">
        <x:v>1</x:v>
      </x:c>
      <x:c r="I122" s="2" t="n">
        <x:f>IF(AND(COUNTIFS($B$6:$B$797,B122,$C$6:$C$797,C122)=11,COUNTIFS($B$6:$B$797,B122,$C$6:$C$797,C122,$G$6:$G$797,"REVIEW")=0,COUNTIFS($B$6:$B$797,B122,$C$6:$C$797,C122,$H$6:$H$797,1)=11,COUNTIFS($B$6:$B$797,B122,$C$6:$C$797,C122,$F$6:$F$797,"&gt;0")=11),1,0)</x:f>
        <x:v>1</x:v>
      </x:c>
    </x:row>
    <x:row r="123" ht="22" customHeight="1">
      <x:c r="A123" s="2" t="str">
        <x:v>61091000_LK_202511_IMPORT</x:v>
      </x:c>
      <x:c r="B123" s="2" t="n">
        <x:v>202511</x:v>
      </x:c>
      <x:c r="C123" s="2" t="str">
        <x:v>61091000</x:v>
      </x:c>
      <x:c r="D123" s="2" t="str">
        <x:v>Sri Lanka</x:v>
      </x:c>
      <x:c r="E123" s="14" t="n">
        <x:v>1394607</x:v>
      </x:c>
      <x:c r="F123" s="14" t="n">
        <x:v>148930</x:v>
      </x:c>
      <x:c r="G123" s="2" t="str">
        <x:v>WITHIN_BAND</x:v>
      </x:c>
      <x:c r="H123" s="2" t="n">
        <x:v>1</x:v>
      </x:c>
      <x:c r="I123" s="2" t="n">
        <x:f>IF(AND(COUNTIFS($B$6:$B$797,B123,$C$6:$C$797,C123)=11,COUNTIFS($B$6:$B$797,B123,$C$6:$C$797,C123,$G$6:$G$797,"REVIEW")=0,COUNTIFS($B$6:$B$797,B123,$C$6:$C$797,C123,$H$6:$H$797,1)=11,COUNTIFS($B$6:$B$797,B123,$C$6:$C$797,C123,$F$6:$F$797,"&gt;0")=11),1,0)</x:f>
        <x:v>1</x:v>
      </x:c>
    </x:row>
    <x:row r="124" ht="22" customHeight="1">
      <x:c r="A124" s="2" t="str">
        <x:v>61091000_TR_202511_IMPORT</x:v>
      </x:c>
      <x:c r="B124" s="2" t="n">
        <x:v>202511</x:v>
      </x:c>
      <x:c r="C124" s="2" t="str">
        <x:v>61091000</x:v>
      </x:c>
      <x:c r="D124" s="2" t="str">
        <x:v>Turkey</x:v>
      </x:c>
      <x:c r="E124" s="14" t="n">
        <x:v>6925124</x:v>
      </x:c>
      <x:c r="F124" s="14" t="n">
        <x:v>320155</x:v>
      </x:c>
      <x:c r="G124" s="2" t="str">
        <x:v>WITHIN_BAND</x:v>
      </x:c>
      <x:c r="H124" s="2" t="n">
        <x:v>1</x:v>
      </x:c>
      <x:c r="I124" s="2" t="n">
        <x:f>IF(AND(COUNTIFS($B$6:$B$797,B124,$C$6:$C$797,C124)=11,COUNTIFS($B$6:$B$797,B124,$C$6:$C$797,C124,$G$6:$G$797,"REVIEW")=0,COUNTIFS($B$6:$B$797,B124,$C$6:$C$797,C124,$H$6:$H$797,1)=11,COUNTIFS($B$6:$B$797,B124,$C$6:$C$797,C124,$F$6:$F$797,"&gt;0")=11),1,0)</x:f>
        <x:v>1</x:v>
      </x:c>
    </x:row>
    <x:row r="125" ht="22" customHeight="1">
      <x:c r="A125" s="2" t="str">
        <x:v>61091000_VN_202511_IMPORT</x:v>
      </x:c>
      <x:c r="B125" s="2" t="n">
        <x:v>202511</x:v>
      </x:c>
      <x:c r="C125" s="2" t="str">
        <x:v>61091000</x:v>
      </x:c>
      <x:c r="D125" s="2" t="str">
        <x:v>Vietnam</x:v>
      </x:c>
      <x:c r="E125" s="14" t="n">
        <x:v>1566407</x:v>
      </x:c>
      <x:c r="F125" s="14" t="n">
        <x:v>84622</x:v>
      </x:c>
      <x:c r="G125" s="2" t="str">
        <x:v>WITHIN_BAND</x:v>
      </x:c>
      <x:c r="H125" s="2" t="n">
        <x:v>1</x:v>
      </x:c>
      <x:c r="I125" s="2" t="n">
        <x:f>IF(AND(COUNTIFS($B$6:$B$797,B125,$C$6:$C$797,C125)=11,COUNTIFS($B$6:$B$797,B125,$C$6:$C$797,C125,$G$6:$G$797,"REVIEW")=0,COUNTIFS($B$6:$B$797,B125,$C$6:$C$797,C125,$H$6:$H$797,1)=11,COUNTIFS($B$6:$B$797,B125,$C$6:$C$797,C125,$F$6:$F$797,"&gt;0")=11),1,0)</x:f>
        <x:v>1</x:v>
      </x:c>
    </x:row>
    <x:row r="126" ht="22" customHeight="1">
      <x:c r="A126" s="2" t="str">
        <x:v>61091000_WORLD_202511_IMPORT</x:v>
      </x:c>
      <x:c r="B126" s="2" t="n">
        <x:v>202511</x:v>
      </x:c>
      <x:c r="C126" s="2" t="str">
        <x:v>61091000</x:v>
      </x:c>
      <x:c r="D126" s="2" t="str">
        <x:v>World</x:v>
      </x:c>
      <x:c r="E126" s="14" t="n">
        <x:v>80130554</x:v>
      </x:c>
      <x:c r="F126" s="14" t="n">
        <x:v>5606682</x:v>
      </x:c>
      <x:c r="G126" s="2" t="str">
        <x:v>WITHIN_BAND</x:v>
      </x:c>
      <x:c r="H126" s="2" t="n">
        <x:v>1</x:v>
      </x:c>
      <x:c r="I126" s="2" t="n">
        <x:f>IF(AND(COUNTIFS($B$6:$B$797,B126,$C$6:$C$797,C126)=11,COUNTIFS($B$6:$B$797,B126,$C$6:$C$797,C126,$G$6:$G$797,"REVIEW")=0,COUNTIFS($B$6:$B$797,B126,$C$6:$C$797,C126,$H$6:$H$797,1)=11,COUNTIFS($B$6:$B$797,B126,$C$6:$C$797,C126,$F$6:$F$797,"&gt;0")=11),1,0)</x:f>
        <x:v>1</x:v>
      </x:c>
    </x:row>
    <x:row r="127" ht="22" customHeight="1">
      <x:c r="A127" s="2" t="str">
        <x:v>61091000_BD_202512_IMPORT</x:v>
      </x:c>
      <x:c r="B127" s="2" t="n">
        <x:v>202512</x:v>
      </x:c>
      <x:c r="C127" s="2" t="str">
        <x:v>61091000</x:v>
      </x:c>
      <x:c r="D127" s="2" t="str">
        <x:v>Bangladesh</x:v>
      </x:c>
      <x:c r="E127" s="14" t="n">
        <x:v>28291120</x:v>
      </x:c>
      <x:c r="F127" s="14" t="n">
        <x:v>2733258</x:v>
      </x:c>
      <x:c r="G127" s="2" t="str">
        <x:v>WITHIN_BAND</x:v>
      </x:c>
      <x:c r="H127" s="2" t="n">
        <x:v>1</x:v>
      </x:c>
      <x:c r="I127" s="2" t="n">
        <x:f>IF(AND(COUNTIFS($B$6:$B$797,B127,$C$6:$C$797,C127)=11,COUNTIFS($B$6:$B$797,B127,$C$6:$C$797,C127,$G$6:$G$797,"REVIEW")=0,COUNTIFS($B$6:$B$797,B127,$C$6:$C$797,C127,$H$6:$H$797,1)=11,COUNTIFS($B$6:$B$797,B127,$C$6:$C$797,C127,$F$6:$F$797,"&gt;0")=11),1,0)</x:f>
        <x:v>1</x:v>
      </x:c>
    </x:row>
    <x:row r="128" ht="22" customHeight="1">
      <x:c r="A128" s="2" t="str">
        <x:v>61091000_KH_202512_IMPORT</x:v>
      </x:c>
      <x:c r="B128" s="2" t="n">
        <x:v>202512</x:v>
      </x:c>
      <x:c r="C128" s="2" t="str">
        <x:v>61091000</x:v>
      </x:c>
      <x:c r="D128" s="2" t="str">
        <x:v>Cambodia</x:v>
      </x:c>
      <x:c r="E128" s="14" t="n">
        <x:v>780857</x:v>
      </x:c>
      <x:c r="F128" s="14" t="n">
        <x:v>49281</x:v>
      </x:c>
      <x:c r="G128" s="2" t="str">
        <x:v>WITHIN_BAND</x:v>
      </x:c>
      <x:c r="H128" s="2" t="n">
        <x:v>1</x:v>
      </x:c>
      <x:c r="I128" s="2" t="n">
        <x:f>IF(AND(COUNTIFS($B$6:$B$797,B128,$C$6:$C$797,C128)=11,COUNTIFS($B$6:$B$797,B128,$C$6:$C$797,C128,$G$6:$G$797,"REVIEW")=0,COUNTIFS($B$6:$B$797,B128,$C$6:$C$797,C128,$H$6:$H$797,1)=11,COUNTIFS($B$6:$B$797,B128,$C$6:$C$797,C128,$F$6:$F$797,"&gt;0")=11),1,0)</x:f>
        <x:v>1</x:v>
      </x:c>
    </x:row>
    <x:row r="129" ht="22" customHeight="1">
      <x:c r="A129" s="2" t="str">
        <x:v>61091000_CN_202512_IMPORT</x:v>
      </x:c>
      <x:c r="B129" s="2" t="n">
        <x:v>202512</x:v>
      </x:c>
      <x:c r="C129" s="2" t="str">
        <x:v>61091000</x:v>
      </x:c>
      <x:c r="D129" s="2" t="str">
        <x:v>China</x:v>
      </x:c>
      <x:c r="E129" s="14" t="n">
        <x:v>3143285</x:v>
      </x:c>
      <x:c r="F129" s="14" t="n">
        <x:v>168012</x:v>
      </x:c>
      <x:c r="G129" s="2" t="str">
        <x:v>WITHIN_BAND</x:v>
      </x:c>
      <x:c r="H129" s="2" t="n">
        <x:v>1</x:v>
      </x:c>
      <x:c r="I129" s="2" t="n">
        <x:f>IF(AND(COUNTIFS($B$6:$B$797,B129,$C$6:$C$797,C129)=11,COUNTIFS($B$6:$B$797,B129,$C$6:$C$797,C129,$G$6:$G$797,"REVIEW")=0,COUNTIFS($B$6:$B$797,B129,$C$6:$C$797,C129,$H$6:$H$797,1)=11,COUNTIFS($B$6:$B$797,B129,$C$6:$C$797,C129,$F$6:$F$797,"&gt;0")=11),1,0)</x:f>
        <x:v>1</x:v>
      </x:c>
    </x:row>
    <x:row r="130" ht="22" customHeight="1">
      <x:c r="A130" s="2" t="str">
        <x:v>61091000_IN_202512_IMPORT</x:v>
      </x:c>
      <x:c r="B130" s="2" t="n">
        <x:v>202512</x:v>
      </x:c>
      <x:c r="C130" s="2" t="str">
        <x:v>61091000</x:v>
      </x:c>
      <x:c r="D130" s="2" t="str">
        <x:v>India</x:v>
      </x:c>
      <x:c r="E130" s="14" t="n">
        <x:v>5595878</x:v>
      </x:c>
      <x:c r="F130" s="14" t="n">
        <x:v>460071</x:v>
      </x:c>
      <x:c r="G130" s="2" t="str">
        <x:v>WITHIN_BAND</x:v>
      </x:c>
      <x:c r="H130" s="2" t="n">
        <x:v>1</x:v>
      </x:c>
      <x:c r="I130" s="2" t="n">
        <x:f>IF(AND(COUNTIFS($B$6:$B$797,B130,$C$6:$C$797,C130)=11,COUNTIFS($B$6:$B$797,B130,$C$6:$C$797,C130,$G$6:$G$797,"REVIEW")=0,COUNTIFS($B$6:$B$797,B130,$C$6:$C$797,C130,$H$6:$H$797,1)=11,COUNTIFS($B$6:$B$797,B130,$C$6:$C$797,C130,$F$6:$F$797,"&gt;0")=11),1,0)</x:f>
        <x:v>1</x:v>
      </x:c>
    </x:row>
    <x:row r="131" ht="22" customHeight="1">
      <x:c r="A131" s="2" t="str">
        <x:v>61091000_MA_202512_IMPORT</x:v>
      </x:c>
      <x:c r="B131" s="2" t="n">
        <x:v>202512</x:v>
      </x:c>
      <x:c r="C131" s="2" t="str">
        <x:v>61091000</x:v>
      </x:c>
      <x:c r="D131" s="2" t="str">
        <x:v>Morocco</x:v>
      </x:c>
      <x:c r="E131" s="14" t="n">
        <x:v>291282</x:v>
      </x:c>
      <x:c r="F131" s="14" t="n">
        <x:v>15048</x:v>
      </x:c>
      <x:c r="G131" s="2" t="str">
        <x:v>WITHIN_BAND</x:v>
      </x:c>
      <x:c r="H131" s="2" t="n">
        <x:v>1</x:v>
      </x:c>
      <x:c r="I131" s="2" t="n">
        <x:f>IF(AND(COUNTIFS($B$6:$B$797,B131,$C$6:$C$797,C131)=11,COUNTIFS($B$6:$B$797,B131,$C$6:$C$797,C131,$G$6:$G$797,"REVIEW")=0,COUNTIFS($B$6:$B$797,B131,$C$6:$C$797,C131,$H$6:$H$797,1)=11,COUNTIFS($B$6:$B$797,B131,$C$6:$C$797,C131,$F$6:$F$797,"&gt;0")=11),1,0)</x:f>
        <x:v>1</x:v>
      </x:c>
    </x:row>
    <x:row r="132" ht="22" customHeight="1">
      <x:c r="A132" s="2" t="str">
        <x:v>61091000_MM_202512_IMPORT</x:v>
      </x:c>
      <x:c r="B132" s="2" t="n">
        <x:v>202512</x:v>
      </x:c>
      <x:c r="C132" s="2" t="str">
        <x:v>61091000</x:v>
      </x:c>
      <x:c r="D132" s="2" t="str">
        <x:v>Myanmar</x:v>
      </x:c>
      <x:c r="E132" s="14" t="n">
        <x:v>117574</x:v>
      </x:c>
      <x:c r="F132" s="14" t="n">
        <x:v>12338</x:v>
      </x:c>
      <x:c r="G132" s="2" t="str">
        <x:v>WITHIN_BAND</x:v>
      </x:c>
      <x:c r="H132" s="2" t="n">
        <x:v>1</x:v>
      </x:c>
      <x:c r="I132" s="2" t="n">
        <x:f>IF(AND(COUNTIFS($B$6:$B$797,B132,$C$6:$C$797,C132)=11,COUNTIFS($B$6:$B$797,B132,$C$6:$C$797,C132,$G$6:$G$797,"REVIEW")=0,COUNTIFS($B$6:$B$797,B132,$C$6:$C$797,C132,$H$6:$H$797,1)=11,COUNTIFS($B$6:$B$797,B132,$C$6:$C$797,C132,$F$6:$F$797,"&gt;0")=11),1,0)</x:f>
        <x:v>1</x:v>
      </x:c>
    </x:row>
    <x:row r="133" ht="22" customHeight="1">
      <x:c r="A133" s="2" t="str">
        <x:v>61091000_PK_202512_IMPORT</x:v>
      </x:c>
      <x:c r="B133" s="2" t="n">
        <x:v>202512</x:v>
      </x:c>
      <x:c r="C133" s="2" t="str">
        <x:v>61091000</x:v>
      </x:c>
      <x:c r="D133" s="2" t="str">
        <x:v>Pakistan</x:v>
      </x:c>
      <x:c r="E133" s="14" t="n">
        <x:v>3321784</x:v>
      </x:c>
      <x:c r="F133" s="14" t="n">
        <x:v>286964</x:v>
      </x:c>
      <x:c r="G133" s="2" t="str">
        <x:v>WITHIN_BAND</x:v>
      </x:c>
      <x:c r="H133" s="2" t="n">
        <x:v>1</x:v>
      </x:c>
      <x:c r="I133" s="2" t="n">
        <x:f>IF(AND(COUNTIFS($B$6:$B$797,B133,$C$6:$C$797,C133)=11,COUNTIFS($B$6:$B$797,B133,$C$6:$C$797,C133,$G$6:$G$797,"REVIEW")=0,COUNTIFS($B$6:$B$797,B133,$C$6:$C$797,C133,$H$6:$H$797,1)=11,COUNTIFS($B$6:$B$797,B133,$C$6:$C$797,C133,$F$6:$F$797,"&gt;0")=11),1,0)</x:f>
        <x:v>1</x:v>
      </x:c>
    </x:row>
    <x:row r="134" ht="22" customHeight="1">
      <x:c r="A134" s="2" t="str">
        <x:v>61091000_LK_202512_IMPORT</x:v>
      </x:c>
      <x:c r="B134" s="2" t="n">
        <x:v>202512</x:v>
      </x:c>
      <x:c r="C134" s="2" t="str">
        <x:v>61091000</x:v>
      </x:c>
      <x:c r="D134" s="2" t="str">
        <x:v>Sri Lanka</x:v>
      </x:c>
      <x:c r="E134" s="14" t="n">
        <x:v>987680</x:v>
      </x:c>
      <x:c r="F134" s="14" t="n">
        <x:v>111863</x:v>
      </x:c>
      <x:c r="G134" s="2" t="str">
        <x:v>WITHIN_BAND</x:v>
      </x:c>
      <x:c r="H134" s="2" t="n">
        <x:v>1</x:v>
      </x:c>
      <x:c r="I134" s="2" t="n">
        <x:f>IF(AND(COUNTIFS($B$6:$B$797,B134,$C$6:$C$797,C134)=11,COUNTIFS($B$6:$B$797,B134,$C$6:$C$797,C134,$G$6:$G$797,"REVIEW")=0,COUNTIFS($B$6:$B$797,B134,$C$6:$C$797,C134,$H$6:$H$797,1)=11,COUNTIFS($B$6:$B$797,B134,$C$6:$C$797,C134,$F$6:$F$797,"&gt;0")=11),1,0)</x:f>
        <x:v>1</x:v>
      </x:c>
    </x:row>
    <x:row r="135" ht="22" customHeight="1">
      <x:c r="A135" s="2" t="str">
        <x:v>61091000_TR_202512_IMPORT</x:v>
      </x:c>
      <x:c r="B135" s="2" t="n">
        <x:v>202512</x:v>
      </x:c>
      <x:c r="C135" s="2" t="str">
        <x:v>61091000</x:v>
      </x:c>
      <x:c r="D135" s="2" t="str">
        <x:v>Turkey</x:v>
      </x:c>
      <x:c r="E135" s="14" t="n">
        <x:v>5900865</x:v>
      </x:c>
      <x:c r="F135" s="14" t="n">
        <x:v>331548</x:v>
      </x:c>
      <x:c r="G135" s="2" t="str">
        <x:v>WITHIN_BAND</x:v>
      </x:c>
      <x:c r="H135" s="2" t="n">
        <x:v>1</x:v>
      </x:c>
      <x:c r="I135" s="2" t="n">
        <x:f>IF(AND(COUNTIFS($B$6:$B$797,B135,$C$6:$C$797,C135)=11,COUNTIFS($B$6:$B$797,B135,$C$6:$C$797,C135,$G$6:$G$797,"REVIEW")=0,COUNTIFS($B$6:$B$797,B135,$C$6:$C$797,C135,$H$6:$H$797,1)=11,COUNTIFS($B$6:$B$797,B135,$C$6:$C$797,C135,$F$6:$F$797,"&gt;0")=11),1,0)</x:f>
        <x:v>1</x:v>
      </x:c>
    </x:row>
    <x:row r="136" ht="22" customHeight="1">
      <x:c r="A136" s="2" t="str">
        <x:v>61091000_VN_202512_IMPORT</x:v>
      </x:c>
      <x:c r="B136" s="2" t="n">
        <x:v>202512</x:v>
      </x:c>
      <x:c r="C136" s="2" t="str">
        <x:v>61091000</x:v>
      </x:c>
      <x:c r="D136" s="2" t="str">
        <x:v>Vietnam</x:v>
      </x:c>
      <x:c r="E136" s="14" t="n">
        <x:v>1834883</x:v>
      </x:c>
      <x:c r="F136" s="14" t="n">
        <x:v>105962</x:v>
      </x:c>
      <x:c r="G136" s="2" t="str">
        <x:v>WITHIN_BAND</x:v>
      </x:c>
      <x:c r="H136" s="2" t="n">
        <x:v>1</x:v>
      </x:c>
      <x:c r="I136" s="2" t="n">
        <x:f>IF(AND(COUNTIFS($B$6:$B$797,B136,$C$6:$C$797,C136)=11,COUNTIFS($B$6:$B$797,B136,$C$6:$C$797,C136,$G$6:$G$797,"REVIEW")=0,COUNTIFS($B$6:$B$797,B136,$C$6:$C$797,C136,$H$6:$H$797,1)=11,COUNTIFS($B$6:$B$797,B136,$C$6:$C$797,C136,$F$6:$F$797,"&gt;0")=11),1,0)</x:f>
        <x:v>1</x:v>
      </x:c>
    </x:row>
    <x:row r="137" ht="22" customHeight="1">
      <x:c r="A137" s="2" t="str">
        <x:v>61091000_WORLD_202512_IMPORT</x:v>
      </x:c>
      <x:c r="B137" s="2" t="n">
        <x:v>202512</x:v>
      </x:c>
      <x:c r="C137" s="2" t="str">
        <x:v>61091000</x:v>
      </x:c>
      <x:c r="D137" s="2" t="str">
        <x:v>World</x:v>
      </x:c>
      <x:c r="E137" s="14" t="n">
        <x:v>76978856</x:v>
      </x:c>
      <x:c r="F137" s="14" t="n">
        <x:v>5141103</x:v>
      </x:c>
      <x:c r="G137" s="2" t="str">
        <x:v>WITHIN_BAND</x:v>
      </x:c>
      <x:c r="H137" s="2" t="n">
        <x:v>1</x:v>
      </x:c>
      <x:c r="I137" s="2" t="n">
        <x:f>IF(AND(COUNTIFS($B$6:$B$797,B137,$C$6:$C$797,C137)=11,COUNTIFS($B$6:$B$797,B137,$C$6:$C$797,C137,$G$6:$G$797,"REVIEW")=0,COUNTIFS($B$6:$B$797,B137,$C$6:$C$797,C137,$H$6:$H$797,1)=11,COUNTIFS($B$6:$B$797,B137,$C$6:$C$797,C137,$F$6:$F$797,"&gt;0")=11),1,0)</x:f>
        <x:v>1</x:v>
      </x:c>
    </x:row>
    <x:row r="138" ht="22" customHeight="1">
      <x:c r="A138" s="2" t="str">
        <x:v>61091000_BD_202601_IMPORT</x:v>
      </x:c>
      <x:c r="B138" s="2" t="n">
        <x:v>202601</x:v>
      </x:c>
      <x:c r="C138" s="2" t="str">
        <x:v>61091000</x:v>
      </x:c>
      <x:c r="D138" s="2" t="str">
        <x:v>Bangladesh</x:v>
      </x:c>
      <x:c r="E138" s="14" t="n">
        <x:v>32731302</x:v>
      </x:c>
      <x:c r="F138" s="14" t="n">
        <x:v>2974039</x:v>
      </x:c>
      <x:c r="G138" s="2" t="str">
        <x:v>WITHIN_BAND</x:v>
      </x:c>
      <x:c r="H138" s="2" t="n">
        <x:v>1</x:v>
      </x:c>
      <x:c r="I138" s="2" t="n">
        <x:f>IF(AND(COUNTIFS($B$6:$B$797,B138,$C$6:$C$797,C138)=11,COUNTIFS($B$6:$B$797,B138,$C$6:$C$797,C138,$G$6:$G$797,"REVIEW")=0,COUNTIFS($B$6:$B$797,B138,$C$6:$C$797,C138,$H$6:$H$797,1)=11,COUNTIFS($B$6:$B$797,B138,$C$6:$C$797,C138,$F$6:$F$797,"&gt;0")=11),1,0)</x:f>
        <x:v>1</x:v>
      </x:c>
    </x:row>
    <x:row r="139" ht="22" customHeight="1">
      <x:c r="A139" s="2" t="str">
        <x:v>61091000_KH_202601_IMPORT</x:v>
      </x:c>
      <x:c r="B139" s="2" t="n">
        <x:v>202601</x:v>
      </x:c>
      <x:c r="C139" s="2" t="str">
        <x:v>61091000</x:v>
      </x:c>
      <x:c r="D139" s="2" t="str">
        <x:v>Cambodia</x:v>
      </x:c>
      <x:c r="E139" s="14" t="n">
        <x:v>836295</x:v>
      </x:c>
      <x:c r="F139" s="14" t="n">
        <x:v>46556</x:v>
      </x:c>
      <x:c r="G139" s="2" t="str">
        <x:v>WITHIN_BAND</x:v>
      </x:c>
      <x:c r="H139" s="2" t="n">
        <x:v>1</x:v>
      </x:c>
      <x:c r="I139" s="2" t="n">
        <x:f>IF(AND(COUNTIFS($B$6:$B$797,B139,$C$6:$C$797,C139)=11,COUNTIFS($B$6:$B$797,B139,$C$6:$C$797,C139,$G$6:$G$797,"REVIEW")=0,COUNTIFS($B$6:$B$797,B139,$C$6:$C$797,C139,$H$6:$H$797,1)=11,COUNTIFS($B$6:$B$797,B139,$C$6:$C$797,C139,$F$6:$F$797,"&gt;0")=11),1,0)</x:f>
        <x:v>1</x:v>
      </x:c>
    </x:row>
    <x:row r="140" ht="22" customHeight="1">
      <x:c r="A140" s="2" t="str">
        <x:v>61091000_CN_202601_IMPORT</x:v>
      </x:c>
      <x:c r="B140" s="2" t="n">
        <x:v>202601</x:v>
      </x:c>
      <x:c r="C140" s="2" t="str">
        <x:v>61091000</x:v>
      </x:c>
      <x:c r="D140" s="2" t="str">
        <x:v>China</x:v>
      </x:c>
      <x:c r="E140" s="14" t="n">
        <x:v>4107811</x:v>
      </x:c>
      <x:c r="F140" s="14" t="n">
        <x:v>243744</x:v>
      </x:c>
      <x:c r="G140" s="2" t="str">
        <x:v>WITHIN_BAND</x:v>
      </x:c>
      <x:c r="H140" s="2" t="n">
        <x:v>1</x:v>
      </x:c>
      <x:c r="I140" s="2" t="n">
        <x:f>IF(AND(COUNTIFS($B$6:$B$797,B140,$C$6:$C$797,C140)=11,COUNTIFS($B$6:$B$797,B140,$C$6:$C$797,C140,$G$6:$G$797,"REVIEW")=0,COUNTIFS($B$6:$B$797,B140,$C$6:$C$797,C140,$H$6:$H$797,1)=11,COUNTIFS($B$6:$B$797,B140,$C$6:$C$797,C140,$F$6:$F$797,"&gt;0")=11),1,0)</x:f>
        <x:v>1</x:v>
      </x:c>
    </x:row>
    <x:row r="141" ht="22" customHeight="1">
      <x:c r="A141" s="2" t="str">
        <x:v>61091000_IN_202601_IMPORT</x:v>
      </x:c>
      <x:c r="B141" s="2" t="n">
        <x:v>202601</x:v>
      </x:c>
      <x:c r="C141" s="2" t="str">
        <x:v>61091000</x:v>
      </x:c>
      <x:c r="D141" s="2" t="str">
        <x:v>India</x:v>
      </x:c>
      <x:c r="E141" s="14" t="n">
        <x:v>6631996</x:v>
      </x:c>
      <x:c r="F141" s="14" t="n">
        <x:v>533927</x:v>
      </x:c>
      <x:c r="G141" s="2" t="str">
        <x:v>WITHIN_BAND</x:v>
      </x:c>
      <x:c r="H141" s="2" t="n">
        <x:v>1</x:v>
      </x:c>
      <x:c r="I141" s="2" t="n">
        <x:f>IF(AND(COUNTIFS($B$6:$B$797,B141,$C$6:$C$797,C141)=11,COUNTIFS($B$6:$B$797,B141,$C$6:$C$797,C141,$G$6:$G$797,"REVIEW")=0,COUNTIFS($B$6:$B$797,B141,$C$6:$C$797,C141,$H$6:$H$797,1)=11,COUNTIFS($B$6:$B$797,B141,$C$6:$C$797,C141,$F$6:$F$797,"&gt;0")=11),1,0)</x:f>
        <x:v>1</x:v>
      </x:c>
    </x:row>
    <x:row r="142" ht="22" customHeight="1">
      <x:c r="A142" s="2" t="str">
        <x:v>61091000_MA_202601_IMPORT</x:v>
      </x:c>
      <x:c r="B142" s="2" t="n">
        <x:v>202601</x:v>
      </x:c>
      <x:c r="C142" s="2" t="str">
        <x:v>61091000</x:v>
      </x:c>
      <x:c r="D142" s="2" t="str">
        <x:v>Morocco</x:v>
      </x:c>
      <x:c r="E142" s="14" t="n">
        <x:v>563745</x:v>
      </x:c>
      <x:c r="F142" s="14" t="n">
        <x:v>43051</x:v>
      </x:c>
      <x:c r="G142" s="2" t="str">
        <x:v>WITHIN_BAND</x:v>
      </x:c>
      <x:c r="H142" s="2" t="n">
        <x:v>1</x:v>
      </x:c>
      <x:c r="I142" s="2" t="n">
        <x:f>IF(AND(COUNTIFS($B$6:$B$797,B142,$C$6:$C$797,C142)=11,COUNTIFS($B$6:$B$797,B142,$C$6:$C$797,C142,$G$6:$G$797,"REVIEW")=0,COUNTIFS($B$6:$B$797,B142,$C$6:$C$797,C142,$H$6:$H$797,1)=11,COUNTIFS($B$6:$B$797,B142,$C$6:$C$797,C142,$F$6:$F$797,"&gt;0")=11),1,0)</x:f>
        <x:v>1</x:v>
      </x:c>
    </x:row>
    <x:row r="143" ht="22" customHeight="1">
      <x:c r="A143" s="2" t="str">
        <x:v>61091000_MM_202601_IMPORT</x:v>
      </x:c>
      <x:c r="B143" s="2" t="n">
        <x:v>202601</x:v>
      </x:c>
      <x:c r="C143" s="2" t="str">
        <x:v>61091000</x:v>
      </x:c>
      <x:c r="D143" s="2" t="str">
        <x:v>Myanmar</x:v>
      </x:c>
      <x:c r="E143" s="14" t="n">
        <x:v>207378</x:v>
      </x:c>
      <x:c r="F143" s="14" t="n">
        <x:v>16522</x:v>
      </x:c>
      <x:c r="G143" s="2" t="str">
        <x:v>WITHIN_BAND</x:v>
      </x:c>
      <x:c r="H143" s="2" t="n">
        <x:v>1</x:v>
      </x:c>
      <x:c r="I143" s="2" t="n">
        <x:f>IF(AND(COUNTIFS($B$6:$B$797,B143,$C$6:$C$797,C143)=11,COUNTIFS($B$6:$B$797,B143,$C$6:$C$797,C143,$G$6:$G$797,"REVIEW")=0,COUNTIFS($B$6:$B$797,B143,$C$6:$C$797,C143,$H$6:$H$797,1)=11,COUNTIFS($B$6:$B$797,B143,$C$6:$C$797,C143,$F$6:$F$797,"&gt;0")=11),1,0)</x:f>
        <x:v>1</x:v>
      </x:c>
    </x:row>
    <x:row r="144" ht="22" customHeight="1">
      <x:c r="A144" s="2" t="str">
        <x:v>61091000_PK_202601_IMPORT</x:v>
      </x:c>
      <x:c r="B144" s="2" t="n">
        <x:v>202601</x:v>
      </x:c>
      <x:c r="C144" s="2" t="str">
        <x:v>61091000</x:v>
      </x:c>
      <x:c r="D144" s="2" t="str">
        <x:v>Pakistan</x:v>
      </x:c>
      <x:c r="E144" s="14" t="n">
        <x:v>3533043</x:v>
      </x:c>
      <x:c r="F144" s="14" t="n">
        <x:v>235841</x:v>
      </x:c>
      <x:c r="G144" s="2" t="str">
        <x:v>WITHIN_BAND</x:v>
      </x:c>
      <x:c r="H144" s="2" t="n">
        <x:v>1</x:v>
      </x:c>
      <x:c r="I144" s="2" t="n">
        <x:f>IF(AND(COUNTIFS($B$6:$B$797,B144,$C$6:$C$797,C144)=11,COUNTIFS($B$6:$B$797,B144,$C$6:$C$797,C144,$G$6:$G$797,"REVIEW")=0,COUNTIFS($B$6:$B$797,B144,$C$6:$C$797,C144,$H$6:$H$797,1)=11,COUNTIFS($B$6:$B$797,B144,$C$6:$C$797,C144,$F$6:$F$797,"&gt;0")=11),1,0)</x:f>
        <x:v>1</x:v>
      </x:c>
    </x:row>
    <x:row r="145" ht="22" customHeight="1">
      <x:c r="A145" s="2" t="str">
        <x:v>61091000_LK_202601_IMPORT</x:v>
      </x:c>
      <x:c r="B145" s="2" t="n">
        <x:v>202601</x:v>
      </x:c>
      <x:c r="C145" s="2" t="str">
        <x:v>61091000</x:v>
      </x:c>
      <x:c r="D145" s="2" t="str">
        <x:v>Sri Lanka</x:v>
      </x:c>
      <x:c r="E145" s="14" t="n">
        <x:v>1712854</x:v>
      </x:c>
      <x:c r="F145" s="14" t="n">
        <x:v>131099</x:v>
      </x:c>
      <x:c r="G145" s="2" t="str">
        <x:v>WITHIN_BAND</x:v>
      </x:c>
      <x:c r="H145" s="2" t="n">
        <x:v>1</x:v>
      </x:c>
      <x:c r="I145" s="2" t="n">
        <x:f>IF(AND(COUNTIFS($B$6:$B$797,B145,$C$6:$C$797,C145)=11,COUNTIFS($B$6:$B$797,B145,$C$6:$C$797,C145,$G$6:$G$797,"REVIEW")=0,COUNTIFS($B$6:$B$797,B145,$C$6:$C$797,C145,$H$6:$H$797,1)=11,COUNTIFS($B$6:$B$797,B145,$C$6:$C$797,C145,$F$6:$F$797,"&gt;0")=11),1,0)</x:f>
        <x:v>1</x:v>
      </x:c>
    </x:row>
    <x:row r="146" ht="22" customHeight="1">
      <x:c r="A146" s="2" t="str">
        <x:v>61091000_TR_202601_IMPORT</x:v>
      </x:c>
      <x:c r="B146" s="2" t="n">
        <x:v>202601</x:v>
      </x:c>
      <x:c r="C146" s="2" t="str">
        <x:v>61091000</x:v>
      </x:c>
      <x:c r="D146" s="2" t="str">
        <x:v>Turkey</x:v>
      </x:c>
      <x:c r="E146" s="14" t="n">
        <x:v>8527087</x:v>
      </x:c>
      <x:c r="F146" s="14" t="n">
        <x:v>381224</x:v>
      </x:c>
      <x:c r="G146" s="2" t="str">
        <x:v>WITHIN_BAND</x:v>
      </x:c>
      <x:c r="H146" s="2" t="n">
        <x:v>1</x:v>
      </x:c>
      <x:c r="I146" s="2" t="n">
        <x:f>IF(AND(COUNTIFS($B$6:$B$797,B146,$C$6:$C$797,C146)=11,COUNTIFS($B$6:$B$797,B146,$C$6:$C$797,C146,$G$6:$G$797,"REVIEW")=0,COUNTIFS($B$6:$B$797,B146,$C$6:$C$797,C146,$H$6:$H$797,1)=11,COUNTIFS($B$6:$B$797,B146,$C$6:$C$797,C146,$F$6:$F$797,"&gt;0")=11),1,0)</x:f>
        <x:v>1</x:v>
      </x:c>
    </x:row>
    <x:row r="147" ht="22" customHeight="1">
      <x:c r="A147" s="2" t="str">
        <x:v>61091000_VN_202601_IMPORT</x:v>
      </x:c>
      <x:c r="B147" s="2" t="n">
        <x:v>202601</x:v>
      </x:c>
      <x:c r="C147" s="2" t="str">
        <x:v>61091000</x:v>
      </x:c>
      <x:c r="D147" s="2" t="str">
        <x:v>Vietnam</x:v>
      </x:c>
      <x:c r="E147" s="14" t="n">
        <x:v>1472300</x:v>
      </x:c>
      <x:c r="F147" s="14" t="n">
        <x:v>54052</x:v>
      </x:c>
      <x:c r="G147" s="2" t="str">
        <x:v>WITHIN_BAND</x:v>
      </x:c>
      <x:c r="H147" s="2" t="n">
        <x:v>1</x:v>
      </x:c>
      <x:c r="I147" s="2" t="n">
        <x:f>IF(AND(COUNTIFS($B$6:$B$797,B147,$C$6:$C$797,C147)=11,COUNTIFS($B$6:$B$797,B147,$C$6:$C$797,C147,$G$6:$G$797,"REVIEW")=0,COUNTIFS($B$6:$B$797,B147,$C$6:$C$797,C147,$H$6:$H$797,1)=11,COUNTIFS($B$6:$B$797,B147,$C$6:$C$797,C147,$F$6:$F$797,"&gt;0")=11),1,0)</x:f>
        <x:v>1</x:v>
      </x:c>
    </x:row>
    <x:row r="148" ht="22" customHeight="1">
      <x:c r="A148" s="2" t="str">
        <x:v>61091000_WORLD_202601_IMPORT</x:v>
      </x:c>
      <x:c r="B148" s="2" t="n">
        <x:v>202601</x:v>
      </x:c>
      <x:c r="C148" s="2" t="str">
        <x:v>61091000</x:v>
      </x:c>
      <x:c r="D148" s="2" t="str">
        <x:v>World</x:v>
      </x:c>
      <x:c r="E148" s="14" t="n">
        <x:v>91453866</x:v>
      </x:c>
      <x:c r="F148" s="14" t="n">
        <x:v>5856894</x:v>
      </x:c>
      <x:c r="G148" s="2" t="str">
        <x:v>WITHIN_BAND</x:v>
      </x:c>
      <x:c r="H148" s="2" t="n">
        <x:v>1</x:v>
      </x:c>
      <x:c r="I148" s="2" t="n">
        <x:f>IF(AND(COUNTIFS($B$6:$B$797,B148,$C$6:$C$797,C148)=11,COUNTIFS($B$6:$B$797,B148,$C$6:$C$797,C148,$G$6:$G$797,"REVIEW")=0,COUNTIFS($B$6:$B$797,B148,$C$6:$C$797,C148,$H$6:$H$797,1)=11,COUNTIFS($B$6:$B$797,B148,$C$6:$C$797,C148,$F$6:$F$797,"&gt;0")=11),1,0)</x:f>
        <x:v>1</x:v>
      </x:c>
    </x:row>
    <x:row r="149" ht="22" customHeight="1">
      <x:c r="A149" s="2" t="str">
        <x:v>61091000_BD_202602_IMPORT</x:v>
      </x:c>
      <x:c r="B149" s="2" t="n">
        <x:v>202602</x:v>
      </x:c>
      <x:c r="C149" s="2" t="str">
        <x:v>61091000</x:v>
      </x:c>
      <x:c r="D149" s="2" t="str">
        <x:v>Bangladesh</x:v>
      </x:c>
      <x:c r="E149" s="14" t="n">
        <x:v>39337408</x:v>
      </x:c>
      <x:c r="F149" s="14" t="n">
        <x:v>3489973</x:v>
      </x:c>
      <x:c r="G149" s="2" t="str">
        <x:v>WITHIN_BAND</x:v>
      </x:c>
      <x:c r="H149" s="2" t="n">
        <x:v>1</x:v>
      </x:c>
      <x:c r="I149" s="2" t="n">
        <x:f>IF(AND(COUNTIFS($B$6:$B$797,B149,$C$6:$C$797,C149)=11,COUNTIFS($B$6:$B$797,B149,$C$6:$C$797,C149,$G$6:$G$797,"REVIEW")=0,COUNTIFS($B$6:$B$797,B149,$C$6:$C$797,C149,$H$6:$H$797,1)=11,COUNTIFS($B$6:$B$797,B149,$C$6:$C$797,C149,$F$6:$F$797,"&gt;0")=11),1,0)</x:f>
        <x:v>1</x:v>
      </x:c>
    </x:row>
    <x:row r="150" ht="22" customHeight="1">
      <x:c r="A150" s="2" t="str">
        <x:v>61091000_KH_202602_IMPORT</x:v>
      </x:c>
      <x:c r="B150" s="2" t="n">
        <x:v>202602</x:v>
      </x:c>
      <x:c r="C150" s="2" t="str">
        <x:v>61091000</x:v>
      </x:c>
      <x:c r="D150" s="2" t="str">
        <x:v>Cambodia</x:v>
      </x:c>
      <x:c r="E150" s="14" t="n">
        <x:v>715874</x:v>
      </x:c>
      <x:c r="F150" s="14" t="n">
        <x:v>49378</x:v>
      </x:c>
      <x:c r="G150" s="2" t="str">
        <x:v>WITHIN_BAND</x:v>
      </x:c>
      <x:c r="H150" s="2" t="n">
        <x:v>1</x:v>
      </x:c>
      <x:c r="I150" s="2" t="n">
        <x:f>IF(AND(COUNTIFS($B$6:$B$797,B150,$C$6:$C$797,C150)=11,COUNTIFS($B$6:$B$797,B150,$C$6:$C$797,C150,$G$6:$G$797,"REVIEW")=0,COUNTIFS($B$6:$B$797,B150,$C$6:$C$797,C150,$H$6:$H$797,1)=11,COUNTIFS($B$6:$B$797,B150,$C$6:$C$797,C150,$F$6:$F$797,"&gt;0")=11),1,0)</x:f>
        <x:v>1</x:v>
      </x:c>
    </x:row>
    <x:row r="151" ht="22" customHeight="1">
      <x:c r="A151" s="2" t="str">
        <x:v>61091000_CN_202602_IMPORT</x:v>
      </x:c>
      <x:c r="B151" s="2" t="n">
        <x:v>202602</x:v>
      </x:c>
      <x:c r="C151" s="2" t="str">
        <x:v>61091000</x:v>
      </x:c>
      <x:c r="D151" s="2" t="str">
        <x:v>China</x:v>
      </x:c>
      <x:c r="E151" s="14" t="n">
        <x:v>4981339</x:v>
      </x:c>
      <x:c r="F151" s="14" t="n">
        <x:v>273363</x:v>
      </x:c>
      <x:c r="G151" s="2" t="str">
        <x:v>WITHIN_BAND</x:v>
      </x:c>
      <x:c r="H151" s="2" t="n">
        <x:v>1</x:v>
      </x:c>
      <x:c r="I151" s="2" t="n">
        <x:f>IF(AND(COUNTIFS($B$6:$B$797,B151,$C$6:$C$797,C151)=11,COUNTIFS($B$6:$B$797,B151,$C$6:$C$797,C151,$G$6:$G$797,"REVIEW")=0,COUNTIFS($B$6:$B$797,B151,$C$6:$C$797,C151,$H$6:$H$797,1)=11,COUNTIFS($B$6:$B$797,B151,$C$6:$C$797,C151,$F$6:$F$797,"&gt;0")=11),1,0)</x:f>
        <x:v>1</x:v>
      </x:c>
    </x:row>
    <x:row r="152" ht="22" customHeight="1">
      <x:c r="A152" s="2" t="str">
        <x:v>61091000_IN_202602_IMPORT</x:v>
      </x:c>
      <x:c r="B152" s="2" t="n">
        <x:v>202602</x:v>
      </x:c>
      <x:c r="C152" s="2" t="str">
        <x:v>61091000</x:v>
      </x:c>
      <x:c r="D152" s="2" t="str">
        <x:v>India</x:v>
      </x:c>
      <x:c r="E152" s="14" t="n">
        <x:v>10021231</x:v>
      </x:c>
      <x:c r="F152" s="14" t="n">
        <x:v>786469</x:v>
      </x:c>
      <x:c r="G152" s="2" t="str">
        <x:v>WITHIN_BAND</x:v>
      </x:c>
      <x:c r="H152" s="2" t="n">
        <x:v>1</x:v>
      </x:c>
      <x:c r="I152" s="2" t="n">
        <x:f>IF(AND(COUNTIFS($B$6:$B$797,B152,$C$6:$C$797,C152)=11,COUNTIFS($B$6:$B$797,B152,$C$6:$C$797,C152,$G$6:$G$797,"REVIEW")=0,COUNTIFS($B$6:$B$797,B152,$C$6:$C$797,C152,$H$6:$H$797,1)=11,COUNTIFS($B$6:$B$797,B152,$C$6:$C$797,C152,$F$6:$F$797,"&gt;0")=11),1,0)</x:f>
        <x:v>1</x:v>
      </x:c>
    </x:row>
    <x:row r="153" ht="22" customHeight="1">
      <x:c r="A153" s="2" t="str">
        <x:v>61091000_MA_202602_IMPORT</x:v>
      </x:c>
      <x:c r="B153" s="2" t="n">
        <x:v>202602</x:v>
      </x:c>
      <x:c r="C153" s="2" t="str">
        <x:v>61091000</x:v>
      </x:c>
      <x:c r="D153" s="2" t="str">
        <x:v>Morocco</x:v>
      </x:c>
      <x:c r="E153" s="14" t="n">
        <x:v>812099</x:v>
      </x:c>
      <x:c r="F153" s="14" t="n">
        <x:v>108021</x:v>
      </x:c>
      <x:c r="G153" s="2" t="str">
        <x:v>WITHIN_BAND</x:v>
      </x:c>
      <x:c r="H153" s="2" t="n">
        <x:v>1</x:v>
      </x:c>
      <x:c r="I153" s="2" t="n">
        <x:f>IF(AND(COUNTIFS($B$6:$B$797,B153,$C$6:$C$797,C153)=11,COUNTIFS($B$6:$B$797,B153,$C$6:$C$797,C153,$G$6:$G$797,"REVIEW")=0,COUNTIFS($B$6:$B$797,B153,$C$6:$C$797,C153,$H$6:$H$797,1)=11,COUNTIFS($B$6:$B$797,B153,$C$6:$C$797,C153,$F$6:$F$797,"&gt;0")=11),1,0)</x:f>
        <x:v>1</x:v>
      </x:c>
    </x:row>
    <x:row r="154" ht="22" customHeight="1">
      <x:c r="A154" s="2" t="str">
        <x:v>61091000_MM_202602_IMPORT</x:v>
      </x:c>
      <x:c r="B154" s="2" t="n">
        <x:v>202602</x:v>
      </x:c>
      <x:c r="C154" s="2" t="str">
        <x:v>61091000</x:v>
      </x:c>
      <x:c r="D154" s="2" t="str">
        <x:v>Myanmar</x:v>
      </x:c>
      <x:c r="E154" s="14" t="n">
        <x:v>42372</x:v>
      </x:c>
      <x:c r="F154" s="14" t="n">
        <x:v>3137</x:v>
      </x:c>
      <x:c r="G154" s="2" t="str">
        <x:v>WITHIN_BAND</x:v>
      </x:c>
      <x:c r="H154" s="2" t="n">
        <x:v>1</x:v>
      </x:c>
      <x:c r="I154" s="2" t="n">
        <x:f>IF(AND(COUNTIFS($B$6:$B$797,B154,$C$6:$C$797,C154)=11,COUNTIFS($B$6:$B$797,B154,$C$6:$C$797,C154,$G$6:$G$797,"REVIEW")=0,COUNTIFS($B$6:$B$797,B154,$C$6:$C$797,C154,$H$6:$H$797,1)=11,COUNTIFS($B$6:$B$797,B154,$C$6:$C$797,C154,$F$6:$F$797,"&gt;0")=11),1,0)</x:f>
        <x:v>1</x:v>
      </x:c>
    </x:row>
    <x:row r="155" ht="22" customHeight="1">
      <x:c r="A155" s="2" t="str">
        <x:v>61091000_PK_202602_IMPORT</x:v>
      </x:c>
      <x:c r="B155" s="2" t="n">
        <x:v>202602</x:v>
      </x:c>
      <x:c r="C155" s="2" t="str">
        <x:v>61091000</x:v>
      </x:c>
      <x:c r="D155" s="2" t="str">
        <x:v>Pakistan</x:v>
      </x:c>
      <x:c r="E155" s="14" t="n">
        <x:v>3564591</x:v>
      </x:c>
      <x:c r="F155" s="14" t="n">
        <x:v>289778</x:v>
      </x:c>
      <x:c r="G155" s="2" t="str">
        <x:v>WITHIN_BAND</x:v>
      </x:c>
      <x:c r="H155" s="2" t="n">
        <x:v>1</x:v>
      </x:c>
      <x:c r="I155" s="2" t="n">
        <x:f>IF(AND(COUNTIFS($B$6:$B$797,B155,$C$6:$C$797,C155)=11,COUNTIFS($B$6:$B$797,B155,$C$6:$C$797,C155,$G$6:$G$797,"REVIEW")=0,COUNTIFS($B$6:$B$797,B155,$C$6:$C$797,C155,$H$6:$H$797,1)=11,COUNTIFS($B$6:$B$797,B155,$C$6:$C$797,C155,$F$6:$F$797,"&gt;0")=11),1,0)</x:f>
        <x:v>1</x:v>
      </x:c>
    </x:row>
    <x:row r="156" ht="22" customHeight="1">
      <x:c r="A156" s="2" t="str">
        <x:v>61091000_LK_202602_IMPORT</x:v>
      </x:c>
      <x:c r="B156" s="2" t="n">
        <x:v>202602</x:v>
      </x:c>
      <x:c r="C156" s="2" t="str">
        <x:v>61091000</x:v>
      </x:c>
      <x:c r="D156" s="2" t="str">
        <x:v>Sri Lanka</x:v>
      </x:c>
      <x:c r="E156" s="14" t="n">
        <x:v>899655</x:v>
      </x:c>
      <x:c r="F156" s="14" t="n">
        <x:v>80469</x:v>
      </x:c>
      <x:c r="G156" s="2" t="str">
        <x:v>WITHIN_BAND</x:v>
      </x:c>
      <x:c r="H156" s="2" t="n">
        <x:v>1</x:v>
      </x:c>
      <x:c r="I156" s="2" t="n">
        <x:f>IF(AND(COUNTIFS($B$6:$B$797,B156,$C$6:$C$797,C156)=11,COUNTIFS($B$6:$B$797,B156,$C$6:$C$797,C156,$G$6:$G$797,"REVIEW")=0,COUNTIFS($B$6:$B$797,B156,$C$6:$C$797,C156,$H$6:$H$797,1)=11,COUNTIFS($B$6:$B$797,B156,$C$6:$C$797,C156,$F$6:$F$797,"&gt;0")=11),1,0)</x:f>
        <x:v>1</x:v>
      </x:c>
    </x:row>
    <x:row r="157" ht="22" customHeight="1">
      <x:c r="A157" s="2" t="str">
        <x:v>61091000_TR_202602_IMPORT</x:v>
      </x:c>
      <x:c r="B157" s="2" t="n">
        <x:v>202602</x:v>
      </x:c>
      <x:c r="C157" s="2" t="str">
        <x:v>61091000</x:v>
      </x:c>
      <x:c r="D157" s="2" t="str">
        <x:v>Turkey</x:v>
      </x:c>
      <x:c r="E157" s="14" t="n">
        <x:v>7564760</x:v>
      </x:c>
      <x:c r="F157" s="14" t="n">
        <x:v>294099</x:v>
      </x:c>
      <x:c r="G157" s="2" t="str">
        <x:v>WITHIN_BAND</x:v>
      </x:c>
      <x:c r="H157" s="2" t="n">
        <x:v>1</x:v>
      </x:c>
      <x:c r="I157" s="2" t="n">
        <x:f>IF(AND(COUNTIFS($B$6:$B$797,B157,$C$6:$C$797,C157)=11,COUNTIFS($B$6:$B$797,B157,$C$6:$C$797,C157,$G$6:$G$797,"REVIEW")=0,COUNTIFS($B$6:$B$797,B157,$C$6:$C$797,C157,$H$6:$H$797,1)=11,COUNTIFS($B$6:$B$797,B157,$C$6:$C$797,C157,$F$6:$F$797,"&gt;0")=11),1,0)</x:f>
        <x:v>1</x:v>
      </x:c>
    </x:row>
    <x:row r="158" ht="22" customHeight="1">
      <x:c r="A158" s="2" t="str">
        <x:v>61091000_VN_202602_IMPORT</x:v>
      </x:c>
      <x:c r="B158" s="2" t="n">
        <x:v>202602</x:v>
      </x:c>
      <x:c r="C158" s="2" t="str">
        <x:v>61091000</x:v>
      </x:c>
      <x:c r="D158" s="2" t="str">
        <x:v>Vietnam</x:v>
      </x:c>
      <x:c r="E158" s="14" t="n">
        <x:v>2636146</x:v>
      </x:c>
      <x:c r="F158" s="14" t="n">
        <x:v>111570</x:v>
      </x:c>
      <x:c r="G158" s="2" t="str">
        <x:v>WITHIN_BAND</x:v>
      </x:c>
      <x:c r="H158" s="2" t="n">
        <x:v>1</x:v>
      </x:c>
      <x:c r="I158" s="2" t="n">
        <x:f>IF(AND(COUNTIFS($B$6:$B$797,B158,$C$6:$C$797,C158)=11,COUNTIFS($B$6:$B$797,B158,$C$6:$C$797,C158,$G$6:$G$797,"REVIEW")=0,COUNTIFS($B$6:$B$797,B158,$C$6:$C$797,C158,$H$6:$H$797,1)=11,COUNTIFS($B$6:$B$797,B158,$C$6:$C$797,C158,$F$6:$F$797,"&gt;0")=11),1,0)</x:f>
        <x:v>1</x:v>
      </x:c>
    </x:row>
    <x:row r="159" ht="22" customHeight="1">
      <x:c r="A159" s="2" t="str">
        <x:v>61091000_WORLD_202602_IMPORT</x:v>
      </x:c>
      <x:c r="B159" s="2" t="n">
        <x:v>202602</x:v>
      </x:c>
      <x:c r="C159" s="2" t="str">
        <x:v>61091000</x:v>
      </x:c>
      <x:c r="D159" s="2" t="str">
        <x:v>World</x:v>
      </x:c>
      <x:c r="E159" s="14" t="n">
        <x:v>101424211</x:v>
      </x:c>
      <x:c r="F159" s="14" t="n">
        <x:v>6491676</x:v>
      </x:c>
      <x:c r="G159" s="2" t="str">
        <x:v>WITHIN_BAND</x:v>
      </x:c>
      <x:c r="H159" s="2" t="n">
        <x:v>1</x:v>
      </x:c>
      <x:c r="I159" s="2" t="n">
        <x:f>IF(AND(COUNTIFS($B$6:$B$797,B159,$C$6:$C$797,C159)=11,COUNTIFS($B$6:$B$797,B159,$C$6:$C$797,C159,$G$6:$G$797,"REVIEW")=0,COUNTIFS($B$6:$B$797,B159,$C$6:$C$797,C159,$H$6:$H$797,1)=11,COUNTIFS($B$6:$B$797,B159,$C$6:$C$797,C159,$F$6:$F$797,"&gt;0")=11),1,0)</x:f>
        <x:v>1</x:v>
      </x:c>
    </x:row>
    <x:row r="160" ht="22" customHeight="1">
      <x:c r="A160" s="2" t="str">
        <x:v>61091000_BD_202603_IMPORT</x:v>
      </x:c>
      <x:c r="B160" s="2" t="n">
        <x:v>202603</x:v>
      </x:c>
      <x:c r="C160" s="2" t="str">
        <x:v>61091000</x:v>
      </x:c>
      <x:c r="D160" s="2" t="str">
        <x:v>Bangladesh</x:v>
      </x:c>
      <x:c r="E160" s="14" t="n">
        <x:v>42747807</x:v>
      </x:c>
      <x:c r="F160" s="14" t="n">
        <x:v>4120835</x:v>
      </x:c>
      <x:c r="G160" s="2" t="str">
        <x:v>WITHIN_BAND</x:v>
      </x:c>
      <x:c r="H160" s="2" t="n">
        <x:v>1</x:v>
      </x:c>
      <x:c r="I160" s="2" t="n">
        <x:f>IF(AND(COUNTIFS($B$6:$B$797,B160,$C$6:$C$797,C160)=11,COUNTIFS($B$6:$B$797,B160,$C$6:$C$797,C160,$G$6:$G$797,"REVIEW")=0,COUNTIFS($B$6:$B$797,B160,$C$6:$C$797,C160,$H$6:$H$797,1)=11,COUNTIFS($B$6:$B$797,B160,$C$6:$C$797,C160,$F$6:$F$797,"&gt;0")=11),1,0)</x:f>
        <x:v>1</x:v>
      </x:c>
    </x:row>
    <x:row r="161" ht="22" customHeight="1">
      <x:c r="A161" s="2" t="str">
        <x:v>61091000_KH_202603_IMPORT</x:v>
      </x:c>
      <x:c r="B161" s="2" t="n">
        <x:v>202603</x:v>
      </x:c>
      <x:c r="C161" s="2" t="str">
        <x:v>61091000</x:v>
      </x:c>
      <x:c r="D161" s="2" t="str">
        <x:v>Cambodia</x:v>
      </x:c>
      <x:c r="E161" s="14" t="n">
        <x:v>1270394</x:v>
      </x:c>
      <x:c r="F161" s="14" t="n">
        <x:v>56249</x:v>
      </x:c>
      <x:c r="G161" s="2" t="str">
        <x:v>WITHIN_BAND</x:v>
      </x:c>
      <x:c r="H161" s="2" t="n">
        <x:v>1</x:v>
      </x:c>
      <x:c r="I161" s="2" t="n">
        <x:f>IF(AND(COUNTIFS($B$6:$B$797,B161,$C$6:$C$797,C161)=11,COUNTIFS($B$6:$B$797,B161,$C$6:$C$797,C161,$G$6:$G$797,"REVIEW")=0,COUNTIFS($B$6:$B$797,B161,$C$6:$C$797,C161,$H$6:$H$797,1)=11,COUNTIFS($B$6:$B$797,B161,$C$6:$C$797,C161,$F$6:$F$797,"&gt;0")=11),1,0)</x:f>
        <x:v>1</x:v>
      </x:c>
    </x:row>
    <x:row r="162" ht="22" customHeight="1">
      <x:c r="A162" s="2" t="str">
        <x:v>61091000_CN_202603_IMPORT</x:v>
      </x:c>
      <x:c r="B162" s="2" t="n">
        <x:v>202603</x:v>
      </x:c>
      <x:c r="C162" s="2" t="str">
        <x:v>61091000</x:v>
      </x:c>
      <x:c r="D162" s="2" t="str">
        <x:v>China</x:v>
      </x:c>
      <x:c r="E162" s="14" t="n">
        <x:v>4244842</x:v>
      </x:c>
      <x:c r="F162" s="14" t="n">
        <x:v>270295</x:v>
      </x:c>
      <x:c r="G162" s="2" t="str">
        <x:v>WITHIN_BAND</x:v>
      </x:c>
      <x:c r="H162" s="2" t="n">
        <x:v>1</x:v>
      </x:c>
      <x:c r="I162" s="2" t="n">
        <x:f>IF(AND(COUNTIFS($B$6:$B$797,B162,$C$6:$C$797,C162)=11,COUNTIFS($B$6:$B$797,B162,$C$6:$C$797,C162,$G$6:$G$797,"REVIEW")=0,COUNTIFS($B$6:$B$797,B162,$C$6:$C$797,C162,$H$6:$H$797,1)=11,COUNTIFS($B$6:$B$797,B162,$C$6:$C$797,C162,$F$6:$F$797,"&gt;0")=11),1,0)</x:f>
        <x:v>1</x:v>
      </x:c>
    </x:row>
    <x:row r="163" ht="22" customHeight="1">
      <x:c r="A163" s="2" t="str">
        <x:v>61091000_IN_202603_IMPORT</x:v>
      </x:c>
      <x:c r="B163" s="2" t="n">
        <x:v>202603</x:v>
      </x:c>
      <x:c r="C163" s="2" t="str">
        <x:v>61091000</x:v>
      </x:c>
      <x:c r="D163" s="2" t="str">
        <x:v>India</x:v>
      </x:c>
      <x:c r="E163" s="14" t="n">
        <x:v>8660388</x:v>
      </x:c>
      <x:c r="F163" s="14" t="n">
        <x:v>702824</x:v>
      </x:c>
      <x:c r="G163" s="2" t="str">
        <x:v>WITHIN_BAND</x:v>
      </x:c>
      <x:c r="H163" s="2" t="n">
        <x:v>1</x:v>
      </x:c>
      <x:c r="I163" s="2" t="n">
        <x:f>IF(AND(COUNTIFS($B$6:$B$797,B163,$C$6:$C$797,C163)=11,COUNTIFS($B$6:$B$797,B163,$C$6:$C$797,C163,$G$6:$G$797,"REVIEW")=0,COUNTIFS($B$6:$B$797,B163,$C$6:$C$797,C163,$H$6:$H$797,1)=11,COUNTIFS($B$6:$B$797,B163,$C$6:$C$797,C163,$F$6:$F$797,"&gt;0")=11),1,0)</x:f>
        <x:v>1</x:v>
      </x:c>
    </x:row>
    <x:row r="164" ht="22" customHeight="1">
      <x:c r="A164" s="2" t="str">
        <x:v>61091000_MA_202603_IMPORT</x:v>
      </x:c>
      <x:c r="B164" s="2" t="n">
        <x:v>202603</x:v>
      </x:c>
      <x:c r="C164" s="2" t="str">
        <x:v>61091000</x:v>
      </x:c>
      <x:c r="D164" s="2" t="str">
        <x:v>Morocco</x:v>
      </x:c>
      <x:c r="E164" s="14" t="n">
        <x:v>988437</x:v>
      </x:c>
      <x:c r="F164" s="14" t="n">
        <x:v>111757</x:v>
      </x:c>
      <x:c r="G164" s="2" t="str">
        <x:v>WITHIN_BAND</x:v>
      </x:c>
      <x:c r="H164" s="2" t="n">
        <x:v>1</x:v>
      </x:c>
      <x:c r="I164" s="2" t="n">
        <x:f>IF(AND(COUNTIFS($B$6:$B$797,B164,$C$6:$C$797,C164)=11,COUNTIFS($B$6:$B$797,B164,$C$6:$C$797,C164,$G$6:$G$797,"REVIEW")=0,COUNTIFS($B$6:$B$797,B164,$C$6:$C$797,C164,$H$6:$H$797,1)=11,COUNTIFS($B$6:$B$797,B164,$C$6:$C$797,C164,$F$6:$F$797,"&gt;0")=11),1,0)</x:f>
        <x:v>1</x:v>
      </x:c>
    </x:row>
    <x:row r="165" ht="22" customHeight="1">
      <x:c r="A165" s="2" t="str">
        <x:v>61091000_MM_202603_IMPORT</x:v>
      </x:c>
      <x:c r="B165" s="2" t="n">
        <x:v>202603</x:v>
      </x:c>
      <x:c r="C165" s="2" t="str">
        <x:v>61091000</x:v>
      </x:c>
      <x:c r="D165" s="2" t="str">
        <x:v>Myanmar</x:v>
      </x:c>
      <x:c r="E165" s="14" t="n">
        <x:v>92809</x:v>
      </x:c>
      <x:c r="F165" s="14" t="n">
        <x:v>9646</x:v>
      </x:c>
      <x:c r="G165" s="2" t="str">
        <x:v>WITHIN_BAND</x:v>
      </x:c>
      <x:c r="H165" s="2" t="n">
        <x:v>1</x:v>
      </x:c>
      <x:c r="I165" s="2" t="n">
        <x:f>IF(AND(COUNTIFS($B$6:$B$797,B165,$C$6:$C$797,C165)=11,COUNTIFS($B$6:$B$797,B165,$C$6:$C$797,C165,$G$6:$G$797,"REVIEW")=0,COUNTIFS($B$6:$B$797,B165,$C$6:$C$797,C165,$H$6:$H$797,1)=11,COUNTIFS($B$6:$B$797,B165,$C$6:$C$797,C165,$F$6:$F$797,"&gt;0")=11),1,0)</x:f>
        <x:v>1</x:v>
      </x:c>
    </x:row>
    <x:row r="166" ht="22" customHeight="1">
      <x:c r="A166" s="2" t="str">
        <x:v>61091000_PK_202603_IMPORT</x:v>
      </x:c>
      <x:c r="B166" s="2" t="n">
        <x:v>202603</x:v>
      </x:c>
      <x:c r="C166" s="2" t="str">
        <x:v>61091000</x:v>
      </x:c>
      <x:c r="D166" s="2" t="str">
        <x:v>Pakistan</x:v>
      </x:c>
      <x:c r="E166" s="14" t="n">
        <x:v>3032936</x:v>
      </x:c>
      <x:c r="F166" s="14" t="n">
        <x:v>291919</x:v>
      </x:c>
      <x:c r="G166" s="2" t="str">
        <x:v>WITHIN_BAND</x:v>
      </x:c>
      <x:c r="H166" s="2" t="n">
        <x:v>1</x:v>
      </x:c>
      <x:c r="I166" s="2" t="n">
        <x:f>IF(AND(COUNTIFS($B$6:$B$797,B166,$C$6:$C$797,C166)=11,COUNTIFS($B$6:$B$797,B166,$C$6:$C$797,C166,$G$6:$G$797,"REVIEW")=0,COUNTIFS($B$6:$B$797,B166,$C$6:$C$797,C166,$H$6:$H$797,1)=11,COUNTIFS($B$6:$B$797,B166,$C$6:$C$797,C166,$F$6:$F$797,"&gt;0")=11),1,0)</x:f>
        <x:v>1</x:v>
      </x:c>
    </x:row>
    <x:row r="167" ht="22" customHeight="1">
      <x:c r="A167" s="2" t="str">
        <x:v>61091000_LK_202603_IMPORT</x:v>
      </x:c>
      <x:c r="B167" s="2" t="n">
        <x:v>202603</x:v>
      </x:c>
      <x:c r="C167" s="2" t="str">
        <x:v>61091000</x:v>
      </x:c>
      <x:c r="D167" s="2" t="str">
        <x:v>Sri Lanka</x:v>
      </x:c>
      <x:c r="E167" s="14" t="n">
        <x:v>1837934</x:v>
      </x:c>
      <x:c r="F167" s="14" t="n">
        <x:v>168057</x:v>
      </x:c>
      <x:c r="G167" s="2" t="str">
        <x:v>WITHIN_BAND</x:v>
      </x:c>
      <x:c r="H167" s="2" t="n">
        <x:v>1</x:v>
      </x:c>
      <x:c r="I167" s="2" t="n">
        <x:f>IF(AND(COUNTIFS($B$6:$B$797,B167,$C$6:$C$797,C167)=11,COUNTIFS($B$6:$B$797,B167,$C$6:$C$797,C167,$G$6:$G$797,"REVIEW")=0,COUNTIFS($B$6:$B$797,B167,$C$6:$C$797,C167,$H$6:$H$797,1)=11,COUNTIFS($B$6:$B$797,B167,$C$6:$C$797,C167,$F$6:$F$797,"&gt;0")=11),1,0)</x:f>
        <x:v>1</x:v>
      </x:c>
    </x:row>
    <x:row r="168" ht="22" customHeight="1">
      <x:c r="A168" s="2" t="str">
        <x:v>61091000_TR_202603_IMPORT</x:v>
      </x:c>
      <x:c r="B168" s="2" t="n">
        <x:v>202603</x:v>
      </x:c>
      <x:c r="C168" s="2" t="str">
        <x:v>61091000</x:v>
      </x:c>
      <x:c r="D168" s="2" t="str">
        <x:v>Turkey</x:v>
      </x:c>
      <x:c r="E168" s="14" t="n">
        <x:v>10459423</x:v>
      </x:c>
      <x:c r="F168" s="14" t="n">
        <x:v>418647</x:v>
      </x:c>
      <x:c r="G168" s="2" t="str">
        <x:v>WITHIN_BAND</x:v>
      </x:c>
      <x:c r="H168" s="2" t="n">
        <x:v>1</x:v>
      </x:c>
      <x:c r="I168" s="2" t="n">
        <x:f>IF(AND(COUNTIFS($B$6:$B$797,B168,$C$6:$C$797,C168)=11,COUNTIFS($B$6:$B$797,B168,$C$6:$C$797,C168,$G$6:$G$797,"REVIEW")=0,COUNTIFS($B$6:$B$797,B168,$C$6:$C$797,C168,$H$6:$H$797,1)=11,COUNTIFS($B$6:$B$797,B168,$C$6:$C$797,C168,$F$6:$F$797,"&gt;0")=11),1,0)</x:f>
        <x:v>1</x:v>
      </x:c>
    </x:row>
    <x:row r="169" ht="22" customHeight="1">
      <x:c r="A169" s="2" t="str">
        <x:v>61091000_VN_202603_IMPORT</x:v>
      </x:c>
      <x:c r="B169" s="2" t="n">
        <x:v>202603</x:v>
      </x:c>
      <x:c r="C169" s="2" t="str">
        <x:v>61091000</x:v>
      </x:c>
      <x:c r="D169" s="2" t="str">
        <x:v>Vietnam</x:v>
      </x:c>
      <x:c r="E169" s="14" t="n">
        <x:v>2696051</x:v>
      </x:c>
      <x:c r="F169" s="14" t="n">
        <x:v>108769</x:v>
      </x:c>
      <x:c r="G169" s="2" t="str">
        <x:v>WITHIN_BAND</x:v>
      </x:c>
      <x:c r="H169" s="2" t="n">
        <x:v>1</x:v>
      </x:c>
      <x:c r="I169" s="2" t="n">
        <x:f>IF(AND(COUNTIFS($B$6:$B$797,B169,$C$6:$C$797,C169)=11,COUNTIFS($B$6:$B$797,B169,$C$6:$C$797,C169,$G$6:$G$797,"REVIEW")=0,COUNTIFS($B$6:$B$797,B169,$C$6:$C$797,C169,$H$6:$H$797,1)=11,COUNTIFS($B$6:$B$797,B169,$C$6:$C$797,C169,$F$6:$F$797,"&gt;0")=11),1,0)</x:f>
        <x:v>1</x:v>
      </x:c>
    </x:row>
    <x:row r="170" ht="22" customHeight="1">
      <x:c r="A170" s="2" t="str">
        <x:v>61091000_WORLD_202603_IMPORT</x:v>
      </x:c>
      <x:c r="B170" s="2" t="n">
        <x:v>202603</x:v>
      </x:c>
      <x:c r="C170" s="2" t="str">
        <x:v>61091000</x:v>
      </x:c>
      <x:c r="D170" s="2" t="str">
        <x:v>World</x:v>
      </x:c>
      <x:c r="E170" s="14" t="n">
        <x:v>112421962</x:v>
      </x:c>
      <x:c r="F170" s="14" t="n">
        <x:v>7537773</x:v>
      </x:c>
      <x:c r="G170" s="2" t="str">
        <x:v>WITHIN_BAND</x:v>
      </x:c>
      <x:c r="H170" s="2" t="n">
        <x:v>1</x:v>
      </x:c>
      <x:c r="I170" s="2" t="n">
        <x:f>IF(AND(COUNTIFS($B$6:$B$797,B170,$C$6:$C$797,C170)=11,COUNTIFS($B$6:$B$797,B170,$C$6:$C$797,C170,$G$6:$G$797,"REVIEW")=0,COUNTIFS($B$6:$B$797,B170,$C$6:$C$797,C170,$H$6:$H$797,1)=11,COUNTIFS($B$6:$B$797,B170,$C$6:$C$797,C170,$F$6:$F$797,"&gt;0")=11),1,0)</x:f>
        <x:v>1</x:v>
      </x:c>
    </x:row>
    <x:row r="171" ht="22" customHeight="1">
      <x:c r="A171" s="2" t="str">
        <x:v>61091000_BD_202604_IMPORT</x:v>
      </x:c>
      <x:c r="B171" s="2" t="n">
        <x:v>202604</x:v>
      </x:c>
      <x:c r="C171" s="2" t="str">
        <x:v>61091000</x:v>
      </x:c>
      <x:c r="D171" s="2" t="str">
        <x:v>Bangladesh</x:v>
      </x:c>
      <x:c r="E171" s="14" t="n">
        <x:v>57226856</x:v>
      </x:c>
      <x:c r="F171" s="14" t="n">
        <x:v>5576002</x:v>
      </x:c>
      <x:c r="G171" s="2" t="str">
        <x:v>WITHIN_BAND</x:v>
      </x:c>
      <x:c r="H171" s="2" t="n">
        <x:v>1</x:v>
      </x:c>
      <x:c r="I171" s="2" t="n">
        <x:f>IF(AND(COUNTIFS($B$6:$B$797,B171,$C$6:$C$797,C171)=11,COUNTIFS($B$6:$B$797,B171,$C$6:$C$797,C171,$G$6:$G$797,"REVIEW")=0,COUNTIFS($B$6:$B$797,B171,$C$6:$C$797,C171,$H$6:$H$797,1)=11,COUNTIFS($B$6:$B$797,B171,$C$6:$C$797,C171,$F$6:$F$797,"&gt;0")=11),1,0)</x:f>
        <x:v>1</x:v>
      </x:c>
    </x:row>
    <x:row r="172" ht="22" customHeight="1">
      <x:c r="A172" s="2" t="str">
        <x:v>61091000_KH_202604_IMPORT</x:v>
      </x:c>
      <x:c r="B172" s="2" t="n">
        <x:v>202604</x:v>
      </x:c>
      <x:c r="C172" s="2" t="str">
        <x:v>61091000</x:v>
      </x:c>
      <x:c r="D172" s="2" t="str">
        <x:v>Cambodia</x:v>
      </x:c>
      <x:c r="E172" s="14" t="n">
        <x:v>1289683</x:v>
      </x:c>
      <x:c r="F172" s="14" t="n">
        <x:v>62201</x:v>
      </x:c>
      <x:c r="G172" s="2" t="str">
        <x:v>WITHIN_BAND</x:v>
      </x:c>
      <x:c r="H172" s="2" t="n">
        <x:v>1</x:v>
      </x:c>
      <x:c r="I172" s="2" t="n">
        <x:f>IF(AND(COUNTIFS($B$6:$B$797,B172,$C$6:$C$797,C172)=11,COUNTIFS($B$6:$B$797,B172,$C$6:$C$797,C172,$G$6:$G$797,"REVIEW")=0,COUNTIFS($B$6:$B$797,B172,$C$6:$C$797,C172,$H$6:$H$797,1)=11,COUNTIFS($B$6:$B$797,B172,$C$6:$C$797,C172,$F$6:$F$797,"&gt;0")=11),1,0)</x:f>
        <x:v>1</x:v>
      </x:c>
    </x:row>
    <x:row r="173" ht="22" customHeight="1">
      <x:c r="A173" s="2" t="str">
        <x:v>61091000_CN_202604_IMPORT</x:v>
      </x:c>
      <x:c r="B173" s="2" t="n">
        <x:v>202604</x:v>
      </x:c>
      <x:c r="C173" s="2" t="str">
        <x:v>61091000</x:v>
      </x:c>
      <x:c r="D173" s="2" t="str">
        <x:v>China</x:v>
      </x:c>
      <x:c r="E173" s="14" t="n">
        <x:v>5014181</x:v>
      </x:c>
      <x:c r="F173" s="14" t="n">
        <x:v>290847</x:v>
      </x:c>
      <x:c r="G173" s="2" t="str">
        <x:v>WITHIN_BAND</x:v>
      </x:c>
      <x:c r="H173" s="2" t="n">
        <x:v>1</x:v>
      </x:c>
      <x:c r="I173" s="2" t="n">
        <x:f>IF(AND(COUNTIFS($B$6:$B$797,B173,$C$6:$C$797,C173)=11,COUNTIFS($B$6:$B$797,B173,$C$6:$C$797,C173,$G$6:$G$797,"REVIEW")=0,COUNTIFS($B$6:$B$797,B173,$C$6:$C$797,C173,$H$6:$H$797,1)=11,COUNTIFS($B$6:$B$797,B173,$C$6:$C$797,C173,$F$6:$F$797,"&gt;0")=11),1,0)</x:f>
        <x:v>1</x:v>
      </x:c>
    </x:row>
    <x:row r="174" ht="22" customHeight="1">
      <x:c r="A174" s="2" t="str">
        <x:v>61091000_IN_202604_IMPORT</x:v>
      </x:c>
      <x:c r="B174" s="2" t="n">
        <x:v>202604</x:v>
      </x:c>
      <x:c r="C174" s="2" t="str">
        <x:v>61091000</x:v>
      </x:c>
      <x:c r="D174" s="2" t="str">
        <x:v>India</x:v>
      </x:c>
      <x:c r="E174" s="14" t="n">
        <x:v>11733798</x:v>
      </x:c>
      <x:c r="F174" s="14" t="n">
        <x:v>954859</x:v>
      </x:c>
      <x:c r="G174" s="2" t="str">
        <x:v>WITHIN_BAND</x:v>
      </x:c>
      <x:c r="H174" s="2" t="n">
        <x:v>1</x:v>
      </x:c>
      <x:c r="I174" s="2" t="n">
        <x:f>IF(AND(COUNTIFS($B$6:$B$797,B174,$C$6:$C$797,C174)=11,COUNTIFS($B$6:$B$797,B174,$C$6:$C$797,C174,$G$6:$G$797,"REVIEW")=0,COUNTIFS($B$6:$B$797,B174,$C$6:$C$797,C174,$H$6:$H$797,1)=11,COUNTIFS($B$6:$B$797,B174,$C$6:$C$797,C174,$F$6:$F$797,"&gt;0")=11),1,0)</x:f>
        <x:v>1</x:v>
      </x:c>
    </x:row>
    <x:row r="175" ht="22" customHeight="1">
      <x:c r="A175" s="2" t="str">
        <x:v>61091000_MA_202604_IMPORT</x:v>
      </x:c>
      <x:c r="B175" s="2" t="n">
        <x:v>202604</x:v>
      </x:c>
      <x:c r="C175" s="2" t="str">
        <x:v>61091000</x:v>
      </x:c>
      <x:c r="D175" s="2" t="str">
        <x:v>Morocco</x:v>
      </x:c>
      <x:c r="E175" s="14" t="n">
        <x:v>834708</x:v>
      </x:c>
      <x:c r="F175" s="14" t="n">
        <x:v>73225</x:v>
      </x:c>
      <x:c r="G175" s="2" t="str">
        <x:v>WITHIN_BAND</x:v>
      </x:c>
      <x:c r="H175" s="2" t="n">
        <x:v>1</x:v>
      </x:c>
      <x:c r="I175" s="2" t="n">
        <x:f>IF(AND(COUNTIFS($B$6:$B$797,B175,$C$6:$C$797,C175)=11,COUNTIFS($B$6:$B$797,B175,$C$6:$C$797,C175,$G$6:$G$797,"REVIEW")=0,COUNTIFS($B$6:$B$797,B175,$C$6:$C$797,C175,$H$6:$H$797,1)=11,COUNTIFS($B$6:$B$797,B175,$C$6:$C$797,C175,$F$6:$F$797,"&gt;0")=11),1,0)</x:f>
        <x:v>1</x:v>
      </x:c>
    </x:row>
    <x:row r="176" ht="22" customHeight="1">
      <x:c r="A176" s="2" t="str">
        <x:v>61091000_MM_202604_IMPORT</x:v>
      </x:c>
      <x:c r="B176" s="2" t="n">
        <x:v>202604</x:v>
      </x:c>
      <x:c r="C176" s="2" t="str">
        <x:v>61091000</x:v>
      </x:c>
      <x:c r="D176" s="2" t="str">
        <x:v>Myanmar</x:v>
      </x:c>
      <x:c r="E176" s="14" t="n">
        <x:v>153527</x:v>
      </x:c>
      <x:c r="F176" s="14" t="n">
        <x:v>18380</x:v>
      </x:c>
      <x:c r="G176" s="2" t="str">
        <x:v>WITHIN_BAND</x:v>
      </x:c>
      <x:c r="H176" s="2" t="n">
        <x:v>1</x:v>
      </x:c>
      <x:c r="I176" s="2" t="n">
        <x:f>IF(AND(COUNTIFS($B$6:$B$797,B176,$C$6:$C$797,C176)=11,COUNTIFS($B$6:$B$797,B176,$C$6:$C$797,C176,$G$6:$G$797,"REVIEW")=0,COUNTIFS($B$6:$B$797,B176,$C$6:$C$797,C176,$H$6:$H$797,1)=11,COUNTIFS($B$6:$B$797,B176,$C$6:$C$797,C176,$F$6:$F$797,"&gt;0")=11),1,0)</x:f>
        <x:v>1</x:v>
      </x:c>
    </x:row>
    <x:row r="177" ht="22" customHeight="1">
      <x:c r="A177" s="2" t="str">
        <x:v>61091000_PK_202604_IMPORT</x:v>
      </x:c>
      <x:c r="B177" s="2" t="n">
        <x:v>202604</x:v>
      </x:c>
      <x:c r="C177" s="2" t="str">
        <x:v>61091000</x:v>
      </x:c>
      <x:c r="D177" s="2" t="str">
        <x:v>Pakistan</x:v>
      </x:c>
      <x:c r="E177" s="14" t="n">
        <x:v>4104653</x:v>
      </x:c>
      <x:c r="F177" s="14" t="n">
        <x:v>323694</x:v>
      </x:c>
      <x:c r="G177" s="2" t="str">
        <x:v>WITHIN_BAND</x:v>
      </x:c>
      <x:c r="H177" s="2" t="n">
        <x:v>1</x:v>
      </x:c>
      <x:c r="I177" s="2" t="n">
        <x:f>IF(AND(COUNTIFS($B$6:$B$797,B177,$C$6:$C$797,C177)=11,COUNTIFS($B$6:$B$797,B177,$C$6:$C$797,C177,$G$6:$G$797,"REVIEW")=0,COUNTIFS($B$6:$B$797,B177,$C$6:$C$797,C177,$H$6:$H$797,1)=11,COUNTIFS($B$6:$B$797,B177,$C$6:$C$797,C177,$F$6:$F$797,"&gt;0")=11),1,0)</x:f>
        <x:v>1</x:v>
      </x:c>
    </x:row>
    <x:row r="178" ht="22" customHeight="1">
      <x:c r="A178" s="2" t="str">
        <x:v>61091000_LK_202604_IMPORT</x:v>
      </x:c>
      <x:c r="B178" s="2" t="n">
        <x:v>202604</x:v>
      </x:c>
      <x:c r="C178" s="2" t="str">
        <x:v>61091000</x:v>
      </x:c>
      <x:c r="D178" s="2" t="str">
        <x:v>Sri Lanka</x:v>
      </x:c>
      <x:c r="E178" s="14" t="n">
        <x:v>1419519</x:v>
      </x:c>
      <x:c r="F178" s="14" t="n">
        <x:v>114510</x:v>
      </x:c>
      <x:c r="G178" s="2" t="str">
        <x:v>WITHIN_BAND</x:v>
      </x:c>
      <x:c r="H178" s="2" t="n">
        <x:v>1</x:v>
      </x:c>
      <x:c r="I178" s="2" t="n">
        <x:f>IF(AND(COUNTIFS($B$6:$B$797,B178,$C$6:$C$797,C178)=11,COUNTIFS($B$6:$B$797,B178,$C$6:$C$797,C178,$G$6:$G$797,"REVIEW")=0,COUNTIFS($B$6:$B$797,B178,$C$6:$C$797,C178,$H$6:$H$797,1)=11,COUNTIFS($B$6:$B$797,B178,$C$6:$C$797,C178,$F$6:$F$797,"&gt;0")=11),1,0)</x:f>
        <x:v>1</x:v>
      </x:c>
    </x:row>
    <x:row r="179" ht="22" customHeight="1">
      <x:c r="A179" s="2" t="str">
        <x:v>61091000_TR_202604_IMPORT</x:v>
      </x:c>
      <x:c r="B179" s="2" t="n">
        <x:v>202604</x:v>
      </x:c>
      <x:c r="C179" s="2" t="str">
        <x:v>61091000</x:v>
      </x:c>
      <x:c r="D179" s="2" t="str">
        <x:v>Turkey</x:v>
      </x:c>
      <x:c r="E179" s="14" t="n">
        <x:v>9283012</x:v>
      </x:c>
      <x:c r="F179" s="14" t="n">
        <x:v>379335</x:v>
      </x:c>
      <x:c r="G179" s="2" t="str">
        <x:v>WITHIN_BAND</x:v>
      </x:c>
      <x:c r="H179" s="2" t="n">
        <x:v>1</x:v>
      </x:c>
      <x:c r="I179" s="2" t="n">
        <x:f>IF(AND(COUNTIFS($B$6:$B$797,B179,$C$6:$C$797,C179)=11,COUNTIFS($B$6:$B$797,B179,$C$6:$C$797,C179,$G$6:$G$797,"REVIEW")=0,COUNTIFS($B$6:$B$797,B179,$C$6:$C$797,C179,$H$6:$H$797,1)=11,COUNTIFS($B$6:$B$797,B179,$C$6:$C$797,C179,$F$6:$F$797,"&gt;0")=11),1,0)</x:f>
        <x:v>1</x:v>
      </x:c>
    </x:row>
    <x:row r="180" ht="22" customHeight="1">
      <x:c r="A180" s="2" t="str">
        <x:v>61091000_VN_202604_IMPORT</x:v>
      </x:c>
      <x:c r="B180" s="2" t="n">
        <x:v>202604</x:v>
      </x:c>
      <x:c r="C180" s="2" t="str">
        <x:v>61091000</x:v>
      </x:c>
      <x:c r="D180" s="2" t="str">
        <x:v>Vietnam</x:v>
      </x:c>
      <x:c r="E180" s="14" t="n">
        <x:v>2579759</x:v>
      </x:c>
      <x:c r="F180" s="14" t="n">
        <x:v>94686</x:v>
      </x:c>
      <x:c r="G180" s="2" t="str">
        <x:v>WITHIN_BAND</x:v>
      </x:c>
      <x:c r="H180" s="2" t="n">
        <x:v>1</x:v>
      </x:c>
      <x:c r="I180" s="2" t="n">
        <x:f>IF(AND(COUNTIFS($B$6:$B$797,B180,$C$6:$C$797,C180)=11,COUNTIFS($B$6:$B$797,B180,$C$6:$C$797,C180,$G$6:$G$797,"REVIEW")=0,COUNTIFS($B$6:$B$797,B180,$C$6:$C$797,C180,$H$6:$H$797,1)=11,COUNTIFS($B$6:$B$797,B180,$C$6:$C$797,C180,$F$6:$F$797,"&gt;0")=11),1,0)</x:f>
        <x:v>1</x:v>
      </x:c>
    </x:row>
    <x:row r="181" ht="22" customHeight="1">
      <x:c r="A181" s="2" t="str">
        <x:v>61091000_WORLD_202604_IMPORT</x:v>
      </x:c>
      <x:c r="B181" s="2" t="n">
        <x:v>202604</x:v>
      </x:c>
      <x:c r="C181" s="2" t="str">
        <x:v>61091000</x:v>
      </x:c>
      <x:c r="D181" s="2" t="str">
        <x:v>World</x:v>
      </x:c>
      <x:c r="E181" s="14" t="n">
        <x:v>128593424</x:v>
      </x:c>
      <x:c r="F181" s="14" t="n">
        <x:v>9256187</x:v>
      </x:c>
      <x:c r="G181" s="2" t="str">
        <x:v>WITHIN_BAND</x:v>
      </x:c>
      <x:c r="H181" s="2" t="n">
        <x:v>1</x:v>
      </x:c>
      <x:c r="I181" s="2" t="n">
        <x:f>IF(AND(COUNTIFS($B$6:$B$797,B181,$C$6:$C$797,C181)=11,COUNTIFS($B$6:$B$797,B181,$C$6:$C$797,C181,$G$6:$G$797,"REVIEW")=0,COUNTIFS($B$6:$B$797,B181,$C$6:$C$797,C181,$H$6:$H$797,1)=11,COUNTIFS($B$6:$B$797,B181,$C$6:$C$797,C181,$F$6:$F$797,"&gt;0")=11),1,0)</x:f>
        <x:v>1</x:v>
      </x:c>
    </x:row>
    <x:row r="182" ht="22" customHeight="1">
      <x:c r="A182" s="2" t="str">
        <x:v>61091000_BD_202605_IMPORT</x:v>
      </x:c>
      <x:c r="B182" s="2" t="n">
        <x:v>202605</x:v>
      </x:c>
      <x:c r="C182" s="2" t="str">
        <x:v>61091000</x:v>
      </x:c>
      <x:c r="D182" s="2" t="str">
        <x:v>Bangladesh</x:v>
      </x:c>
      <x:c r="E182" s="14" t="n">
        <x:v>47432008</x:v>
      </x:c>
      <x:c r="F182" s="14" t="n">
        <x:v>4593727</x:v>
      </x:c>
      <x:c r="G182" s="2" t="str">
        <x:v>WITHIN_BAND</x:v>
      </x:c>
      <x:c r="H182" s="2" t="n">
        <x:v>1</x:v>
      </x:c>
      <x:c r="I182" s="2" t="n">
        <x:f>IF(AND(COUNTIFS($B$6:$B$797,B182,$C$6:$C$797,C182)=11,COUNTIFS($B$6:$B$797,B182,$C$6:$C$797,C182,$G$6:$G$797,"REVIEW")=0,COUNTIFS($B$6:$B$797,B182,$C$6:$C$797,C182,$H$6:$H$797,1)=11,COUNTIFS($B$6:$B$797,B182,$C$6:$C$797,C182,$F$6:$F$797,"&gt;0")=11),1,0)</x:f>
        <x:v>1</x:v>
      </x:c>
    </x:row>
    <x:row r="183" ht="22" customHeight="1">
      <x:c r="A183" s="2" t="str">
        <x:v>61091000_KH_202605_IMPORT</x:v>
      </x:c>
      <x:c r="B183" s="2" t="n">
        <x:v>202605</x:v>
      </x:c>
      <x:c r="C183" s="2" t="str">
        <x:v>61091000</x:v>
      </x:c>
      <x:c r="D183" s="2" t="str">
        <x:v>Cambodia</x:v>
      </x:c>
      <x:c r="E183" s="14" t="n">
        <x:v>881185</x:v>
      </x:c>
      <x:c r="F183" s="14" t="n">
        <x:v>58493</x:v>
      </x:c>
      <x:c r="G183" s="2" t="str">
        <x:v>WITHIN_BAND</x:v>
      </x:c>
      <x:c r="H183" s="2" t="n">
        <x:v>1</x:v>
      </x:c>
      <x:c r="I183" s="2" t="n">
        <x:f>IF(AND(COUNTIFS($B$6:$B$797,B183,$C$6:$C$797,C183)=11,COUNTIFS($B$6:$B$797,B183,$C$6:$C$797,C183,$G$6:$G$797,"REVIEW")=0,COUNTIFS($B$6:$B$797,B183,$C$6:$C$797,C183,$H$6:$H$797,1)=11,COUNTIFS($B$6:$B$797,B183,$C$6:$C$797,C183,$F$6:$F$797,"&gt;0")=11),1,0)</x:f>
        <x:v>1</x:v>
      </x:c>
    </x:row>
    <x:row r="184" ht="22" customHeight="1">
      <x:c r="A184" s="2" t="str">
        <x:v>61091000_CN_202605_IMPORT</x:v>
      </x:c>
      <x:c r="B184" s="2" t="n">
        <x:v>202605</x:v>
      </x:c>
      <x:c r="C184" s="2" t="str">
        <x:v>61091000</x:v>
      </x:c>
      <x:c r="D184" s="2" t="str">
        <x:v>China</x:v>
      </x:c>
      <x:c r="E184" s="14" t="n">
        <x:v>4502206</x:v>
      </x:c>
      <x:c r="F184" s="14" t="n">
        <x:v>287900</x:v>
      </x:c>
      <x:c r="G184" s="2" t="str">
        <x:v>WITHIN_BAND</x:v>
      </x:c>
      <x:c r="H184" s="2" t="n">
        <x:v>1</x:v>
      </x:c>
      <x:c r="I184" s="2" t="n">
        <x:f>IF(AND(COUNTIFS($B$6:$B$797,B184,$C$6:$C$797,C184)=11,COUNTIFS($B$6:$B$797,B184,$C$6:$C$797,C184,$G$6:$G$797,"REVIEW")=0,COUNTIFS($B$6:$B$797,B184,$C$6:$C$797,C184,$H$6:$H$797,1)=11,COUNTIFS($B$6:$B$797,B184,$C$6:$C$797,C184,$F$6:$F$797,"&gt;0")=11),1,0)</x:f>
        <x:v>1</x:v>
      </x:c>
    </x:row>
    <x:row r="185" ht="22" customHeight="1">
      <x:c r="A185" s="2" t="str">
        <x:v>61091000_IN_202605_IMPORT</x:v>
      </x:c>
      <x:c r="B185" s="2" t="n">
        <x:v>202605</x:v>
      </x:c>
      <x:c r="C185" s="2" t="str">
        <x:v>61091000</x:v>
      </x:c>
      <x:c r="D185" s="2" t="str">
        <x:v>India</x:v>
      </x:c>
      <x:c r="E185" s="14" t="n">
        <x:v>9888926</x:v>
      </x:c>
      <x:c r="F185" s="14" t="n">
        <x:v>806229</x:v>
      </x:c>
      <x:c r="G185" s="2" t="str">
        <x:v>WITHIN_BAND</x:v>
      </x:c>
      <x:c r="H185" s="2" t="n">
        <x:v>1</x:v>
      </x:c>
      <x:c r="I185" s="2" t="n">
        <x:f>IF(AND(COUNTIFS($B$6:$B$797,B185,$C$6:$C$797,C185)=11,COUNTIFS($B$6:$B$797,B185,$C$6:$C$797,C185,$G$6:$G$797,"REVIEW")=0,COUNTIFS($B$6:$B$797,B185,$C$6:$C$797,C185,$H$6:$H$797,1)=11,COUNTIFS($B$6:$B$797,B185,$C$6:$C$797,C185,$F$6:$F$797,"&gt;0")=11),1,0)</x:f>
        <x:v>1</x:v>
      </x:c>
    </x:row>
    <x:row r="186" ht="22" customHeight="1">
      <x:c r="A186" s="2" t="str">
        <x:v>61091000_MA_202605_IMPORT</x:v>
      </x:c>
      <x:c r="B186" s="2" t="n">
        <x:v>202605</x:v>
      </x:c>
      <x:c r="C186" s="2" t="str">
        <x:v>61091000</x:v>
      </x:c>
      <x:c r="D186" s="2" t="str">
        <x:v>Morocco</x:v>
      </x:c>
      <x:c r="E186" s="14" t="n">
        <x:v>841805</x:v>
      </x:c>
      <x:c r="F186" s="14" t="n">
        <x:v>94360</x:v>
      </x:c>
      <x:c r="G186" s="2" t="str">
        <x:v>WITHIN_BAND</x:v>
      </x:c>
      <x:c r="H186" s="2" t="n">
        <x:v>1</x:v>
      </x:c>
      <x:c r="I186" s="2" t="n">
        <x:f>IF(AND(COUNTIFS($B$6:$B$797,B186,$C$6:$C$797,C186)=11,COUNTIFS($B$6:$B$797,B186,$C$6:$C$797,C186,$G$6:$G$797,"REVIEW")=0,COUNTIFS($B$6:$B$797,B186,$C$6:$C$797,C186,$H$6:$H$797,1)=11,COUNTIFS($B$6:$B$797,B186,$C$6:$C$797,C186,$F$6:$F$797,"&gt;0")=11),1,0)</x:f>
        <x:v>1</x:v>
      </x:c>
    </x:row>
    <x:row r="187" ht="22" customHeight="1">
      <x:c r="A187" s="2" t="str">
        <x:v>61091000_MM_202605_IMPORT</x:v>
      </x:c>
      <x:c r="B187" s="2" t="n">
        <x:v>202605</x:v>
      </x:c>
      <x:c r="C187" s="2" t="str">
        <x:v>61091000</x:v>
      </x:c>
      <x:c r="D187" s="2" t="str">
        <x:v>Myanmar</x:v>
      </x:c>
      <x:c r="E187" s="14" t="n">
        <x:v>68907</x:v>
      </x:c>
      <x:c r="F187" s="14" t="n">
        <x:v>5279</x:v>
      </x:c>
      <x:c r="G187" s="2" t="str">
        <x:v>WITHIN_BAND</x:v>
      </x:c>
      <x:c r="H187" s="2" t="n">
        <x:v>1</x:v>
      </x:c>
      <x:c r="I187" s="2" t="n">
        <x:f>IF(AND(COUNTIFS($B$6:$B$797,B187,$C$6:$C$797,C187)=11,COUNTIFS($B$6:$B$797,B187,$C$6:$C$797,C187,$G$6:$G$797,"REVIEW")=0,COUNTIFS($B$6:$B$797,B187,$C$6:$C$797,C187,$H$6:$H$797,1)=11,COUNTIFS($B$6:$B$797,B187,$C$6:$C$797,C187,$F$6:$F$797,"&gt;0")=11),1,0)</x:f>
        <x:v>1</x:v>
      </x:c>
    </x:row>
    <x:row r="188" ht="22" customHeight="1">
      <x:c r="A188" s="2" t="str">
        <x:v>61091000_PK_202605_IMPORT</x:v>
      </x:c>
      <x:c r="B188" s="2" t="n">
        <x:v>202605</x:v>
      </x:c>
      <x:c r="C188" s="2" t="str">
        <x:v>61091000</x:v>
      </x:c>
      <x:c r="D188" s="2" t="str">
        <x:v>Pakistan</x:v>
      </x:c>
      <x:c r="E188" s="14" t="n">
        <x:v>3747209</x:v>
      </x:c>
      <x:c r="F188" s="14" t="n">
        <x:v>330396</x:v>
      </x:c>
      <x:c r="G188" s="2" t="str">
        <x:v>WITHIN_BAND</x:v>
      </x:c>
      <x:c r="H188" s="2" t="n">
        <x:v>1</x:v>
      </x:c>
      <x:c r="I188" s="2" t="n">
        <x:f>IF(AND(COUNTIFS($B$6:$B$797,B188,$C$6:$C$797,C188)=11,COUNTIFS($B$6:$B$797,B188,$C$6:$C$797,C188,$G$6:$G$797,"REVIEW")=0,COUNTIFS($B$6:$B$797,B188,$C$6:$C$797,C188,$H$6:$H$797,1)=11,COUNTIFS($B$6:$B$797,B188,$C$6:$C$797,C188,$F$6:$F$797,"&gt;0")=11),1,0)</x:f>
        <x:v>1</x:v>
      </x:c>
    </x:row>
    <x:row r="189" ht="22" customHeight="1">
      <x:c r="A189" s="2" t="str">
        <x:v>61091000_LK_202605_IMPORT</x:v>
      </x:c>
      <x:c r="B189" s="2" t="n">
        <x:v>202605</x:v>
      </x:c>
      <x:c r="C189" s="2" t="str">
        <x:v>61091000</x:v>
      </x:c>
      <x:c r="D189" s="2" t="str">
        <x:v>Sri Lanka</x:v>
      </x:c>
      <x:c r="E189" s="14" t="n">
        <x:v>1855453</x:v>
      </x:c>
      <x:c r="F189" s="14" t="n">
        <x:v>161314</x:v>
      </x:c>
      <x:c r="G189" s="2" t="str">
        <x:v>WITHIN_BAND</x:v>
      </x:c>
      <x:c r="H189" s="2" t="n">
        <x:v>1</x:v>
      </x:c>
      <x:c r="I189" s="2" t="n">
        <x:f>IF(AND(COUNTIFS($B$6:$B$797,B189,$C$6:$C$797,C189)=11,COUNTIFS($B$6:$B$797,B189,$C$6:$C$797,C189,$G$6:$G$797,"REVIEW")=0,COUNTIFS($B$6:$B$797,B189,$C$6:$C$797,C189,$H$6:$H$797,1)=11,COUNTIFS($B$6:$B$797,B189,$C$6:$C$797,C189,$F$6:$F$797,"&gt;0")=11),1,0)</x:f>
        <x:v>1</x:v>
      </x:c>
    </x:row>
    <x:row r="190" ht="22" customHeight="1">
      <x:c r="A190" s="2" t="str">
        <x:v>61091000_TR_202605_IMPORT</x:v>
      </x:c>
      <x:c r="B190" s="2" t="n">
        <x:v>202605</x:v>
      </x:c>
      <x:c r="C190" s="2" t="str">
        <x:v>61091000</x:v>
      </x:c>
      <x:c r="D190" s="2" t="str">
        <x:v>Turkey</x:v>
      </x:c>
      <x:c r="E190" s="14" t="n">
        <x:v>11314572</x:v>
      </x:c>
      <x:c r="F190" s="14" t="n">
        <x:v>476969</x:v>
      </x:c>
      <x:c r="G190" s="2" t="str">
        <x:v>WITHIN_BAND</x:v>
      </x:c>
      <x:c r="H190" s="2" t="n">
        <x:v>1</x:v>
      </x:c>
      <x:c r="I190" s="2" t="n">
        <x:f>IF(AND(COUNTIFS($B$6:$B$797,B190,$C$6:$C$797,C190)=11,COUNTIFS($B$6:$B$797,B190,$C$6:$C$797,C190,$G$6:$G$797,"REVIEW")=0,COUNTIFS($B$6:$B$797,B190,$C$6:$C$797,C190,$H$6:$H$797,1)=11,COUNTIFS($B$6:$B$797,B190,$C$6:$C$797,C190,$F$6:$F$797,"&gt;0")=11),1,0)</x:f>
        <x:v>1</x:v>
      </x:c>
    </x:row>
    <x:row r="191" ht="22" customHeight="1">
      <x:c r="A191" s="2" t="str">
        <x:v>61091000_VN_202605_IMPORT</x:v>
      </x:c>
      <x:c r="B191" s="2" t="n">
        <x:v>202605</x:v>
      </x:c>
      <x:c r="C191" s="2" t="str">
        <x:v>61091000</x:v>
      </x:c>
      <x:c r="D191" s="2" t="str">
        <x:v>Vietnam</x:v>
      </x:c>
      <x:c r="E191" s="14" t="n">
        <x:v>1799860</x:v>
      </x:c>
      <x:c r="F191" s="14" t="n">
        <x:v>67752</x:v>
      </x:c>
      <x:c r="G191" s="2" t="str">
        <x:v>WITHIN_BAND</x:v>
      </x:c>
      <x:c r="H191" s="2" t="n">
        <x:v>1</x:v>
      </x:c>
      <x:c r="I191" s="2" t="n">
        <x:f>IF(AND(COUNTIFS($B$6:$B$797,B191,$C$6:$C$797,C191)=11,COUNTIFS($B$6:$B$797,B191,$C$6:$C$797,C191,$G$6:$G$797,"REVIEW")=0,COUNTIFS($B$6:$B$797,B191,$C$6:$C$797,C191,$H$6:$H$797,1)=11,COUNTIFS($B$6:$B$797,B191,$C$6:$C$797,C191,$F$6:$F$797,"&gt;0")=11),1,0)</x:f>
        <x:v>1</x:v>
      </x:c>
    </x:row>
    <x:row r="192" ht="22" customHeight="1">
      <x:c r="A192" s="2" t="str">
        <x:v>61091000_WORLD_202605_IMPORT</x:v>
      </x:c>
      <x:c r="B192" s="2" t="n">
        <x:v>202605</x:v>
      </x:c>
      <x:c r="C192" s="2" t="str">
        <x:v>61091000</x:v>
      </x:c>
      <x:c r="D192" s="2" t="str">
        <x:v>World</x:v>
      </x:c>
      <x:c r="E192" s="14" t="n">
        <x:v>121119811</x:v>
      </x:c>
      <x:c r="F192" s="14" t="n">
        <x:v>8524291</x:v>
      </x:c>
      <x:c r="G192" s="2" t="str">
        <x:v>WITHIN_BAND</x:v>
      </x:c>
      <x:c r="H192" s="2" t="n">
        <x:v>1</x:v>
      </x:c>
      <x:c r="I192" s="2" t="n">
        <x:f>IF(AND(COUNTIFS($B$6:$B$797,B192,$C$6:$C$797,C192)=11,COUNTIFS($B$6:$B$797,B192,$C$6:$C$797,C192,$G$6:$G$797,"REVIEW")=0,COUNTIFS($B$6:$B$797,B192,$C$6:$C$797,C192,$H$6:$H$797,1)=11,COUNTIFS($B$6:$B$797,B192,$C$6:$C$797,C192,$F$6:$F$797,"&gt;0")=11),1,0)</x:f>
        <x:v>1</x:v>
      </x:c>
    </x:row>
    <x:row r="193" ht="22" customHeight="1">
      <x:c r="A193" s="2" t="str">
        <x:v>61091000_BD_202606_IMPORT</x:v>
      </x:c>
      <x:c r="B193" s="2" t="n">
        <x:v>202606</x:v>
      </x:c>
      <x:c r="C193" s="2" t="str">
        <x:v>61091000</x:v>
      </x:c>
      <x:c r="D193" s="2" t="str">
        <x:v>Bangladesh</x:v>
      </x:c>
      <x:c r="E193" s="14" t="n">
        <x:v>35155921</x:v>
      </x:c>
      <x:c r="F193" s="14" t="n">
        <x:v>3729480</x:v>
      </x:c>
      <x:c r="G193" s="2" t="str">
        <x:v>WITHIN_BAND</x:v>
      </x:c>
      <x:c r="H193" s="2" t="n">
        <x:v>1</x:v>
      </x:c>
      <x:c r="I193" s="2" t="n">
        <x:f>IF(AND(COUNTIFS($B$6:$B$797,B193,$C$6:$C$797,C193)=11,COUNTIFS($B$6:$B$797,B193,$C$6:$C$797,C193,$G$6:$G$797,"REVIEW")=0,COUNTIFS($B$6:$B$797,B193,$C$6:$C$797,C193,$H$6:$H$797,1)=11,COUNTIFS($B$6:$B$797,B193,$C$6:$C$797,C193,$F$6:$F$797,"&gt;0")=11),1,0)</x:f>
        <x:v>1</x:v>
      </x:c>
    </x:row>
    <x:row r="194" ht="22" customHeight="1">
      <x:c r="A194" s="2" t="str">
        <x:v>61091000_KH_202606_IMPORT</x:v>
      </x:c>
      <x:c r="B194" s="2" t="n">
        <x:v>202606</x:v>
      </x:c>
      <x:c r="C194" s="2" t="str">
        <x:v>61091000</x:v>
      </x:c>
      <x:c r="D194" s="2" t="str">
        <x:v>Cambodia</x:v>
      </x:c>
      <x:c r="E194" s="14" t="n">
        <x:v>975102</x:v>
      </x:c>
      <x:c r="F194" s="14" t="n">
        <x:v>61817</x:v>
      </x:c>
      <x:c r="G194" s="2" t="str">
        <x:v>WITHIN_BAND</x:v>
      </x:c>
      <x:c r="H194" s="2" t="n">
        <x:v>1</x:v>
      </x:c>
      <x:c r="I194" s="2" t="n">
        <x:f>IF(AND(COUNTIFS($B$6:$B$797,B194,$C$6:$C$797,C194)=11,COUNTIFS($B$6:$B$797,B194,$C$6:$C$797,C194,$G$6:$G$797,"REVIEW")=0,COUNTIFS($B$6:$B$797,B194,$C$6:$C$797,C194,$H$6:$H$797,1)=11,COUNTIFS($B$6:$B$797,B194,$C$6:$C$797,C194,$F$6:$F$797,"&gt;0")=11),1,0)</x:f>
        <x:v>1</x:v>
      </x:c>
    </x:row>
    <x:row r="195" ht="22" customHeight="1">
      <x:c r="A195" s="2" t="str">
        <x:v>61091000_CN_202606_IMPORT</x:v>
      </x:c>
      <x:c r="B195" s="2" t="n">
        <x:v>202606</x:v>
      </x:c>
      <x:c r="C195" s="2" t="str">
        <x:v>61091000</x:v>
      </x:c>
      <x:c r="D195" s="2" t="str">
        <x:v>China</x:v>
      </x:c>
      <x:c r="E195" s="14" t="n">
        <x:v>4417684</x:v>
      </x:c>
      <x:c r="F195" s="14" t="n">
        <x:v>245512</x:v>
      </x:c>
      <x:c r="G195" s="2" t="str">
        <x:v>WITHIN_BAND</x:v>
      </x:c>
      <x:c r="H195" s="2" t="n">
        <x:v>1</x:v>
      </x:c>
      <x:c r="I195" s="2" t="n">
        <x:f>IF(AND(COUNTIFS($B$6:$B$797,B195,$C$6:$C$797,C195)=11,COUNTIFS($B$6:$B$797,B195,$C$6:$C$797,C195,$G$6:$G$797,"REVIEW")=0,COUNTIFS($B$6:$B$797,B195,$C$6:$C$797,C195,$H$6:$H$797,1)=11,COUNTIFS($B$6:$B$797,B195,$C$6:$C$797,C195,$F$6:$F$797,"&gt;0")=11),1,0)</x:f>
        <x:v>1</x:v>
      </x:c>
    </x:row>
    <x:row r="196" ht="22" customHeight="1">
      <x:c r="A196" s="2" t="str">
        <x:v>61091000_IN_202606_IMPORT</x:v>
      </x:c>
      <x:c r="B196" s="2" t="n">
        <x:v>202606</x:v>
      </x:c>
      <x:c r="C196" s="2" t="str">
        <x:v>61091000</x:v>
      </x:c>
      <x:c r="D196" s="2" t="str">
        <x:v>India</x:v>
      </x:c>
      <x:c r="E196" s="14" t="n">
        <x:v>7480244</x:v>
      </x:c>
      <x:c r="F196" s="14" t="n">
        <x:v>563509</x:v>
      </x:c>
      <x:c r="G196" s="2" t="str">
        <x:v>WITHIN_BAND</x:v>
      </x:c>
      <x:c r="H196" s="2" t="n">
        <x:v>1</x:v>
      </x:c>
      <x:c r="I196" s="2" t="n">
        <x:f>IF(AND(COUNTIFS($B$6:$B$797,B196,$C$6:$C$797,C196)=11,COUNTIFS($B$6:$B$797,B196,$C$6:$C$797,C196,$G$6:$G$797,"REVIEW")=0,COUNTIFS($B$6:$B$797,B196,$C$6:$C$797,C196,$H$6:$H$797,1)=11,COUNTIFS($B$6:$B$797,B196,$C$6:$C$797,C196,$F$6:$F$797,"&gt;0")=11),1,0)</x:f>
        <x:v>1</x:v>
      </x:c>
    </x:row>
    <x:row r="197" ht="22" customHeight="1">
      <x:c r="A197" s="2" t="str">
        <x:v>61091000_MA_202606_IMPORT</x:v>
      </x:c>
      <x:c r="B197" s="2" t="n">
        <x:v>202606</x:v>
      </x:c>
      <x:c r="C197" s="2" t="str">
        <x:v>61091000</x:v>
      </x:c>
      <x:c r="D197" s="2" t="str">
        <x:v>Morocco</x:v>
      </x:c>
      <x:c r="E197" s="14" t="n">
        <x:v>916385</x:v>
      </x:c>
      <x:c r="F197" s="14" t="n">
        <x:v>96318</x:v>
      </x:c>
      <x:c r="G197" s="2" t="str">
        <x:v>WITHIN_BAND</x:v>
      </x:c>
      <x:c r="H197" s="2" t="n">
        <x:v>1</x:v>
      </x:c>
      <x:c r="I197" s="2" t="n">
        <x:f>IF(AND(COUNTIFS($B$6:$B$797,B197,$C$6:$C$797,C197)=11,COUNTIFS($B$6:$B$797,B197,$C$6:$C$797,C197,$G$6:$G$797,"REVIEW")=0,COUNTIFS($B$6:$B$797,B197,$C$6:$C$797,C197,$H$6:$H$797,1)=11,COUNTIFS($B$6:$B$797,B197,$C$6:$C$797,C197,$F$6:$F$797,"&gt;0")=11),1,0)</x:f>
        <x:v>1</x:v>
      </x:c>
    </x:row>
    <x:row r="198" ht="22" customHeight="1">
      <x:c r="A198" s="2" t="str">
        <x:v>61091000_MM_202606_IMPORT</x:v>
      </x:c>
      <x:c r="B198" s="2" t="n">
        <x:v>202606</x:v>
      </x:c>
      <x:c r="C198" s="2" t="str">
        <x:v>61091000</x:v>
      </x:c>
      <x:c r="D198" s="2" t="str">
        <x:v>Myanmar</x:v>
      </x:c>
      <x:c r="E198" s="14" t="n">
        <x:v>54614</x:v>
      </x:c>
      <x:c r="F198" s="14" t="n">
        <x:v>5397</x:v>
      </x:c>
      <x:c r="G198" s="2" t="str">
        <x:v>WITHIN_BAND</x:v>
      </x:c>
      <x:c r="H198" s="2" t="n">
        <x:v>1</x:v>
      </x:c>
      <x:c r="I198" s="2" t="n">
        <x:f>IF(AND(COUNTIFS($B$6:$B$797,B198,$C$6:$C$797,C198)=11,COUNTIFS($B$6:$B$797,B198,$C$6:$C$797,C198,$G$6:$G$797,"REVIEW")=0,COUNTIFS($B$6:$B$797,B198,$C$6:$C$797,C198,$H$6:$H$797,1)=11,COUNTIFS($B$6:$B$797,B198,$C$6:$C$797,C198,$F$6:$F$797,"&gt;0")=11),1,0)</x:f>
        <x:v>1</x:v>
      </x:c>
    </x:row>
    <x:row r="199" ht="22" customHeight="1">
      <x:c r="A199" s="2" t="str">
        <x:v>61091000_PK_202606_IMPORT</x:v>
      </x:c>
      <x:c r="B199" s="2" t="n">
        <x:v>202606</x:v>
      </x:c>
      <x:c r="C199" s="2" t="str">
        <x:v>61091000</x:v>
      </x:c>
      <x:c r="D199" s="2" t="str">
        <x:v>Pakistan</x:v>
      </x:c>
      <x:c r="E199" s="14" t="n">
        <x:v>2885839</x:v>
      </x:c>
      <x:c r="F199" s="14" t="n">
        <x:v>242565</x:v>
      </x:c>
      <x:c r="G199" s="2" t="str">
        <x:v>WITHIN_BAND</x:v>
      </x:c>
      <x:c r="H199" s="2" t="n">
        <x:v>1</x:v>
      </x:c>
      <x:c r="I199" s="2" t="n">
        <x:f>IF(AND(COUNTIFS($B$6:$B$797,B199,$C$6:$C$797,C199)=11,COUNTIFS($B$6:$B$797,B199,$C$6:$C$797,C199,$G$6:$G$797,"REVIEW")=0,COUNTIFS($B$6:$B$797,B199,$C$6:$C$797,C199,$H$6:$H$797,1)=11,COUNTIFS($B$6:$B$797,B199,$C$6:$C$797,C199,$F$6:$F$797,"&gt;0")=11),1,0)</x:f>
        <x:v>1</x:v>
      </x:c>
    </x:row>
    <x:row r="200" ht="22" customHeight="1">
      <x:c r="A200" s="2" t="str">
        <x:v>61091000_LK_202606_IMPORT</x:v>
      </x:c>
      <x:c r="B200" s="2" t="n">
        <x:v>202606</x:v>
      </x:c>
      <x:c r="C200" s="2" t="str">
        <x:v>61091000</x:v>
      </x:c>
      <x:c r="D200" s="2" t="str">
        <x:v>Sri Lanka</x:v>
      </x:c>
      <x:c r="E200" s="14" t="n">
        <x:v>1066120</x:v>
      </x:c>
      <x:c r="F200" s="14" t="n">
        <x:v>73687</x:v>
      </x:c>
      <x:c r="G200" s="2" t="str">
        <x:v>WITHIN_BAND</x:v>
      </x:c>
      <x:c r="H200" s="2" t="n">
        <x:v>1</x:v>
      </x:c>
      <x:c r="I200" s="2" t="n">
        <x:f>IF(AND(COUNTIFS($B$6:$B$797,B200,$C$6:$C$797,C200)=11,COUNTIFS($B$6:$B$797,B200,$C$6:$C$797,C200,$G$6:$G$797,"REVIEW")=0,COUNTIFS($B$6:$B$797,B200,$C$6:$C$797,C200,$H$6:$H$797,1)=11,COUNTIFS($B$6:$B$797,B200,$C$6:$C$797,C200,$F$6:$F$797,"&gt;0")=11),1,0)</x:f>
        <x:v>1</x:v>
      </x:c>
    </x:row>
    <x:row r="201" ht="22" customHeight="1">
      <x:c r="A201" s="2" t="str">
        <x:v>61091000_TR_202606_IMPORT</x:v>
      </x:c>
      <x:c r="B201" s="2" t="n">
        <x:v>202606</x:v>
      </x:c>
      <x:c r="C201" s="2" t="str">
        <x:v>61091000</x:v>
      </x:c>
      <x:c r="D201" s="2" t="str">
        <x:v>Turkey</x:v>
      </x:c>
      <x:c r="E201" s="14" t="n">
        <x:v>11235208</x:v>
      </x:c>
      <x:c r="F201" s="14" t="n">
        <x:v>499768</x:v>
      </x:c>
      <x:c r="G201" s="2" t="str">
        <x:v>WITHIN_BAND</x:v>
      </x:c>
      <x:c r="H201" s="2" t="n">
        <x:v>1</x:v>
      </x:c>
      <x:c r="I201" s="2" t="n">
        <x:f>IF(AND(COUNTIFS($B$6:$B$797,B201,$C$6:$C$797,C201)=11,COUNTIFS($B$6:$B$797,B201,$C$6:$C$797,C201,$G$6:$G$797,"REVIEW")=0,COUNTIFS($B$6:$B$797,B201,$C$6:$C$797,C201,$H$6:$H$797,1)=11,COUNTIFS($B$6:$B$797,B201,$C$6:$C$797,C201,$F$6:$F$797,"&gt;0")=11),1,0)</x:f>
        <x:v>1</x:v>
      </x:c>
    </x:row>
    <x:row r="202" ht="22" customHeight="1">
      <x:c r="A202" s="2" t="str">
        <x:v>61091000_VN_202606_IMPORT</x:v>
      </x:c>
      <x:c r="B202" s="2" t="n">
        <x:v>202606</x:v>
      </x:c>
      <x:c r="C202" s="2" t="str">
        <x:v>61091000</x:v>
      </x:c>
      <x:c r="D202" s="2" t="str">
        <x:v>Vietnam</x:v>
      </x:c>
      <x:c r="E202" s="14" t="n">
        <x:v>2472058</x:v>
      </x:c>
      <x:c r="F202" s="14" t="n">
        <x:v>95795</x:v>
      </x:c>
      <x:c r="G202" s="2" t="str">
        <x:v>WITHIN_BAND</x:v>
      </x:c>
      <x:c r="H202" s="2" t="n">
        <x:v>1</x:v>
      </x:c>
      <x:c r="I202" s="2" t="n">
        <x:f>IF(AND(COUNTIFS($B$6:$B$797,B202,$C$6:$C$797,C202)=11,COUNTIFS($B$6:$B$797,B202,$C$6:$C$797,C202,$G$6:$G$797,"REVIEW")=0,COUNTIFS($B$6:$B$797,B202,$C$6:$C$797,C202,$H$6:$H$797,1)=11,COUNTIFS($B$6:$B$797,B202,$C$6:$C$797,C202,$F$6:$F$797,"&gt;0")=11),1,0)</x:f>
        <x:v>1</x:v>
      </x:c>
    </x:row>
    <x:row r="203" ht="22" customHeight="1">
      <x:c r="A203" s="2" t="str">
        <x:v>61091000_WORLD_202606_IMPORT</x:v>
      </x:c>
      <x:c r="B203" s="2" t="n">
        <x:v>202606</x:v>
      </x:c>
      <x:c r="C203" s="2" t="str">
        <x:v>61091000</x:v>
      </x:c>
      <x:c r="D203" s="2" t="str">
        <x:v>World</x:v>
      </x:c>
      <x:c r="E203" s="14" t="n">
        <x:v>106455514</x:v>
      </x:c>
      <x:c r="F203" s="14" t="n">
        <x:v>7481470</x:v>
      </x:c>
      <x:c r="G203" s="2" t="str">
        <x:v>WITHIN_BAND</x:v>
      </x:c>
      <x:c r="H203" s="2" t="n">
        <x:v>1</x:v>
      </x:c>
      <x:c r="I203" s="2" t="n">
        <x:f>IF(AND(COUNTIFS($B$6:$B$797,B203,$C$6:$C$797,C203)=11,COUNTIFS($B$6:$B$797,B203,$C$6:$C$797,C203,$G$6:$G$797,"REVIEW")=0,COUNTIFS($B$6:$B$797,B203,$C$6:$C$797,C203,$H$6:$H$797,1)=11,COUNTIFS($B$6:$B$797,B203,$C$6:$C$797,C203,$F$6:$F$797,"&gt;0")=11),1,0)</x:f>
        <x:v>1</x:v>
      </x:c>
    </x:row>
    <x:row r="204" ht="22" customHeight="1">
      <x:c r="A204" s="2" t="str">
        <x:v>61103099_BD_202501_IMPORT</x:v>
      </x:c>
      <x:c r="B204" s="2" t="n">
        <x:v>202501</x:v>
      </x:c>
      <x:c r="C204" s="2" t="str">
        <x:v>61103099</x:v>
      </x:c>
      <x:c r="D204" s="2" t="str">
        <x:v>Bangladesh</x:v>
      </x:c>
      <x:c r="E204" s="14" t="n">
        <x:v>13038706</x:v>
      </x:c>
      <x:c r="F204" s="14" t="n">
        <x:v>1028966</x:v>
      </x:c>
      <x:c r="G204" s="2" t="str">
        <x:v>WITHIN_BAND</x:v>
      </x:c>
      <x:c r="H204" s="2" t="n">
        <x:v>1</x:v>
      </x:c>
      <x:c r="I204" s="2" t="n">
        <x:f>IF(AND(COUNTIFS($B$6:$B$797,B204,$C$6:$C$797,C204)=11,COUNTIFS($B$6:$B$797,B204,$C$6:$C$797,C204,$G$6:$G$797,"REVIEW")=0,COUNTIFS($B$6:$B$797,B204,$C$6:$C$797,C204,$H$6:$H$797,1)=11,COUNTIFS($B$6:$B$797,B204,$C$6:$C$797,C204,$F$6:$F$797,"&gt;0")=11),1,0)</x:f>
        <x:v>1</x:v>
      </x:c>
    </x:row>
    <x:row r="205" ht="22" customHeight="1">
      <x:c r="A205" s="2" t="str">
        <x:v>61103099_KH_202501_IMPORT</x:v>
      </x:c>
      <x:c r="B205" s="2" t="n">
        <x:v>202501</x:v>
      </x:c>
      <x:c r="C205" s="2" t="str">
        <x:v>61103099</x:v>
      </x:c>
      <x:c r="D205" s="2" t="str">
        <x:v>Cambodia</x:v>
      </x:c>
      <x:c r="E205" s="14" t="n">
        <x:v>6159923</x:v>
      </x:c>
      <x:c r="F205" s="14" t="n">
        <x:v>500438</x:v>
      </x:c>
      <x:c r="G205" s="2" t="str">
        <x:v>WITHIN_BAND</x:v>
      </x:c>
      <x:c r="H205" s="2" t="n">
        <x:v>1</x:v>
      </x:c>
      <x:c r="I205" s="2" t="n">
        <x:f>IF(AND(COUNTIFS($B$6:$B$797,B205,$C$6:$C$797,C205)=11,COUNTIFS($B$6:$B$797,B205,$C$6:$C$797,C205,$G$6:$G$797,"REVIEW")=0,COUNTIFS($B$6:$B$797,B205,$C$6:$C$797,C205,$H$6:$H$797,1)=11,COUNTIFS($B$6:$B$797,B205,$C$6:$C$797,C205,$F$6:$F$797,"&gt;0")=11),1,0)</x:f>
        <x:v>1</x:v>
      </x:c>
    </x:row>
    <x:row r="206" ht="22" customHeight="1">
      <x:c r="A206" s="2" t="str">
        <x:v>61103099_CN_202501_IMPORT</x:v>
      </x:c>
      <x:c r="B206" s="2" t="n">
        <x:v>202501</x:v>
      </x:c>
      <x:c r="C206" s="2" t="str">
        <x:v>61103099</x:v>
      </x:c>
      <x:c r="D206" s="2" t="str">
        <x:v>China</x:v>
      </x:c>
      <x:c r="E206" s="14" t="n">
        <x:v>15651913</x:v>
      </x:c>
      <x:c r="F206" s="14" t="n">
        <x:v>942937</x:v>
      </x:c>
      <x:c r="G206" s="2" t="str">
        <x:v>WITHIN_BAND</x:v>
      </x:c>
      <x:c r="H206" s="2" t="n">
        <x:v>1</x:v>
      </x:c>
      <x:c r="I206" s="2" t="n">
        <x:f>IF(AND(COUNTIFS($B$6:$B$797,B206,$C$6:$C$797,C206)=11,COUNTIFS($B$6:$B$797,B206,$C$6:$C$797,C206,$G$6:$G$797,"REVIEW")=0,COUNTIFS($B$6:$B$797,B206,$C$6:$C$797,C206,$H$6:$H$797,1)=11,COUNTIFS($B$6:$B$797,B206,$C$6:$C$797,C206,$F$6:$F$797,"&gt;0")=11),1,0)</x:f>
        <x:v>1</x:v>
      </x:c>
    </x:row>
    <x:row r="207" ht="22" customHeight="1">
      <x:c r="A207" s="2" t="str">
        <x:v>61103099_IN_202501_IMPORT</x:v>
      </x:c>
      <x:c r="B207" s="2" t="n">
        <x:v>202501</x:v>
      </x:c>
      <x:c r="C207" s="2" t="str">
        <x:v>61103099</x:v>
      </x:c>
      <x:c r="D207" s="2" t="str">
        <x:v>India</x:v>
      </x:c>
      <x:c r="E207" s="14" t="n">
        <x:v>87159</x:v>
      </x:c>
      <x:c r="F207" s="14" t="n">
        <x:v>7078</x:v>
      </x:c>
      <x:c r="G207" s="2" t="str">
        <x:v>WITHIN_BAND</x:v>
      </x:c>
      <x:c r="H207" s="2" t="n">
        <x:v>1</x:v>
      </x:c>
      <x:c r="I207" s="2" t="n">
        <x:f>IF(AND(COUNTIFS($B$6:$B$797,B207,$C$6:$C$797,C207)=11,COUNTIFS($B$6:$B$797,B207,$C$6:$C$797,C207,$G$6:$G$797,"REVIEW")=0,COUNTIFS($B$6:$B$797,B207,$C$6:$C$797,C207,$H$6:$H$797,1)=11,COUNTIFS($B$6:$B$797,B207,$C$6:$C$797,C207,$F$6:$F$797,"&gt;0")=11),1,0)</x:f>
        <x:v>1</x:v>
      </x:c>
    </x:row>
    <x:row r="208" ht="22" customHeight="1">
      <x:c r="A208" s="2" t="str">
        <x:v>61103099_MA_202501_IMPORT</x:v>
      </x:c>
      <x:c r="B208" s="2" t="n">
        <x:v>202501</x:v>
      </x:c>
      <x:c r="C208" s="2" t="str">
        <x:v>61103099</x:v>
      </x:c>
      <x:c r="D208" s="2" t="str">
        <x:v>Morocco</x:v>
      </x:c>
      <x:c r="E208" s="14" t="n">
        <x:v>23195</x:v>
      </x:c>
      <x:c r="F208" s="14" t="n">
        <x:v>1925</x:v>
      </x:c>
      <x:c r="G208" s="2" t="str">
        <x:v>WITHIN_BAND</x:v>
      </x:c>
      <x:c r="H208" s="2" t="n">
        <x:v>1</x:v>
      </x:c>
      <x:c r="I208" s="2" t="n">
        <x:f>IF(AND(COUNTIFS($B$6:$B$797,B208,$C$6:$C$797,C208)=11,COUNTIFS($B$6:$B$797,B208,$C$6:$C$797,C208,$G$6:$G$797,"REVIEW")=0,COUNTIFS($B$6:$B$797,B208,$C$6:$C$797,C208,$H$6:$H$797,1)=11,COUNTIFS($B$6:$B$797,B208,$C$6:$C$797,C208,$F$6:$F$797,"&gt;0")=11),1,0)</x:f>
        <x:v>1</x:v>
      </x:c>
    </x:row>
    <x:row r="209" ht="22" customHeight="1">
      <x:c r="A209" s="2" t="str">
        <x:v>61103099_MM_202501_IMPORT</x:v>
      </x:c>
      <x:c r="B209" s="2" t="n">
        <x:v>202501</x:v>
      </x:c>
      <x:c r="C209" s="2" t="str">
        <x:v>61103099</x:v>
      </x:c>
      <x:c r="D209" s="2" t="str">
        <x:v>Myanmar</x:v>
      </x:c>
      <x:c r="E209" s="14" t="n">
        <x:v>579394</x:v>
      </x:c>
      <x:c r="F209" s="14" t="n">
        <x:v>35512</x:v>
      </x:c>
      <x:c r="G209" s="2" t="str">
        <x:v>WITHIN_BAND</x:v>
      </x:c>
      <x:c r="H209" s="2" t="n">
        <x:v>1</x:v>
      </x:c>
      <x:c r="I209" s="2" t="n">
        <x:f>IF(AND(COUNTIFS($B$6:$B$797,B209,$C$6:$C$797,C209)=11,COUNTIFS($B$6:$B$797,B209,$C$6:$C$797,C209,$G$6:$G$797,"REVIEW")=0,COUNTIFS($B$6:$B$797,B209,$C$6:$C$797,C209,$H$6:$H$797,1)=11,COUNTIFS($B$6:$B$797,B209,$C$6:$C$797,C209,$F$6:$F$797,"&gt;0")=11),1,0)</x:f>
        <x:v>1</x:v>
      </x:c>
    </x:row>
    <x:row r="210" ht="22" customHeight="1">
      <x:c r="A210" s="2" t="str">
        <x:v>61103099_PK_202501_IMPORT</x:v>
      </x:c>
      <x:c r="B210" s="2" t="n">
        <x:v>202501</x:v>
      </x:c>
      <x:c r="C210" s="2" t="str">
        <x:v>61103099</x:v>
      </x:c>
      <x:c r="D210" s="2" t="str">
        <x:v>Pakistan</x:v>
      </x:c>
      <x:c r="E210" s="14" t="n">
        <x:v>497226</x:v>
      </x:c>
      <x:c r="F210" s="14" t="n">
        <x:v>37474</x:v>
      </x:c>
      <x:c r="G210" s="2" t="str">
        <x:v>WITHIN_BAND</x:v>
      </x:c>
      <x:c r="H210" s="2" t="n">
        <x:v>1</x:v>
      </x:c>
      <x:c r="I210" s="2" t="n">
        <x:f>IF(AND(COUNTIFS($B$6:$B$797,B210,$C$6:$C$797,C210)=11,COUNTIFS($B$6:$B$797,B210,$C$6:$C$797,C210,$G$6:$G$797,"REVIEW")=0,COUNTIFS($B$6:$B$797,B210,$C$6:$C$797,C210,$H$6:$H$797,1)=11,COUNTIFS($B$6:$B$797,B210,$C$6:$C$797,C210,$F$6:$F$797,"&gt;0")=11),1,0)</x:f>
        <x:v>1</x:v>
      </x:c>
    </x:row>
    <x:row r="211" ht="22" customHeight="1">
      <x:c r="A211" s="2" t="str">
        <x:v>61103099_LK_202501_IMPORT</x:v>
      </x:c>
      <x:c r="B211" s="2" t="n">
        <x:v>202501</x:v>
      </x:c>
      <x:c r="C211" s="2" t="str">
        <x:v>61103099</x:v>
      </x:c>
      <x:c r="D211" s="2" t="str">
        <x:v>Sri Lanka</x:v>
      </x:c>
      <x:c r="E211" s="14" t="n">
        <x:v>236140</x:v>
      </x:c>
      <x:c r="F211" s="14" t="n">
        <x:v>14460</x:v>
      </x:c>
      <x:c r="G211" s="2" t="str">
        <x:v>WITHIN_BAND</x:v>
      </x:c>
      <x:c r="H211" s="2" t="n">
        <x:v>1</x:v>
      </x:c>
      <x:c r="I211" s="2" t="n">
        <x:f>IF(AND(COUNTIFS($B$6:$B$797,B211,$C$6:$C$797,C211)=11,COUNTIFS($B$6:$B$797,B211,$C$6:$C$797,C211,$G$6:$G$797,"REVIEW")=0,COUNTIFS($B$6:$B$797,B211,$C$6:$C$797,C211,$H$6:$H$797,1)=11,COUNTIFS($B$6:$B$797,B211,$C$6:$C$797,C211,$F$6:$F$797,"&gt;0")=11),1,0)</x:f>
        <x:v>1</x:v>
      </x:c>
    </x:row>
    <x:row r="212" ht="22" customHeight="1">
      <x:c r="A212" s="2" t="str">
        <x:v>61103099_TR_202501_IMPORT</x:v>
      </x:c>
      <x:c r="B212" s="2" t="n">
        <x:v>202501</x:v>
      </x:c>
      <x:c r="C212" s="2" t="str">
        <x:v>61103099</x:v>
      </x:c>
      <x:c r="D212" s="2" t="str">
        <x:v>Turkey</x:v>
      </x:c>
      <x:c r="E212" s="14" t="n">
        <x:v>6744495</x:v>
      </x:c>
      <x:c r="F212" s="14" t="n">
        <x:v>438028</x:v>
      </x:c>
      <x:c r="G212" s="2" t="str">
        <x:v>WITHIN_BAND</x:v>
      </x:c>
      <x:c r="H212" s="2" t="n">
        <x:v>1</x:v>
      </x:c>
      <x:c r="I212" s="2" t="n">
        <x:f>IF(AND(COUNTIFS($B$6:$B$797,B212,$C$6:$C$797,C212)=11,COUNTIFS($B$6:$B$797,B212,$C$6:$C$797,C212,$G$6:$G$797,"REVIEW")=0,COUNTIFS($B$6:$B$797,B212,$C$6:$C$797,C212,$H$6:$H$797,1)=11,COUNTIFS($B$6:$B$797,B212,$C$6:$C$797,C212,$F$6:$F$797,"&gt;0")=11),1,0)</x:f>
        <x:v>1</x:v>
      </x:c>
    </x:row>
    <x:row r="213" ht="22" customHeight="1">
      <x:c r="A213" s="2" t="str">
        <x:v>61103099_VN_202501_IMPORT</x:v>
      </x:c>
      <x:c r="B213" s="2" t="n">
        <x:v>202501</x:v>
      </x:c>
      <x:c r="C213" s="2" t="str">
        <x:v>61103099</x:v>
      </x:c>
      <x:c r="D213" s="2" t="str">
        <x:v>Vietnam</x:v>
      </x:c>
      <x:c r="E213" s="14" t="n">
        <x:v>1020005</x:v>
      </x:c>
      <x:c r="F213" s="14" t="n">
        <x:v>36573</x:v>
      </x:c>
      <x:c r="G213" s="2" t="str">
        <x:v>WITHIN_BAND</x:v>
      </x:c>
      <x:c r="H213" s="2" t="n">
        <x:v>1</x:v>
      </x:c>
      <x:c r="I213" s="2" t="n">
        <x:f>IF(AND(COUNTIFS($B$6:$B$797,B213,$C$6:$C$797,C213)=11,COUNTIFS($B$6:$B$797,B213,$C$6:$C$797,C213,$G$6:$G$797,"REVIEW")=0,COUNTIFS($B$6:$B$797,B213,$C$6:$C$797,C213,$H$6:$H$797,1)=11,COUNTIFS($B$6:$B$797,B213,$C$6:$C$797,C213,$F$6:$F$797,"&gt;0")=11),1,0)</x:f>
        <x:v>1</x:v>
      </x:c>
    </x:row>
    <x:row r="214" ht="22" customHeight="1">
      <x:c r="A214" s="2" t="str">
        <x:v>61103099_WORLD_202501_IMPORT</x:v>
      </x:c>
      <x:c r="B214" s="2" t="n">
        <x:v>202501</x:v>
      </x:c>
      <x:c r="C214" s="2" t="str">
        <x:v>61103099</x:v>
      </x:c>
      <x:c r="D214" s="2" t="str">
        <x:v>World</x:v>
      </x:c>
      <x:c r="E214" s="14" t="n">
        <x:v>57827679</x:v>
      </x:c>
      <x:c r="F214" s="14" t="n">
        <x:v>3736903</x:v>
      </x:c>
      <x:c r="G214" s="2" t="str">
        <x:v>WITHIN_BAND</x:v>
      </x:c>
      <x:c r="H214" s="2" t="n">
        <x:v>1</x:v>
      </x:c>
      <x:c r="I214" s="2" t="n">
        <x:f>IF(AND(COUNTIFS($B$6:$B$797,B214,$C$6:$C$797,C214)=11,COUNTIFS($B$6:$B$797,B214,$C$6:$C$797,C214,$G$6:$G$797,"REVIEW")=0,COUNTIFS($B$6:$B$797,B214,$C$6:$C$797,C214,$H$6:$H$797,1)=11,COUNTIFS($B$6:$B$797,B214,$C$6:$C$797,C214,$F$6:$F$797,"&gt;0")=11),1,0)</x:f>
        <x:v>1</x:v>
      </x:c>
    </x:row>
    <x:row r="215" ht="22" customHeight="1">
      <x:c r="A215" s="2" t="str">
        <x:v>61103099_BD_202502_IMPORT</x:v>
      </x:c>
      <x:c r="B215" s="2" t="n">
        <x:v>202502</x:v>
      </x:c>
      <x:c r="C215" s="2" t="str">
        <x:v>61103099</x:v>
      </x:c>
      <x:c r="D215" s="2" t="str">
        <x:v>Bangladesh</x:v>
      </x:c>
      <x:c r="E215" s="14" t="n">
        <x:v>6341666</x:v>
      </x:c>
      <x:c r="F215" s="14" t="n">
        <x:v>466974</x:v>
      </x:c>
      <x:c r="G215" s="2" t="str">
        <x:v>WITHIN_BAND</x:v>
      </x:c>
      <x:c r="H215" s="2" t="n">
        <x:v>1</x:v>
      </x:c>
      <x:c r="I215" s="2" t="n">
        <x:f>IF(AND(COUNTIFS($B$6:$B$797,B215,$C$6:$C$797,C215)=11,COUNTIFS($B$6:$B$797,B215,$C$6:$C$797,C215,$G$6:$G$797,"REVIEW")=0,COUNTIFS($B$6:$B$797,B215,$C$6:$C$797,C215,$H$6:$H$797,1)=11,COUNTIFS($B$6:$B$797,B215,$C$6:$C$797,C215,$F$6:$F$797,"&gt;0")=11),1,0)</x:f>
        <x:v>1</x:v>
      </x:c>
    </x:row>
    <x:row r="216" ht="22" customHeight="1">
      <x:c r="A216" s="2" t="str">
        <x:v>61103099_KH_202502_IMPORT</x:v>
      </x:c>
      <x:c r="B216" s="2" t="n">
        <x:v>202502</x:v>
      </x:c>
      <x:c r="C216" s="2" t="str">
        <x:v>61103099</x:v>
      </x:c>
      <x:c r="D216" s="2" t="str">
        <x:v>Cambodia</x:v>
      </x:c>
      <x:c r="E216" s="14" t="n">
        <x:v>4493884</x:v>
      </x:c>
      <x:c r="F216" s="14" t="n">
        <x:v>412110</x:v>
      </x:c>
      <x:c r="G216" s="2" t="str">
        <x:v>WITHIN_BAND</x:v>
      </x:c>
      <x:c r="H216" s="2" t="n">
        <x:v>1</x:v>
      </x:c>
      <x:c r="I216" s="2" t="n">
        <x:f>IF(AND(COUNTIFS($B$6:$B$797,B216,$C$6:$C$797,C216)=11,COUNTIFS($B$6:$B$797,B216,$C$6:$C$797,C216,$G$6:$G$797,"REVIEW")=0,COUNTIFS($B$6:$B$797,B216,$C$6:$C$797,C216,$H$6:$H$797,1)=11,COUNTIFS($B$6:$B$797,B216,$C$6:$C$797,C216,$F$6:$F$797,"&gt;0")=11),1,0)</x:f>
        <x:v>1</x:v>
      </x:c>
    </x:row>
    <x:row r="217" ht="22" customHeight="1">
      <x:c r="A217" s="2" t="str">
        <x:v>61103099_CN_202502_IMPORT</x:v>
      </x:c>
      <x:c r="B217" s="2" t="n">
        <x:v>202502</x:v>
      </x:c>
      <x:c r="C217" s="2" t="str">
        <x:v>61103099</x:v>
      </x:c>
      <x:c r="D217" s="2" t="str">
        <x:v>China</x:v>
      </x:c>
      <x:c r="E217" s="14" t="n">
        <x:v>9706182</x:v>
      </x:c>
      <x:c r="F217" s="14" t="n">
        <x:v>551375</x:v>
      </x:c>
      <x:c r="G217" s="2" t="str">
        <x:v>WITHIN_BAND</x:v>
      </x:c>
      <x:c r="H217" s="2" t="n">
        <x:v>1</x:v>
      </x:c>
      <x:c r="I217" s="2" t="n">
        <x:f>IF(AND(COUNTIFS($B$6:$B$797,B217,$C$6:$C$797,C217)=11,COUNTIFS($B$6:$B$797,B217,$C$6:$C$797,C217,$G$6:$G$797,"REVIEW")=0,COUNTIFS($B$6:$B$797,B217,$C$6:$C$797,C217,$H$6:$H$797,1)=11,COUNTIFS($B$6:$B$797,B217,$C$6:$C$797,C217,$F$6:$F$797,"&gt;0")=11),1,0)</x:f>
        <x:v>1</x:v>
      </x:c>
    </x:row>
    <x:row r="218" ht="22" customHeight="1">
      <x:c r="A218" s="2" t="str">
        <x:v>61103099_IN_202502_IMPORT</x:v>
      </x:c>
      <x:c r="B218" s="2" t="n">
        <x:v>202502</x:v>
      </x:c>
      <x:c r="C218" s="2" t="str">
        <x:v>61103099</x:v>
      </x:c>
      <x:c r="D218" s="2" t="str">
        <x:v>India</x:v>
      </x:c>
      <x:c r="E218" s="14" t="n">
        <x:v>201338</x:v>
      </x:c>
      <x:c r="F218" s="14" t="n">
        <x:v>14866</x:v>
      </x:c>
      <x:c r="G218" s="2" t="str">
        <x:v>WITHIN_BAND</x:v>
      </x:c>
      <x:c r="H218" s="2" t="n">
        <x:v>1</x:v>
      </x:c>
      <x:c r="I218" s="2" t="n">
        <x:f>IF(AND(COUNTIFS($B$6:$B$797,B218,$C$6:$C$797,C218)=11,COUNTIFS($B$6:$B$797,B218,$C$6:$C$797,C218,$G$6:$G$797,"REVIEW")=0,COUNTIFS($B$6:$B$797,B218,$C$6:$C$797,C218,$H$6:$H$797,1)=11,COUNTIFS($B$6:$B$797,B218,$C$6:$C$797,C218,$F$6:$F$797,"&gt;0")=11),1,0)</x:f>
        <x:v>1</x:v>
      </x:c>
    </x:row>
    <x:row r="219" ht="22" customHeight="1">
      <x:c r="A219" s="2" t="str">
        <x:v>61103099_MA_202502_IMPORT</x:v>
      </x:c>
      <x:c r="B219" s="2" t="n">
        <x:v>202502</x:v>
      </x:c>
      <x:c r="C219" s="2" t="str">
        <x:v>61103099</x:v>
      </x:c>
      <x:c r="D219" s="2" t="str">
        <x:v>Morocco</x:v>
      </x:c>
      <x:c r="E219" s="14" t="n">
        <x:v>12068</x:v>
      </x:c>
      <x:c r="F219" s="14" t="n">
        <x:v>1033</x:v>
      </x:c>
      <x:c r="G219" s="2" t="str">
        <x:v>WITHIN_BAND</x:v>
      </x:c>
      <x:c r="H219" s="2" t="n">
        <x:v>1</x:v>
      </x:c>
      <x:c r="I219" s="2" t="n">
        <x:f>IF(AND(COUNTIFS($B$6:$B$797,B219,$C$6:$C$797,C219)=11,COUNTIFS($B$6:$B$797,B219,$C$6:$C$797,C219,$G$6:$G$797,"REVIEW")=0,COUNTIFS($B$6:$B$797,B219,$C$6:$C$797,C219,$H$6:$H$797,1)=11,COUNTIFS($B$6:$B$797,B219,$C$6:$C$797,C219,$F$6:$F$797,"&gt;0")=11),1,0)</x:f>
        <x:v>1</x:v>
      </x:c>
    </x:row>
    <x:row r="220" ht="22" customHeight="1">
      <x:c r="A220" s="2" t="str">
        <x:v>61103099_MM_202502_IMPORT</x:v>
      </x:c>
      <x:c r="B220" s="2" t="n">
        <x:v>202502</x:v>
      </x:c>
      <x:c r="C220" s="2" t="str">
        <x:v>61103099</x:v>
      </x:c>
      <x:c r="D220" s="2" t="str">
        <x:v>Myanmar</x:v>
      </x:c>
      <x:c r="E220" s="14" t="n">
        <x:v>261800</x:v>
      </x:c>
      <x:c r="F220" s="14" t="n">
        <x:v>16842</x:v>
      </x:c>
      <x:c r="G220" s="2" t="str">
        <x:v>WITHIN_BAND</x:v>
      </x:c>
      <x:c r="H220" s="2" t="n">
        <x:v>1</x:v>
      </x:c>
      <x:c r="I220" s="2" t="n">
        <x:f>IF(AND(COUNTIFS($B$6:$B$797,B220,$C$6:$C$797,C220)=11,COUNTIFS($B$6:$B$797,B220,$C$6:$C$797,C220,$G$6:$G$797,"REVIEW")=0,COUNTIFS($B$6:$B$797,B220,$C$6:$C$797,C220,$H$6:$H$797,1)=11,COUNTIFS($B$6:$B$797,B220,$C$6:$C$797,C220,$F$6:$F$797,"&gt;0")=11),1,0)</x:f>
        <x:v>1</x:v>
      </x:c>
    </x:row>
    <x:row r="221" ht="22" customHeight="1">
      <x:c r="A221" s="2" t="str">
        <x:v>61103099_PK_202502_IMPORT</x:v>
      </x:c>
      <x:c r="B221" s="2" t="n">
        <x:v>202502</x:v>
      </x:c>
      <x:c r="C221" s="2" t="str">
        <x:v>61103099</x:v>
      </x:c>
      <x:c r="D221" s="2" t="str">
        <x:v>Pakistan</x:v>
      </x:c>
      <x:c r="E221" s="14" t="n">
        <x:v>451588</x:v>
      </x:c>
      <x:c r="F221" s="14" t="n">
        <x:v>37557</x:v>
      </x:c>
      <x:c r="G221" s="2" t="str">
        <x:v>WITHIN_BAND</x:v>
      </x:c>
      <x:c r="H221" s="2" t="n">
        <x:v>1</x:v>
      </x:c>
      <x:c r="I221" s="2" t="n">
        <x:f>IF(AND(COUNTIFS($B$6:$B$797,B221,$C$6:$C$797,C221)=11,COUNTIFS($B$6:$B$797,B221,$C$6:$C$797,C221,$G$6:$G$797,"REVIEW")=0,COUNTIFS($B$6:$B$797,B221,$C$6:$C$797,C221,$H$6:$H$797,1)=11,COUNTIFS($B$6:$B$797,B221,$C$6:$C$797,C221,$F$6:$F$797,"&gt;0")=11),1,0)</x:f>
        <x:v>1</x:v>
      </x:c>
    </x:row>
    <x:row r="222" ht="22" customHeight="1">
      <x:c r="A222" s="2" t="str">
        <x:v>61103099_LK_202502_IMPORT</x:v>
      </x:c>
      <x:c r="B222" s="2" t="n">
        <x:v>202502</x:v>
      </x:c>
      <x:c r="C222" s="2" t="str">
        <x:v>61103099</x:v>
      </x:c>
      <x:c r="D222" s="2" t="str">
        <x:v>Sri Lanka</x:v>
      </x:c>
      <x:c r="E222" s="14" t="n">
        <x:v>72233</x:v>
      </x:c>
      <x:c r="F222" s="14" t="n">
        <x:v>3406</x:v>
      </x:c>
      <x:c r="G222" s="2" t="str">
        <x:v>WITHIN_BAND</x:v>
      </x:c>
      <x:c r="H222" s="2" t="n">
        <x:v>1</x:v>
      </x:c>
      <x:c r="I222" s="2" t="n">
        <x:f>IF(AND(COUNTIFS($B$6:$B$797,B222,$C$6:$C$797,C222)=11,COUNTIFS($B$6:$B$797,B222,$C$6:$C$797,C222,$G$6:$G$797,"REVIEW")=0,COUNTIFS($B$6:$B$797,B222,$C$6:$C$797,C222,$H$6:$H$797,1)=11,COUNTIFS($B$6:$B$797,B222,$C$6:$C$797,C222,$F$6:$F$797,"&gt;0")=11),1,0)</x:f>
        <x:v>1</x:v>
      </x:c>
    </x:row>
    <x:row r="223" ht="22" customHeight="1">
      <x:c r="A223" s="2" t="str">
        <x:v>61103099_TR_202502_IMPORT</x:v>
      </x:c>
      <x:c r="B223" s="2" t="n">
        <x:v>202502</x:v>
      </x:c>
      <x:c r="C223" s="2" t="str">
        <x:v>61103099</x:v>
      </x:c>
      <x:c r="D223" s="2" t="str">
        <x:v>Turkey</x:v>
      </x:c>
      <x:c r="E223" s="14" t="n">
        <x:v>3809624</x:v>
      </x:c>
      <x:c r="F223" s="14" t="n">
        <x:v>195878</x:v>
      </x:c>
      <x:c r="G223" s="2" t="str">
        <x:v>WITHIN_BAND</x:v>
      </x:c>
      <x:c r="H223" s="2" t="n">
        <x:v>1</x:v>
      </x:c>
      <x:c r="I223" s="2" t="n">
        <x:f>IF(AND(COUNTIFS($B$6:$B$797,B223,$C$6:$C$797,C223)=11,COUNTIFS($B$6:$B$797,B223,$C$6:$C$797,C223,$G$6:$G$797,"REVIEW")=0,COUNTIFS($B$6:$B$797,B223,$C$6:$C$797,C223,$H$6:$H$797,1)=11,COUNTIFS($B$6:$B$797,B223,$C$6:$C$797,C223,$F$6:$F$797,"&gt;0")=11),1,0)</x:f>
        <x:v>1</x:v>
      </x:c>
    </x:row>
    <x:row r="224" ht="22" customHeight="1">
      <x:c r="A224" s="2" t="str">
        <x:v>61103099_VN_202502_IMPORT</x:v>
      </x:c>
      <x:c r="B224" s="2" t="n">
        <x:v>202502</x:v>
      </x:c>
      <x:c r="C224" s="2" t="str">
        <x:v>61103099</x:v>
      </x:c>
      <x:c r="D224" s="2" t="str">
        <x:v>Vietnam</x:v>
      </x:c>
      <x:c r="E224" s="14" t="n">
        <x:v>418158</x:v>
      </x:c>
      <x:c r="F224" s="14" t="n">
        <x:v>12904</x:v>
      </x:c>
      <x:c r="G224" s="2" t="str">
        <x:v>WITHIN_BAND</x:v>
      </x:c>
      <x:c r="H224" s="2" t="n">
        <x:v>1</x:v>
      </x:c>
      <x:c r="I224" s="2" t="n">
        <x:f>IF(AND(COUNTIFS($B$6:$B$797,B224,$C$6:$C$797,C224)=11,COUNTIFS($B$6:$B$797,B224,$C$6:$C$797,C224,$G$6:$G$797,"REVIEW")=0,COUNTIFS($B$6:$B$797,B224,$C$6:$C$797,C224,$H$6:$H$797,1)=11,COUNTIFS($B$6:$B$797,B224,$C$6:$C$797,C224,$F$6:$F$797,"&gt;0")=11),1,0)</x:f>
        <x:v>1</x:v>
      </x:c>
    </x:row>
    <x:row r="225" ht="22" customHeight="1">
      <x:c r="A225" s="2" t="str">
        <x:v>61103099_WORLD_202502_IMPORT</x:v>
      </x:c>
      <x:c r="B225" s="2" t="n">
        <x:v>202502</x:v>
      </x:c>
      <x:c r="C225" s="2" t="str">
        <x:v>61103099</x:v>
      </x:c>
      <x:c r="D225" s="2" t="str">
        <x:v>World</x:v>
      </x:c>
      <x:c r="E225" s="14" t="n">
        <x:v>36438649</x:v>
      </x:c>
      <x:c r="F225" s="14" t="n">
        <x:v>2180030</x:v>
      </x:c>
      <x:c r="G225" s="2" t="str">
        <x:v>WITHIN_BAND</x:v>
      </x:c>
      <x:c r="H225" s="2" t="n">
        <x:v>1</x:v>
      </x:c>
      <x:c r="I225" s="2" t="n">
        <x:f>IF(AND(COUNTIFS($B$6:$B$797,B225,$C$6:$C$797,C225)=11,COUNTIFS($B$6:$B$797,B225,$C$6:$C$797,C225,$G$6:$G$797,"REVIEW")=0,COUNTIFS($B$6:$B$797,B225,$C$6:$C$797,C225,$H$6:$H$797,1)=11,COUNTIFS($B$6:$B$797,B225,$C$6:$C$797,C225,$F$6:$F$797,"&gt;0")=11),1,0)</x:f>
        <x:v>1</x:v>
      </x:c>
    </x:row>
    <x:row r="226" ht="22" customHeight="1">
      <x:c r="A226" s="2" t="str">
        <x:v>61103099_BD_202503_IMPORT</x:v>
      </x:c>
      <x:c r="B226" s="2" t="n">
        <x:v>202503</x:v>
      </x:c>
      <x:c r="C226" s="2" t="str">
        <x:v>61103099</x:v>
      </x:c>
      <x:c r="D226" s="2" t="str">
        <x:v>Bangladesh</x:v>
      </x:c>
      <x:c r="E226" s="14" t="n">
        <x:v>5403751</x:v>
      </x:c>
      <x:c r="F226" s="14" t="n">
        <x:v>460113</x:v>
      </x:c>
      <x:c r="G226" s="2" t="str">
        <x:v>WITHIN_BAND</x:v>
      </x:c>
      <x:c r="H226" s="2" t="n">
        <x:v>1</x:v>
      </x:c>
      <x:c r="I226" s="2" t="n">
        <x:f>IF(AND(COUNTIFS($B$6:$B$797,B226,$C$6:$C$797,C226)=11,COUNTIFS($B$6:$B$797,B226,$C$6:$C$797,C226,$G$6:$G$797,"REVIEW")=0,COUNTIFS($B$6:$B$797,B226,$C$6:$C$797,C226,$H$6:$H$797,1)=11,COUNTIFS($B$6:$B$797,B226,$C$6:$C$797,C226,$F$6:$F$797,"&gt;0")=11),1,0)</x:f>
        <x:v>1</x:v>
      </x:c>
    </x:row>
    <x:row r="227" ht="22" customHeight="1">
      <x:c r="A227" s="2" t="str">
        <x:v>61103099_KH_202503_IMPORT</x:v>
      </x:c>
      <x:c r="B227" s="2" t="n">
        <x:v>202503</x:v>
      </x:c>
      <x:c r="C227" s="2" t="str">
        <x:v>61103099</x:v>
      </x:c>
      <x:c r="D227" s="2" t="str">
        <x:v>Cambodia</x:v>
      </x:c>
      <x:c r="E227" s="14" t="n">
        <x:v>3776401</x:v>
      </x:c>
      <x:c r="F227" s="14" t="n">
        <x:v>358447</x:v>
      </x:c>
      <x:c r="G227" s="2" t="str">
        <x:v>WITHIN_BAND</x:v>
      </x:c>
      <x:c r="H227" s="2" t="n">
        <x:v>1</x:v>
      </x:c>
      <x:c r="I227" s="2" t="n">
        <x:f>IF(AND(COUNTIFS($B$6:$B$797,B227,$C$6:$C$797,C227)=11,COUNTIFS($B$6:$B$797,B227,$C$6:$C$797,C227,$G$6:$G$797,"REVIEW")=0,COUNTIFS($B$6:$B$797,B227,$C$6:$C$797,C227,$H$6:$H$797,1)=11,COUNTIFS($B$6:$B$797,B227,$C$6:$C$797,C227,$F$6:$F$797,"&gt;0")=11),1,0)</x:f>
        <x:v>1</x:v>
      </x:c>
    </x:row>
    <x:row r="228" ht="22" customHeight="1">
      <x:c r="A228" s="2" t="str">
        <x:v>61103099_CN_202503_IMPORT</x:v>
      </x:c>
      <x:c r="B228" s="2" t="n">
        <x:v>202503</x:v>
      </x:c>
      <x:c r="C228" s="2" t="str">
        <x:v>61103099</x:v>
      </x:c>
      <x:c r="D228" s="2" t="str">
        <x:v>China</x:v>
      </x:c>
      <x:c r="E228" s="14" t="n">
        <x:v>6755114</x:v>
      </x:c>
      <x:c r="F228" s="14" t="n">
        <x:v>364189</x:v>
      </x:c>
      <x:c r="G228" s="2" t="str">
        <x:v>WITHIN_BAND</x:v>
      </x:c>
      <x:c r="H228" s="2" t="n">
        <x:v>1</x:v>
      </x:c>
      <x:c r="I228" s="2" t="n">
        <x:f>IF(AND(COUNTIFS($B$6:$B$797,B228,$C$6:$C$797,C228)=11,COUNTIFS($B$6:$B$797,B228,$C$6:$C$797,C228,$G$6:$G$797,"REVIEW")=0,COUNTIFS($B$6:$B$797,B228,$C$6:$C$797,C228,$H$6:$H$797,1)=11,COUNTIFS($B$6:$B$797,B228,$C$6:$C$797,C228,$F$6:$F$797,"&gt;0")=11),1,0)</x:f>
        <x:v>1</x:v>
      </x:c>
    </x:row>
    <x:row r="229" ht="22" customHeight="1">
      <x:c r="A229" s="2" t="str">
        <x:v>61103099_IN_202503_IMPORT</x:v>
      </x:c>
      <x:c r="B229" s="2" t="n">
        <x:v>202503</x:v>
      </x:c>
      <x:c r="C229" s="2" t="str">
        <x:v>61103099</x:v>
      </x:c>
      <x:c r="D229" s="2" t="str">
        <x:v>India</x:v>
      </x:c>
      <x:c r="E229" s="14" t="n">
        <x:v>168659</x:v>
      </x:c>
      <x:c r="F229" s="14" t="n">
        <x:v>11533</x:v>
      </x:c>
      <x:c r="G229" s="2" t="str">
        <x:v>WITHIN_BAND</x:v>
      </x:c>
      <x:c r="H229" s="2" t="n">
        <x:v>1</x:v>
      </x:c>
      <x:c r="I229" s="2" t="n">
        <x:f>IF(AND(COUNTIFS($B$6:$B$797,B229,$C$6:$C$797,C229)=11,COUNTIFS($B$6:$B$797,B229,$C$6:$C$797,C229,$G$6:$G$797,"REVIEW")=0,COUNTIFS($B$6:$B$797,B229,$C$6:$C$797,C229,$H$6:$H$797,1)=11,COUNTIFS($B$6:$B$797,B229,$C$6:$C$797,C229,$F$6:$F$797,"&gt;0")=11),1,0)</x:f>
        <x:v>1</x:v>
      </x:c>
    </x:row>
    <x:row r="230" ht="22" customHeight="1">
      <x:c r="A230" s="2" t="str">
        <x:v>61103099_MA_202503_IMPORT</x:v>
      </x:c>
      <x:c r="B230" s="2" t="n">
        <x:v>202503</x:v>
      </x:c>
      <x:c r="C230" s="2" t="str">
        <x:v>61103099</x:v>
      </x:c>
      <x:c r="D230" s="2" t="str">
        <x:v>Morocco</x:v>
      </x:c>
      <x:c r="E230" s="14" t="n">
        <x:v>34687</x:v>
      </x:c>
      <x:c r="F230" s="14" t="n">
        <x:v>3476</x:v>
      </x:c>
      <x:c r="G230" s="2" t="str">
        <x:v>WITHIN_BAND</x:v>
      </x:c>
      <x:c r="H230" s="2" t="n">
        <x:v>1</x:v>
      </x:c>
      <x:c r="I230" s="2" t="n">
        <x:f>IF(AND(COUNTIFS($B$6:$B$797,B230,$C$6:$C$797,C230)=11,COUNTIFS($B$6:$B$797,B230,$C$6:$C$797,C230,$G$6:$G$797,"REVIEW")=0,COUNTIFS($B$6:$B$797,B230,$C$6:$C$797,C230,$H$6:$H$797,1)=11,COUNTIFS($B$6:$B$797,B230,$C$6:$C$797,C230,$F$6:$F$797,"&gt;0")=11),1,0)</x:f>
        <x:v>1</x:v>
      </x:c>
    </x:row>
    <x:row r="231" ht="22" customHeight="1">
      <x:c r="A231" s="2" t="str">
        <x:v>61103099_MM_202503_IMPORT</x:v>
      </x:c>
      <x:c r="B231" s="2" t="n">
        <x:v>202503</x:v>
      </x:c>
      <x:c r="C231" s="2" t="str">
        <x:v>61103099</x:v>
      </x:c>
      <x:c r="D231" s="2" t="str">
        <x:v>Myanmar</x:v>
      </x:c>
      <x:c r="E231" s="14" t="n">
        <x:v>149026</x:v>
      </x:c>
      <x:c r="F231" s="14" t="n">
        <x:v>7412</x:v>
      </x:c>
      <x:c r="G231" s="2" t="str">
        <x:v>WITHIN_BAND</x:v>
      </x:c>
      <x:c r="H231" s="2" t="n">
        <x:v>1</x:v>
      </x:c>
      <x:c r="I231" s="2" t="n">
        <x:f>IF(AND(COUNTIFS($B$6:$B$797,B231,$C$6:$C$797,C231)=11,COUNTIFS($B$6:$B$797,B231,$C$6:$C$797,C231,$G$6:$G$797,"REVIEW")=0,COUNTIFS($B$6:$B$797,B231,$C$6:$C$797,C231,$H$6:$H$797,1)=11,COUNTIFS($B$6:$B$797,B231,$C$6:$C$797,C231,$F$6:$F$797,"&gt;0")=11),1,0)</x:f>
        <x:v>1</x:v>
      </x:c>
    </x:row>
    <x:row r="232" ht="22" customHeight="1">
      <x:c r="A232" s="2" t="str">
        <x:v>61103099_PK_202503_IMPORT</x:v>
      </x:c>
      <x:c r="B232" s="2" t="n">
        <x:v>202503</x:v>
      </x:c>
      <x:c r="C232" s="2" t="str">
        <x:v>61103099</x:v>
      </x:c>
      <x:c r="D232" s="2" t="str">
        <x:v>Pakistan</x:v>
      </x:c>
      <x:c r="E232" s="14" t="n">
        <x:v>638965</x:v>
      </x:c>
      <x:c r="F232" s="14" t="n">
        <x:v>46045</x:v>
      </x:c>
      <x:c r="G232" s="2" t="str">
        <x:v>WITHIN_BAND</x:v>
      </x:c>
      <x:c r="H232" s="2" t="n">
        <x:v>1</x:v>
      </x:c>
      <x:c r="I232" s="2" t="n">
        <x:f>IF(AND(COUNTIFS($B$6:$B$797,B232,$C$6:$C$797,C232)=11,COUNTIFS($B$6:$B$797,B232,$C$6:$C$797,C232,$G$6:$G$797,"REVIEW")=0,COUNTIFS($B$6:$B$797,B232,$C$6:$C$797,C232,$H$6:$H$797,1)=11,COUNTIFS($B$6:$B$797,B232,$C$6:$C$797,C232,$F$6:$F$797,"&gt;0")=11),1,0)</x:f>
        <x:v>1</x:v>
      </x:c>
    </x:row>
    <x:row r="233" ht="22" customHeight="1">
      <x:c r="A233" s="2" t="str">
        <x:v>61103099_LK_202503_IMPORT</x:v>
      </x:c>
      <x:c r="B233" s="2" t="n">
        <x:v>202503</x:v>
      </x:c>
      <x:c r="C233" s="2" t="str">
        <x:v>61103099</x:v>
      </x:c>
      <x:c r="D233" s="2" t="str">
        <x:v>Sri Lanka</x:v>
      </x:c>
      <x:c r="E233" s="14" t="n">
        <x:v>148580</x:v>
      </x:c>
      <x:c r="F233" s="14" t="n">
        <x:v>6043</x:v>
      </x:c>
      <x:c r="G233" s="2" t="str">
        <x:v>WITHIN_BAND</x:v>
      </x:c>
      <x:c r="H233" s="2" t="n">
        <x:v>1</x:v>
      </x:c>
      <x:c r="I233" s="2" t="n">
        <x:f>IF(AND(COUNTIFS($B$6:$B$797,B233,$C$6:$C$797,C233)=11,COUNTIFS($B$6:$B$797,B233,$C$6:$C$797,C233,$G$6:$G$797,"REVIEW")=0,COUNTIFS($B$6:$B$797,B233,$C$6:$C$797,C233,$H$6:$H$797,1)=11,COUNTIFS($B$6:$B$797,B233,$C$6:$C$797,C233,$F$6:$F$797,"&gt;0")=11),1,0)</x:f>
        <x:v>1</x:v>
      </x:c>
    </x:row>
    <x:row r="234" ht="22" customHeight="1">
      <x:c r="A234" s="2" t="str">
        <x:v>61103099_TR_202503_IMPORT</x:v>
      </x:c>
      <x:c r="B234" s="2" t="n">
        <x:v>202503</x:v>
      </x:c>
      <x:c r="C234" s="2" t="str">
        <x:v>61103099</x:v>
      </x:c>
      <x:c r="D234" s="2" t="str">
        <x:v>Turkey</x:v>
      </x:c>
      <x:c r="E234" s="14" t="n">
        <x:v>2265412</x:v>
      </x:c>
      <x:c r="F234" s="14" t="n">
        <x:v>93167</x:v>
      </x:c>
      <x:c r="G234" s="2" t="str">
        <x:v>WITHIN_BAND</x:v>
      </x:c>
      <x:c r="H234" s="2" t="n">
        <x:v>1</x:v>
      </x:c>
      <x:c r="I234" s="2" t="n">
        <x:f>IF(AND(COUNTIFS($B$6:$B$797,B234,$C$6:$C$797,C234)=11,COUNTIFS($B$6:$B$797,B234,$C$6:$C$797,C234,$G$6:$G$797,"REVIEW")=0,COUNTIFS($B$6:$B$797,B234,$C$6:$C$797,C234,$H$6:$H$797,1)=11,COUNTIFS($B$6:$B$797,B234,$C$6:$C$797,C234,$F$6:$F$797,"&gt;0")=11),1,0)</x:f>
        <x:v>1</x:v>
      </x:c>
    </x:row>
    <x:row r="235" ht="22" customHeight="1">
      <x:c r="A235" s="2" t="str">
        <x:v>61103099_VN_202503_IMPORT</x:v>
      </x:c>
      <x:c r="B235" s="2" t="n">
        <x:v>202503</x:v>
      </x:c>
      <x:c r="C235" s="2" t="str">
        <x:v>61103099</x:v>
      </x:c>
      <x:c r="D235" s="2" t="str">
        <x:v>Vietnam</x:v>
      </x:c>
      <x:c r="E235" s="14" t="n">
        <x:v>578346</x:v>
      </x:c>
      <x:c r="F235" s="14" t="n">
        <x:v>23093</x:v>
      </x:c>
      <x:c r="G235" s="2" t="str">
        <x:v>WITHIN_BAND</x:v>
      </x:c>
      <x:c r="H235" s="2" t="n">
        <x:v>1</x:v>
      </x:c>
      <x:c r="I235" s="2" t="n">
        <x:f>IF(AND(COUNTIFS($B$6:$B$797,B235,$C$6:$C$797,C235)=11,COUNTIFS($B$6:$B$797,B235,$C$6:$C$797,C235,$G$6:$G$797,"REVIEW")=0,COUNTIFS($B$6:$B$797,B235,$C$6:$C$797,C235,$H$6:$H$797,1)=11,COUNTIFS($B$6:$B$797,B235,$C$6:$C$797,C235,$F$6:$F$797,"&gt;0")=11),1,0)</x:f>
        <x:v>1</x:v>
      </x:c>
    </x:row>
    <x:row r="236" ht="22" customHeight="1">
      <x:c r="A236" s="2" t="str">
        <x:v>61103099_WORLD_202503_IMPORT</x:v>
      </x:c>
      <x:c r="B236" s="2" t="n">
        <x:v>202503</x:v>
      </x:c>
      <x:c r="C236" s="2" t="str">
        <x:v>61103099</x:v>
      </x:c>
      <x:c r="D236" s="2" t="str">
        <x:v>World</x:v>
      </x:c>
      <x:c r="E236" s="14" t="n">
        <x:v>28808132</x:v>
      </x:c>
      <x:c r="F236" s="14" t="n">
        <x:v>1724720</x:v>
      </x:c>
      <x:c r="G236" s="2" t="str">
        <x:v>WITHIN_BAND</x:v>
      </x:c>
      <x:c r="H236" s="2" t="n">
        <x:v>1</x:v>
      </x:c>
      <x:c r="I236" s="2" t="n">
        <x:f>IF(AND(COUNTIFS($B$6:$B$797,B236,$C$6:$C$797,C236)=11,COUNTIFS($B$6:$B$797,B236,$C$6:$C$797,C236,$G$6:$G$797,"REVIEW")=0,COUNTIFS($B$6:$B$797,B236,$C$6:$C$797,C236,$H$6:$H$797,1)=11,COUNTIFS($B$6:$B$797,B236,$C$6:$C$797,C236,$F$6:$F$797,"&gt;0")=11),1,0)</x:f>
        <x:v>1</x:v>
      </x:c>
    </x:row>
    <x:row r="237" ht="22" customHeight="1">
      <x:c r="A237" s="2" t="str">
        <x:v>61103099_BD_202504_IMPORT</x:v>
      </x:c>
      <x:c r="B237" s="2" t="n">
        <x:v>202504</x:v>
      </x:c>
      <x:c r="C237" s="2" t="str">
        <x:v>61103099</x:v>
      </x:c>
      <x:c r="D237" s="2" t="str">
        <x:v>Bangladesh</x:v>
      </x:c>
      <x:c r="E237" s="14" t="n">
        <x:v>3720743</x:v>
      </x:c>
      <x:c r="F237" s="14" t="n">
        <x:v>293389</x:v>
      </x:c>
      <x:c r="G237" s="2" t="str">
        <x:v>WITHIN_BAND</x:v>
      </x:c>
      <x:c r="H237" s="2" t="n">
        <x:v>1</x:v>
      </x:c>
      <x:c r="I237" s="2" t="n">
        <x:f>IF(AND(COUNTIFS($B$6:$B$797,B237,$C$6:$C$797,C237)=11,COUNTIFS($B$6:$B$797,B237,$C$6:$C$797,C237,$G$6:$G$797,"REVIEW")=0,COUNTIFS($B$6:$B$797,B237,$C$6:$C$797,C237,$H$6:$H$797,1)=11,COUNTIFS($B$6:$B$797,B237,$C$6:$C$797,C237,$F$6:$F$797,"&gt;0")=11),1,0)</x:f>
        <x:v>1</x:v>
      </x:c>
    </x:row>
    <x:row r="238" ht="22" customHeight="1">
      <x:c r="A238" s="2" t="str">
        <x:v>61103099_KH_202504_IMPORT</x:v>
      </x:c>
      <x:c r="B238" s="2" t="n">
        <x:v>202504</x:v>
      </x:c>
      <x:c r="C238" s="2" t="str">
        <x:v>61103099</x:v>
      </x:c>
      <x:c r="D238" s="2" t="str">
        <x:v>Cambodia</x:v>
      </x:c>
      <x:c r="E238" s="14" t="n">
        <x:v>3330771</x:v>
      </x:c>
      <x:c r="F238" s="14" t="n">
        <x:v>269036</x:v>
      </x:c>
      <x:c r="G238" s="2" t="str">
        <x:v>WITHIN_BAND</x:v>
      </x:c>
      <x:c r="H238" s="2" t="n">
        <x:v>1</x:v>
      </x:c>
      <x:c r="I238" s="2" t="n">
        <x:f>IF(AND(COUNTIFS($B$6:$B$797,B238,$C$6:$C$797,C238)=11,COUNTIFS($B$6:$B$797,B238,$C$6:$C$797,C238,$G$6:$G$797,"REVIEW")=0,COUNTIFS($B$6:$B$797,B238,$C$6:$C$797,C238,$H$6:$H$797,1)=11,COUNTIFS($B$6:$B$797,B238,$C$6:$C$797,C238,$F$6:$F$797,"&gt;0")=11),1,0)</x:f>
        <x:v>1</x:v>
      </x:c>
    </x:row>
    <x:row r="239" ht="22" customHeight="1">
      <x:c r="A239" s="2" t="str">
        <x:v>61103099_CN_202504_IMPORT</x:v>
      </x:c>
      <x:c r="B239" s="2" t="n">
        <x:v>202504</x:v>
      </x:c>
      <x:c r="C239" s="2" t="str">
        <x:v>61103099</x:v>
      </x:c>
      <x:c r="D239" s="2" t="str">
        <x:v>China</x:v>
      </x:c>
      <x:c r="E239" s="14" t="n">
        <x:v>4443136</x:v>
      </x:c>
      <x:c r="F239" s="14" t="n">
        <x:v>223372</x:v>
      </x:c>
      <x:c r="G239" s="2" t="str">
        <x:v>WITHIN_BAND</x:v>
      </x:c>
      <x:c r="H239" s="2" t="n">
        <x:v>1</x:v>
      </x:c>
      <x:c r="I239" s="2" t="n">
        <x:f>IF(AND(COUNTIFS($B$6:$B$797,B239,$C$6:$C$797,C239)=11,COUNTIFS($B$6:$B$797,B239,$C$6:$C$797,C239,$G$6:$G$797,"REVIEW")=0,COUNTIFS($B$6:$B$797,B239,$C$6:$C$797,C239,$H$6:$H$797,1)=11,COUNTIFS($B$6:$B$797,B239,$C$6:$C$797,C239,$F$6:$F$797,"&gt;0")=11),1,0)</x:f>
        <x:v>1</x:v>
      </x:c>
    </x:row>
    <x:row r="240" ht="22" customHeight="1">
      <x:c r="A240" s="2" t="str">
        <x:v>61103099_IN_202504_IMPORT</x:v>
      </x:c>
      <x:c r="B240" s="2" t="n">
        <x:v>202504</x:v>
      </x:c>
      <x:c r="C240" s="2" t="str">
        <x:v>61103099</x:v>
      </x:c>
      <x:c r="D240" s="2" t="str">
        <x:v>India</x:v>
      </x:c>
      <x:c r="E240" s="14" t="n">
        <x:v>88853</x:v>
      </x:c>
      <x:c r="F240" s="14" t="n">
        <x:v>6510</x:v>
      </x:c>
      <x:c r="G240" s="2" t="str">
        <x:v>WITHIN_BAND</x:v>
      </x:c>
      <x:c r="H240" s="2" t="n">
        <x:v>1</x:v>
      </x:c>
      <x:c r="I240" s="2" t="n">
        <x:f>IF(AND(COUNTIFS($B$6:$B$797,B240,$C$6:$C$797,C240)=11,COUNTIFS($B$6:$B$797,B240,$C$6:$C$797,C240,$G$6:$G$797,"REVIEW")=0,COUNTIFS($B$6:$B$797,B240,$C$6:$C$797,C240,$H$6:$H$797,1)=11,COUNTIFS($B$6:$B$797,B240,$C$6:$C$797,C240,$F$6:$F$797,"&gt;0")=11),1,0)</x:f>
        <x:v>1</x:v>
      </x:c>
    </x:row>
    <x:row r="241" ht="22" customHeight="1">
      <x:c r="A241" s="2" t="str">
        <x:v>61103099_MA_202504_IMPORT</x:v>
      </x:c>
      <x:c r="B241" s="2" t="n">
        <x:v>202504</x:v>
      </x:c>
      <x:c r="C241" s="2" t="str">
        <x:v>61103099</x:v>
      </x:c>
      <x:c r="D241" s="2" t="str">
        <x:v>Morocco</x:v>
      </x:c>
      <x:c r="E241" s="14" t="n">
        <x:v>17091</x:v>
      </x:c>
      <x:c r="F241" s="14" t="n">
        <x:v>1380</x:v>
      </x:c>
      <x:c r="G241" s="2" t="str">
        <x:v>WITHIN_BAND</x:v>
      </x:c>
      <x:c r="H241" s="2" t="n">
        <x:v>1</x:v>
      </x:c>
      <x:c r="I241" s="2" t="n">
        <x:f>IF(AND(COUNTIFS($B$6:$B$797,B241,$C$6:$C$797,C241)=11,COUNTIFS($B$6:$B$797,B241,$C$6:$C$797,C241,$G$6:$G$797,"REVIEW")=0,COUNTIFS($B$6:$B$797,B241,$C$6:$C$797,C241,$H$6:$H$797,1)=11,COUNTIFS($B$6:$B$797,B241,$C$6:$C$797,C241,$F$6:$F$797,"&gt;0")=11),1,0)</x:f>
        <x:v>1</x:v>
      </x:c>
    </x:row>
    <x:row r="242" ht="22" customHeight="1">
      <x:c r="A242" s="2" t="str">
        <x:v>61103099_MM_202504_IMPORT</x:v>
      </x:c>
      <x:c r="B242" s="2" t="n">
        <x:v>202504</x:v>
      </x:c>
      <x:c r="C242" s="2" t="str">
        <x:v>61103099</x:v>
      </x:c>
      <x:c r="D242" s="2" t="str">
        <x:v>Myanmar</x:v>
      </x:c>
      <x:c r="E242" s="14" t="n">
        <x:v>56824</x:v>
      </x:c>
      <x:c r="F242" s="14" t="n">
        <x:v>2869</x:v>
      </x:c>
      <x:c r="G242" s="2" t="str">
        <x:v>WITHIN_BAND</x:v>
      </x:c>
      <x:c r="H242" s="2" t="n">
        <x:v>1</x:v>
      </x:c>
      <x:c r="I242" s="2" t="n">
        <x:f>IF(AND(COUNTIFS($B$6:$B$797,B242,$C$6:$C$797,C242)=11,COUNTIFS($B$6:$B$797,B242,$C$6:$C$797,C242,$G$6:$G$797,"REVIEW")=0,COUNTIFS($B$6:$B$797,B242,$C$6:$C$797,C242,$H$6:$H$797,1)=11,COUNTIFS($B$6:$B$797,B242,$C$6:$C$797,C242,$F$6:$F$797,"&gt;0")=11),1,0)</x:f>
        <x:v>1</x:v>
      </x:c>
    </x:row>
    <x:row r="243" ht="22" customHeight="1">
      <x:c r="A243" s="2" t="str">
        <x:v>61103099_PK_202504_IMPORT</x:v>
      </x:c>
      <x:c r="B243" s="2" t="n">
        <x:v>202504</x:v>
      </x:c>
      <x:c r="C243" s="2" t="str">
        <x:v>61103099</x:v>
      </x:c>
      <x:c r="D243" s="2" t="str">
        <x:v>Pakistan</x:v>
      </x:c>
      <x:c r="E243" s="14" t="n">
        <x:v>574970</x:v>
      </x:c>
      <x:c r="F243" s="14" t="n">
        <x:v>41373</x:v>
      </x:c>
      <x:c r="G243" s="2" t="str">
        <x:v>WITHIN_BAND</x:v>
      </x:c>
      <x:c r="H243" s="2" t="n">
        <x:v>1</x:v>
      </x:c>
      <x:c r="I243" s="2" t="n">
        <x:f>IF(AND(COUNTIFS($B$6:$B$797,B243,$C$6:$C$797,C243)=11,COUNTIFS($B$6:$B$797,B243,$C$6:$C$797,C243,$G$6:$G$797,"REVIEW")=0,COUNTIFS($B$6:$B$797,B243,$C$6:$C$797,C243,$H$6:$H$797,1)=11,COUNTIFS($B$6:$B$797,B243,$C$6:$C$797,C243,$F$6:$F$797,"&gt;0")=11),1,0)</x:f>
        <x:v>1</x:v>
      </x:c>
    </x:row>
    <x:row r="244" ht="22" customHeight="1">
      <x:c r="A244" s="2" t="str">
        <x:v>61103099_LK_202504_IMPORT</x:v>
      </x:c>
      <x:c r="B244" s="2" t="n">
        <x:v>202504</x:v>
      </x:c>
      <x:c r="C244" s="2" t="str">
        <x:v>61103099</x:v>
      </x:c>
      <x:c r="D244" s="2" t="str">
        <x:v>Sri Lanka</x:v>
      </x:c>
      <x:c r="E244" s="14" t="n">
        <x:v>111619</x:v>
      </x:c>
      <x:c r="F244" s="14" t="n">
        <x:v>5891</x:v>
      </x:c>
      <x:c r="G244" s="2" t="str">
        <x:v>WITHIN_BAND</x:v>
      </x:c>
      <x:c r="H244" s="2" t="n">
        <x:v>1</x:v>
      </x:c>
      <x:c r="I244" s="2" t="n">
        <x:f>IF(AND(COUNTIFS($B$6:$B$797,B244,$C$6:$C$797,C244)=11,COUNTIFS($B$6:$B$797,B244,$C$6:$C$797,C244,$G$6:$G$797,"REVIEW")=0,COUNTIFS($B$6:$B$797,B244,$C$6:$C$797,C244,$H$6:$H$797,1)=11,COUNTIFS($B$6:$B$797,B244,$C$6:$C$797,C244,$F$6:$F$797,"&gt;0")=11),1,0)</x:f>
        <x:v>1</x:v>
      </x:c>
    </x:row>
    <x:row r="245" ht="22" customHeight="1">
      <x:c r="A245" s="2" t="str">
        <x:v>61103099_TR_202504_IMPORT</x:v>
      </x:c>
      <x:c r="B245" s="2" t="n">
        <x:v>202504</x:v>
      </x:c>
      <x:c r="C245" s="2" t="str">
        <x:v>61103099</x:v>
      </x:c>
      <x:c r="D245" s="2" t="str">
        <x:v>Turkey</x:v>
      </x:c>
      <x:c r="E245" s="14" t="n">
        <x:v>1168634</x:v>
      </x:c>
      <x:c r="F245" s="14" t="n">
        <x:v>51383</x:v>
      </x:c>
      <x:c r="G245" s="2" t="str">
        <x:v>WITHIN_BAND</x:v>
      </x:c>
      <x:c r="H245" s="2" t="n">
        <x:v>1</x:v>
      </x:c>
      <x:c r="I245" s="2" t="n">
        <x:f>IF(AND(COUNTIFS($B$6:$B$797,B245,$C$6:$C$797,C245)=11,COUNTIFS($B$6:$B$797,B245,$C$6:$C$797,C245,$G$6:$G$797,"REVIEW")=0,COUNTIFS($B$6:$B$797,B245,$C$6:$C$797,C245,$H$6:$H$797,1)=11,COUNTIFS($B$6:$B$797,B245,$C$6:$C$797,C245,$F$6:$F$797,"&gt;0")=11),1,0)</x:f>
        <x:v>1</x:v>
      </x:c>
    </x:row>
    <x:row r="246" ht="22" customHeight="1">
      <x:c r="A246" s="2" t="str">
        <x:v>61103099_VN_202504_IMPORT</x:v>
      </x:c>
      <x:c r="B246" s="2" t="n">
        <x:v>202504</x:v>
      </x:c>
      <x:c r="C246" s="2" t="str">
        <x:v>61103099</x:v>
      </x:c>
      <x:c r="D246" s="2" t="str">
        <x:v>Vietnam</x:v>
      </x:c>
      <x:c r="E246" s="14" t="n">
        <x:v>309626</x:v>
      </x:c>
      <x:c r="F246" s="14" t="n">
        <x:v>9954</x:v>
      </x:c>
      <x:c r="G246" s="2" t="str">
        <x:v>WITHIN_BAND</x:v>
      </x:c>
      <x:c r="H246" s="2" t="n">
        <x:v>1</x:v>
      </x:c>
      <x:c r="I246" s="2" t="n">
        <x:f>IF(AND(COUNTIFS($B$6:$B$797,B246,$C$6:$C$797,C246)=11,COUNTIFS($B$6:$B$797,B246,$C$6:$C$797,C246,$G$6:$G$797,"REVIEW")=0,COUNTIFS($B$6:$B$797,B246,$C$6:$C$797,C246,$H$6:$H$797,1)=11,COUNTIFS($B$6:$B$797,B246,$C$6:$C$797,C246,$F$6:$F$797,"&gt;0")=11),1,0)</x:f>
        <x:v>1</x:v>
      </x:c>
    </x:row>
    <x:row r="247" ht="22" customHeight="1">
      <x:c r="A247" s="2" t="str">
        <x:v>61103099_WORLD_202504_IMPORT</x:v>
      </x:c>
      <x:c r="B247" s="2" t="n">
        <x:v>202504</x:v>
      </x:c>
      <x:c r="C247" s="2" t="str">
        <x:v>61103099</x:v>
      </x:c>
      <x:c r="D247" s="2" t="str">
        <x:v>World</x:v>
      </x:c>
      <x:c r="E247" s="14" t="n">
        <x:v>21378689</x:v>
      </x:c>
      <x:c r="F247" s="14" t="n">
        <x:v>1212120</x:v>
      </x:c>
      <x:c r="G247" s="2" t="str">
        <x:v>WITHIN_BAND</x:v>
      </x:c>
      <x:c r="H247" s="2" t="n">
        <x:v>1</x:v>
      </x:c>
      <x:c r="I247" s="2" t="n">
        <x:f>IF(AND(COUNTIFS($B$6:$B$797,B247,$C$6:$C$797,C247)=11,COUNTIFS($B$6:$B$797,B247,$C$6:$C$797,C247,$G$6:$G$797,"REVIEW")=0,COUNTIFS($B$6:$B$797,B247,$C$6:$C$797,C247,$H$6:$H$797,1)=11,COUNTIFS($B$6:$B$797,B247,$C$6:$C$797,C247,$F$6:$F$797,"&gt;0")=11),1,0)</x:f>
        <x:v>1</x:v>
      </x:c>
    </x:row>
    <x:row r="248" ht="22" customHeight="1">
      <x:c r="A248" s="2" t="str">
        <x:v>61103099_BD_202505_IMPORT</x:v>
      </x:c>
      <x:c r="B248" s="2" t="n">
        <x:v>202505</x:v>
      </x:c>
      <x:c r="C248" s="2" t="str">
        <x:v>61103099</x:v>
      </x:c>
      <x:c r="D248" s="2" t="str">
        <x:v>Bangladesh</x:v>
      </x:c>
      <x:c r="E248" s="14" t="n">
        <x:v>5456472</x:v>
      </x:c>
      <x:c r="F248" s="14" t="n">
        <x:v>435917</x:v>
      </x:c>
      <x:c r="G248" s="2" t="str">
        <x:v>WITHIN_BAND</x:v>
      </x:c>
      <x:c r="H248" s="2" t="n">
        <x:v>1</x:v>
      </x:c>
      <x:c r="I248" s="2" t="n">
        <x:f>IF(AND(COUNTIFS($B$6:$B$797,B248,$C$6:$C$797,C248)=11,COUNTIFS($B$6:$B$797,B248,$C$6:$C$797,C248,$G$6:$G$797,"REVIEW")=0,COUNTIFS($B$6:$B$797,B248,$C$6:$C$797,C248,$H$6:$H$797,1)=11,COUNTIFS($B$6:$B$797,B248,$C$6:$C$797,C248,$F$6:$F$797,"&gt;0")=11),1,0)</x:f>
        <x:v>1</x:v>
      </x:c>
    </x:row>
    <x:row r="249" ht="22" customHeight="1">
      <x:c r="A249" s="2" t="str">
        <x:v>61103099_KH_202505_IMPORT</x:v>
      </x:c>
      <x:c r="B249" s="2" t="n">
        <x:v>202505</x:v>
      </x:c>
      <x:c r="C249" s="2" t="str">
        <x:v>61103099</x:v>
      </x:c>
      <x:c r="D249" s="2" t="str">
        <x:v>Cambodia</x:v>
      </x:c>
      <x:c r="E249" s="14" t="n">
        <x:v>1891545</x:v>
      </x:c>
      <x:c r="F249" s="14" t="n">
        <x:v>157646</x:v>
      </x:c>
      <x:c r="G249" s="2" t="str">
        <x:v>WITHIN_BAND</x:v>
      </x:c>
      <x:c r="H249" s="2" t="n">
        <x:v>1</x:v>
      </x:c>
      <x:c r="I249" s="2" t="n">
        <x:f>IF(AND(COUNTIFS($B$6:$B$797,B249,$C$6:$C$797,C249)=11,COUNTIFS($B$6:$B$797,B249,$C$6:$C$797,C249,$G$6:$G$797,"REVIEW")=0,COUNTIFS($B$6:$B$797,B249,$C$6:$C$797,C249,$H$6:$H$797,1)=11,COUNTIFS($B$6:$B$797,B249,$C$6:$C$797,C249,$F$6:$F$797,"&gt;0")=11),1,0)</x:f>
        <x:v>1</x:v>
      </x:c>
    </x:row>
    <x:row r="250" ht="22" customHeight="1">
      <x:c r="A250" s="2" t="str">
        <x:v>61103099_CN_202505_IMPORT</x:v>
      </x:c>
      <x:c r="B250" s="2" t="n">
        <x:v>202505</x:v>
      </x:c>
      <x:c r="C250" s="2" t="str">
        <x:v>61103099</x:v>
      </x:c>
      <x:c r="D250" s="2" t="str">
        <x:v>China</x:v>
      </x:c>
      <x:c r="E250" s="14" t="n">
        <x:v>3700448</x:v>
      </x:c>
      <x:c r="F250" s="14" t="n">
        <x:v>207042</x:v>
      </x:c>
      <x:c r="G250" s="2" t="str">
        <x:v>WITHIN_BAND</x:v>
      </x:c>
      <x:c r="H250" s="2" t="n">
        <x:v>1</x:v>
      </x:c>
      <x:c r="I250" s="2" t="n">
        <x:f>IF(AND(COUNTIFS($B$6:$B$797,B250,$C$6:$C$797,C250)=11,COUNTIFS($B$6:$B$797,B250,$C$6:$C$797,C250,$G$6:$G$797,"REVIEW")=0,COUNTIFS($B$6:$B$797,B250,$C$6:$C$797,C250,$H$6:$H$797,1)=11,COUNTIFS($B$6:$B$797,B250,$C$6:$C$797,C250,$F$6:$F$797,"&gt;0")=11),1,0)</x:f>
        <x:v>1</x:v>
      </x:c>
    </x:row>
    <x:row r="251" ht="22" customHeight="1">
      <x:c r="A251" s="2" t="str">
        <x:v>61103099_IN_202505_IMPORT</x:v>
      </x:c>
      <x:c r="B251" s="2" t="n">
        <x:v>202505</x:v>
      </x:c>
      <x:c r="C251" s="2" t="str">
        <x:v>61103099</x:v>
      </x:c>
      <x:c r="D251" s="2" t="str">
        <x:v>India</x:v>
      </x:c>
      <x:c r="E251" s="14" t="n">
        <x:v>237269</x:v>
      </x:c>
      <x:c r="F251" s="14" t="n">
        <x:v>16041</x:v>
      </x:c>
      <x:c r="G251" s="2" t="str">
        <x:v>WITHIN_BAND</x:v>
      </x:c>
      <x:c r="H251" s="2" t="n">
        <x:v>1</x:v>
      </x:c>
      <x:c r="I251" s="2" t="n">
        <x:f>IF(AND(COUNTIFS($B$6:$B$797,B251,$C$6:$C$797,C251)=11,COUNTIFS($B$6:$B$797,B251,$C$6:$C$797,C251,$G$6:$G$797,"REVIEW")=0,COUNTIFS($B$6:$B$797,B251,$C$6:$C$797,C251,$H$6:$H$797,1)=11,COUNTIFS($B$6:$B$797,B251,$C$6:$C$797,C251,$F$6:$F$797,"&gt;0")=11),1,0)</x:f>
        <x:v>1</x:v>
      </x:c>
    </x:row>
    <x:row r="252" ht="22" customHeight="1">
      <x:c r="A252" s="2" t="str">
        <x:v>61103099_MA_202505_IMPORT</x:v>
      </x:c>
      <x:c r="B252" s="2" t="n">
        <x:v>202505</x:v>
      </x:c>
      <x:c r="C252" s="2" t="str">
        <x:v>61103099</x:v>
      </x:c>
      <x:c r="D252" s="2" t="str">
        <x:v>Morocco</x:v>
      </x:c>
      <x:c r="E252" s="14" t="n">
        <x:v>18217</x:v>
      </x:c>
      <x:c r="F252" s="14" t="n">
        <x:v>1239</x:v>
      </x:c>
      <x:c r="G252" s="2" t="str">
        <x:v>WITHIN_BAND</x:v>
      </x:c>
      <x:c r="H252" s="2" t="n">
        <x:v>1</x:v>
      </x:c>
      <x:c r="I252" s="2" t="n">
        <x:f>IF(AND(COUNTIFS($B$6:$B$797,B252,$C$6:$C$797,C252)=11,COUNTIFS($B$6:$B$797,B252,$C$6:$C$797,C252,$G$6:$G$797,"REVIEW")=0,COUNTIFS($B$6:$B$797,B252,$C$6:$C$797,C252,$H$6:$H$797,1)=11,COUNTIFS($B$6:$B$797,B252,$C$6:$C$797,C252,$F$6:$F$797,"&gt;0")=11),1,0)</x:f>
        <x:v>1</x:v>
      </x:c>
    </x:row>
    <x:row r="253" ht="22" customHeight="1">
      <x:c r="A253" s="2" t="str">
        <x:v>61103099_MM_202505_IMPORT</x:v>
      </x:c>
      <x:c r="B253" s="2" t="n">
        <x:v>202505</x:v>
      </x:c>
      <x:c r="C253" s="2" t="str">
        <x:v>61103099</x:v>
      </x:c>
      <x:c r="D253" s="2" t="str">
        <x:v>Myanmar</x:v>
      </x:c>
      <x:c r="E253" s="14" t="n">
        <x:v>161453</x:v>
      </x:c>
      <x:c r="F253" s="14" t="n">
        <x:v>8132</x:v>
      </x:c>
      <x:c r="G253" s="2" t="str">
        <x:v>WITHIN_BAND</x:v>
      </x:c>
      <x:c r="H253" s="2" t="n">
        <x:v>1</x:v>
      </x:c>
      <x:c r="I253" s="2" t="n">
        <x:f>IF(AND(COUNTIFS($B$6:$B$797,B253,$C$6:$C$797,C253)=11,COUNTIFS($B$6:$B$797,B253,$C$6:$C$797,C253,$G$6:$G$797,"REVIEW")=0,COUNTIFS($B$6:$B$797,B253,$C$6:$C$797,C253,$H$6:$H$797,1)=11,COUNTIFS($B$6:$B$797,B253,$C$6:$C$797,C253,$F$6:$F$797,"&gt;0")=11),1,0)</x:f>
        <x:v>1</x:v>
      </x:c>
    </x:row>
    <x:row r="254" ht="22" customHeight="1">
      <x:c r="A254" s="2" t="str">
        <x:v>61103099_PK_202505_IMPORT</x:v>
      </x:c>
      <x:c r="B254" s="2" t="n">
        <x:v>202505</x:v>
      </x:c>
      <x:c r="C254" s="2" t="str">
        <x:v>61103099</x:v>
      </x:c>
      <x:c r="D254" s="2" t="str">
        <x:v>Pakistan</x:v>
      </x:c>
      <x:c r="E254" s="14" t="n">
        <x:v>468630</x:v>
      </x:c>
      <x:c r="F254" s="14" t="n">
        <x:v>27817</x:v>
      </x:c>
      <x:c r="G254" s="2" t="str">
        <x:v>WITHIN_BAND</x:v>
      </x:c>
      <x:c r="H254" s="2" t="n">
        <x:v>1</x:v>
      </x:c>
      <x:c r="I254" s="2" t="n">
        <x:f>IF(AND(COUNTIFS($B$6:$B$797,B254,$C$6:$C$797,C254)=11,COUNTIFS($B$6:$B$797,B254,$C$6:$C$797,C254,$G$6:$G$797,"REVIEW")=0,COUNTIFS($B$6:$B$797,B254,$C$6:$C$797,C254,$H$6:$H$797,1)=11,COUNTIFS($B$6:$B$797,B254,$C$6:$C$797,C254,$F$6:$F$797,"&gt;0")=11),1,0)</x:f>
        <x:v>1</x:v>
      </x:c>
    </x:row>
    <x:row r="255" ht="22" customHeight="1">
      <x:c r="A255" s="2" t="str">
        <x:v>61103099_LK_202505_IMPORT</x:v>
      </x:c>
      <x:c r="B255" s="2" t="n">
        <x:v>202505</x:v>
      </x:c>
      <x:c r="C255" s="2" t="str">
        <x:v>61103099</x:v>
      </x:c>
      <x:c r="D255" s="2" t="str">
        <x:v>Sri Lanka</x:v>
      </x:c>
      <x:c r="E255" s="14" t="n">
        <x:v>61104</x:v>
      </x:c>
      <x:c r="F255" s="14" t="n">
        <x:v>3651</x:v>
      </x:c>
      <x:c r="G255" s="2" t="str">
        <x:v>WITHIN_BAND</x:v>
      </x:c>
      <x:c r="H255" s="2" t="n">
        <x:v>1</x:v>
      </x:c>
      <x:c r="I255" s="2" t="n">
        <x:f>IF(AND(COUNTIFS($B$6:$B$797,B255,$C$6:$C$797,C255)=11,COUNTIFS($B$6:$B$797,B255,$C$6:$C$797,C255,$G$6:$G$797,"REVIEW")=0,COUNTIFS($B$6:$B$797,B255,$C$6:$C$797,C255,$H$6:$H$797,1)=11,COUNTIFS($B$6:$B$797,B255,$C$6:$C$797,C255,$F$6:$F$797,"&gt;0")=11),1,0)</x:f>
        <x:v>1</x:v>
      </x:c>
    </x:row>
    <x:row r="256" ht="22" customHeight="1">
      <x:c r="A256" s="2" t="str">
        <x:v>61103099_TR_202505_IMPORT</x:v>
      </x:c>
      <x:c r="B256" s="2" t="n">
        <x:v>202505</x:v>
      </x:c>
      <x:c r="C256" s="2" t="str">
        <x:v>61103099</x:v>
      </x:c>
      <x:c r="D256" s="2" t="str">
        <x:v>Turkey</x:v>
      </x:c>
      <x:c r="E256" s="14" t="n">
        <x:v>2715855</x:v>
      </x:c>
      <x:c r="F256" s="14" t="n">
        <x:v>117056</x:v>
      </x:c>
      <x:c r="G256" s="2" t="str">
        <x:v>WITHIN_BAND</x:v>
      </x:c>
      <x:c r="H256" s="2" t="n">
        <x:v>1</x:v>
      </x:c>
      <x:c r="I256" s="2" t="n">
        <x:f>IF(AND(COUNTIFS($B$6:$B$797,B256,$C$6:$C$797,C256)=11,COUNTIFS($B$6:$B$797,B256,$C$6:$C$797,C256,$G$6:$G$797,"REVIEW")=0,COUNTIFS($B$6:$B$797,B256,$C$6:$C$797,C256,$H$6:$H$797,1)=11,COUNTIFS($B$6:$B$797,B256,$C$6:$C$797,C256,$F$6:$F$797,"&gt;0")=11),1,0)</x:f>
        <x:v>1</x:v>
      </x:c>
    </x:row>
    <x:row r="257" ht="22" customHeight="1">
      <x:c r="A257" s="2" t="str">
        <x:v>61103099_VN_202505_IMPORT</x:v>
      </x:c>
      <x:c r="B257" s="2" t="n">
        <x:v>202505</x:v>
      </x:c>
      <x:c r="C257" s="2" t="str">
        <x:v>61103099</x:v>
      </x:c>
      <x:c r="D257" s="2" t="str">
        <x:v>Vietnam</x:v>
      </x:c>
      <x:c r="E257" s="14" t="n">
        <x:v>680217</x:v>
      </x:c>
      <x:c r="F257" s="14" t="n">
        <x:v>18045</x:v>
      </x:c>
      <x:c r="G257" s="2" t="str">
        <x:v>WITHIN_BAND</x:v>
      </x:c>
      <x:c r="H257" s="2" t="n">
        <x:v>1</x:v>
      </x:c>
      <x:c r="I257" s="2" t="n">
        <x:f>IF(AND(COUNTIFS($B$6:$B$797,B257,$C$6:$C$797,C257)=11,COUNTIFS($B$6:$B$797,B257,$C$6:$C$797,C257,$G$6:$G$797,"REVIEW")=0,COUNTIFS($B$6:$B$797,B257,$C$6:$C$797,C257,$H$6:$H$797,1)=11,COUNTIFS($B$6:$B$797,B257,$C$6:$C$797,C257,$F$6:$F$797,"&gt;0")=11),1,0)</x:f>
        <x:v>1</x:v>
      </x:c>
    </x:row>
    <x:row r="258" ht="22" customHeight="1">
      <x:c r="A258" s="2" t="str">
        <x:v>61103099_WORLD_202505_IMPORT</x:v>
      </x:c>
      <x:c r="B258" s="2" t="n">
        <x:v>202505</x:v>
      </x:c>
      <x:c r="C258" s="2" t="str">
        <x:v>61103099</x:v>
      </x:c>
      <x:c r="D258" s="2" t="str">
        <x:v>World</x:v>
      </x:c>
      <x:c r="E258" s="14" t="n">
        <x:v>23022069</x:v>
      </x:c>
      <x:c r="F258" s="14" t="n">
        <x:v>1260517</x:v>
      </x:c>
      <x:c r="G258" s="2" t="str">
        <x:v>WITHIN_BAND</x:v>
      </x:c>
      <x:c r="H258" s="2" t="n">
        <x:v>1</x:v>
      </x:c>
      <x:c r="I258" s="2" t="n">
        <x:f>IF(AND(COUNTIFS($B$6:$B$797,B258,$C$6:$C$797,C258)=11,COUNTIFS($B$6:$B$797,B258,$C$6:$C$797,C258,$G$6:$G$797,"REVIEW")=0,COUNTIFS($B$6:$B$797,B258,$C$6:$C$797,C258,$H$6:$H$797,1)=11,COUNTIFS($B$6:$B$797,B258,$C$6:$C$797,C258,$F$6:$F$797,"&gt;0")=11),1,0)</x:f>
        <x:v>1</x:v>
      </x:c>
    </x:row>
    <x:row r="259" ht="22" customHeight="1">
      <x:c r="A259" s="2" t="str">
        <x:v>61103099_BD_202506_IMPORT</x:v>
      </x:c>
      <x:c r="B259" s="2" t="n">
        <x:v>202506</x:v>
      </x:c>
      <x:c r="C259" s="2" t="str">
        <x:v>61103099</x:v>
      </x:c>
      <x:c r="D259" s="2" t="str">
        <x:v>Bangladesh</x:v>
      </x:c>
      <x:c r="E259" s="14" t="n">
        <x:v>9270715</x:v>
      </x:c>
      <x:c r="F259" s="14" t="n">
        <x:v>739072</x:v>
      </x:c>
      <x:c r="G259" s="2" t="str">
        <x:v>WITHIN_BAND</x:v>
      </x:c>
      <x:c r="H259" s="2" t="n">
        <x:v>1</x:v>
      </x:c>
      <x:c r="I259" s="2" t="n">
        <x:f>IF(AND(COUNTIFS($B$6:$B$797,B259,$C$6:$C$797,C259)=11,COUNTIFS($B$6:$B$797,B259,$C$6:$C$797,C259,$G$6:$G$797,"REVIEW")=0,COUNTIFS($B$6:$B$797,B259,$C$6:$C$797,C259,$H$6:$H$797,1)=11,COUNTIFS($B$6:$B$797,B259,$C$6:$C$797,C259,$F$6:$F$797,"&gt;0")=11),1,0)</x:f>
        <x:v>1</x:v>
      </x:c>
    </x:row>
    <x:row r="260" ht="22" customHeight="1">
      <x:c r="A260" s="2" t="str">
        <x:v>61103099_KH_202506_IMPORT</x:v>
      </x:c>
      <x:c r="B260" s="2" t="n">
        <x:v>202506</x:v>
      </x:c>
      <x:c r="C260" s="2" t="str">
        <x:v>61103099</x:v>
      </x:c>
      <x:c r="D260" s="2" t="str">
        <x:v>Cambodia</x:v>
      </x:c>
      <x:c r="E260" s="14" t="n">
        <x:v>6495396</x:v>
      </x:c>
      <x:c r="F260" s="14" t="n">
        <x:v>590275</x:v>
      </x:c>
      <x:c r="G260" s="2" t="str">
        <x:v>WITHIN_BAND</x:v>
      </x:c>
      <x:c r="H260" s="2" t="n">
        <x:v>1</x:v>
      </x:c>
      <x:c r="I260" s="2" t="n">
        <x:f>IF(AND(COUNTIFS($B$6:$B$797,B260,$C$6:$C$797,C260)=11,COUNTIFS($B$6:$B$797,B260,$C$6:$C$797,C260,$G$6:$G$797,"REVIEW")=0,COUNTIFS($B$6:$B$797,B260,$C$6:$C$797,C260,$H$6:$H$797,1)=11,COUNTIFS($B$6:$B$797,B260,$C$6:$C$797,C260,$F$6:$F$797,"&gt;0")=11),1,0)</x:f>
        <x:v>1</x:v>
      </x:c>
    </x:row>
    <x:row r="261" ht="22" customHeight="1">
      <x:c r="A261" s="2" t="str">
        <x:v>61103099_CN_202506_IMPORT</x:v>
      </x:c>
      <x:c r="B261" s="2" t="n">
        <x:v>202506</x:v>
      </x:c>
      <x:c r="C261" s="2" t="str">
        <x:v>61103099</x:v>
      </x:c>
      <x:c r="D261" s="2" t="str">
        <x:v>China</x:v>
      </x:c>
      <x:c r="E261" s="14" t="n">
        <x:v>8044558</x:v>
      </x:c>
      <x:c r="F261" s="14" t="n">
        <x:v>540943</x:v>
      </x:c>
      <x:c r="G261" s="2" t="str">
        <x:v>WITHIN_BAND</x:v>
      </x:c>
      <x:c r="H261" s="2" t="n">
        <x:v>1</x:v>
      </x:c>
      <x:c r="I261" s="2" t="n">
        <x:f>IF(AND(COUNTIFS($B$6:$B$797,B261,$C$6:$C$797,C261)=11,COUNTIFS($B$6:$B$797,B261,$C$6:$C$797,C261,$G$6:$G$797,"REVIEW")=0,COUNTIFS($B$6:$B$797,B261,$C$6:$C$797,C261,$H$6:$H$797,1)=11,COUNTIFS($B$6:$B$797,B261,$C$6:$C$797,C261,$F$6:$F$797,"&gt;0")=11),1,0)</x:f>
        <x:v>1</x:v>
      </x:c>
    </x:row>
    <x:row r="262" ht="22" customHeight="1">
      <x:c r="A262" s="2" t="str">
        <x:v>61103099_IN_202506_IMPORT</x:v>
      </x:c>
      <x:c r="B262" s="2" t="n">
        <x:v>202506</x:v>
      </x:c>
      <x:c r="C262" s="2" t="str">
        <x:v>61103099</x:v>
      </x:c>
      <x:c r="D262" s="2" t="str">
        <x:v>India</x:v>
      </x:c>
      <x:c r="E262" s="14" t="n">
        <x:v>149523</x:v>
      </x:c>
      <x:c r="F262" s="14" t="n">
        <x:v>8873</x:v>
      </x:c>
      <x:c r="G262" s="2" t="str">
        <x:v>WITHIN_BAND</x:v>
      </x:c>
      <x:c r="H262" s="2" t="n">
        <x:v>1</x:v>
      </x:c>
      <x:c r="I262" s="2" t="n">
        <x:f>IF(AND(COUNTIFS($B$6:$B$797,B262,$C$6:$C$797,C262)=11,COUNTIFS($B$6:$B$797,B262,$C$6:$C$797,C262,$G$6:$G$797,"REVIEW")=0,COUNTIFS($B$6:$B$797,B262,$C$6:$C$797,C262,$H$6:$H$797,1)=11,COUNTIFS($B$6:$B$797,B262,$C$6:$C$797,C262,$F$6:$F$797,"&gt;0")=11),1,0)</x:f>
        <x:v>1</x:v>
      </x:c>
    </x:row>
    <x:row r="263" ht="22" customHeight="1">
      <x:c r="A263" s="2" t="str">
        <x:v>61103099_MA_202506_IMPORT</x:v>
      </x:c>
      <x:c r="B263" s="2" t="n">
        <x:v>202506</x:v>
      </x:c>
      <x:c r="C263" s="2" t="str">
        <x:v>61103099</x:v>
      </x:c>
      <x:c r="D263" s="2" t="str">
        <x:v>Morocco</x:v>
      </x:c>
      <x:c r="E263" s="14" t="n">
        <x:v>71895</x:v>
      </x:c>
      <x:c r="F263" s="14" t="n">
        <x:v>3800</x:v>
      </x:c>
      <x:c r="G263" s="2" t="str">
        <x:v>WITHIN_BAND</x:v>
      </x:c>
      <x:c r="H263" s="2" t="n">
        <x:v>1</x:v>
      </x:c>
      <x:c r="I263" s="2" t="n">
        <x:f>IF(AND(COUNTIFS($B$6:$B$797,B263,$C$6:$C$797,C263)=11,COUNTIFS($B$6:$B$797,B263,$C$6:$C$797,C263,$G$6:$G$797,"REVIEW")=0,COUNTIFS($B$6:$B$797,B263,$C$6:$C$797,C263,$H$6:$H$797,1)=11,COUNTIFS($B$6:$B$797,B263,$C$6:$C$797,C263,$F$6:$F$797,"&gt;0")=11),1,0)</x:f>
        <x:v>1</x:v>
      </x:c>
    </x:row>
    <x:row r="264" ht="22" customHeight="1">
      <x:c r="A264" s="2" t="str">
        <x:v>61103099_MM_202506_IMPORT</x:v>
      </x:c>
      <x:c r="B264" s="2" t="n">
        <x:v>202506</x:v>
      </x:c>
      <x:c r="C264" s="2" t="str">
        <x:v>61103099</x:v>
      </x:c>
      <x:c r="D264" s="2" t="str">
        <x:v>Myanmar</x:v>
      </x:c>
      <x:c r="E264" s="14" t="n">
        <x:v>69478</x:v>
      </x:c>
      <x:c r="F264" s="14" t="n">
        <x:v>4305</x:v>
      </x:c>
      <x:c r="G264" s="2" t="str">
        <x:v>WITHIN_BAND</x:v>
      </x:c>
      <x:c r="H264" s="2" t="n">
        <x:v>1</x:v>
      </x:c>
      <x:c r="I264" s="2" t="n">
        <x:f>IF(AND(COUNTIFS($B$6:$B$797,B264,$C$6:$C$797,C264)=11,COUNTIFS($B$6:$B$797,B264,$C$6:$C$797,C264,$G$6:$G$797,"REVIEW")=0,COUNTIFS($B$6:$B$797,B264,$C$6:$C$797,C264,$H$6:$H$797,1)=11,COUNTIFS($B$6:$B$797,B264,$C$6:$C$797,C264,$F$6:$F$797,"&gt;0")=11),1,0)</x:f>
        <x:v>1</x:v>
      </x:c>
    </x:row>
    <x:row r="265" ht="22" customHeight="1">
      <x:c r="A265" s="2" t="str">
        <x:v>61103099_PK_202506_IMPORT</x:v>
      </x:c>
      <x:c r="B265" s="2" t="n">
        <x:v>202506</x:v>
      </x:c>
      <x:c r="C265" s="2" t="str">
        <x:v>61103099</x:v>
      </x:c>
      <x:c r="D265" s="2" t="str">
        <x:v>Pakistan</x:v>
      </x:c>
      <x:c r="E265" s="14" t="n">
        <x:v>232253</x:v>
      </x:c>
      <x:c r="F265" s="14" t="n">
        <x:v>18731</x:v>
      </x:c>
      <x:c r="G265" s="2" t="str">
        <x:v>WITHIN_BAND</x:v>
      </x:c>
      <x:c r="H265" s="2" t="n">
        <x:v>1</x:v>
      </x:c>
      <x:c r="I265" s="2" t="n">
        <x:f>IF(AND(COUNTIFS($B$6:$B$797,B265,$C$6:$C$797,C265)=11,COUNTIFS($B$6:$B$797,B265,$C$6:$C$797,C265,$G$6:$G$797,"REVIEW")=0,COUNTIFS($B$6:$B$797,B265,$C$6:$C$797,C265,$H$6:$H$797,1)=11,COUNTIFS($B$6:$B$797,B265,$C$6:$C$797,C265,$F$6:$F$797,"&gt;0")=11),1,0)</x:f>
        <x:v>1</x:v>
      </x:c>
    </x:row>
    <x:row r="266" ht="22" customHeight="1">
      <x:c r="A266" s="2" t="str">
        <x:v>61103099_LK_202506_IMPORT</x:v>
      </x:c>
      <x:c r="B266" s="2" t="n">
        <x:v>202506</x:v>
      </x:c>
      <x:c r="C266" s="2" t="str">
        <x:v>61103099</x:v>
      </x:c>
      <x:c r="D266" s="2" t="str">
        <x:v>Sri Lanka</x:v>
      </x:c>
      <x:c r="E266" s="14" t="n">
        <x:v>77517</x:v>
      </x:c>
      <x:c r="F266" s="14" t="n">
        <x:v>4501</x:v>
      </x:c>
      <x:c r="G266" s="2" t="str">
        <x:v>WITHIN_BAND</x:v>
      </x:c>
      <x:c r="H266" s="2" t="n">
        <x:v>1</x:v>
      </x:c>
      <x:c r="I266" s="2" t="n">
        <x:f>IF(AND(COUNTIFS($B$6:$B$797,B266,$C$6:$C$797,C266)=11,COUNTIFS($B$6:$B$797,B266,$C$6:$C$797,C266,$G$6:$G$797,"REVIEW")=0,COUNTIFS($B$6:$B$797,B266,$C$6:$C$797,C266,$H$6:$H$797,1)=11,COUNTIFS($B$6:$B$797,B266,$C$6:$C$797,C266,$F$6:$F$797,"&gt;0")=11),1,0)</x:f>
        <x:v>1</x:v>
      </x:c>
    </x:row>
    <x:row r="267" ht="22" customHeight="1">
      <x:c r="A267" s="2" t="str">
        <x:v>61103099_TR_202506_IMPORT</x:v>
      </x:c>
      <x:c r="B267" s="2" t="n">
        <x:v>202506</x:v>
      </x:c>
      <x:c r="C267" s="2" t="str">
        <x:v>61103099</x:v>
      </x:c>
      <x:c r="D267" s="2" t="str">
        <x:v>Turkey</x:v>
      </x:c>
      <x:c r="E267" s="14" t="n">
        <x:v>3177465</x:v>
      </x:c>
      <x:c r="F267" s="14" t="n">
        <x:v>192015</x:v>
      </x:c>
      <x:c r="G267" s="2" t="str">
        <x:v>WITHIN_BAND</x:v>
      </x:c>
      <x:c r="H267" s="2" t="n">
        <x:v>1</x:v>
      </x:c>
      <x:c r="I267" s="2" t="n">
        <x:f>IF(AND(COUNTIFS($B$6:$B$797,B267,$C$6:$C$797,C267)=11,COUNTIFS($B$6:$B$797,B267,$C$6:$C$797,C267,$G$6:$G$797,"REVIEW")=0,COUNTIFS($B$6:$B$797,B267,$C$6:$C$797,C267,$H$6:$H$797,1)=11,COUNTIFS($B$6:$B$797,B267,$C$6:$C$797,C267,$F$6:$F$797,"&gt;0")=11),1,0)</x:f>
        <x:v>1</x:v>
      </x:c>
    </x:row>
    <x:row r="268" ht="22" customHeight="1">
      <x:c r="A268" s="2" t="str">
        <x:v>61103099_VN_202506_IMPORT</x:v>
      </x:c>
      <x:c r="B268" s="2" t="n">
        <x:v>202506</x:v>
      </x:c>
      <x:c r="C268" s="2" t="str">
        <x:v>61103099</x:v>
      </x:c>
      <x:c r="D268" s="2" t="str">
        <x:v>Vietnam</x:v>
      </x:c>
      <x:c r="E268" s="14" t="n">
        <x:v>1263945</x:v>
      </x:c>
      <x:c r="F268" s="14" t="n">
        <x:v>50918</x:v>
      </x:c>
      <x:c r="G268" s="2" t="str">
        <x:v>WITHIN_BAND</x:v>
      </x:c>
      <x:c r="H268" s="2" t="n">
        <x:v>1</x:v>
      </x:c>
      <x:c r="I268" s="2" t="n">
        <x:f>IF(AND(COUNTIFS($B$6:$B$797,B268,$C$6:$C$797,C268)=11,COUNTIFS($B$6:$B$797,B268,$C$6:$C$797,C268,$G$6:$G$797,"REVIEW")=0,COUNTIFS($B$6:$B$797,B268,$C$6:$C$797,C268,$H$6:$H$797,1)=11,COUNTIFS($B$6:$B$797,B268,$C$6:$C$797,C268,$F$6:$F$797,"&gt;0")=11),1,0)</x:f>
        <x:v>1</x:v>
      </x:c>
    </x:row>
    <x:row r="269" ht="22" customHeight="1">
      <x:c r="A269" s="2" t="str">
        <x:v>61103099_WORLD_202506_IMPORT</x:v>
      </x:c>
      <x:c r="B269" s="2" t="n">
        <x:v>202506</x:v>
      </x:c>
      <x:c r="C269" s="2" t="str">
        <x:v>61103099</x:v>
      </x:c>
      <x:c r="D269" s="2" t="str">
        <x:v>World</x:v>
      </x:c>
      <x:c r="E269" s="14" t="n">
        <x:v>35066860</x:v>
      </x:c>
      <x:c r="F269" s="14" t="n">
        <x:v>2364969</x:v>
      </x:c>
      <x:c r="G269" s="2" t="str">
        <x:v>WITHIN_BAND</x:v>
      </x:c>
      <x:c r="H269" s="2" t="n">
        <x:v>1</x:v>
      </x:c>
      <x:c r="I269" s="2" t="n">
        <x:f>IF(AND(COUNTIFS($B$6:$B$797,B269,$C$6:$C$797,C269)=11,COUNTIFS($B$6:$B$797,B269,$C$6:$C$797,C269,$G$6:$G$797,"REVIEW")=0,COUNTIFS($B$6:$B$797,B269,$C$6:$C$797,C269,$H$6:$H$797,1)=11,COUNTIFS($B$6:$B$797,B269,$C$6:$C$797,C269,$F$6:$F$797,"&gt;0")=11),1,0)</x:f>
        <x:v>1</x:v>
      </x:c>
    </x:row>
    <x:row r="270" ht="22" customHeight="1">
      <x:c r="A270" s="2" t="str">
        <x:v>61103099_BD_202507_IMPORT</x:v>
      </x:c>
      <x:c r="B270" s="2" t="n">
        <x:v>202507</x:v>
      </x:c>
      <x:c r="C270" s="2" t="str">
        <x:v>61103099</x:v>
      </x:c>
      <x:c r="D270" s="2" t="str">
        <x:v>Bangladesh</x:v>
      </x:c>
      <x:c r="E270" s="14" t="n">
        <x:v>18364149</x:v>
      </x:c>
      <x:c r="F270" s="14" t="n">
        <x:v>1278474</x:v>
      </x:c>
      <x:c r="G270" s="2" t="str">
        <x:v>WITHIN_BAND</x:v>
      </x:c>
      <x:c r="H270" s="2" t="n">
        <x:v>1</x:v>
      </x:c>
      <x:c r="I270" s="2" t="n">
        <x:f>IF(AND(COUNTIFS($B$6:$B$797,B270,$C$6:$C$797,C270)=11,COUNTIFS($B$6:$B$797,B270,$C$6:$C$797,C270,$G$6:$G$797,"REVIEW")=0,COUNTIFS($B$6:$B$797,B270,$C$6:$C$797,C270,$H$6:$H$797,1)=11,COUNTIFS($B$6:$B$797,B270,$C$6:$C$797,C270,$F$6:$F$797,"&gt;0")=11),1,0)</x:f>
        <x:v>0</x:v>
      </x:c>
    </x:row>
    <x:row r="271" ht="22" customHeight="1">
      <x:c r="A271" s="2" t="str">
        <x:v>61103099_KH_202507_IMPORT</x:v>
      </x:c>
      <x:c r="B271" s="2" t="n">
        <x:v>202507</x:v>
      </x:c>
      <x:c r="C271" s="2" t="str">
        <x:v>61103099</x:v>
      </x:c>
      <x:c r="D271" s="2" t="str">
        <x:v>Cambodia</x:v>
      </x:c>
      <x:c r="E271" s="14" t="n">
        <x:v>6953899</x:v>
      </x:c>
      <x:c r="F271" s="14" t="n">
        <x:v>690995</x:v>
      </x:c>
      <x:c r="G271" s="2" t="str">
        <x:v>WITHIN_BAND</x:v>
      </x:c>
      <x:c r="H271" s="2" t="n">
        <x:v>1</x:v>
      </x:c>
      <x:c r="I271" s="2" t="n">
        <x:f>IF(AND(COUNTIFS($B$6:$B$797,B271,$C$6:$C$797,C271)=11,COUNTIFS($B$6:$B$797,B271,$C$6:$C$797,C271,$G$6:$G$797,"REVIEW")=0,COUNTIFS($B$6:$B$797,B271,$C$6:$C$797,C271,$H$6:$H$797,1)=11,COUNTIFS($B$6:$B$797,B271,$C$6:$C$797,C271,$F$6:$F$797,"&gt;0")=11),1,0)</x:f>
        <x:v>0</x:v>
      </x:c>
    </x:row>
    <x:row r="272" ht="22" customHeight="1">
      <x:c r="A272" s="2" t="str">
        <x:v>61103099_CN_202507_IMPORT</x:v>
      </x:c>
      <x:c r="B272" s="2" t="n">
        <x:v>202507</x:v>
      </x:c>
      <x:c r="C272" s="2" t="str">
        <x:v>61103099</x:v>
      </x:c>
      <x:c r="D272" s="2" t="str">
        <x:v>China</x:v>
      </x:c>
      <x:c r="E272" s="14" t="n">
        <x:v>23065185</x:v>
      </x:c>
      <x:c r="F272" s="14" t="n">
        <x:v>1682750</x:v>
      </x:c>
      <x:c r="G272" s="2" t="str">
        <x:v>WITHIN_BAND</x:v>
      </x:c>
      <x:c r="H272" s="2" t="n">
        <x:v>1</x:v>
      </x:c>
      <x:c r="I272" s="2" t="n">
        <x:f>IF(AND(COUNTIFS($B$6:$B$797,B272,$C$6:$C$797,C272)=11,COUNTIFS($B$6:$B$797,B272,$C$6:$C$797,C272,$G$6:$G$797,"REVIEW")=0,COUNTIFS($B$6:$B$797,B272,$C$6:$C$797,C272,$H$6:$H$797,1)=11,COUNTIFS($B$6:$B$797,B272,$C$6:$C$797,C272,$F$6:$F$797,"&gt;0")=11),1,0)</x:f>
        <x:v>0</x:v>
      </x:c>
    </x:row>
    <x:row r="273" ht="22" customHeight="1">
      <x:c r="A273" s="2" t="str">
        <x:v>61103099_IN_202507_IMPORT</x:v>
      </x:c>
      <x:c r="B273" s="2" t="n">
        <x:v>202507</x:v>
      </x:c>
      <x:c r="C273" s="2" t="str">
        <x:v>61103099</x:v>
      </x:c>
      <x:c r="D273" s="2" t="str">
        <x:v>India</x:v>
      </x:c>
      <x:c r="E273" s="14" t="n">
        <x:v>201411</x:v>
      </x:c>
      <x:c r="F273" s="14" t="n">
        <x:v>12424</x:v>
      </x:c>
      <x:c r="G273" s="2" t="str">
        <x:v>WITHIN_BAND</x:v>
      </x:c>
      <x:c r="H273" s="2" t="n">
        <x:v>1</x:v>
      </x:c>
      <x:c r="I273" s="2" t="n">
        <x:f>IF(AND(COUNTIFS($B$6:$B$797,B273,$C$6:$C$797,C273)=11,COUNTIFS($B$6:$B$797,B273,$C$6:$C$797,C273,$G$6:$G$797,"REVIEW")=0,COUNTIFS($B$6:$B$797,B273,$C$6:$C$797,C273,$H$6:$H$797,1)=11,COUNTIFS($B$6:$B$797,B273,$C$6:$C$797,C273,$F$6:$F$797,"&gt;0")=11),1,0)</x:f>
        <x:v>0</x:v>
      </x:c>
    </x:row>
    <x:row r="274" ht="22" customHeight="1">
      <x:c r="A274" s="2" t="str">
        <x:v>61103099_MA_202507_IMPORT</x:v>
      </x:c>
      <x:c r="B274" s="2" t="n">
        <x:v>202507</x:v>
      </x:c>
      <x:c r="C274" s="2" t="str">
        <x:v>61103099</x:v>
      </x:c>
      <x:c r="D274" s="2" t="str">
        <x:v>Morocco</x:v>
      </x:c>
      <x:c r="E274" s="14" t="n">
        <x:v>25985</x:v>
      </x:c>
      <x:c r="F274" s="14" t="n">
        <x:v>897</x:v>
      </x:c>
      <x:c r="G274" s="2" t="str">
        <x:v>WITHIN_BAND</x:v>
      </x:c>
      <x:c r="H274" s="2" t="n">
        <x:v>1</x:v>
      </x:c>
      <x:c r="I274" s="2" t="n">
        <x:f>IF(AND(COUNTIFS($B$6:$B$797,B274,$C$6:$C$797,C274)=11,COUNTIFS($B$6:$B$797,B274,$C$6:$C$797,C274,$G$6:$G$797,"REVIEW")=0,COUNTIFS($B$6:$B$797,B274,$C$6:$C$797,C274,$H$6:$H$797,1)=11,COUNTIFS($B$6:$B$797,B274,$C$6:$C$797,C274,$F$6:$F$797,"&gt;0")=11),1,0)</x:f>
        <x:v>0</x:v>
      </x:c>
    </x:row>
    <x:row r="275" ht="22" customHeight="1">
      <x:c r="A275" s="2" t="str">
        <x:v>61103099_MM_202507_IMPORT</x:v>
      </x:c>
      <x:c r="B275" s="2" t="n">
        <x:v>202507</x:v>
      </x:c>
      <x:c r="C275" s="2" t="str">
        <x:v>61103099</x:v>
      </x:c>
      <x:c r="D275" s="2" t="str">
        <x:v>Myanmar</x:v>
      </x:c>
      <x:c r="E275" s="14" t="n">
        <x:v>894673</x:v>
      </x:c>
      <x:c r="F275" s="14" t="n">
        <x:v>57570</x:v>
      </x:c>
      <x:c r="G275" s="2" t="str">
        <x:v>WITHIN_BAND</x:v>
      </x:c>
      <x:c r="H275" s="2" t="n">
        <x:v>1</x:v>
      </x:c>
      <x:c r="I275" s="2" t="n">
        <x:f>IF(AND(COUNTIFS($B$6:$B$797,B275,$C$6:$C$797,C275)=11,COUNTIFS($B$6:$B$797,B275,$C$6:$C$797,C275,$G$6:$G$797,"REVIEW")=0,COUNTIFS($B$6:$B$797,B275,$C$6:$C$797,C275,$H$6:$H$797,1)=11,COUNTIFS($B$6:$B$797,B275,$C$6:$C$797,C275,$F$6:$F$797,"&gt;0")=11),1,0)</x:f>
        <x:v>0</x:v>
      </x:c>
    </x:row>
    <x:row r="276" ht="22" customHeight="1">
      <x:c r="A276" s="2" t="str">
        <x:v>61103099_PK_202507_IMPORT</x:v>
      </x:c>
      <x:c r="B276" s="2" t="n">
        <x:v>202507</x:v>
      </x:c>
      <x:c r="C276" s="2" t="str">
        <x:v>61103099</x:v>
      </x:c>
      <x:c r="D276" s="2" t="str">
        <x:v>Pakistan</x:v>
      </x:c>
      <x:c r="E276" s="14" t="n">
        <x:v>400007</x:v>
      </x:c>
      <x:c r="F276" s="14" t="n">
        <x:v>22916</x:v>
      </x:c>
      <x:c r="G276" s="2" t="str">
        <x:v>WITHIN_BAND</x:v>
      </x:c>
      <x:c r="H276" s="2" t="n">
        <x:v>1</x:v>
      </x:c>
      <x:c r="I276" s="2" t="n">
        <x:f>IF(AND(COUNTIFS($B$6:$B$797,B276,$C$6:$C$797,C276)=11,COUNTIFS($B$6:$B$797,B276,$C$6:$C$797,C276,$G$6:$G$797,"REVIEW")=0,COUNTIFS($B$6:$B$797,B276,$C$6:$C$797,C276,$H$6:$H$797,1)=11,COUNTIFS($B$6:$B$797,B276,$C$6:$C$797,C276,$F$6:$F$797,"&gt;0")=11),1,0)</x:f>
        <x:v>0</x:v>
      </x:c>
    </x:row>
    <x:row r="277" ht="22" customHeight="1">
      <x:c r="A277" s="2" t="str">
        <x:v>61103099_LK_202507_IMPORT</x:v>
      </x:c>
      <x:c r="B277" s="2" t="n">
        <x:v>202507</x:v>
      </x:c>
      <x:c r="C277" s="2" t="str">
        <x:v>61103099</x:v>
      </x:c>
      <x:c r="D277" s="2" t="str">
        <x:v>Sri Lanka</x:v>
      </x:c>
      <x:c r="E277" s="14" t="n">
        <x:v>395210</x:v>
      </x:c>
      <x:c r="F277" s="14" t="n">
        <x:v>23898</x:v>
      </x:c>
      <x:c r="G277" s="2" t="str">
        <x:v>WITHIN_BAND</x:v>
      </x:c>
      <x:c r="H277" s="2" t="n">
        <x:v>1</x:v>
      </x:c>
      <x:c r="I277" s="2" t="n">
        <x:f>IF(AND(COUNTIFS($B$6:$B$797,B277,$C$6:$C$797,C277)=11,COUNTIFS($B$6:$B$797,B277,$C$6:$C$797,C277,$G$6:$G$797,"REVIEW")=0,COUNTIFS($B$6:$B$797,B277,$C$6:$C$797,C277,$H$6:$H$797,1)=11,COUNTIFS($B$6:$B$797,B277,$C$6:$C$797,C277,$F$6:$F$797,"&gt;0")=11),1,0)</x:f>
        <x:v>0</x:v>
      </x:c>
    </x:row>
    <x:row r="278" ht="22" customHeight="1">
      <x:c r="A278" s="2" t="str">
        <x:v>61103099_TR_202507_IMPORT</x:v>
      </x:c>
      <x:c r="B278" s="2" t="n">
        <x:v>202507</x:v>
      </x:c>
      <x:c r="C278" s="2" t="str">
        <x:v>61103099</x:v>
      </x:c>
      <x:c r="D278" s="2" t="str">
        <x:v>Turkey</x:v>
      </x:c>
      <x:c r="E278" s="14" t="n">
        <x:v>3433516</x:v>
      </x:c>
      <x:c r="F278" s="14" t="n">
        <x:v>2758582</x:v>
      </x:c>
      <x:c r="G278" s="2" t="str">
        <x:v>REVIEW</x:v>
      </x:c>
      <x:c r="H278" s="2" t="n">
        <x:v>1</x:v>
      </x:c>
      <x:c r="I278" s="2" t="n">
        <x:f>IF(AND(COUNTIFS($B$6:$B$797,B278,$C$6:$C$797,C278)=11,COUNTIFS($B$6:$B$797,B278,$C$6:$C$797,C278,$G$6:$G$797,"REVIEW")=0,COUNTIFS($B$6:$B$797,B278,$C$6:$C$797,C278,$H$6:$H$797,1)=11,COUNTIFS($B$6:$B$797,B278,$C$6:$C$797,C278,$F$6:$F$797,"&gt;0")=11),1,0)</x:f>
        <x:v>0</x:v>
      </x:c>
    </x:row>
    <x:row r="279" ht="22" customHeight="1">
      <x:c r="A279" s="2" t="str">
        <x:v>61103099_VN_202507_IMPORT</x:v>
      </x:c>
      <x:c r="B279" s="2" t="n">
        <x:v>202507</x:v>
      </x:c>
      <x:c r="C279" s="2" t="str">
        <x:v>61103099</x:v>
      </x:c>
      <x:c r="D279" s="2" t="str">
        <x:v>Vietnam</x:v>
      </x:c>
      <x:c r="E279" s="14" t="n">
        <x:v>811836</x:v>
      </x:c>
      <x:c r="F279" s="14" t="n">
        <x:v>38354</x:v>
      </x:c>
      <x:c r="G279" s="2" t="str">
        <x:v>WITHIN_BAND</x:v>
      </x:c>
      <x:c r="H279" s="2" t="n">
        <x:v>1</x:v>
      </x:c>
      <x:c r="I279" s="2" t="n">
        <x:f>IF(AND(COUNTIFS($B$6:$B$797,B279,$C$6:$C$797,C279)=11,COUNTIFS($B$6:$B$797,B279,$C$6:$C$797,C279,$G$6:$G$797,"REVIEW")=0,COUNTIFS($B$6:$B$797,B279,$C$6:$C$797,C279,$H$6:$H$797,1)=11,COUNTIFS($B$6:$B$797,B279,$C$6:$C$797,C279,$F$6:$F$797,"&gt;0")=11),1,0)</x:f>
        <x:v>0</x:v>
      </x:c>
    </x:row>
    <x:row r="280" ht="22" customHeight="1">
      <x:c r="A280" s="2" t="str">
        <x:v>61103099_WORLD_202507_IMPORT</x:v>
      </x:c>
      <x:c r="B280" s="2" t="n">
        <x:v>202507</x:v>
      </x:c>
      <x:c r="C280" s="2" t="str">
        <x:v>61103099</x:v>
      </x:c>
      <x:c r="D280" s="2" t="str">
        <x:v>World</x:v>
      </x:c>
      <x:c r="E280" s="14" t="n">
        <x:v>63059661</x:v>
      </x:c>
      <x:c r="F280" s="14" t="n">
        <x:v>6950782</x:v>
      </x:c>
      <x:c r="G280" s="2" t="str">
        <x:v>WITHIN_BAND</x:v>
      </x:c>
      <x:c r="H280" s="2" t="n">
        <x:v>1</x:v>
      </x:c>
      <x:c r="I280" s="2" t="n">
        <x:f>IF(AND(COUNTIFS($B$6:$B$797,B280,$C$6:$C$797,C280)=11,COUNTIFS($B$6:$B$797,B280,$C$6:$C$797,C280,$G$6:$G$797,"REVIEW")=0,COUNTIFS($B$6:$B$797,B280,$C$6:$C$797,C280,$H$6:$H$797,1)=11,COUNTIFS($B$6:$B$797,B280,$C$6:$C$797,C280,$F$6:$F$797,"&gt;0")=11),1,0)</x:f>
        <x:v>0</x:v>
      </x:c>
    </x:row>
    <x:row r="281" ht="22" customHeight="1">
      <x:c r="A281" s="2" t="str">
        <x:v>61103099_BD_202508_IMPORT</x:v>
      </x:c>
      <x:c r="B281" s="2" t="n">
        <x:v>202508</x:v>
      </x:c>
      <x:c r="C281" s="2" t="str">
        <x:v>61103099</x:v>
      </x:c>
      <x:c r="D281" s="2" t="str">
        <x:v>Bangladesh</x:v>
      </x:c>
      <x:c r="E281" s="14" t="n">
        <x:v>18131145</x:v>
      </x:c>
      <x:c r="F281" s="14" t="n">
        <x:v>1436909</x:v>
      </x:c>
      <x:c r="G281" s="2" t="str">
        <x:v>WITHIN_BAND</x:v>
      </x:c>
      <x:c r="H281" s="2" t="n">
        <x:v>1</x:v>
      </x:c>
      <x:c r="I281" s="2" t="n">
        <x:f>IF(AND(COUNTIFS($B$6:$B$797,B281,$C$6:$C$797,C281)=11,COUNTIFS($B$6:$B$797,B281,$C$6:$C$797,C281,$G$6:$G$797,"REVIEW")=0,COUNTIFS($B$6:$B$797,B281,$C$6:$C$797,C281,$H$6:$H$797,1)=11,COUNTIFS($B$6:$B$797,B281,$C$6:$C$797,C281,$F$6:$F$797,"&gt;0")=11),1,0)</x:f>
        <x:v>0</x:v>
      </x:c>
    </x:row>
    <x:row r="282" ht="22" customHeight="1">
      <x:c r="A282" s="2" t="str">
        <x:v>61103099_KH_202508_IMPORT</x:v>
      </x:c>
      <x:c r="B282" s="2" t="n">
        <x:v>202508</x:v>
      </x:c>
      <x:c r="C282" s="2" t="str">
        <x:v>61103099</x:v>
      </x:c>
      <x:c r="D282" s="2" t="str">
        <x:v>Cambodia</x:v>
      </x:c>
      <x:c r="E282" s="14" t="n">
        <x:v>9512606</x:v>
      </x:c>
      <x:c r="F282" s="14" t="n">
        <x:v>818492</x:v>
      </x:c>
      <x:c r="G282" s="2" t="str">
        <x:v>WITHIN_BAND</x:v>
      </x:c>
      <x:c r="H282" s="2" t="n">
        <x:v>1</x:v>
      </x:c>
      <x:c r="I282" s="2" t="n">
        <x:f>IF(AND(COUNTIFS($B$6:$B$797,B282,$C$6:$C$797,C282)=11,COUNTIFS($B$6:$B$797,B282,$C$6:$C$797,C282,$G$6:$G$797,"REVIEW")=0,COUNTIFS($B$6:$B$797,B282,$C$6:$C$797,C282,$H$6:$H$797,1)=11,COUNTIFS($B$6:$B$797,B282,$C$6:$C$797,C282,$F$6:$F$797,"&gt;0")=11),1,0)</x:f>
        <x:v>0</x:v>
      </x:c>
    </x:row>
    <x:row r="283" ht="22" customHeight="1">
      <x:c r="A283" s="2" t="str">
        <x:v>61103099_CN_202508_IMPORT</x:v>
      </x:c>
      <x:c r="B283" s="2" t="n">
        <x:v>202508</x:v>
      </x:c>
      <x:c r="C283" s="2" t="str">
        <x:v>61103099</x:v>
      </x:c>
      <x:c r="D283" s="2" t="str">
        <x:v>China</x:v>
      </x:c>
      <x:c r="E283" s="14" t="n">
        <x:v>37300013</x:v>
      </x:c>
      <x:c r="F283" s="14" t="n">
        <x:v>2753499</x:v>
      </x:c>
      <x:c r="G283" s="2" t="str">
        <x:v>WITHIN_BAND</x:v>
      </x:c>
      <x:c r="H283" s="2" t="n">
        <x:v>1</x:v>
      </x:c>
      <x:c r="I283" s="2" t="n">
        <x:f>IF(AND(COUNTIFS($B$6:$B$797,B283,$C$6:$C$797,C283)=11,COUNTIFS($B$6:$B$797,B283,$C$6:$C$797,C283,$G$6:$G$797,"REVIEW")=0,COUNTIFS($B$6:$B$797,B283,$C$6:$C$797,C283,$H$6:$H$797,1)=11,COUNTIFS($B$6:$B$797,B283,$C$6:$C$797,C283,$F$6:$F$797,"&gt;0")=11),1,0)</x:f>
        <x:v>0</x:v>
      </x:c>
    </x:row>
    <x:row r="284" ht="22" customHeight="1">
      <x:c r="A284" s="2" t="str">
        <x:v>61103099_IN_202508_IMPORT</x:v>
      </x:c>
      <x:c r="B284" s="2" t="n">
        <x:v>202508</x:v>
      </x:c>
      <x:c r="C284" s="2" t="str">
        <x:v>61103099</x:v>
      </x:c>
      <x:c r="D284" s="2" t="str">
        <x:v>India</x:v>
      </x:c>
      <x:c r="E284" s="14" t="n">
        <x:v>163170</x:v>
      </x:c>
      <x:c r="F284" s="14" t="n">
        <x:v>10612</x:v>
      </x:c>
      <x:c r="G284" s="2" t="str">
        <x:v>WITHIN_BAND</x:v>
      </x:c>
      <x:c r="H284" s="2" t="n">
        <x:v>1</x:v>
      </x:c>
      <x:c r="I284" s="2" t="n">
        <x:f>IF(AND(COUNTIFS($B$6:$B$797,B284,$C$6:$C$797,C284)=11,COUNTIFS($B$6:$B$797,B284,$C$6:$C$797,C284,$G$6:$G$797,"REVIEW")=0,COUNTIFS($B$6:$B$797,B284,$C$6:$C$797,C284,$H$6:$H$797,1)=11,COUNTIFS($B$6:$B$797,B284,$C$6:$C$797,C284,$F$6:$F$797,"&gt;0")=11),1,0)</x:f>
        <x:v>0</x:v>
      </x:c>
    </x:row>
    <x:row r="285" ht="22" customHeight="1">
      <x:c r="A285" s="2" t="str">
        <x:v>61103099_MA_202508_IMPORT</x:v>
      </x:c>
      <x:c r="B285" s="2" t="n">
        <x:v>202508</x:v>
      </x:c>
      <x:c r="C285" s="2" t="str">
        <x:v>61103099</x:v>
      </x:c>
      <x:c r="D285" s="2" t="str">
        <x:v>Morocco</x:v>
      </x:c>
      <x:c r="E285" s="14" t="n">
        <x:v>7365</x:v>
      </x:c>
      <x:c r="F285" s="14" t="n">
        <x:v>420</x:v>
      </x:c>
      <x:c r="G285" s="2" t="str">
        <x:v>WITHIN_BAND</x:v>
      </x:c>
      <x:c r="H285" s="2" t="n">
        <x:v>1</x:v>
      </x:c>
      <x:c r="I285" s="2" t="n">
        <x:f>IF(AND(COUNTIFS($B$6:$B$797,B285,$C$6:$C$797,C285)=11,COUNTIFS($B$6:$B$797,B285,$C$6:$C$797,C285,$G$6:$G$797,"REVIEW")=0,COUNTIFS($B$6:$B$797,B285,$C$6:$C$797,C285,$H$6:$H$797,1)=11,COUNTIFS($B$6:$B$797,B285,$C$6:$C$797,C285,$F$6:$F$797,"&gt;0")=11),1,0)</x:f>
        <x:v>0</x:v>
      </x:c>
    </x:row>
    <x:row r="286" ht="22" customHeight="1">
      <x:c r="A286" s="2" t="str">
        <x:v>61103099_MM_202508_IMPORT</x:v>
      </x:c>
      <x:c r="B286" s="2" t="n">
        <x:v>202508</x:v>
      </x:c>
      <x:c r="C286" s="2" t="str">
        <x:v>61103099</x:v>
      </x:c>
      <x:c r="D286" s="2" t="str">
        <x:v>Myanmar</x:v>
      </x:c>
      <x:c r="E286" s="14" t="n">
        <x:v>1577006</x:v>
      </x:c>
      <x:c r="F286" s="14" t="n">
        <x:v>102987</x:v>
      </x:c>
      <x:c r="G286" s="2" t="str">
        <x:v>WITHIN_BAND</x:v>
      </x:c>
      <x:c r="H286" s="2" t="n">
        <x:v>1</x:v>
      </x:c>
      <x:c r="I286" s="2" t="n">
        <x:f>IF(AND(COUNTIFS($B$6:$B$797,B286,$C$6:$C$797,C286)=11,COUNTIFS($B$6:$B$797,B286,$C$6:$C$797,C286,$G$6:$G$797,"REVIEW")=0,COUNTIFS($B$6:$B$797,B286,$C$6:$C$797,C286,$H$6:$H$797,1)=11,COUNTIFS($B$6:$B$797,B286,$C$6:$C$797,C286,$F$6:$F$797,"&gt;0")=11),1,0)</x:f>
        <x:v>0</x:v>
      </x:c>
    </x:row>
    <x:row r="287" ht="22" customHeight="1">
      <x:c r="A287" s="2" t="str">
        <x:v>61103099_PK_202508_IMPORT</x:v>
      </x:c>
      <x:c r="B287" s="2" t="n">
        <x:v>202508</x:v>
      </x:c>
      <x:c r="C287" s="2" t="str">
        <x:v>61103099</x:v>
      </x:c>
      <x:c r="D287" s="2" t="str">
        <x:v>Pakistan</x:v>
      </x:c>
      <x:c r="E287" s="14" t="n">
        <x:v>432077</x:v>
      </x:c>
      <x:c r="F287" s="14" t="n">
        <x:v>36886</x:v>
      </x:c>
      <x:c r="G287" s="2" t="str">
        <x:v>WITHIN_BAND</x:v>
      </x:c>
      <x:c r="H287" s="2" t="n">
        <x:v>1</x:v>
      </x:c>
      <x:c r="I287" s="2" t="n">
        <x:f>IF(AND(COUNTIFS($B$6:$B$797,B287,$C$6:$C$797,C287)=11,COUNTIFS($B$6:$B$797,B287,$C$6:$C$797,C287,$G$6:$G$797,"REVIEW")=0,COUNTIFS($B$6:$B$797,B287,$C$6:$C$797,C287,$H$6:$H$797,1)=11,COUNTIFS($B$6:$B$797,B287,$C$6:$C$797,C287,$F$6:$F$797,"&gt;0")=11),1,0)</x:f>
        <x:v>0</x:v>
      </x:c>
    </x:row>
    <x:row r="288" ht="22" customHeight="1">
      <x:c r="A288" s="2" t="str">
        <x:v>61103099_LK_202508_IMPORT</x:v>
      </x:c>
      <x:c r="B288" s="2" t="n">
        <x:v>202508</x:v>
      </x:c>
      <x:c r="C288" s="2" t="str">
        <x:v>61103099</x:v>
      </x:c>
      <x:c r="D288" s="2" t="str">
        <x:v>Sri Lanka</x:v>
      </x:c>
      <x:c r="E288" s="14" t="n">
        <x:v>68911</x:v>
      </x:c>
      <x:c r="F288" s="14" t="n">
        <x:v>3398</x:v>
      </x:c>
      <x:c r="G288" s="2" t="str">
        <x:v>WITHIN_BAND</x:v>
      </x:c>
      <x:c r="H288" s="2" t="n">
        <x:v>1</x:v>
      </x:c>
      <x:c r="I288" s="2" t="n">
        <x:f>IF(AND(COUNTIFS($B$6:$B$797,B288,$C$6:$C$797,C288)=11,COUNTIFS($B$6:$B$797,B288,$C$6:$C$797,C288,$G$6:$G$797,"REVIEW")=0,COUNTIFS($B$6:$B$797,B288,$C$6:$C$797,C288,$H$6:$H$797,1)=11,COUNTIFS($B$6:$B$797,B288,$C$6:$C$797,C288,$F$6:$F$797,"&gt;0")=11),1,0)</x:f>
        <x:v>0</x:v>
      </x:c>
    </x:row>
    <x:row r="289" ht="22" customHeight="1">
      <x:c r="A289" s="2" t="str">
        <x:v>61103099_TR_202508_IMPORT</x:v>
      </x:c>
      <x:c r="B289" s="2" t="n">
        <x:v>202508</x:v>
      </x:c>
      <x:c r="C289" s="2" t="str">
        <x:v>61103099</x:v>
      </x:c>
      <x:c r="D289" s="2" t="str">
        <x:v>Turkey</x:v>
      </x:c>
      <x:c r="E289" s="14" t="n">
        <x:v>8488866</x:v>
      </x:c>
      <x:c r="F289" s="14" t="n">
        <x:v>1921449</x:v>
      </x:c>
      <x:c r="G289" s="2" t="str">
        <x:v>REVIEW</x:v>
      </x:c>
      <x:c r="H289" s="2" t="n">
        <x:v>1</x:v>
      </x:c>
      <x:c r="I289" s="2" t="n">
        <x:f>IF(AND(COUNTIFS($B$6:$B$797,B289,$C$6:$C$797,C289)=11,COUNTIFS($B$6:$B$797,B289,$C$6:$C$797,C289,$G$6:$G$797,"REVIEW")=0,COUNTIFS($B$6:$B$797,B289,$C$6:$C$797,C289,$H$6:$H$797,1)=11,COUNTIFS($B$6:$B$797,B289,$C$6:$C$797,C289,$F$6:$F$797,"&gt;0")=11),1,0)</x:f>
        <x:v>0</x:v>
      </x:c>
    </x:row>
    <x:row r="290" ht="22" customHeight="1">
      <x:c r="A290" s="2" t="str">
        <x:v>61103099_VN_202508_IMPORT</x:v>
      </x:c>
      <x:c r="B290" s="2" t="n">
        <x:v>202508</x:v>
      </x:c>
      <x:c r="C290" s="2" t="str">
        <x:v>61103099</x:v>
      </x:c>
      <x:c r="D290" s="2" t="str">
        <x:v>Vietnam</x:v>
      </x:c>
      <x:c r="E290" s="14" t="n">
        <x:v>741469</x:v>
      </x:c>
      <x:c r="F290" s="14" t="n">
        <x:v>34307</x:v>
      </x:c>
      <x:c r="G290" s="2" t="str">
        <x:v>WITHIN_BAND</x:v>
      </x:c>
      <x:c r="H290" s="2" t="n">
        <x:v>1</x:v>
      </x:c>
      <x:c r="I290" s="2" t="n">
        <x:f>IF(AND(COUNTIFS($B$6:$B$797,B290,$C$6:$C$797,C290)=11,COUNTIFS($B$6:$B$797,B290,$C$6:$C$797,C290,$G$6:$G$797,"REVIEW")=0,COUNTIFS($B$6:$B$797,B290,$C$6:$C$797,C290,$H$6:$H$797,1)=11,COUNTIFS($B$6:$B$797,B290,$C$6:$C$797,C290,$F$6:$F$797,"&gt;0")=11),1,0)</x:f>
        <x:v>0</x:v>
      </x:c>
    </x:row>
    <x:row r="291" ht="22" customHeight="1">
      <x:c r="A291" s="2" t="str">
        <x:v>61103099_WORLD_202508_IMPORT</x:v>
      </x:c>
      <x:c r="B291" s="2" t="n">
        <x:v>202508</x:v>
      </x:c>
      <x:c r="C291" s="2" t="str">
        <x:v>61103099</x:v>
      </x:c>
      <x:c r="D291" s="2" t="str">
        <x:v>World</x:v>
      </x:c>
      <x:c r="E291" s="14" t="n">
        <x:v>91240384</x:v>
      </x:c>
      <x:c r="F291" s="14" t="n">
        <x:v>7683850</x:v>
      </x:c>
      <x:c r="G291" s="2" t="str">
        <x:v>WITHIN_BAND</x:v>
      </x:c>
      <x:c r="H291" s="2" t="n">
        <x:v>1</x:v>
      </x:c>
      <x:c r="I291" s="2" t="n">
        <x:f>IF(AND(COUNTIFS($B$6:$B$797,B291,$C$6:$C$797,C291)=11,COUNTIFS($B$6:$B$797,B291,$C$6:$C$797,C291,$G$6:$G$797,"REVIEW")=0,COUNTIFS($B$6:$B$797,B291,$C$6:$C$797,C291,$H$6:$H$797,1)=11,COUNTIFS($B$6:$B$797,B291,$C$6:$C$797,C291,$F$6:$F$797,"&gt;0")=11),1,0)</x:f>
        <x:v>0</x:v>
      </x:c>
    </x:row>
    <x:row r="292" ht="22" customHeight="1">
      <x:c r="A292" s="2" t="str">
        <x:v>61103099_BD_202509_IMPORT</x:v>
      </x:c>
      <x:c r="B292" s="2" t="n">
        <x:v>202509</x:v>
      </x:c>
      <x:c r="C292" s="2" t="str">
        <x:v>61103099</x:v>
      </x:c>
      <x:c r="D292" s="2" t="str">
        <x:v>Bangladesh</x:v>
      </x:c>
      <x:c r="E292" s="14" t="n">
        <x:v>23852860</x:v>
      </x:c>
      <x:c r="F292" s="14" t="n">
        <x:v>2011947</x:v>
      </x:c>
      <x:c r="G292" s="2" t="str">
        <x:v>WITHIN_BAND</x:v>
      </x:c>
      <x:c r="H292" s="2" t="n">
        <x:v>1</x:v>
      </x:c>
      <x:c r="I292" s="2" t="n">
        <x:f>IF(AND(COUNTIFS($B$6:$B$797,B292,$C$6:$C$797,C292)=11,COUNTIFS($B$6:$B$797,B292,$C$6:$C$797,C292,$G$6:$G$797,"REVIEW")=0,COUNTIFS($B$6:$B$797,B292,$C$6:$C$797,C292,$H$6:$H$797,1)=11,COUNTIFS($B$6:$B$797,B292,$C$6:$C$797,C292,$F$6:$F$797,"&gt;0")=11),1,0)</x:f>
        <x:v>0</x:v>
      </x:c>
    </x:row>
    <x:row r="293" ht="22" customHeight="1">
      <x:c r="A293" s="2" t="str">
        <x:v>61103099_KH_202509_IMPORT</x:v>
      </x:c>
      <x:c r="B293" s="2" t="n">
        <x:v>202509</x:v>
      </x:c>
      <x:c r="C293" s="2" t="str">
        <x:v>61103099</x:v>
      </x:c>
      <x:c r="D293" s="2" t="str">
        <x:v>Cambodia</x:v>
      </x:c>
      <x:c r="E293" s="14" t="n">
        <x:v>9676676</x:v>
      </x:c>
      <x:c r="F293" s="14" t="n">
        <x:v>904414</x:v>
      </x:c>
      <x:c r="G293" s="2" t="str">
        <x:v>WITHIN_BAND</x:v>
      </x:c>
      <x:c r="H293" s="2" t="n">
        <x:v>1</x:v>
      </x:c>
      <x:c r="I293" s="2" t="n">
        <x:f>IF(AND(COUNTIFS($B$6:$B$797,B293,$C$6:$C$797,C293)=11,COUNTIFS($B$6:$B$797,B293,$C$6:$C$797,C293,$G$6:$G$797,"REVIEW")=0,COUNTIFS($B$6:$B$797,B293,$C$6:$C$797,C293,$H$6:$H$797,1)=11,COUNTIFS($B$6:$B$797,B293,$C$6:$C$797,C293,$F$6:$F$797,"&gt;0")=11),1,0)</x:f>
        <x:v>0</x:v>
      </x:c>
    </x:row>
    <x:row r="294" ht="22" customHeight="1">
      <x:c r="A294" s="2" t="str">
        <x:v>61103099_CN_202509_IMPORT</x:v>
      </x:c>
      <x:c r="B294" s="2" t="n">
        <x:v>202509</x:v>
      </x:c>
      <x:c r="C294" s="2" t="str">
        <x:v>61103099</x:v>
      </x:c>
      <x:c r="D294" s="2" t="str">
        <x:v>China</x:v>
      </x:c>
      <x:c r="E294" s="14" t="n">
        <x:v>37774855</x:v>
      </x:c>
      <x:c r="F294" s="14" t="n">
        <x:v>2854925</x:v>
      </x:c>
      <x:c r="G294" s="2" t="str">
        <x:v>WITHIN_BAND</x:v>
      </x:c>
      <x:c r="H294" s="2" t="n">
        <x:v>1</x:v>
      </x:c>
      <x:c r="I294" s="2" t="n">
        <x:f>IF(AND(COUNTIFS($B$6:$B$797,B294,$C$6:$C$797,C294)=11,COUNTIFS($B$6:$B$797,B294,$C$6:$C$797,C294,$G$6:$G$797,"REVIEW")=0,COUNTIFS($B$6:$B$797,B294,$C$6:$C$797,C294,$H$6:$H$797,1)=11,COUNTIFS($B$6:$B$797,B294,$C$6:$C$797,C294,$F$6:$F$797,"&gt;0")=11),1,0)</x:f>
        <x:v>0</x:v>
      </x:c>
    </x:row>
    <x:row r="295" ht="22" customHeight="1">
      <x:c r="A295" s="2" t="str">
        <x:v>61103099_IN_202509_IMPORT</x:v>
      </x:c>
      <x:c r="B295" s="2" t="n">
        <x:v>202509</x:v>
      </x:c>
      <x:c r="C295" s="2" t="str">
        <x:v>61103099</x:v>
      </x:c>
      <x:c r="D295" s="2" t="str">
        <x:v>India</x:v>
      </x:c>
      <x:c r="E295" s="14" t="n">
        <x:v>231117</x:v>
      </x:c>
      <x:c r="F295" s="14" t="n">
        <x:v>20388</x:v>
      </x:c>
      <x:c r="G295" s="2" t="str">
        <x:v>WITHIN_BAND</x:v>
      </x:c>
      <x:c r="H295" s="2" t="n">
        <x:v>1</x:v>
      </x:c>
      <x:c r="I295" s="2" t="n">
        <x:f>IF(AND(COUNTIFS($B$6:$B$797,B295,$C$6:$C$797,C295)=11,COUNTIFS($B$6:$B$797,B295,$C$6:$C$797,C295,$G$6:$G$797,"REVIEW")=0,COUNTIFS($B$6:$B$797,B295,$C$6:$C$797,C295,$H$6:$H$797,1)=11,COUNTIFS($B$6:$B$797,B295,$C$6:$C$797,C295,$F$6:$F$797,"&gt;0")=11),1,0)</x:f>
        <x:v>0</x:v>
      </x:c>
    </x:row>
    <x:row r="296" ht="22" customHeight="1">
      <x:c r="A296" s="2" t="str">
        <x:v>61103099_MA_202509_IMPORT</x:v>
      </x:c>
      <x:c r="B296" s="2" t="n">
        <x:v>202509</x:v>
      </x:c>
      <x:c r="C296" s="2" t="str">
        <x:v>61103099</x:v>
      </x:c>
      <x:c r="D296" s="2" t="str">
        <x:v>Morocco</x:v>
      </x:c>
      <x:c r="E296" s="14" t="n">
        <x:v>31882</x:v>
      </x:c>
      <x:c r="F296" s="14" t="n">
        <x:v>780</x:v>
      </x:c>
      <x:c r="G296" s="2" t="str">
        <x:v>REVIEW</x:v>
      </x:c>
      <x:c r="H296" s="2" t="n">
        <x:v>1</x:v>
      </x:c>
      <x:c r="I296" s="2" t="n">
        <x:f>IF(AND(COUNTIFS($B$6:$B$797,B296,$C$6:$C$797,C296)=11,COUNTIFS($B$6:$B$797,B296,$C$6:$C$797,C296,$G$6:$G$797,"REVIEW")=0,COUNTIFS($B$6:$B$797,B296,$C$6:$C$797,C296,$H$6:$H$797,1)=11,COUNTIFS($B$6:$B$797,B296,$C$6:$C$797,C296,$F$6:$F$797,"&gt;0")=11),1,0)</x:f>
        <x:v>0</x:v>
      </x:c>
    </x:row>
    <x:row r="297" ht="22" customHeight="1">
      <x:c r="A297" s="2" t="str">
        <x:v>61103099_MM_202509_IMPORT</x:v>
      </x:c>
      <x:c r="B297" s="2" t="n">
        <x:v>202509</x:v>
      </x:c>
      <x:c r="C297" s="2" t="str">
        <x:v>61103099</x:v>
      </x:c>
      <x:c r="D297" s="2" t="str">
        <x:v>Myanmar</x:v>
      </x:c>
      <x:c r="E297" s="14" t="n">
        <x:v>1065081</x:v>
      </x:c>
      <x:c r="F297" s="14" t="n">
        <x:v>65094</x:v>
      </x:c>
      <x:c r="G297" s="2" t="str">
        <x:v>WITHIN_BAND</x:v>
      </x:c>
      <x:c r="H297" s="2" t="n">
        <x:v>1</x:v>
      </x:c>
      <x:c r="I297" s="2" t="n">
        <x:f>IF(AND(COUNTIFS($B$6:$B$797,B297,$C$6:$C$797,C297)=11,COUNTIFS($B$6:$B$797,B297,$C$6:$C$797,C297,$G$6:$G$797,"REVIEW")=0,COUNTIFS($B$6:$B$797,B297,$C$6:$C$797,C297,$H$6:$H$797,1)=11,COUNTIFS($B$6:$B$797,B297,$C$6:$C$797,C297,$F$6:$F$797,"&gt;0")=11),1,0)</x:f>
        <x:v>0</x:v>
      </x:c>
    </x:row>
    <x:row r="298" ht="22" customHeight="1">
      <x:c r="A298" s="2" t="str">
        <x:v>61103099_PK_202509_IMPORT</x:v>
      </x:c>
      <x:c r="B298" s="2" t="n">
        <x:v>202509</x:v>
      </x:c>
      <x:c r="C298" s="2" t="str">
        <x:v>61103099</x:v>
      </x:c>
      <x:c r="D298" s="2" t="str">
        <x:v>Pakistan</x:v>
      </x:c>
      <x:c r="E298" s="14" t="n">
        <x:v>359476</x:v>
      </x:c>
      <x:c r="F298" s="14" t="n">
        <x:v>28322</x:v>
      </x:c>
      <x:c r="G298" s="2" t="str">
        <x:v>WITHIN_BAND</x:v>
      </x:c>
      <x:c r="H298" s="2" t="n">
        <x:v>1</x:v>
      </x:c>
      <x:c r="I298" s="2" t="n">
        <x:f>IF(AND(COUNTIFS($B$6:$B$797,B298,$C$6:$C$797,C298)=11,COUNTIFS($B$6:$B$797,B298,$C$6:$C$797,C298,$G$6:$G$797,"REVIEW")=0,COUNTIFS($B$6:$B$797,B298,$C$6:$C$797,C298,$H$6:$H$797,1)=11,COUNTIFS($B$6:$B$797,B298,$C$6:$C$797,C298,$F$6:$F$797,"&gt;0")=11),1,0)</x:f>
        <x:v>0</x:v>
      </x:c>
    </x:row>
    <x:row r="299" ht="22" customHeight="1">
      <x:c r="A299" s="2" t="str">
        <x:v>61103099_LK_202509_IMPORT</x:v>
      </x:c>
      <x:c r="B299" s="2" t="n">
        <x:v>202509</x:v>
      </x:c>
      <x:c r="C299" s="2" t="str">
        <x:v>61103099</x:v>
      </x:c>
      <x:c r="D299" s="2" t="str">
        <x:v>Sri Lanka</x:v>
      </x:c>
      <x:c r="E299" s="14" t="n">
        <x:v>140764</x:v>
      </x:c>
      <x:c r="F299" s="14" t="n">
        <x:v>9396</x:v>
      </x:c>
      <x:c r="G299" s="2" t="str">
        <x:v>WITHIN_BAND</x:v>
      </x:c>
      <x:c r="H299" s="2" t="n">
        <x:v>1</x:v>
      </x:c>
      <x:c r="I299" s="2" t="n">
        <x:f>IF(AND(COUNTIFS($B$6:$B$797,B299,$C$6:$C$797,C299)=11,COUNTIFS($B$6:$B$797,B299,$C$6:$C$797,C299,$G$6:$G$797,"REVIEW")=0,COUNTIFS($B$6:$B$797,B299,$C$6:$C$797,C299,$H$6:$H$797,1)=11,COUNTIFS($B$6:$B$797,B299,$C$6:$C$797,C299,$F$6:$F$797,"&gt;0")=11),1,0)</x:f>
        <x:v>0</x:v>
      </x:c>
    </x:row>
    <x:row r="300" ht="22" customHeight="1">
      <x:c r="A300" s="2" t="str">
        <x:v>61103099_TR_202509_IMPORT</x:v>
      </x:c>
      <x:c r="B300" s="2" t="n">
        <x:v>202509</x:v>
      </x:c>
      <x:c r="C300" s="2" t="str">
        <x:v>61103099</x:v>
      </x:c>
      <x:c r="D300" s="2" t="str">
        <x:v>Turkey</x:v>
      </x:c>
      <x:c r="E300" s="14" t="n">
        <x:v>7090362</x:v>
      </x:c>
      <x:c r="F300" s="14" t="n">
        <x:v>472002</x:v>
      </x:c>
      <x:c r="G300" s="2" t="str">
        <x:v>WITHIN_BAND</x:v>
      </x:c>
      <x:c r="H300" s="2" t="n">
        <x:v>1</x:v>
      </x:c>
      <x:c r="I300" s="2" t="n">
        <x:f>IF(AND(COUNTIFS($B$6:$B$797,B300,$C$6:$C$797,C300)=11,COUNTIFS($B$6:$B$797,B300,$C$6:$C$797,C300,$G$6:$G$797,"REVIEW")=0,COUNTIFS($B$6:$B$797,B300,$C$6:$C$797,C300,$H$6:$H$797,1)=11,COUNTIFS($B$6:$B$797,B300,$C$6:$C$797,C300,$F$6:$F$797,"&gt;0")=11),1,0)</x:f>
        <x:v>0</x:v>
      </x:c>
    </x:row>
    <x:row r="301" ht="22" customHeight="1">
      <x:c r="A301" s="2" t="str">
        <x:v>61103099_VN_202509_IMPORT</x:v>
      </x:c>
      <x:c r="B301" s="2" t="n">
        <x:v>202509</x:v>
      </x:c>
      <x:c r="C301" s="2" t="str">
        <x:v>61103099</x:v>
      </x:c>
      <x:c r="D301" s="2" t="str">
        <x:v>Vietnam</x:v>
      </x:c>
      <x:c r="E301" s="14" t="n">
        <x:v>1114920</x:v>
      </x:c>
      <x:c r="F301" s="14" t="n">
        <x:v>46262</x:v>
      </x:c>
      <x:c r="G301" s="2" t="str">
        <x:v>WITHIN_BAND</x:v>
      </x:c>
      <x:c r="H301" s="2" t="n">
        <x:v>1</x:v>
      </x:c>
      <x:c r="I301" s="2" t="n">
        <x:f>IF(AND(COUNTIFS($B$6:$B$797,B301,$C$6:$C$797,C301)=11,COUNTIFS($B$6:$B$797,B301,$C$6:$C$797,C301,$G$6:$G$797,"REVIEW")=0,COUNTIFS($B$6:$B$797,B301,$C$6:$C$797,C301,$H$6:$H$797,1)=11,COUNTIFS($B$6:$B$797,B301,$C$6:$C$797,C301,$F$6:$F$797,"&gt;0")=11),1,0)</x:f>
        <x:v>0</x:v>
      </x:c>
    </x:row>
    <x:row r="302" ht="22" customHeight="1">
      <x:c r="A302" s="2" t="str">
        <x:v>61103099_WORLD_202509_IMPORT</x:v>
      </x:c>
      <x:c r="B302" s="2" t="n">
        <x:v>202509</x:v>
      </x:c>
      <x:c r="C302" s="2" t="str">
        <x:v>61103099</x:v>
      </x:c>
      <x:c r="D302" s="2" t="str">
        <x:v>World</x:v>
      </x:c>
      <x:c r="E302" s="14" t="n">
        <x:v>100361337</x:v>
      </x:c>
      <x:c r="F302" s="14" t="n">
        <x:v>7237379</x:v>
      </x:c>
      <x:c r="G302" s="2" t="str">
        <x:v>WITHIN_BAND</x:v>
      </x:c>
      <x:c r="H302" s="2" t="n">
        <x:v>1</x:v>
      </x:c>
      <x:c r="I302" s="2" t="n">
        <x:f>IF(AND(COUNTIFS($B$6:$B$797,B302,$C$6:$C$797,C302)=11,COUNTIFS($B$6:$B$797,B302,$C$6:$C$797,C302,$G$6:$G$797,"REVIEW")=0,COUNTIFS($B$6:$B$797,B302,$C$6:$C$797,C302,$H$6:$H$797,1)=11,COUNTIFS($B$6:$B$797,B302,$C$6:$C$797,C302,$F$6:$F$797,"&gt;0")=11),1,0)</x:f>
        <x:v>0</x:v>
      </x:c>
    </x:row>
    <x:row r="303" ht="22" customHeight="1">
      <x:c r="A303" s="2" t="str">
        <x:v>61103099_BD_202510_IMPORT</x:v>
      </x:c>
      <x:c r="B303" s="2" t="n">
        <x:v>202510</x:v>
      </x:c>
      <x:c r="C303" s="2" t="str">
        <x:v>61103099</x:v>
      </x:c>
      <x:c r="D303" s="2" t="str">
        <x:v>Bangladesh</x:v>
      </x:c>
      <x:c r="E303" s="14" t="n">
        <x:v>27270957</x:v>
      </x:c>
      <x:c r="F303" s="14" t="n">
        <x:v>2244331</x:v>
      </x:c>
      <x:c r="G303" s="2" t="str">
        <x:v>WITHIN_BAND</x:v>
      </x:c>
      <x:c r="H303" s="2" t="n">
        <x:v>1</x:v>
      </x:c>
      <x:c r="I303" s="2" t="n">
        <x:f>IF(AND(COUNTIFS($B$6:$B$797,B303,$C$6:$C$797,C303)=11,COUNTIFS($B$6:$B$797,B303,$C$6:$C$797,C303,$G$6:$G$797,"REVIEW")=0,COUNTIFS($B$6:$B$797,B303,$C$6:$C$797,C303,$H$6:$H$797,1)=11,COUNTIFS($B$6:$B$797,B303,$C$6:$C$797,C303,$F$6:$F$797,"&gt;0")=11),1,0)</x:f>
        <x:v>1</x:v>
      </x:c>
    </x:row>
    <x:row r="304" ht="22" customHeight="1">
      <x:c r="A304" s="2" t="str">
        <x:v>61103099_KH_202510_IMPORT</x:v>
      </x:c>
      <x:c r="B304" s="2" t="n">
        <x:v>202510</x:v>
      </x:c>
      <x:c r="C304" s="2" t="str">
        <x:v>61103099</x:v>
      </x:c>
      <x:c r="D304" s="2" t="str">
        <x:v>Cambodia</x:v>
      </x:c>
      <x:c r="E304" s="14" t="n">
        <x:v>8431674</x:v>
      </x:c>
      <x:c r="F304" s="14" t="n">
        <x:v>680292</x:v>
      </x:c>
      <x:c r="G304" s="2" t="str">
        <x:v>WITHIN_BAND</x:v>
      </x:c>
      <x:c r="H304" s="2" t="n">
        <x:v>1</x:v>
      </x:c>
      <x:c r="I304" s="2" t="n">
        <x:f>IF(AND(COUNTIFS($B$6:$B$797,B304,$C$6:$C$797,C304)=11,COUNTIFS($B$6:$B$797,B304,$C$6:$C$797,C304,$G$6:$G$797,"REVIEW")=0,COUNTIFS($B$6:$B$797,B304,$C$6:$C$797,C304,$H$6:$H$797,1)=11,COUNTIFS($B$6:$B$797,B304,$C$6:$C$797,C304,$F$6:$F$797,"&gt;0")=11),1,0)</x:f>
        <x:v>1</x:v>
      </x:c>
    </x:row>
    <x:row r="305" ht="22" customHeight="1">
      <x:c r="A305" s="2" t="str">
        <x:v>61103099_CN_202510_IMPORT</x:v>
      </x:c>
      <x:c r="B305" s="2" t="n">
        <x:v>202510</x:v>
      </x:c>
      <x:c r="C305" s="2" t="str">
        <x:v>61103099</x:v>
      </x:c>
      <x:c r="D305" s="2" t="str">
        <x:v>China</x:v>
      </x:c>
      <x:c r="E305" s="14" t="n">
        <x:v>38578336</x:v>
      </x:c>
      <x:c r="F305" s="14" t="n">
        <x:v>2827955</x:v>
      </x:c>
      <x:c r="G305" s="2" t="str">
        <x:v>WITHIN_BAND</x:v>
      </x:c>
      <x:c r="H305" s="2" t="n">
        <x:v>1</x:v>
      </x:c>
      <x:c r="I305" s="2" t="n">
        <x:f>IF(AND(COUNTIFS($B$6:$B$797,B305,$C$6:$C$797,C305)=11,COUNTIFS($B$6:$B$797,B305,$C$6:$C$797,C305,$G$6:$G$797,"REVIEW")=0,COUNTIFS($B$6:$B$797,B305,$C$6:$C$797,C305,$H$6:$H$797,1)=11,COUNTIFS($B$6:$B$797,B305,$C$6:$C$797,C305,$F$6:$F$797,"&gt;0")=11),1,0)</x:f>
        <x:v>1</x:v>
      </x:c>
    </x:row>
    <x:row r="306" ht="22" customHeight="1">
      <x:c r="A306" s="2" t="str">
        <x:v>61103099_IN_202510_IMPORT</x:v>
      </x:c>
      <x:c r="B306" s="2" t="n">
        <x:v>202510</x:v>
      </x:c>
      <x:c r="C306" s="2" t="str">
        <x:v>61103099</x:v>
      </x:c>
      <x:c r="D306" s="2" t="str">
        <x:v>India</x:v>
      </x:c>
      <x:c r="E306" s="14" t="n">
        <x:v>198871</x:v>
      </x:c>
      <x:c r="F306" s="14" t="n">
        <x:v>11890</x:v>
      </x:c>
      <x:c r="G306" s="2" t="str">
        <x:v>WITHIN_BAND</x:v>
      </x:c>
      <x:c r="H306" s="2" t="n">
        <x:v>1</x:v>
      </x:c>
      <x:c r="I306" s="2" t="n">
        <x:f>IF(AND(COUNTIFS($B$6:$B$797,B306,$C$6:$C$797,C306)=11,COUNTIFS($B$6:$B$797,B306,$C$6:$C$797,C306,$G$6:$G$797,"REVIEW")=0,COUNTIFS($B$6:$B$797,B306,$C$6:$C$797,C306,$H$6:$H$797,1)=11,COUNTIFS($B$6:$B$797,B306,$C$6:$C$797,C306,$F$6:$F$797,"&gt;0")=11),1,0)</x:f>
        <x:v>1</x:v>
      </x:c>
    </x:row>
    <x:row r="307" ht="22" customHeight="1">
      <x:c r="A307" s="2" t="str">
        <x:v>61103099_MA_202510_IMPORT</x:v>
      </x:c>
      <x:c r="B307" s="2" t="n">
        <x:v>202510</x:v>
      </x:c>
      <x:c r="C307" s="2" t="str">
        <x:v>61103099</x:v>
      </x:c>
      <x:c r="D307" s="2" t="str">
        <x:v>Morocco</x:v>
      </x:c>
      <x:c r="E307" s="14" t="n">
        <x:v>35459</x:v>
      </x:c>
      <x:c r="F307" s="14" t="n">
        <x:v>1279</x:v>
      </x:c>
      <x:c r="G307" s="2" t="str">
        <x:v>WITHIN_BAND</x:v>
      </x:c>
      <x:c r="H307" s="2" t="n">
        <x:v>1</x:v>
      </x:c>
      <x:c r="I307" s="2" t="n">
        <x:f>IF(AND(COUNTIFS($B$6:$B$797,B307,$C$6:$C$797,C307)=11,COUNTIFS($B$6:$B$797,B307,$C$6:$C$797,C307,$G$6:$G$797,"REVIEW")=0,COUNTIFS($B$6:$B$797,B307,$C$6:$C$797,C307,$H$6:$H$797,1)=11,COUNTIFS($B$6:$B$797,B307,$C$6:$C$797,C307,$F$6:$F$797,"&gt;0")=11),1,0)</x:f>
        <x:v>1</x:v>
      </x:c>
    </x:row>
    <x:row r="308" ht="22" customHeight="1">
      <x:c r="A308" s="2" t="str">
        <x:v>61103099_MM_202510_IMPORT</x:v>
      </x:c>
      <x:c r="B308" s="2" t="n">
        <x:v>202510</x:v>
      </x:c>
      <x:c r="C308" s="2" t="str">
        <x:v>61103099</x:v>
      </x:c>
      <x:c r="D308" s="2" t="str">
        <x:v>Myanmar</x:v>
      </x:c>
      <x:c r="E308" s="14" t="n">
        <x:v>1259915</x:v>
      </x:c>
      <x:c r="F308" s="14" t="n">
        <x:v>76911</x:v>
      </x:c>
      <x:c r="G308" s="2" t="str">
        <x:v>WITHIN_BAND</x:v>
      </x:c>
      <x:c r="H308" s="2" t="n">
        <x:v>1</x:v>
      </x:c>
      <x:c r="I308" s="2" t="n">
        <x:f>IF(AND(COUNTIFS($B$6:$B$797,B308,$C$6:$C$797,C308)=11,COUNTIFS($B$6:$B$797,B308,$C$6:$C$797,C308,$G$6:$G$797,"REVIEW")=0,COUNTIFS($B$6:$B$797,B308,$C$6:$C$797,C308,$H$6:$H$797,1)=11,COUNTIFS($B$6:$B$797,B308,$C$6:$C$797,C308,$F$6:$F$797,"&gt;0")=11),1,0)</x:f>
        <x:v>1</x:v>
      </x:c>
    </x:row>
    <x:row r="309" ht="22" customHeight="1">
      <x:c r="A309" s="2" t="str">
        <x:v>61103099_PK_202510_IMPORT</x:v>
      </x:c>
      <x:c r="B309" s="2" t="n">
        <x:v>202510</x:v>
      </x:c>
      <x:c r="C309" s="2" t="str">
        <x:v>61103099</x:v>
      </x:c>
      <x:c r="D309" s="2" t="str">
        <x:v>Pakistan</x:v>
      </x:c>
      <x:c r="E309" s="14" t="n">
        <x:v>419266</x:v>
      </x:c>
      <x:c r="F309" s="14" t="n">
        <x:v>30502</x:v>
      </x:c>
      <x:c r="G309" s="2" t="str">
        <x:v>WITHIN_BAND</x:v>
      </x:c>
      <x:c r="H309" s="2" t="n">
        <x:v>1</x:v>
      </x:c>
      <x:c r="I309" s="2" t="n">
        <x:f>IF(AND(COUNTIFS($B$6:$B$797,B309,$C$6:$C$797,C309)=11,COUNTIFS($B$6:$B$797,B309,$C$6:$C$797,C309,$G$6:$G$797,"REVIEW")=0,COUNTIFS($B$6:$B$797,B309,$C$6:$C$797,C309,$H$6:$H$797,1)=11,COUNTIFS($B$6:$B$797,B309,$C$6:$C$797,C309,$F$6:$F$797,"&gt;0")=11),1,0)</x:f>
        <x:v>1</x:v>
      </x:c>
    </x:row>
    <x:row r="310" ht="22" customHeight="1">
      <x:c r="A310" s="2" t="str">
        <x:v>61103099_LK_202510_IMPORT</x:v>
      </x:c>
      <x:c r="B310" s="2" t="n">
        <x:v>202510</x:v>
      </x:c>
      <x:c r="C310" s="2" t="str">
        <x:v>61103099</x:v>
      </x:c>
      <x:c r="D310" s="2" t="str">
        <x:v>Sri Lanka</x:v>
      </x:c>
      <x:c r="E310" s="14" t="n">
        <x:v>185390</x:v>
      </x:c>
      <x:c r="F310" s="14" t="n">
        <x:v>7228</x:v>
      </x:c>
      <x:c r="G310" s="2" t="str">
        <x:v>WITHIN_BAND</x:v>
      </x:c>
      <x:c r="H310" s="2" t="n">
        <x:v>1</x:v>
      </x:c>
      <x:c r="I310" s="2" t="n">
        <x:f>IF(AND(COUNTIFS($B$6:$B$797,B310,$C$6:$C$797,C310)=11,COUNTIFS($B$6:$B$797,B310,$C$6:$C$797,C310,$G$6:$G$797,"REVIEW")=0,COUNTIFS($B$6:$B$797,B310,$C$6:$C$797,C310,$H$6:$H$797,1)=11,COUNTIFS($B$6:$B$797,B310,$C$6:$C$797,C310,$F$6:$F$797,"&gt;0")=11),1,0)</x:f>
        <x:v>1</x:v>
      </x:c>
    </x:row>
    <x:row r="311" ht="22" customHeight="1">
      <x:c r="A311" s="2" t="str">
        <x:v>61103099_TR_202510_IMPORT</x:v>
      </x:c>
      <x:c r="B311" s="2" t="n">
        <x:v>202510</x:v>
      </x:c>
      <x:c r="C311" s="2" t="str">
        <x:v>61103099</x:v>
      </x:c>
      <x:c r="D311" s="2" t="str">
        <x:v>Turkey</x:v>
      </x:c>
      <x:c r="E311" s="14" t="n">
        <x:v>9021102</x:v>
      </x:c>
      <x:c r="F311" s="14" t="n">
        <x:v>566413</x:v>
      </x:c>
      <x:c r="G311" s="2" t="str">
        <x:v>WITHIN_BAND</x:v>
      </x:c>
      <x:c r="H311" s="2" t="n">
        <x:v>1</x:v>
      </x:c>
      <x:c r="I311" s="2" t="n">
        <x:f>IF(AND(COUNTIFS($B$6:$B$797,B311,$C$6:$C$797,C311)=11,COUNTIFS($B$6:$B$797,B311,$C$6:$C$797,C311,$G$6:$G$797,"REVIEW")=0,COUNTIFS($B$6:$B$797,B311,$C$6:$C$797,C311,$H$6:$H$797,1)=11,COUNTIFS($B$6:$B$797,B311,$C$6:$C$797,C311,$F$6:$F$797,"&gt;0")=11),1,0)</x:f>
        <x:v>1</x:v>
      </x:c>
    </x:row>
    <x:row r="312" ht="22" customHeight="1">
      <x:c r="A312" s="2" t="str">
        <x:v>61103099_VN_202510_IMPORT</x:v>
      </x:c>
      <x:c r="B312" s="2" t="n">
        <x:v>202510</x:v>
      </x:c>
      <x:c r="C312" s="2" t="str">
        <x:v>61103099</x:v>
      </x:c>
      <x:c r="D312" s="2" t="str">
        <x:v>Vietnam</x:v>
      </x:c>
      <x:c r="E312" s="14" t="n">
        <x:v>960926</x:v>
      </x:c>
      <x:c r="F312" s="14" t="n">
        <x:v>39945</x:v>
      </x:c>
      <x:c r="G312" s="2" t="str">
        <x:v>WITHIN_BAND</x:v>
      </x:c>
      <x:c r="H312" s="2" t="n">
        <x:v>1</x:v>
      </x:c>
      <x:c r="I312" s="2" t="n">
        <x:f>IF(AND(COUNTIFS($B$6:$B$797,B312,$C$6:$C$797,C312)=11,COUNTIFS($B$6:$B$797,B312,$C$6:$C$797,C312,$G$6:$G$797,"REVIEW")=0,COUNTIFS($B$6:$B$797,B312,$C$6:$C$797,C312,$H$6:$H$797,1)=11,COUNTIFS($B$6:$B$797,B312,$C$6:$C$797,C312,$F$6:$F$797,"&gt;0")=11),1,0)</x:f>
        <x:v>1</x:v>
      </x:c>
    </x:row>
    <x:row r="313" ht="22" customHeight="1">
      <x:c r="A313" s="2" t="str">
        <x:v>61103099_WORLD_202510_IMPORT</x:v>
      </x:c>
      <x:c r="B313" s="2" t="n">
        <x:v>202510</x:v>
      </x:c>
      <x:c r="C313" s="2" t="str">
        <x:v>61103099</x:v>
      </x:c>
      <x:c r="D313" s="2" t="str">
        <x:v>World</x:v>
      </x:c>
      <x:c r="E313" s="14" t="n">
        <x:v>109007704</x:v>
      </x:c>
      <x:c r="F313" s="14" t="n">
        <x:v>7465799</x:v>
      </x:c>
      <x:c r="G313" s="2" t="str">
        <x:v>WITHIN_BAND</x:v>
      </x:c>
      <x:c r="H313" s="2" t="n">
        <x:v>1</x:v>
      </x:c>
      <x:c r="I313" s="2" t="n">
        <x:f>IF(AND(COUNTIFS($B$6:$B$797,B313,$C$6:$C$797,C313)=11,COUNTIFS($B$6:$B$797,B313,$C$6:$C$797,C313,$G$6:$G$797,"REVIEW")=0,COUNTIFS($B$6:$B$797,B313,$C$6:$C$797,C313,$H$6:$H$797,1)=11,COUNTIFS($B$6:$B$797,B313,$C$6:$C$797,C313,$F$6:$F$797,"&gt;0")=11),1,0)</x:f>
        <x:v>1</x:v>
      </x:c>
    </x:row>
    <x:row r="314" ht="22" customHeight="1">
      <x:c r="A314" s="2" t="str">
        <x:v>61103099_BD_202511_IMPORT</x:v>
      </x:c>
      <x:c r="B314" s="2" t="n">
        <x:v>202511</x:v>
      </x:c>
      <x:c r="C314" s="2" t="str">
        <x:v>61103099</x:v>
      </x:c>
      <x:c r="D314" s="2" t="str">
        <x:v>Bangladesh</x:v>
      </x:c>
      <x:c r="E314" s="14" t="n">
        <x:v>19225452</x:v>
      </x:c>
      <x:c r="F314" s="14" t="n">
        <x:v>1600777</x:v>
      </x:c>
      <x:c r="G314" s="2" t="str">
        <x:v>WITHIN_BAND</x:v>
      </x:c>
      <x:c r="H314" s="2" t="n">
        <x:v>1</x:v>
      </x:c>
      <x:c r="I314" s="2" t="n">
        <x:f>IF(AND(COUNTIFS($B$6:$B$797,B314,$C$6:$C$797,C314)=11,COUNTIFS($B$6:$B$797,B314,$C$6:$C$797,C314,$G$6:$G$797,"REVIEW")=0,COUNTIFS($B$6:$B$797,B314,$C$6:$C$797,C314,$H$6:$H$797,1)=11,COUNTIFS($B$6:$B$797,B314,$C$6:$C$797,C314,$F$6:$F$797,"&gt;0")=11),1,0)</x:f>
        <x:v>1</x:v>
      </x:c>
    </x:row>
    <x:row r="315" ht="22" customHeight="1">
      <x:c r="A315" s="2" t="str">
        <x:v>61103099_KH_202511_IMPORT</x:v>
      </x:c>
      <x:c r="B315" s="2" t="n">
        <x:v>202511</x:v>
      </x:c>
      <x:c r="C315" s="2" t="str">
        <x:v>61103099</x:v>
      </x:c>
      <x:c r="D315" s="2" t="str">
        <x:v>Cambodia</x:v>
      </x:c>
      <x:c r="E315" s="14" t="n">
        <x:v>6042295</x:v>
      </x:c>
      <x:c r="F315" s="14" t="n">
        <x:v>462161</x:v>
      </x:c>
      <x:c r="G315" s="2" t="str">
        <x:v>WITHIN_BAND</x:v>
      </x:c>
      <x:c r="H315" s="2" t="n">
        <x:v>1</x:v>
      </x:c>
      <x:c r="I315" s="2" t="n">
        <x:f>IF(AND(COUNTIFS($B$6:$B$797,B315,$C$6:$C$797,C315)=11,COUNTIFS($B$6:$B$797,B315,$C$6:$C$797,C315,$G$6:$G$797,"REVIEW")=0,COUNTIFS($B$6:$B$797,B315,$C$6:$C$797,C315,$H$6:$H$797,1)=11,COUNTIFS($B$6:$B$797,B315,$C$6:$C$797,C315,$F$6:$F$797,"&gt;0")=11),1,0)</x:f>
        <x:v>1</x:v>
      </x:c>
    </x:row>
    <x:row r="316" ht="22" customHeight="1">
      <x:c r="A316" s="2" t="str">
        <x:v>61103099_CN_202511_IMPORT</x:v>
      </x:c>
      <x:c r="B316" s="2" t="n">
        <x:v>202511</x:v>
      </x:c>
      <x:c r="C316" s="2" t="str">
        <x:v>61103099</x:v>
      </x:c>
      <x:c r="D316" s="2" t="str">
        <x:v>China</x:v>
      </x:c>
      <x:c r="E316" s="14" t="n">
        <x:v>26940430</x:v>
      </x:c>
      <x:c r="F316" s="14" t="n">
        <x:v>1969281</x:v>
      </x:c>
      <x:c r="G316" s="2" t="str">
        <x:v>WITHIN_BAND</x:v>
      </x:c>
      <x:c r="H316" s="2" t="n">
        <x:v>1</x:v>
      </x:c>
      <x:c r="I316" s="2" t="n">
        <x:f>IF(AND(COUNTIFS($B$6:$B$797,B316,$C$6:$C$797,C316)=11,COUNTIFS($B$6:$B$797,B316,$C$6:$C$797,C316,$G$6:$G$797,"REVIEW")=0,COUNTIFS($B$6:$B$797,B316,$C$6:$C$797,C316,$H$6:$H$797,1)=11,COUNTIFS($B$6:$B$797,B316,$C$6:$C$797,C316,$F$6:$F$797,"&gt;0")=11),1,0)</x:f>
        <x:v>1</x:v>
      </x:c>
    </x:row>
    <x:row r="317" ht="22" customHeight="1">
      <x:c r="A317" s="2" t="str">
        <x:v>61103099_IN_202511_IMPORT</x:v>
      </x:c>
      <x:c r="B317" s="2" t="n">
        <x:v>202511</x:v>
      </x:c>
      <x:c r="C317" s="2" t="str">
        <x:v>61103099</x:v>
      </x:c>
      <x:c r="D317" s="2" t="str">
        <x:v>India</x:v>
      </x:c>
      <x:c r="E317" s="14" t="n">
        <x:v>192721</x:v>
      </x:c>
      <x:c r="F317" s="14" t="n">
        <x:v>14570</x:v>
      </x:c>
      <x:c r="G317" s="2" t="str">
        <x:v>WITHIN_BAND</x:v>
      </x:c>
      <x:c r="H317" s="2" t="n">
        <x:v>1</x:v>
      </x:c>
      <x:c r="I317" s="2" t="n">
        <x:f>IF(AND(COUNTIFS($B$6:$B$797,B317,$C$6:$C$797,C317)=11,COUNTIFS($B$6:$B$797,B317,$C$6:$C$797,C317,$G$6:$G$797,"REVIEW")=0,COUNTIFS($B$6:$B$797,B317,$C$6:$C$797,C317,$H$6:$H$797,1)=11,COUNTIFS($B$6:$B$797,B317,$C$6:$C$797,C317,$F$6:$F$797,"&gt;0")=11),1,0)</x:f>
        <x:v>1</x:v>
      </x:c>
    </x:row>
    <x:row r="318" ht="22" customHeight="1">
      <x:c r="A318" s="2" t="str">
        <x:v>61103099_MA_202511_IMPORT</x:v>
      </x:c>
      <x:c r="B318" s="2" t="n">
        <x:v>202511</x:v>
      </x:c>
      <x:c r="C318" s="2" t="str">
        <x:v>61103099</x:v>
      </x:c>
      <x:c r="D318" s="2" t="str">
        <x:v>Morocco</x:v>
      </x:c>
      <x:c r="E318" s="14" t="n">
        <x:v>49056</x:v>
      </x:c>
      <x:c r="F318" s="14" t="n">
        <x:v>1623</x:v>
      </x:c>
      <x:c r="G318" s="2" t="str">
        <x:v>WITHIN_BAND</x:v>
      </x:c>
      <x:c r="H318" s="2" t="n">
        <x:v>1</x:v>
      </x:c>
      <x:c r="I318" s="2" t="n">
        <x:f>IF(AND(COUNTIFS($B$6:$B$797,B318,$C$6:$C$797,C318)=11,COUNTIFS($B$6:$B$797,B318,$C$6:$C$797,C318,$G$6:$G$797,"REVIEW")=0,COUNTIFS($B$6:$B$797,B318,$C$6:$C$797,C318,$H$6:$H$797,1)=11,COUNTIFS($B$6:$B$797,B318,$C$6:$C$797,C318,$F$6:$F$797,"&gt;0")=11),1,0)</x:f>
        <x:v>1</x:v>
      </x:c>
    </x:row>
    <x:row r="319" ht="22" customHeight="1">
      <x:c r="A319" s="2" t="str">
        <x:v>61103099_MM_202511_IMPORT</x:v>
      </x:c>
      <x:c r="B319" s="2" t="n">
        <x:v>202511</x:v>
      </x:c>
      <x:c r="C319" s="2" t="str">
        <x:v>61103099</x:v>
      </x:c>
      <x:c r="D319" s="2" t="str">
        <x:v>Myanmar</x:v>
      </x:c>
      <x:c r="E319" s="14" t="n">
        <x:v>982223</x:v>
      </x:c>
      <x:c r="F319" s="14" t="n">
        <x:v>66279</x:v>
      </x:c>
      <x:c r="G319" s="2" t="str">
        <x:v>WITHIN_BAND</x:v>
      </x:c>
      <x:c r="H319" s="2" t="n">
        <x:v>1</x:v>
      </x:c>
      <x:c r="I319" s="2" t="n">
        <x:f>IF(AND(COUNTIFS($B$6:$B$797,B319,$C$6:$C$797,C319)=11,COUNTIFS($B$6:$B$797,B319,$C$6:$C$797,C319,$G$6:$G$797,"REVIEW")=0,COUNTIFS($B$6:$B$797,B319,$C$6:$C$797,C319,$H$6:$H$797,1)=11,COUNTIFS($B$6:$B$797,B319,$C$6:$C$797,C319,$F$6:$F$797,"&gt;0")=11),1,0)</x:f>
        <x:v>1</x:v>
      </x:c>
    </x:row>
    <x:row r="320" ht="22" customHeight="1">
      <x:c r="A320" s="2" t="str">
        <x:v>61103099_PK_202511_IMPORT</x:v>
      </x:c>
      <x:c r="B320" s="2" t="n">
        <x:v>202511</x:v>
      </x:c>
      <x:c r="C320" s="2" t="str">
        <x:v>61103099</x:v>
      </x:c>
      <x:c r="D320" s="2" t="str">
        <x:v>Pakistan</x:v>
      </x:c>
      <x:c r="E320" s="14" t="n">
        <x:v>578975</x:v>
      </x:c>
      <x:c r="F320" s="14" t="n">
        <x:v>49130</x:v>
      </x:c>
      <x:c r="G320" s="2" t="str">
        <x:v>WITHIN_BAND</x:v>
      </x:c>
      <x:c r="H320" s="2" t="n">
        <x:v>1</x:v>
      </x:c>
      <x:c r="I320" s="2" t="n">
        <x:f>IF(AND(COUNTIFS($B$6:$B$797,B320,$C$6:$C$797,C320)=11,COUNTIFS($B$6:$B$797,B320,$C$6:$C$797,C320,$G$6:$G$797,"REVIEW")=0,COUNTIFS($B$6:$B$797,B320,$C$6:$C$797,C320,$H$6:$H$797,1)=11,COUNTIFS($B$6:$B$797,B320,$C$6:$C$797,C320,$F$6:$F$797,"&gt;0")=11),1,0)</x:f>
        <x:v>1</x:v>
      </x:c>
    </x:row>
    <x:row r="321" ht="22" customHeight="1">
      <x:c r="A321" s="2" t="str">
        <x:v>61103099_LK_202511_IMPORT</x:v>
      </x:c>
      <x:c r="B321" s="2" t="n">
        <x:v>202511</x:v>
      </x:c>
      <x:c r="C321" s="2" t="str">
        <x:v>61103099</x:v>
      </x:c>
      <x:c r="D321" s="2" t="str">
        <x:v>Sri Lanka</x:v>
      </x:c>
      <x:c r="E321" s="14" t="n">
        <x:v>256452</x:v>
      </x:c>
      <x:c r="F321" s="14" t="n">
        <x:v>16083</x:v>
      </x:c>
      <x:c r="G321" s="2" t="str">
        <x:v>WITHIN_BAND</x:v>
      </x:c>
      <x:c r="H321" s="2" t="n">
        <x:v>1</x:v>
      </x:c>
      <x:c r="I321" s="2" t="n">
        <x:f>IF(AND(COUNTIFS($B$6:$B$797,B321,$C$6:$C$797,C321)=11,COUNTIFS($B$6:$B$797,B321,$C$6:$C$797,C321,$G$6:$G$797,"REVIEW")=0,COUNTIFS($B$6:$B$797,B321,$C$6:$C$797,C321,$H$6:$H$797,1)=11,COUNTIFS($B$6:$B$797,B321,$C$6:$C$797,C321,$F$6:$F$797,"&gt;0")=11),1,0)</x:f>
        <x:v>1</x:v>
      </x:c>
    </x:row>
    <x:row r="322" ht="22" customHeight="1">
      <x:c r="A322" s="2" t="str">
        <x:v>61103099_TR_202511_IMPORT</x:v>
      </x:c>
      <x:c r="B322" s="2" t="n">
        <x:v>202511</x:v>
      </x:c>
      <x:c r="C322" s="2" t="str">
        <x:v>61103099</x:v>
      </x:c>
      <x:c r="D322" s="2" t="str">
        <x:v>Turkey</x:v>
      </x:c>
      <x:c r="E322" s="14" t="n">
        <x:v>5837646</x:v>
      </x:c>
      <x:c r="F322" s="14" t="n">
        <x:v>274136</x:v>
      </x:c>
      <x:c r="G322" s="2" t="str">
        <x:v>WITHIN_BAND</x:v>
      </x:c>
      <x:c r="H322" s="2" t="n">
        <x:v>1</x:v>
      </x:c>
      <x:c r="I322" s="2" t="n">
        <x:f>IF(AND(COUNTIFS($B$6:$B$797,B322,$C$6:$C$797,C322)=11,COUNTIFS($B$6:$B$797,B322,$C$6:$C$797,C322,$G$6:$G$797,"REVIEW")=0,COUNTIFS($B$6:$B$797,B322,$C$6:$C$797,C322,$H$6:$H$797,1)=11,COUNTIFS($B$6:$B$797,B322,$C$6:$C$797,C322,$F$6:$F$797,"&gt;0")=11),1,0)</x:f>
        <x:v>1</x:v>
      </x:c>
    </x:row>
    <x:row r="323" ht="22" customHeight="1">
      <x:c r="A323" s="2" t="str">
        <x:v>61103099_VN_202511_IMPORT</x:v>
      </x:c>
      <x:c r="B323" s="2" t="n">
        <x:v>202511</x:v>
      </x:c>
      <x:c r="C323" s="2" t="str">
        <x:v>61103099</x:v>
      </x:c>
      <x:c r="D323" s="2" t="str">
        <x:v>Vietnam</x:v>
      </x:c>
      <x:c r="E323" s="14" t="n">
        <x:v>1149971</x:v>
      </x:c>
      <x:c r="F323" s="14" t="n">
        <x:v>44176</x:v>
      </x:c>
      <x:c r="G323" s="2" t="str">
        <x:v>WITHIN_BAND</x:v>
      </x:c>
      <x:c r="H323" s="2" t="n">
        <x:v>1</x:v>
      </x:c>
      <x:c r="I323" s="2" t="n">
        <x:f>IF(AND(COUNTIFS($B$6:$B$797,B323,$C$6:$C$797,C323)=11,COUNTIFS($B$6:$B$797,B323,$C$6:$C$797,C323,$G$6:$G$797,"REVIEW")=0,COUNTIFS($B$6:$B$797,B323,$C$6:$C$797,C323,$H$6:$H$797,1)=11,COUNTIFS($B$6:$B$797,B323,$C$6:$C$797,C323,$F$6:$F$797,"&gt;0")=11),1,0)</x:f>
        <x:v>1</x:v>
      </x:c>
    </x:row>
    <x:row r="324" ht="22" customHeight="1">
      <x:c r="A324" s="2" t="str">
        <x:v>61103099_WORLD_202511_IMPORT</x:v>
      </x:c>
      <x:c r="B324" s="2" t="n">
        <x:v>202511</x:v>
      </x:c>
      <x:c r="C324" s="2" t="str">
        <x:v>61103099</x:v>
      </x:c>
      <x:c r="D324" s="2" t="str">
        <x:v>World</x:v>
      </x:c>
      <x:c r="E324" s="14" t="n">
        <x:v>79498140</x:v>
      </x:c>
      <x:c r="F324" s="14" t="n">
        <x:v>5290631</x:v>
      </x:c>
      <x:c r="G324" s="2" t="str">
        <x:v>WITHIN_BAND</x:v>
      </x:c>
      <x:c r="H324" s="2" t="n">
        <x:v>1</x:v>
      </x:c>
      <x:c r="I324" s="2" t="n">
        <x:f>IF(AND(COUNTIFS($B$6:$B$797,B324,$C$6:$C$797,C324)=11,COUNTIFS($B$6:$B$797,B324,$C$6:$C$797,C324,$G$6:$G$797,"REVIEW")=0,COUNTIFS($B$6:$B$797,B324,$C$6:$C$797,C324,$H$6:$H$797,1)=11,COUNTIFS($B$6:$B$797,B324,$C$6:$C$797,C324,$F$6:$F$797,"&gt;0")=11),1,0)</x:f>
        <x:v>1</x:v>
      </x:c>
    </x:row>
    <x:row r="325" ht="22" customHeight="1">
      <x:c r="A325" s="2" t="str">
        <x:v>61103099_BD_202512_IMPORT</x:v>
      </x:c>
      <x:c r="B325" s="2" t="n">
        <x:v>202512</x:v>
      </x:c>
      <x:c r="C325" s="2" t="str">
        <x:v>61103099</x:v>
      </x:c>
      <x:c r="D325" s="2" t="str">
        <x:v>Bangladesh</x:v>
      </x:c>
      <x:c r="E325" s="14" t="n">
        <x:v>14760003</x:v>
      </x:c>
      <x:c r="F325" s="14" t="n">
        <x:v>1249823</x:v>
      </x:c>
      <x:c r="G325" s="2" t="str">
        <x:v>WITHIN_BAND</x:v>
      </x:c>
      <x:c r="H325" s="2" t="n">
        <x:v>1</x:v>
      </x:c>
      <x:c r="I325" s="2" t="n">
        <x:f>IF(AND(COUNTIFS($B$6:$B$797,B325,$C$6:$C$797,C325)=11,COUNTIFS($B$6:$B$797,B325,$C$6:$C$797,C325,$G$6:$G$797,"REVIEW")=0,COUNTIFS($B$6:$B$797,B325,$C$6:$C$797,C325,$H$6:$H$797,1)=11,COUNTIFS($B$6:$B$797,B325,$C$6:$C$797,C325,$F$6:$F$797,"&gt;0")=11),1,0)</x:f>
        <x:v>1</x:v>
      </x:c>
    </x:row>
    <x:row r="326" ht="22" customHeight="1">
      <x:c r="A326" s="2" t="str">
        <x:v>61103099_KH_202512_IMPORT</x:v>
      </x:c>
      <x:c r="B326" s="2" t="n">
        <x:v>202512</x:v>
      </x:c>
      <x:c r="C326" s="2" t="str">
        <x:v>61103099</x:v>
      </x:c>
      <x:c r="D326" s="2" t="str">
        <x:v>Cambodia</x:v>
      </x:c>
      <x:c r="E326" s="14" t="n">
        <x:v>5695663</x:v>
      </x:c>
      <x:c r="F326" s="14" t="n">
        <x:v>444259</x:v>
      </x:c>
      <x:c r="G326" s="2" t="str">
        <x:v>WITHIN_BAND</x:v>
      </x:c>
      <x:c r="H326" s="2" t="n">
        <x:v>1</x:v>
      </x:c>
      <x:c r="I326" s="2" t="n">
        <x:f>IF(AND(COUNTIFS($B$6:$B$797,B326,$C$6:$C$797,C326)=11,COUNTIFS($B$6:$B$797,B326,$C$6:$C$797,C326,$G$6:$G$797,"REVIEW")=0,COUNTIFS($B$6:$B$797,B326,$C$6:$C$797,C326,$H$6:$H$797,1)=11,COUNTIFS($B$6:$B$797,B326,$C$6:$C$797,C326,$F$6:$F$797,"&gt;0")=11),1,0)</x:f>
        <x:v>1</x:v>
      </x:c>
    </x:row>
    <x:row r="327" ht="22" customHeight="1">
      <x:c r="A327" s="2" t="str">
        <x:v>61103099_CN_202512_IMPORT</x:v>
      </x:c>
      <x:c r="B327" s="2" t="n">
        <x:v>202512</x:v>
      </x:c>
      <x:c r="C327" s="2" t="str">
        <x:v>61103099</x:v>
      </x:c>
      <x:c r="D327" s="2" t="str">
        <x:v>China</x:v>
      </x:c>
      <x:c r="E327" s="14" t="n">
        <x:v>23700504</x:v>
      </x:c>
      <x:c r="F327" s="14" t="n">
        <x:v>1541294</x:v>
      </x:c>
      <x:c r="G327" s="2" t="str">
        <x:v>WITHIN_BAND</x:v>
      </x:c>
      <x:c r="H327" s="2" t="n">
        <x:v>1</x:v>
      </x:c>
      <x:c r="I327" s="2" t="n">
        <x:f>IF(AND(COUNTIFS($B$6:$B$797,B327,$C$6:$C$797,C327)=11,COUNTIFS($B$6:$B$797,B327,$C$6:$C$797,C327,$G$6:$G$797,"REVIEW")=0,COUNTIFS($B$6:$B$797,B327,$C$6:$C$797,C327,$H$6:$H$797,1)=11,COUNTIFS($B$6:$B$797,B327,$C$6:$C$797,C327,$F$6:$F$797,"&gt;0")=11),1,0)</x:f>
        <x:v>1</x:v>
      </x:c>
    </x:row>
    <x:row r="328" ht="22" customHeight="1">
      <x:c r="A328" s="2" t="str">
        <x:v>61103099_IN_202512_IMPORT</x:v>
      </x:c>
      <x:c r="B328" s="2" t="n">
        <x:v>202512</x:v>
      </x:c>
      <x:c r="C328" s="2" t="str">
        <x:v>61103099</x:v>
      </x:c>
      <x:c r="D328" s="2" t="str">
        <x:v>India</x:v>
      </x:c>
      <x:c r="E328" s="14" t="n">
        <x:v>339367</x:v>
      </x:c>
      <x:c r="F328" s="14" t="n">
        <x:v>24281</x:v>
      </x:c>
      <x:c r="G328" s="2" t="str">
        <x:v>WITHIN_BAND</x:v>
      </x:c>
      <x:c r="H328" s="2" t="n">
        <x:v>1</x:v>
      </x:c>
      <x:c r="I328" s="2" t="n">
        <x:f>IF(AND(COUNTIFS($B$6:$B$797,B328,$C$6:$C$797,C328)=11,COUNTIFS($B$6:$B$797,B328,$C$6:$C$797,C328,$G$6:$G$797,"REVIEW")=0,COUNTIFS($B$6:$B$797,B328,$C$6:$C$797,C328,$H$6:$H$797,1)=11,COUNTIFS($B$6:$B$797,B328,$C$6:$C$797,C328,$F$6:$F$797,"&gt;0")=11),1,0)</x:f>
        <x:v>1</x:v>
      </x:c>
    </x:row>
    <x:row r="329" ht="22" customHeight="1">
      <x:c r="A329" s="2" t="str">
        <x:v>61103099_MA_202512_IMPORT</x:v>
      </x:c>
      <x:c r="B329" s="2" t="n">
        <x:v>202512</x:v>
      </x:c>
      <x:c r="C329" s="2" t="str">
        <x:v>61103099</x:v>
      </x:c>
      <x:c r="D329" s="2" t="str">
        <x:v>Morocco</x:v>
      </x:c>
      <x:c r="E329" s="14" t="n">
        <x:v>62154</x:v>
      </x:c>
      <x:c r="F329" s="14" t="n">
        <x:v>1852</x:v>
      </x:c>
      <x:c r="G329" s="2" t="str">
        <x:v>WITHIN_BAND</x:v>
      </x:c>
      <x:c r="H329" s="2" t="n">
        <x:v>1</x:v>
      </x:c>
      <x:c r="I329" s="2" t="n">
        <x:f>IF(AND(COUNTIFS($B$6:$B$797,B329,$C$6:$C$797,C329)=11,COUNTIFS($B$6:$B$797,B329,$C$6:$C$797,C329,$G$6:$G$797,"REVIEW")=0,COUNTIFS($B$6:$B$797,B329,$C$6:$C$797,C329,$H$6:$H$797,1)=11,COUNTIFS($B$6:$B$797,B329,$C$6:$C$797,C329,$F$6:$F$797,"&gt;0")=11),1,0)</x:f>
        <x:v>1</x:v>
      </x:c>
    </x:row>
    <x:row r="330" ht="22" customHeight="1">
      <x:c r="A330" s="2" t="str">
        <x:v>61103099_MM_202512_IMPORT</x:v>
      </x:c>
      <x:c r="B330" s="2" t="n">
        <x:v>202512</x:v>
      </x:c>
      <x:c r="C330" s="2" t="str">
        <x:v>61103099</x:v>
      </x:c>
      <x:c r="D330" s="2" t="str">
        <x:v>Myanmar</x:v>
      </x:c>
      <x:c r="E330" s="14" t="n">
        <x:v>1076130</x:v>
      </x:c>
      <x:c r="F330" s="14" t="n">
        <x:v>64841</x:v>
      </x:c>
      <x:c r="G330" s="2" t="str">
        <x:v>WITHIN_BAND</x:v>
      </x:c>
      <x:c r="H330" s="2" t="n">
        <x:v>1</x:v>
      </x:c>
      <x:c r="I330" s="2" t="n">
        <x:f>IF(AND(COUNTIFS($B$6:$B$797,B330,$C$6:$C$797,C330)=11,COUNTIFS($B$6:$B$797,B330,$C$6:$C$797,C330,$G$6:$G$797,"REVIEW")=0,COUNTIFS($B$6:$B$797,B330,$C$6:$C$797,C330,$H$6:$H$797,1)=11,COUNTIFS($B$6:$B$797,B330,$C$6:$C$797,C330,$F$6:$F$797,"&gt;0")=11),1,0)</x:f>
        <x:v>1</x:v>
      </x:c>
    </x:row>
    <x:row r="331" ht="22" customHeight="1">
      <x:c r="A331" s="2" t="str">
        <x:v>61103099_PK_202512_IMPORT</x:v>
      </x:c>
      <x:c r="B331" s="2" t="n">
        <x:v>202512</x:v>
      </x:c>
      <x:c r="C331" s="2" t="str">
        <x:v>61103099</x:v>
      </x:c>
      <x:c r="D331" s="2" t="str">
        <x:v>Pakistan</x:v>
      </x:c>
      <x:c r="E331" s="14" t="n">
        <x:v>701062</x:v>
      </x:c>
      <x:c r="F331" s="14" t="n">
        <x:v>50482</x:v>
      </x:c>
      <x:c r="G331" s="2" t="str">
        <x:v>WITHIN_BAND</x:v>
      </x:c>
      <x:c r="H331" s="2" t="n">
        <x:v>1</x:v>
      </x:c>
      <x:c r="I331" s="2" t="n">
        <x:f>IF(AND(COUNTIFS($B$6:$B$797,B331,$C$6:$C$797,C331)=11,COUNTIFS($B$6:$B$797,B331,$C$6:$C$797,C331,$G$6:$G$797,"REVIEW")=0,COUNTIFS($B$6:$B$797,B331,$C$6:$C$797,C331,$H$6:$H$797,1)=11,COUNTIFS($B$6:$B$797,B331,$C$6:$C$797,C331,$F$6:$F$797,"&gt;0")=11),1,0)</x:f>
        <x:v>1</x:v>
      </x:c>
    </x:row>
    <x:row r="332" ht="22" customHeight="1">
      <x:c r="A332" s="2" t="str">
        <x:v>61103099_LK_202512_IMPORT</x:v>
      </x:c>
      <x:c r="B332" s="2" t="n">
        <x:v>202512</x:v>
      </x:c>
      <x:c r="C332" s="2" t="str">
        <x:v>61103099</x:v>
      </x:c>
      <x:c r="D332" s="2" t="str">
        <x:v>Sri Lanka</x:v>
      </x:c>
      <x:c r="E332" s="14" t="n">
        <x:v>46278</x:v>
      </x:c>
      <x:c r="F332" s="14" t="n">
        <x:v>2950</x:v>
      </x:c>
      <x:c r="G332" s="2" t="str">
        <x:v>WITHIN_BAND</x:v>
      </x:c>
      <x:c r="H332" s="2" t="n">
        <x:v>1</x:v>
      </x:c>
      <x:c r="I332" s="2" t="n">
        <x:f>IF(AND(COUNTIFS($B$6:$B$797,B332,$C$6:$C$797,C332)=11,COUNTIFS($B$6:$B$797,B332,$C$6:$C$797,C332,$G$6:$G$797,"REVIEW")=0,COUNTIFS($B$6:$B$797,B332,$C$6:$C$797,C332,$H$6:$H$797,1)=11,COUNTIFS($B$6:$B$797,B332,$C$6:$C$797,C332,$F$6:$F$797,"&gt;0")=11),1,0)</x:f>
        <x:v>1</x:v>
      </x:c>
    </x:row>
    <x:row r="333" ht="22" customHeight="1">
      <x:c r="A333" s="2" t="str">
        <x:v>61103099_TR_202512_IMPORT</x:v>
      </x:c>
      <x:c r="B333" s="2" t="n">
        <x:v>202512</x:v>
      </x:c>
      <x:c r="C333" s="2" t="str">
        <x:v>61103099</x:v>
      </x:c>
      <x:c r="D333" s="2" t="str">
        <x:v>Turkey</x:v>
      </x:c>
      <x:c r="E333" s="14" t="n">
        <x:v>5169246</x:v>
      </x:c>
      <x:c r="F333" s="14" t="n">
        <x:v>267936</x:v>
      </x:c>
      <x:c r="G333" s="2" t="str">
        <x:v>WITHIN_BAND</x:v>
      </x:c>
      <x:c r="H333" s="2" t="n">
        <x:v>1</x:v>
      </x:c>
      <x:c r="I333" s="2" t="n">
        <x:f>IF(AND(COUNTIFS($B$6:$B$797,B333,$C$6:$C$797,C333)=11,COUNTIFS($B$6:$B$797,B333,$C$6:$C$797,C333,$G$6:$G$797,"REVIEW")=0,COUNTIFS($B$6:$B$797,B333,$C$6:$C$797,C333,$H$6:$H$797,1)=11,COUNTIFS($B$6:$B$797,B333,$C$6:$C$797,C333,$F$6:$F$797,"&gt;0")=11),1,0)</x:f>
        <x:v>1</x:v>
      </x:c>
    </x:row>
    <x:row r="334" ht="22" customHeight="1">
      <x:c r="A334" s="2" t="str">
        <x:v>61103099_VN_202512_IMPORT</x:v>
      </x:c>
      <x:c r="B334" s="2" t="n">
        <x:v>202512</x:v>
      </x:c>
      <x:c r="C334" s="2" t="str">
        <x:v>61103099</x:v>
      </x:c>
      <x:c r="D334" s="2" t="str">
        <x:v>Vietnam</x:v>
      </x:c>
      <x:c r="E334" s="14" t="n">
        <x:v>1301524</x:v>
      </x:c>
      <x:c r="F334" s="14" t="n">
        <x:v>42116</x:v>
      </x:c>
      <x:c r="G334" s="2" t="str">
        <x:v>WITHIN_BAND</x:v>
      </x:c>
      <x:c r="H334" s="2" t="n">
        <x:v>1</x:v>
      </x:c>
      <x:c r="I334" s="2" t="n">
        <x:f>IF(AND(COUNTIFS($B$6:$B$797,B334,$C$6:$C$797,C334)=11,COUNTIFS($B$6:$B$797,B334,$C$6:$C$797,C334,$G$6:$G$797,"REVIEW")=0,COUNTIFS($B$6:$B$797,B334,$C$6:$C$797,C334,$H$6:$H$797,1)=11,COUNTIFS($B$6:$B$797,B334,$C$6:$C$797,C334,$F$6:$F$797,"&gt;0")=11),1,0)</x:f>
        <x:v>1</x:v>
      </x:c>
    </x:row>
    <x:row r="335" ht="22" customHeight="1">
      <x:c r="A335" s="2" t="str">
        <x:v>61103099_WORLD_202512_IMPORT</x:v>
      </x:c>
      <x:c r="B335" s="2" t="n">
        <x:v>202512</x:v>
      </x:c>
      <x:c r="C335" s="2" t="str">
        <x:v>61103099</x:v>
      </x:c>
      <x:c r="D335" s="2" t="str">
        <x:v>World</x:v>
      </x:c>
      <x:c r="E335" s="14" t="n">
        <x:v>73662454</x:v>
      </x:c>
      <x:c r="F335" s="14" t="n">
        <x:v>4564185</x:v>
      </x:c>
      <x:c r="G335" s="2" t="str">
        <x:v>WITHIN_BAND</x:v>
      </x:c>
      <x:c r="H335" s="2" t="n">
        <x:v>1</x:v>
      </x:c>
      <x:c r="I335" s="2" t="n">
        <x:f>IF(AND(COUNTIFS($B$6:$B$797,B335,$C$6:$C$797,C335)=11,COUNTIFS($B$6:$B$797,B335,$C$6:$C$797,C335,$G$6:$G$797,"REVIEW")=0,COUNTIFS($B$6:$B$797,B335,$C$6:$C$797,C335,$H$6:$H$797,1)=11,COUNTIFS($B$6:$B$797,B335,$C$6:$C$797,C335,$F$6:$F$797,"&gt;0")=11),1,0)</x:f>
        <x:v>1</x:v>
      </x:c>
    </x:row>
    <x:row r="336" ht="22" customHeight="1">
      <x:c r="A336" s="2" t="str">
        <x:v>61103099_BD_202601_IMPORT</x:v>
      </x:c>
      <x:c r="B336" s="2" t="n">
        <x:v>202601</x:v>
      </x:c>
      <x:c r="C336" s="2" t="str">
        <x:v>61103099</x:v>
      </x:c>
      <x:c r="D336" s="2" t="str">
        <x:v>Bangladesh</x:v>
      </x:c>
      <x:c r="E336" s="14" t="n">
        <x:v>9756684</x:v>
      </x:c>
      <x:c r="F336" s="14" t="n">
        <x:v>771311</x:v>
      </x:c>
      <x:c r="G336" s="2" t="str">
        <x:v>WITHIN_BAND</x:v>
      </x:c>
      <x:c r="H336" s="2" t="n">
        <x:v>1</x:v>
      </x:c>
      <x:c r="I336" s="2" t="n">
        <x:f>IF(AND(COUNTIFS($B$6:$B$797,B336,$C$6:$C$797,C336)=11,COUNTIFS($B$6:$B$797,B336,$C$6:$C$797,C336,$G$6:$G$797,"REVIEW")=0,COUNTIFS($B$6:$B$797,B336,$C$6:$C$797,C336,$H$6:$H$797,1)=11,COUNTIFS($B$6:$B$797,B336,$C$6:$C$797,C336,$F$6:$F$797,"&gt;0")=11),1,0)</x:f>
        <x:v>1</x:v>
      </x:c>
    </x:row>
    <x:row r="337" ht="22" customHeight="1">
      <x:c r="A337" s="2" t="str">
        <x:v>61103099_KH_202601_IMPORT</x:v>
      </x:c>
      <x:c r="B337" s="2" t="n">
        <x:v>202601</x:v>
      </x:c>
      <x:c r="C337" s="2" t="str">
        <x:v>61103099</x:v>
      </x:c>
      <x:c r="D337" s="2" t="str">
        <x:v>Cambodia</x:v>
      </x:c>
      <x:c r="E337" s="14" t="n">
        <x:v>3322781</x:v>
      </x:c>
      <x:c r="F337" s="14" t="n">
        <x:v>303236</x:v>
      </x:c>
      <x:c r="G337" s="2" t="str">
        <x:v>WITHIN_BAND</x:v>
      </x:c>
      <x:c r="H337" s="2" t="n">
        <x:v>1</x:v>
      </x:c>
      <x:c r="I337" s="2" t="n">
        <x:f>IF(AND(COUNTIFS($B$6:$B$797,B337,$C$6:$C$797,C337)=11,COUNTIFS($B$6:$B$797,B337,$C$6:$C$797,C337,$G$6:$G$797,"REVIEW")=0,COUNTIFS($B$6:$B$797,B337,$C$6:$C$797,C337,$H$6:$H$797,1)=11,COUNTIFS($B$6:$B$797,B337,$C$6:$C$797,C337,$F$6:$F$797,"&gt;0")=11),1,0)</x:f>
        <x:v>1</x:v>
      </x:c>
    </x:row>
    <x:row r="338" ht="22" customHeight="1">
      <x:c r="A338" s="2" t="str">
        <x:v>61103099_CN_202601_IMPORT</x:v>
      </x:c>
      <x:c r="B338" s="2" t="n">
        <x:v>202601</x:v>
      </x:c>
      <x:c r="C338" s="2" t="str">
        <x:v>61103099</x:v>
      </x:c>
      <x:c r="D338" s="2" t="str">
        <x:v>China</x:v>
      </x:c>
      <x:c r="E338" s="14" t="n">
        <x:v>14953519</x:v>
      </x:c>
      <x:c r="F338" s="14" t="n">
        <x:v>887350</x:v>
      </x:c>
      <x:c r="G338" s="2" t="str">
        <x:v>WITHIN_BAND</x:v>
      </x:c>
      <x:c r="H338" s="2" t="n">
        <x:v>1</x:v>
      </x:c>
      <x:c r="I338" s="2" t="n">
        <x:f>IF(AND(COUNTIFS($B$6:$B$797,B338,$C$6:$C$797,C338)=11,COUNTIFS($B$6:$B$797,B338,$C$6:$C$797,C338,$G$6:$G$797,"REVIEW")=0,COUNTIFS($B$6:$B$797,B338,$C$6:$C$797,C338,$H$6:$H$797,1)=11,COUNTIFS($B$6:$B$797,B338,$C$6:$C$797,C338,$F$6:$F$797,"&gt;0")=11),1,0)</x:f>
        <x:v>1</x:v>
      </x:c>
    </x:row>
    <x:row r="339" ht="22" customHeight="1">
      <x:c r="A339" s="2" t="str">
        <x:v>61103099_IN_202601_IMPORT</x:v>
      </x:c>
      <x:c r="B339" s="2" t="n">
        <x:v>202601</x:v>
      </x:c>
      <x:c r="C339" s="2" t="str">
        <x:v>61103099</x:v>
      </x:c>
      <x:c r="D339" s="2" t="str">
        <x:v>India</x:v>
      </x:c>
      <x:c r="E339" s="14" t="n">
        <x:v>106371</x:v>
      </x:c>
      <x:c r="F339" s="14" t="n">
        <x:v>6085</x:v>
      </x:c>
      <x:c r="G339" s="2" t="str">
        <x:v>WITHIN_BAND</x:v>
      </x:c>
      <x:c r="H339" s="2" t="n">
        <x:v>1</x:v>
      </x:c>
      <x:c r="I339" s="2" t="n">
        <x:f>IF(AND(COUNTIFS($B$6:$B$797,B339,$C$6:$C$797,C339)=11,COUNTIFS($B$6:$B$797,B339,$C$6:$C$797,C339,$G$6:$G$797,"REVIEW")=0,COUNTIFS($B$6:$B$797,B339,$C$6:$C$797,C339,$H$6:$H$797,1)=11,COUNTIFS($B$6:$B$797,B339,$C$6:$C$797,C339,$F$6:$F$797,"&gt;0")=11),1,0)</x:f>
        <x:v>1</x:v>
      </x:c>
    </x:row>
    <x:row r="340" ht="22" customHeight="1">
      <x:c r="A340" s="2" t="str">
        <x:v>61103099_MA_202601_IMPORT</x:v>
      </x:c>
      <x:c r="B340" s="2" t="n">
        <x:v>202601</x:v>
      </x:c>
      <x:c r="C340" s="2" t="str">
        <x:v>61103099</x:v>
      </x:c>
      <x:c r="D340" s="2" t="str">
        <x:v>Morocco</x:v>
      </x:c>
      <x:c r="E340" s="14" t="n">
        <x:v>11177</x:v>
      </x:c>
      <x:c r="F340" s="14" t="n">
        <x:v>351</x:v>
      </x:c>
      <x:c r="G340" s="2" t="str">
        <x:v>WITHIN_BAND</x:v>
      </x:c>
      <x:c r="H340" s="2" t="n">
        <x:v>1</x:v>
      </x:c>
      <x:c r="I340" s="2" t="n">
        <x:f>IF(AND(COUNTIFS($B$6:$B$797,B340,$C$6:$C$797,C340)=11,COUNTIFS($B$6:$B$797,B340,$C$6:$C$797,C340,$G$6:$G$797,"REVIEW")=0,COUNTIFS($B$6:$B$797,B340,$C$6:$C$797,C340,$H$6:$H$797,1)=11,COUNTIFS($B$6:$B$797,B340,$C$6:$C$797,C340,$F$6:$F$797,"&gt;0")=11),1,0)</x:f>
        <x:v>1</x:v>
      </x:c>
    </x:row>
    <x:row r="341" ht="22" customHeight="1">
      <x:c r="A341" s="2" t="str">
        <x:v>61103099_MM_202601_IMPORT</x:v>
      </x:c>
      <x:c r="B341" s="2" t="n">
        <x:v>202601</x:v>
      </x:c>
      <x:c r="C341" s="2" t="str">
        <x:v>61103099</x:v>
      </x:c>
      <x:c r="D341" s="2" t="str">
        <x:v>Myanmar</x:v>
      </x:c>
      <x:c r="E341" s="14" t="n">
        <x:v>254662</x:v>
      </x:c>
      <x:c r="F341" s="14" t="n">
        <x:v>16809</x:v>
      </x:c>
      <x:c r="G341" s="2" t="str">
        <x:v>WITHIN_BAND</x:v>
      </x:c>
      <x:c r="H341" s="2" t="n">
        <x:v>1</x:v>
      </x:c>
      <x:c r="I341" s="2" t="n">
        <x:f>IF(AND(COUNTIFS($B$6:$B$797,B341,$C$6:$C$797,C341)=11,COUNTIFS($B$6:$B$797,B341,$C$6:$C$797,C341,$G$6:$G$797,"REVIEW")=0,COUNTIFS($B$6:$B$797,B341,$C$6:$C$797,C341,$H$6:$H$797,1)=11,COUNTIFS($B$6:$B$797,B341,$C$6:$C$797,C341,$F$6:$F$797,"&gt;0")=11),1,0)</x:f>
        <x:v>1</x:v>
      </x:c>
    </x:row>
    <x:row r="342" ht="22" customHeight="1">
      <x:c r="A342" s="2" t="str">
        <x:v>61103099_PK_202601_IMPORT</x:v>
      </x:c>
      <x:c r="B342" s="2" t="n">
        <x:v>202601</x:v>
      </x:c>
      <x:c r="C342" s="2" t="str">
        <x:v>61103099</x:v>
      </x:c>
      <x:c r="D342" s="2" t="str">
        <x:v>Pakistan</x:v>
      </x:c>
      <x:c r="E342" s="14" t="n">
        <x:v>670269</x:v>
      </x:c>
      <x:c r="F342" s="14" t="n">
        <x:v>54749</x:v>
      </x:c>
      <x:c r="G342" s="2" t="str">
        <x:v>WITHIN_BAND</x:v>
      </x:c>
      <x:c r="H342" s="2" t="n">
        <x:v>1</x:v>
      </x:c>
      <x:c r="I342" s="2" t="n">
        <x:f>IF(AND(COUNTIFS($B$6:$B$797,B342,$C$6:$C$797,C342)=11,COUNTIFS($B$6:$B$797,B342,$C$6:$C$797,C342,$G$6:$G$797,"REVIEW")=0,COUNTIFS($B$6:$B$797,B342,$C$6:$C$797,C342,$H$6:$H$797,1)=11,COUNTIFS($B$6:$B$797,B342,$C$6:$C$797,C342,$F$6:$F$797,"&gt;0")=11),1,0)</x:f>
        <x:v>1</x:v>
      </x:c>
    </x:row>
    <x:row r="343" ht="22" customHeight="1">
      <x:c r="A343" s="2" t="str">
        <x:v>61103099_LK_202601_IMPORT</x:v>
      </x:c>
      <x:c r="B343" s="2" t="n">
        <x:v>202601</x:v>
      </x:c>
      <x:c r="C343" s="2" t="str">
        <x:v>61103099</x:v>
      </x:c>
      <x:c r="D343" s="2" t="str">
        <x:v>Sri Lanka</x:v>
      </x:c>
      <x:c r="E343" s="14" t="n">
        <x:v>72165</x:v>
      </x:c>
      <x:c r="F343" s="14" t="n">
        <x:v>3651</x:v>
      </x:c>
      <x:c r="G343" s="2" t="str">
        <x:v>WITHIN_BAND</x:v>
      </x:c>
      <x:c r="H343" s="2" t="n">
        <x:v>1</x:v>
      </x:c>
      <x:c r="I343" s="2" t="n">
        <x:f>IF(AND(COUNTIFS($B$6:$B$797,B343,$C$6:$C$797,C343)=11,COUNTIFS($B$6:$B$797,B343,$C$6:$C$797,C343,$G$6:$G$797,"REVIEW")=0,COUNTIFS($B$6:$B$797,B343,$C$6:$C$797,C343,$H$6:$H$797,1)=11,COUNTIFS($B$6:$B$797,B343,$C$6:$C$797,C343,$F$6:$F$797,"&gt;0")=11),1,0)</x:f>
        <x:v>1</x:v>
      </x:c>
    </x:row>
    <x:row r="344" ht="22" customHeight="1">
      <x:c r="A344" s="2" t="str">
        <x:v>61103099_TR_202601_IMPORT</x:v>
      </x:c>
      <x:c r="B344" s="2" t="n">
        <x:v>202601</x:v>
      </x:c>
      <x:c r="C344" s="2" t="str">
        <x:v>61103099</x:v>
      </x:c>
      <x:c r="D344" s="2" t="str">
        <x:v>Turkey</x:v>
      </x:c>
      <x:c r="E344" s="14" t="n">
        <x:v>5104824</x:v>
      </x:c>
      <x:c r="F344" s="14" t="n">
        <x:v>624406</x:v>
      </x:c>
      <x:c r="G344" s="2" t="str">
        <x:v>WITHIN_BAND</x:v>
      </x:c>
      <x:c r="H344" s="2" t="n">
        <x:v>1</x:v>
      </x:c>
      <x:c r="I344" s="2" t="n">
        <x:f>IF(AND(COUNTIFS($B$6:$B$797,B344,$C$6:$C$797,C344)=11,COUNTIFS($B$6:$B$797,B344,$C$6:$C$797,C344,$G$6:$G$797,"REVIEW")=0,COUNTIFS($B$6:$B$797,B344,$C$6:$C$797,C344,$H$6:$H$797,1)=11,COUNTIFS($B$6:$B$797,B344,$C$6:$C$797,C344,$F$6:$F$797,"&gt;0")=11),1,0)</x:f>
        <x:v>1</x:v>
      </x:c>
    </x:row>
    <x:row r="345" ht="22" customHeight="1">
      <x:c r="A345" s="2" t="str">
        <x:v>61103099_VN_202601_IMPORT</x:v>
      </x:c>
      <x:c r="B345" s="2" t="n">
        <x:v>202601</x:v>
      </x:c>
      <x:c r="C345" s="2" t="str">
        <x:v>61103099</x:v>
      </x:c>
      <x:c r="D345" s="2" t="str">
        <x:v>Vietnam</x:v>
      </x:c>
      <x:c r="E345" s="14" t="n">
        <x:v>1109154</x:v>
      </x:c>
      <x:c r="F345" s="14" t="n">
        <x:v>39241</x:v>
      </x:c>
      <x:c r="G345" s="2" t="str">
        <x:v>WITHIN_BAND</x:v>
      </x:c>
      <x:c r="H345" s="2" t="n">
        <x:v>1</x:v>
      </x:c>
      <x:c r="I345" s="2" t="n">
        <x:f>IF(AND(COUNTIFS($B$6:$B$797,B345,$C$6:$C$797,C345)=11,COUNTIFS($B$6:$B$797,B345,$C$6:$C$797,C345,$G$6:$G$797,"REVIEW")=0,COUNTIFS($B$6:$B$797,B345,$C$6:$C$797,C345,$H$6:$H$797,1)=11,COUNTIFS($B$6:$B$797,B345,$C$6:$C$797,C345,$F$6:$F$797,"&gt;0")=11),1,0)</x:f>
        <x:v>1</x:v>
      </x:c>
    </x:row>
    <x:row r="346" ht="22" customHeight="1">
      <x:c r="A346" s="2" t="str">
        <x:v>61103099_WORLD_202601_IMPORT</x:v>
      </x:c>
      <x:c r="B346" s="2" t="n">
        <x:v>202601</x:v>
      </x:c>
      <x:c r="C346" s="2" t="str">
        <x:v>61103099</x:v>
      </x:c>
      <x:c r="D346" s="2" t="str">
        <x:v>World</x:v>
      </x:c>
      <x:c r="E346" s="14" t="n">
        <x:v>50038211</x:v>
      </x:c>
      <x:c r="F346" s="14" t="n">
        <x:v>3251392</x:v>
      </x:c>
      <x:c r="G346" s="2" t="str">
        <x:v>WITHIN_BAND</x:v>
      </x:c>
      <x:c r="H346" s="2" t="n">
        <x:v>1</x:v>
      </x:c>
      <x:c r="I346" s="2" t="n">
        <x:f>IF(AND(COUNTIFS($B$6:$B$797,B346,$C$6:$C$797,C346)=11,COUNTIFS($B$6:$B$797,B346,$C$6:$C$797,C346,$G$6:$G$797,"REVIEW")=0,COUNTIFS($B$6:$B$797,B346,$C$6:$C$797,C346,$H$6:$H$797,1)=11,COUNTIFS($B$6:$B$797,B346,$C$6:$C$797,C346,$F$6:$F$797,"&gt;0")=11),1,0)</x:f>
        <x:v>1</x:v>
      </x:c>
    </x:row>
    <x:row r="347" ht="22" customHeight="1">
      <x:c r="A347" s="2" t="str">
        <x:v>61103099_BD_202602_IMPORT</x:v>
      </x:c>
      <x:c r="B347" s="2" t="n">
        <x:v>202602</x:v>
      </x:c>
      <x:c r="C347" s="2" t="str">
        <x:v>61103099</x:v>
      </x:c>
      <x:c r="D347" s="2" t="str">
        <x:v>Bangladesh</x:v>
      </x:c>
      <x:c r="E347" s="14" t="n">
        <x:v>6993782</x:v>
      </x:c>
      <x:c r="F347" s="14" t="n">
        <x:v>582981</x:v>
      </x:c>
      <x:c r="G347" s="2" t="str">
        <x:v>WITHIN_BAND</x:v>
      </x:c>
      <x:c r="H347" s="2" t="n">
        <x:v>1</x:v>
      </x:c>
      <x:c r="I347" s="2" t="n">
        <x:f>IF(AND(COUNTIFS($B$6:$B$797,B347,$C$6:$C$797,C347)=11,COUNTIFS($B$6:$B$797,B347,$C$6:$C$797,C347,$G$6:$G$797,"REVIEW")=0,COUNTIFS($B$6:$B$797,B347,$C$6:$C$797,C347,$H$6:$H$797,1)=11,COUNTIFS($B$6:$B$797,B347,$C$6:$C$797,C347,$F$6:$F$797,"&gt;0")=11),1,0)</x:f>
        <x:v>0</x:v>
      </x:c>
    </x:row>
    <x:row r="348" ht="22" customHeight="1">
      <x:c r="A348" s="2" t="str">
        <x:v>61103099_KH_202602_IMPORT</x:v>
      </x:c>
      <x:c r="B348" s="2" t="n">
        <x:v>202602</x:v>
      </x:c>
      <x:c r="C348" s="2" t="str">
        <x:v>61103099</x:v>
      </x:c>
      <x:c r="D348" s="2" t="str">
        <x:v>Cambodia</x:v>
      </x:c>
      <x:c r="E348" s="14" t="n">
        <x:v>3194700</x:v>
      </x:c>
      <x:c r="F348" s="14" t="n">
        <x:v>257696</x:v>
      </x:c>
      <x:c r="G348" s="2" t="str">
        <x:v>WITHIN_BAND</x:v>
      </x:c>
      <x:c r="H348" s="2" t="n">
        <x:v>1</x:v>
      </x:c>
      <x:c r="I348" s="2" t="n">
        <x:f>IF(AND(COUNTIFS($B$6:$B$797,B348,$C$6:$C$797,C348)=11,COUNTIFS($B$6:$B$797,B348,$C$6:$C$797,C348,$G$6:$G$797,"REVIEW")=0,COUNTIFS($B$6:$B$797,B348,$C$6:$C$797,C348,$H$6:$H$797,1)=11,COUNTIFS($B$6:$B$797,B348,$C$6:$C$797,C348,$F$6:$F$797,"&gt;0")=11),1,0)</x:f>
        <x:v>0</x:v>
      </x:c>
    </x:row>
    <x:row r="349" ht="22" customHeight="1">
      <x:c r="A349" s="2" t="str">
        <x:v>61103099_CN_202602_IMPORT</x:v>
      </x:c>
      <x:c r="B349" s="2" t="n">
        <x:v>202602</x:v>
      </x:c>
      <x:c r="C349" s="2" t="str">
        <x:v>61103099</x:v>
      </x:c>
      <x:c r="D349" s="2" t="str">
        <x:v>China</x:v>
      </x:c>
      <x:c r="E349" s="14" t="n">
        <x:v>8197224</x:v>
      </x:c>
      <x:c r="F349" s="14" t="n">
        <x:v>475930</x:v>
      </x:c>
      <x:c r="G349" s="2" t="str">
        <x:v>WITHIN_BAND</x:v>
      </x:c>
      <x:c r="H349" s="2" t="n">
        <x:v>1</x:v>
      </x:c>
      <x:c r="I349" s="2" t="n">
        <x:f>IF(AND(COUNTIFS($B$6:$B$797,B349,$C$6:$C$797,C349)=11,COUNTIFS($B$6:$B$797,B349,$C$6:$C$797,C349,$G$6:$G$797,"REVIEW")=0,COUNTIFS($B$6:$B$797,B349,$C$6:$C$797,C349,$H$6:$H$797,1)=11,COUNTIFS($B$6:$B$797,B349,$C$6:$C$797,C349,$F$6:$F$797,"&gt;0")=11),1,0)</x:f>
        <x:v>0</x:v>
      </x:c>
    </x:row>
    <x:row r="350" ht="22" customHeight="1">
      <x:c r="A350" s="2" t="str">
        <x:v>61103099_IN_202602_IMPORT</x:v>
      </x:c>
      <x:c r="B350" s="2" t="n">
        <x:v>202602</x:v>
      </x:c>
      <x:c r="C350" s="2" t="str">
        <x:v>61103099</x:v>
      </x:c>
      <x:c r="D350" s="2" t="str">
        <x:v>India</x:v>
      </x:c>
      <x:c r="E350" s="14" t="n">
        <x:v>72298</x:v>
      </x:c>
      <x:c r="F350" s="14" t="n">
        <x:v>3662</x:v>
      </x:c>
      <x:c r="G350" s="2" t="str">
        <x:v>WITHIN_BAND</x:v>
      </x:c>
      <x:c r="H350" s="2" t="n">
        <x:v>1</x:v>
      </x:c>
      <x:c r="I350" s="2" t="n">
        <x:f>IF(AND(COUNTIFS($B$6:$B$797,B350,$C$6:$C$797,C350)=11,COUNTIFS($B$6:$B$797,B350,$C$6:$C$797,C350,$G$6:$G$797,"REVIEW")=0,COUNTIFS($B$6:$B$797,B350,$C$6:$C$797,C350,$H$6:$H$797,1)=11,COUNTIFS($B$6:$B$797,B350,$C$6:$C$797,C350,$F$6:$F$797,"&gt;0")=11),1,0)</x:f>
        <x:v>0</x:v>
      </x:c>
    </x:row>
    <x:row r="351" ht="22" customHeight="1">
      <x:c r="A351" s="2" t="str">
        <x:v>61103099_MA_202602_IMPORT</x:v>
      </x:c>
      <x:c r="B351" s="2" t="n">
        <x:v>202602</x:v>
      </x:c>
      <x:c r="C351" s="2" t="str">
        <x:v>61103099</x:v>
      </x:c>
      <x:c r="D351" s="2" t="str">
        <x:v>Morocco</x:v>
      </x:c>
      <x:c r="E351" s="14" t="n">
        <x:v>1014</x:v>
      </x:c>
      <x:c r="F351" s="14" t="n">
        <x:v>42</x:v>
      </x:c>
      <x:c r="G351" s="2" t="str">
        <x:v>WITHIN_BAND</x:v>
      </x:c>
      <x:c r="H351" s="2" t="n">
        <x:v>1</x:v>
      </x:c>
      <x:c r="I351" s="2" t="n">
        <x:f>IF(AND(COUNTIFS($B$6:$B$797,B351,$C$6:$C$797,C351)=11,COUNTIFS($B$6:$B$797,B351,$C$6:$C$797,C351,$G$6:$G$797,"REVIEW")=0,COUNTIFS($B$6:$B$797,B351,$C$6:$C$797,C351,$H$6:$H$797,1)=11,COUNTIFS($B$6:$B$797,B351,$C$6:$C$797,C351,$F$6:$F$797,"&gt;0")=11),1,0)</x:f>
        <x:v>0</x:v>
      </x:c>
    </x:row>
    <x:row r="352" ht="22" customHeight="1">
      <x:c r="A352" s="2" t="str">
        <x:v>61103099_MM_202602_IMPORT</x:v>
      </x:c>
      <x:c r="B352" s="2" t="n">
        <x:v>202602</x:v>
      </x:c>
      <x:c r="C352" s="2" t="str">
        <x:v>61103099</x:v>
      </x:c>
      <x:c r="D352" s="2" t="str">
        <x:v>Myanmar</x:v>
      </x:c>
      <x:c r="E352" s="14" t="n">
        <x:v>166388</x:v>
      </x:c>
      <x:c r="F352" s="14" t="n">
        <x:v>13634</x:v>
      </x:c>
      <x:c r="G352" s="2" t="str">
        <x:v>WITHIN_BAND</x:v>
      </x:c>
      <x:c r="H352" s="2" t="n">
        <x:v>1</x:v>
      </x:c>
      <x:c r="I352" s="2" t="n">
        <x:f>IF(AND(COUNTIFS($B$6:$B$797,B352,$C$6:$C$797,C352)=11,COUNTIFS($B$6:$B$797,B352,$C$6:$C$797,C352,$G$6:$G$797,"REVIEW")=0,COUNTIFS($B$6:$B$797,B352,$C$6:$C$797,C352,$H$6:$H$797,1)=11,COUNTIFS($B$6:$B$797,B352,$C$6:$C$797,C352,$F$6:$F$797,"&gt;0")=11),1,0)</x:f>
        <x:v>0</x:v>
      </x:c>
    </x:row>
    <x:row r="353" ht="22" customHeight="1">
      <x:c r="A353" s="2" t="str">
        <x:v>61103099_PK_202602_IMPORT</x:v>
      </x:c>
      <x:c r="B353" s="2" t="n">
        <x:v>202602</x:v>
      </x:c>
      <x:c r="C353" s="2" t="str">
        <x:v>61103099</x:v>
      </x:c>
      <x:c r="D353" s="2" t="str">
        <x:v>Pakistan</x:v>
      </x:c>
      <x:c r="E353" s="14" t="n">
        <x:v>566497</x:v>
      </x:c>
      <x:c r="F353" s="14" t="n">
        <x:v>39832</x:v>
      </x:c>
      <x:c r="G353" s="2" t="str">
        <x:v>WITHIN_BAND</x:v>
      </x:c>
      <x:c r="H353" s="2" t="n">
        <x:v>1</x:v>
      </x:c>
      <x:c r="I353" s="2" t="n">
        <x:f>IF(AND(COUNTIFS($B$6:$B$797,B353,$C$6:$C$797,C353)=11,COUNTIFS($B$6:$B$797,B353,$C$6:$C$797,C353,$G$6:$G$797,"REVIEW")=0,COUNTIFS($B$6:$B$797,B353,$C$6:$C$797,C353,$H$6:$H$797,1)=11,COUNTIFS($B$6:$B$797,B353,$C$6:$C$797,C353,$F$6:$F$797,"&gt;0")=11),1,0)</x:f>
        <x:v>0</x:v>
      </x:c>
    </x:row>
    <x:row r="354" ht="22" customHeight="1">
      <x:c r="A354" s="2" t="str">
        <x:v>61103099_LK_202602_IMPORT</x:v>
      </x:c>
      <x:c r="B354" s="2" t="n">
        <x:v>202602</x:v>
      </x:c>
      <x:c r="C354" s="2" t="str">
        <x:v>61103099</x:v>
      </x:c>
      <x:c r="D354" s="2" t="str">
        <x:v>Sri Lanka</x:v>
      </x:c>
      <x:c r="E354" s="14" t="n">
        <x:v>91056</x:v>
      </x:c>
      <x:c r="F354" s="14" t="n">
        <x:v>4297</x:v>
      </x:c>
      <x:c r="G354" s="2" t="str">
        <x:v>WITHIN_BAND</x:v>
      </x:c>
      <x:c r="H354" s="2" t="n">
        <x:v>1</x:v>
      </x:c>
      <x:c r="I354" s="2" t="n">
        <x:f>IF(AND(COUNTIFS($B$6:$B$797,B354,$C$6:$C$797,C354)=11,COUNTIFS($B$6:$B$797,B354,$C$6:$C$797,C354,$G$6:$G$797,"REVIEW")=0,COUNTIFS($B$6:$B$797,B354,$C$6:$C$797,C354,$H$6:$H$797,1)=11,COUNTIFS($B$6:$B$797,B354,$C$6:$C$797,C354,$F$6:$F$797,"&gt;0")=11),1,0)</x:f>
        <x:v>0</x:v>
      </x:c>
    </x:row>
    <x:row r="355" ht="22" customHeight="1">
      <x:c r="A355" s="2" t="str">
        <x:v>61103099_TR_202602_IMPORT</x:v>
      </x:c>
      <x:c r="B355" s="2" t="n">
        <x:v>202602</x:v>
      </x:c>
      <x:c r="C355" s="2" t="str">
        <x:v>61103099</x:v>
      </x:c>
      <x:c r="D355" s="2" t="str">
        <x:v>Turkey</x:v>
      </x:c>
      <x:c r="E355" s="14" t="n">
        <x:v>2293378</x:v>
      </x:c>
      <x:c r="F355" s="14" t="n">
        <x:v>497945</x:v>
      </x:c>
      <x:c r="G355" s="2" t="str">
        <x:v>REVIEW</x:v>
      </x:c>
      <x:c r="H355" s="2" t="n">
        <x:v>1</x:v>
      </x:c>
      <x:c r="I355" s="2" t="n">
        <x:f>IF(AND(COUNTIFS($B$6:$B$797,B355,$C$6:$C$797,C355)=11,COUNTIFS($B$6:$B$797,B355,$C$6:$C$797,C355,$G$6:$G$797,"REVIEW")=0,COUNTIFS($B$6:$B$797,B355,$C$6:$C$797,C355,$H$6:$H$797,1)=11,COUNTIFS($B$6:$B$797,B355,$C$6:$C$797,C355,$F$6:$F$797,"&gt;0")=11),1,0)</x:f>
        <x:v>0</x:v>
      </x:c>
    </x:row>
    <x:row r="356" ht="22" customHeight="1">
      <x:c r="A356" s="2" t="str">
        <x:v>61103099_VN_202602_IMPORT</x:v>
      </x:c>
      <x:c r="B356" s="2" t="n">
        <x:v>202602</x:v>
      </x:c>
      <x:c r="C356" s="2" t="str">
        <x:v>61103099</x:v>
      </x:c>
      <x:c r="D356" s="2" t="str">
        <x:v>Vietnam</x:v>
      </x:c>
      <x:c r="E356" s="14" t="n">
        <x:v>736085</x:v>
      </x:c>
      <x:c r="F356" s="14" t="n">
        <x:v>127878</x:v>
      </x:c>
      <x:c r="G356" s="2" t="str">
        <x:v>REVIEW</x:v>
      </x:c>
      <x:c r="H356" s="2" t="n">
        <x:v>1</x:v>
      </x:c>
      <x:c r="I356" s="2" t="n">
        <x:f>IF(AND(COUNTIFS($B$6:$B$797,B356,$C$6:$C$797,C356)=11,COUNTIFS($B$6:$B$797,B356,$C$6:$C$797,C356,$G$6:$G$797,"REVIEW")=0,COUNTIFS($B$6:$B$797,B356,$C$6:$C$797,C356,$H$6:$H$797,1)=11,COUNTIFS($B$6:$B$797,B356,$C$6:$C$797,C356,$F$6:$F$797,"&gt;0")=11),1,0)</x:f>
        <x:v>0</x:v>
      </x:c>
    </x:row>
    <x:row r="357" ht="22" customHeight="1">
      <x:c r="A357" s="2" t="str">
        <x:v>61103099_WORLD_202602_IMPORT</x:v>
      </x:c>
      <x:c r="B357" s="2" t="n">
        <x:v>202602</x:v>
      </x:c>
      <x:c r="C357" s="2" t="str">
        <x:v>61103099</x:v>
      </x:c>
      <x:c r="D357" s="2" t="str">
        <x:v>World</x:v>
      </x:c>
      <x:c r="E357" s="14" t="n">
        <x:v>32530004</x:v>
      </x:c>
      <x:c r="F357" s="14" t="n">
        <x:v>2404908</x:v>
      </x:c>
      <x:c r="G357" s="2" t="str">
        <x:v>WITHIN_BAND</x:v>
      </x:c>
      <x:c r="H357" s="2" t="n">
        <x:v>1</x:v>
      </x:c>
      <x:c r="I357" s="2" t="n">
        <x:f>IF(AND(COUNTIFS($B$6:$B$797,B357,$C$6:$C$797,C357)=11,COUNTIFS($B$6:$B$797,B357,$C$6:$C$797,C357,$G$6:$G$797,"REVIEW")=0,COUNTIFS($B$6:$B$797,B357,$C$6:$C$797,C357,$H$6:$H$797,1)=11,COUNTIFS($B$6:$B$797,B357,$C$6:$C$797,C357,$F$6:$F$797,"&gt;0")=11),1,0)</x:f>
        <x:v>0</x:v>
      </x:c>
    </x:row>
    <x:row r="358" ht="22" customHeight="1">
      <x:c r="A358" s="2" t="str">
        <x:v>61103099_BD_202603_IMPORT</x:v>
      </x:c>
      <x:c r="B358" s="2" t="n">
        <x:v>202603</x:v>
      </x:c>
      <x:c r="C358" s="2" t="str">
        <x:v>61103099</x:v>
      </x:c>
      <x:c r="D358" s="2" t="str">
        <x:v>Bangladesh</x:v>
      </x:c>
      <x:c r="E358" s="14" t="n">
        <x:v>4999375</x:v>
      </x:c>
      <x:c r="F358" s="14" t="n">
        <x:v>400259</x:v>
      </x:c>
      <x:c r="G358" s="2" t="str">
        <x:v>WITHIN_BAND</x:v>
      </x:c>
      <x:c r="H358" s="2" t="n">
        <x:v>1</x:v>
      </x:c>
      <x:c r="I358" s="2" t="n">
        <x:f>IF(AND(COUNTIFS($B$6:$B$797,B358,$C$6:$C$797,C358)=11,COUNTIFS($B$6:$B$797,B358,$C$6:$C$797,C358,$G$6:$G$797,"REVIEW")=0,COUNTIFS($B$6:$B$797,B358,$C$6:$C$797,C358,$H$6:$H$797,1)=11,COUNTIFS($B$6:$B$797,B358,$C$6:$C$797,C358,$F$6:$F$797,"&gt;0")=11),1,0)</x:f>
        <x:v>1</x:v>
      </x:c>
    </x:row>
    <x:row r="359" ht="22" customHeight="1">
      <x:c r="A359" s="2" t="str">
        <x:v>61103099_KH_202603_IMPORT</x:v>
      </x:c>
      <x:c r="B359" s="2" t="n">
        <x:v>202603</x:v>
      </x:c>
      <x:c r="C359" s="2" t="str">
        <x:v>61103099</x:v>
      </x:c>
      <x:c r="D359" s="2" t="str">
        <x:v>Cambodia</x:v>
      </x:c>
      <x:c r="E359" s="14" t="n">
        <x:v>3454738</x:v>
      </x:c>
      <x:c r="F359" s="14" t="n">
        <x:v>373688</x:v>
      </x:c>
      <x:c r="G359" s="2" t="str">
        <x:v>WITHIN_BAND</x:v>
      </x:c>
      <x:c r="H359" s="2" t="n">
        <x:v>1</x:v>
      </x:c>
      <x:c r="I359" s="2" t="n">
        <x:f>IF(AND(COUNTIFS($B$6:$B$797,B359,$C$6:$C$797,C359)=11,COUNTIFS($B$6:$B$797,B359,$C$6:$C$797,C359,$G$6:$G$797,"REVIEW")=0,COUNTIFS($B$6:$B$797,B359,$C$6:$C$797,C359,$H$6:$H$797,1)=11,COUNTIFS($B$6:$B$797,B359,$C$6:$C$797,C359,$F$6:$F$797,"&gt;0")=11),1,0)</x:f>
        <x:v>1</x:v>
      </x:c>
    </x:row>
    <x:row r="360" ht="22" customHeight="1">
      <x:c r="A360" s="2" t="str">
        <x:v>61103099_CN_202603_IMPORT</x:v>
      </x:c>
      <x:c r="B360" s="2" t="n">
        <x:v>202603</x:v>
      </x:c>
      <x:c r="C360" s="2" t="str">
        <x:v>61103099</x:v>
      </x:c>
      <x:c r="D360" s="2" t="str">
        <x:v>China</x:v>
      </x:c>
      <x:c r="E360" s="14" t="n">
        <x:v>5320757</x:v>
      </x:c>
      <x:c r="F360" s="14" t="n">
        <x:v>304066</x:v>
      </x:c>
      <x:c r="G360" s="2" t="str">
        <x:v>WITHIN_BAND</x:v>
      </x:c>
      <x:c r="H360" s="2" t="n">
        <x:v>1</x:v>
      </x:c>
      <x:c r="I360" s="2" t="n">
        <x:f>IF(AND(COUNTIFS($B$6:$B$797,B360,$C$6:$C$797,C360)=11,COUNTIFS($B$6:$B$797,B360,$C$6:$C$797,C360,$G$6:$G$797,"REVIEW")=0,COUNTIFS($B$6:$B$797,B360,$C$6:$C$797,C360,$H$6:$H$797,1)=11,COUNTIFS($B$6:$B$797,B360,$C$6:$C$797,C360,$F$6:$F$797,"&gt;0")=11),1,0)</x:f>
        <x:v>1</x:v>
      </x:c>
    </x:row>
    <x:row r="361" ht="22" customHeight="1">
      <x:c r="A361" s="2" t="str">
        <x:v>61103099_IN_202603_IMPORT</x:v>
      </x:c>
      <x:c r="B361" s="2" t="n">
        <x:v>202603</x:v>
      </x:c>
      <x:c r="C361" s="2" t="str">
        <x:v>61103099</x:v>
      </x:c>
      <x:c r="D361" s="2" t="str">
        <x:v>India</x:v>
      </x:c>
      <x:c r="E361" s="14" t="n">
        <x:v>114099</x:v>
      </x:c>
      <x:c r="F361" s="14" t="n">
        <x:v>8728</x:v>
      </x:c>
      <x:c r="G361" s="2" t="str">
        <x:v>WITHIN_BAND</x:v>
      </x:c>
      <x:c r="H361" s="2" t="n">
        <x:v>1</x:v>
      </x:c>
      <x:c r="I361" s="2" t="n">
        <x:f>IF(AND(COUNTIFS($B$6:$B$797,B361,$C$6:$C$797,C361)=11,COUNTIFS($B$6:$B$797,B361,$C$6:$C$797,C361,$G$6:$G$797,"REVIEW")=0,COUNTIFS($B$6:$B$797,B361,$C$6:$C$797,C361,$H$6:$H$797,1)=11,COUNTIFS($B$6:$B$797,B361,$C$6:$C$797,C361,$F$6:$F$797,"&gt;0")=11),1,0)</x:f>
        <x:v>1</x:v>
      </x:c>
    </x:row>
    <x:row r="362" ht="22" customHeight="1">
      <x:c r="A362" s="2" t="str">
        <x:v>61103099_MA_202603_IMPORT</x:v>
      </x:c>
      <x:c r="B362" s="2" t="n">
        <x:v>202603</x:v>
      </x:c>
      <x:c r="C362" s="2" t="str">
        <x:v>61103099</x:v>
      </x:c>
      <x:c r="D362" s="2" t="str">
        <x:v>Morocco</x:v>
      </x:c>
      <x:c r="E362" s="14" t="n">
        <x:v>38706</x:v>
      </x:c>
      <x:c r="F362" s="14" t="n">
        <x:v>1191</x:v>
      </x:c>
      <x:c r="G362" s="2" t="str">
        <x:v>WITHIN_BAND</x:v>
      </x:c>
      <x:c r="H362" s="2" t="n">
        <x:v>1</x:v>
      </x:c>
      <x:c r="I362" s="2" t="n">
        <x:f>IF(AND(COUNTIFS($B$6:$B$797,B362,$C$6:$C$797,C362)=11,COUNTIFS($B$6:$B$797,B362,$C$6:$C$797,C362,$G$6:$G$797,"REVIEW")=0,COUNTIFS($B$6:$B$797,B362,$C$6:$C$797,C362,$H$6:$H$797,1)=11,COUNTIFS($B$6:$B$797,B362,$C$6:$C$797,C362,$F$6:$F$797,"&gt;0")=11),1,0)</x:f>
        <x:v>1</x:v>
      </x:c>
    </x:row>
    <x:row r="363" ht="22" customHeight="1">
      <x:c r="A363" s="2" t="str">
        <x:v>61103099_MM_202603_IMPORT</x:v>
      </x:c>
      <x:c r="B363" s="2" t="n">
        <x:v>202603</x:v>
      </x:c>
      <x:c r="C363" s="2" t="str">
        <x:v>61103099</x:v>
      </x:c>
      <x:c r="D363" s="2" t="str">
        <x:v>Myanmar</x:v>
      </x:c>
      <x:c r="E363" s="14" t="n">
        <x:v>185347</x:v>
      </x:c>
      <x:c r="F363" s="14" t="n">
        <x:v>14601</x:v>
      </x:c>
      <x:c r="G363" s="2" t="str">
        <x:v>WITHIN_BAND</x:v>
      </x:c>
      <x:c r="H363" s="2" t="n">
        <x:v>1</x:v>
      </x:c>
      <x:c r="I363" s="2" t="n">
        <x:f>IF(AND(COUNTIFS($B$6:$B$797,B363,$C$6:$C$797,C363)=11,COUNTIFS($B$6:$B$797,B363,$C$6:$C$797,C363,$G$6:$G$797,"REVIEW")=0,COUNTIFS($B$6:$B$797,B363,$C$6:$C$797,C363,$H$6:$H$797,1)=11,COUNTIFS($B$6:$B$797,B363,$C$6:$C$797,C363,$F$6:$F$797,"&gt;0")=11),1,0)</x:f>
        <x:v>1</x:v>
      </x:c>
    </x:row>
    <x:row r="364" ht="22" customHeight="1">
      <x:c r="A364" s="2" t="str">
        <x:v>61103099_PK_202603_IMPORT</x:v>
      </x:c>
      <x:c r="B364" s="2" t="n">
        <x:v>202603</x:v>
      </x:c>
      <x:c r="C364" s="2" t="str">
        <x:v>61103099</x:v>
      </x:c>
      <x:c r="D364" s="2" t="str">
        <x:v>Pakistan</x:v>
      </x:c>
      <x:c r="E364" s="14" t="n">
        <x:v>473191</x:v>
      </x:c>
      <x:c r="F364" s="14" t="n">
        <x:v>30055</x:v>
      </x:c>
      <x:c r="G364" s="2" t="str">
        <x:v>WITHIN_BAND</x:v>
      </x:c>
      <x:c r="H364" s="2" t="n">
        <x:v>1</x:v>
      </x:c>
      <x:c r="I364" s="2" t="n">
        <x:f>IF(AND(COUNTIFS($B$6:$B$797,B364,$C$6:$C$797,C364)=11,COUNTIFS($B$6:$B$797,B364,$C$6:$C$797,C364,$G$6:$G$797,"REVIEW")=0,COUNTIFS($B$6:$B$797,B364,$C$6:$C$797,C364,$H$6:$H$797,1)=11,COUNTIFS($B$6:$B$797,B364,$C$6:$C$797,C364,$F$6:$F$797,"&gt;0")=11),1,0)</x:f>
        <x:v>1</x:v>
      </x:c>
    </x:row>
    <x:row r="365" ht="22" customHeight="1">
      <x:c r="A365" s="2" t="str">
        <x:v>61103099_LK_202603_IMPORT</x:v>
      </x:c>
      <x:c r="B365" s="2" t="n">
        <x:v>202603</x:v>
      </x:c>
      <x:c r="C365" s="2" t="str">
        <x:v>61103099</x:v>
      </x:c>
      <x:c r="D365" s="2" t="str">
        <x:v>Sri Lanka</x:v>
      </x:c>
      <x:c r="E365" s="14" t="n">
        <x:v>100320</x:v>
      </x:c>
      <x:c r="F365" s="14" t="n">
        <x:v>4422</x:v>
      </x:c>
      <x:c r="G365" s="2" t="str">
        <x:v>WITHIN_BAND</x:v>
      </x:c>
      <x:c r="H365" s="2" t="n">
        <x:v>1</x:v>
      </x:c>
      <x:c r="I365" s="2" t="n">
        <x:f>IF(AND(COUNTIFS($B$6:$B$797,B365,$C$6:$C$797,C365)=11,COUNTIFS($B$6:$B$797,B365,$C$6:$C$797,C365,$G$6:$G$797,"REVIEW")=0,COUNTIFS($B$6:$B$797,B365,$C$6:$C$797,C365,$H$6:$H$797,1)=11,COUNTIFS($B$6:$B$797,B365,$C$6:$C$797,C365,$F$6:$F$797,"&gt;0")=11),1,0)</x:f>
        <x:v>1</x:v>
      </x:c>
    </x:row>
    <x:row r="366" ht="22" customHeight="1">
      <x:c r="A366" s="2" t="str">
        <x:v>61103099_TR_202603_IMPORT</x:v>
      </x:c>
      <x:c r="B366" s="2" t="n">
        <x:v>202603</x:v>
      </x:c>
      <x:c r="C366" s="2" t="str">
        <x:v>61103099</x:v>
      </x:c>
      <x:c r="D366" s="2" t="str">
        <x:v>Turkey</x:v>
      </x:c>
      <x:c r="E366" s="14" t="n">
        <x:v>1753510</x:v>
      </x:c>
      <x:c r="F366" s="14" t="n">
        <x:v>83691</x:v>
      </x:c>
      <x:c r="G366" s="2" t="str">
        <x:v>WITHIN_BAND</x:v>
      </x:c>
      <x:c r="H366" s="2" t="n">
        <x:v>1</x:v>
      </x:c>
      <x:c r="I366" s="2" t="n">
        <x:f>IF(AND(COUNTIFS($B$6:$B$797,B366,$C$6:$C$797,C366)=11,COUNTIFS($B$6:$B$797,B366,$C$6:$C$797,C366,$G$6:$G$797,"REVIEW")=0,COUNTIFS($B$6:$B$797,B366,$C$6:$C$797,C366,$H$6:$H$797,1)=11,COUNTIFS($B$6:$B$797,B366,$C$6:$C$797,C366,$F$6:$F$797,"&gt;0")=11),1,0)</x:f>
        <x:v>1</x:v>
      </x:c>
    </x:row>
    <x:row r="367" ht="22" customHeight="1">
      <x:c r="A367" s="2" t="str">
        <x:v>61103099_VN_202603_IMPORT</x:v>
      </x:c>
      <x:c r="B367" s="2" t="n">
        <x:v>202603</x:v>
      </x:c>
      <x:c r="C367" s="2" t="str">
        <x:v>61103099</x:v>
      </x:c>
      <x:c r="D367" s="2" t="str">
        <x:v>Vietnam</x:v>
      </x:c>
      <x:c r="E367" s="14" t="n">
        <x:v>1461622</x:v>
      </x:c>
      <x:c r="F367" s="14" t="n">
        <x:v>36569</x:v>
      </x:c>
      <x:c r="G367" s="2" t="str">
        <x:v>WITHIN_BAND</x:v>
      </x:c>
      <x:c r="H367" s="2" t="n">
        <x:v>1</x:v>
      </x:c>
      <x:c r="I367" s="2" t="n">
        <x:f>IF(AND(COUNTIFS($B$6:$B$797,B367,$C$6:$C$797,C367)=11,COUNTIFS($B$6:$B$797,B367,$C$6:$C$797,C367,$G$6:$G$797,"REVIEW")=0,COUNTIFS($B$6:$B$797,B367,$C$6:$C$797,C367,$H$6:$H$797,1)=11,COUNTIFS($B$6:$B$797,B367,$C$6:$C$797,C367,$F$6:$F$797,"&gt;0")=11),1,0)</x:f>
        <x:v>1</x:v>
      </x:c>
    </x:row>
    <x:row r="368" ht="22" customHeight="1">
      <x:c r="A368" s="2" t="str">
        <x:v>61103099_WORLD_202603_IMPORT</x:v>
      </x:c>
      <x:c r="B368" s="2" t="n">
        <x:v>202603</x:v>
      </x:c>
      <x:c r="C368" s="2" t="str">
        <x:v>61103099</x:v>
      </x:c>
      <x:c r="D368" s="2" t="str">
        <x:v>World</x:v>
      </x:c>
      <x:c r="E368" s="14" t="n">
        <x:v>27630122</x:v>
      </x:c>
      <x:c r="F368" s="14" t="n">
        <x:v>1590654</x:v>
      </x:c>
      <x:c r="G368" s="2" t="str">
        <x:v>WITHIN_BAND</x:v>
      </x:c>
      <x:c r="H368" s="2" t="n">
        <x:v>1</x:v>
      </x:c>
      <x:c r="I368" s="2" t="n">
        <x:f>IF(AND(COUNTIFS($B$6:$B$797,B368,$C$6:$C$797,C368)=11,COUNTIFS($B$6:$B$797,B368,$C$6:$C$797,C368,$G$6:$G$797,"REVIEW")=0,COUNTIFS($B$6:$B$797,B368,$C$6:$C$797,C368,$H$6:$H$797,1)=11,COUNTIFS($B$6:$B$797,B368,$C$6:$C$797,C368,$F$6:$F$797,"&gt;0")=11),1,0)</x:f>
        <x:v>1</x:v>
      </x:c>
    </x:row>
    <x:row r="369" ht="22" customHeight="1">
      <x:c r="A369" s="2" t="str">
        <x:v>61103099_BD_202604_IMPORT</x:v>
      </x:c>
      <x:c r="B369" s="2" t="n">
        <x:v>202604</x:v>
      </x:c>
      <x:c r="C369" s="2" t="str">
        <x:v>61103099</x:v>
      </x:c>
      <x:c r="D369" s="2" t="str">
        <x:v>Bangladesh</x:v>
      </x:c>
      <x:c r="E369" s="14" t="n">
        <x:v>5124631</x:v>
      </x:c>
      <x:c r="F369" s="14" t="n">
        <x:v>417371</x:v>
      </x:c>
      <x:c r="G369" s="2" t="str">
        <x:v>WITHIN_BAND</x:v>
      </x:c>
      <x:c r="H369" s="2" t="n">
        <x:v>1</x:v>
      </x:c>
      <x:c r="I369" s="2" t="n">
        <x:f>IF(AND(COUNTIFS($B$6:$B$797,B369,$C$6:$C$797,C369)=11,COUNTIFS($B$6:$B$797,B369,$C$6:$C$797,C369,$G$6:$G$797,"REVIEW")=0,COUNTIFS($B$6:$B$797,B369,$C$6:$C$797,C369,$H$6:$H$797,1)=11,COUNTIFS($B$6:$B$797,B369,$C$6:$C$797,C369,$F$6:$F$797,"&gt;0")=11),1,0)</x:f>
        <x:v>0</x:v>
      </x:c>
    </x:row>
    <x:row r="370" ht="22" customHeight="1">
      <x:c r="A370" s="2" t="str">
        <x:v>61103099_KH_202604_IMPORT</x:v>
      </x:c>
      <x:c r="B370" s="2" t="n">
        <x:v>202604</x:v>
      </x:c>
      <x:c r="C370" s="2" t="str">
        <x:v>61103099</x:v>
      </x:c>
      <x:c r="D370" s="2" t="str">
        <x:v>Cambodia</x:v>
      </x:c>
      <x:c r="E370" s="14" t="n">
        <x:v>1681792</x:v>
      </x:c>
      <x:c r="F370" s="14" t="n">
        <x:v>149559</x:v>
      </x:c>
      <x:c r="G370" s="2" t="str">
        <x:v>WITHIN_BAND</x:v>
      </x:c>
      <x:c r="H370" s="2" t="n">
        <x:v>1</x:v>
      </x:c>
      <x:c r="I370" s="2" t="n">
        <x:f>IF(AND(COUNTIFS($B$6:$B$797,B370,$C$6:$C$797,C370)=11,COUNTIFS($B$6:$B$797,B370,$C$6:$C$797,C370,$G$6:$G$797,"REVIEW")=0,COUNTIFS($B$6:$B$797,B370,$C$6:$C$797,C370,$H$6:$H$797,1)=11,COUNTIFS($B$6:$B$797,B370,$C$6:$C$797,C370,$F$6:$F$797,"&gt;0")=11),1,0)</x:f>
        <x:v>0</x:v>
      </x:c>
    </x:row>
    <x:row r="371" ht="22" customHeight="1">
      <x:c r="A371" s="2" t="str">
        <x:v>61103099_CN_202604_IMPORT</x:v>
      </x:c>
      <x:c r="B371" s="2" t="n">
        <x:v>202604</x:v>
      </x:c>
      <x:c r="C371" s="2" t="str">
        <x:v>61103099</x:v>
      </x:c>
      <x:c r="D371" s="2" t="str">
        <x:v>China</x:v>
      </x:c>
      <x:c r="E371" s="14" t="n">
        <x:v>4811473</x:v>
      </x:c>
      <x:c r="F371" s="14" t="n">
        <x:v>243515</x:v>
      </x:c>
      <x:c r="G371" s="2" t="str">
        <x:v>WITHIN_BAND</x:v>
      </x:c>
      <x:c r="H371" s="2" t="n">
        <x:v>1</x:v>
      </x:c>
      <x:c r="I371" s="2" t="n">
        <x:f>IF(AND(COUNTIFS($B$6:$B$797,B371,$C$6:$C$797,C371)=11,COUNTIFS($B$6:$B$797,B371,$C$6:$C$797,C371,$G$6:$G$797,"REVIEW")=0,COUNTIFS($B$6:$B$797,B371,$C$6:$C$797,C371,$H$6:$H$797,1)=11,COUNTIFS($B$6:$B$797,B371,$C$6:$C$797,C371,$F$6:$F$797,"&gt;0")=11),1,0)</x:f>
        <x:v>0</x:v>
      </x:c>
    </x:row>
    <x:row r="372" ht="22" customHeight="1">
      <x:c r="A372" s="2" t="str">
        <x:v>61103099_IN_202604_IMPORT</x:v>
      </x:c>
      <x:c r="B372" s="2" t="n">
        <x:v>202604</x:v>
      </x:c>
      <x:c r="C372" s="2" t="str">
        <x:v>61103099</x:v>
      </x:c>
      <x:c r="D372" s="2" t="str">
        <x:v>India</x:v>
      </x:c>
      <x:c r="E372" s="14" t="n">
        <x:v>143998</x:v>
      </x:c>
      <x:c r="F372" s="14" t="n">
        <x:v>9255</x:v>
      </x:c>
      <x:c r="G372" s="2" t="str">
        <x:v>WITHIN_BAND</x:v>
      </x:c>
      <x:c r="H372" s="2" t="n">
        <x:v>1</x:v>
      </x:c>
      <x:c r="I372" s="2" t="n">
        <x:f>IF(AND(COUNTIFS($B$6:$B$797,B372,$C$6:$C$797,C372)=11,COUNTIFS($B$6:$B$797,B372,$C$6:$C$797,C372,$G$6:$G$797,"REVIEW")=0,COUNTIFS($B$6:$B$797,B372,$C$6:$C$797,C372,$H$6:$H$797,1)=11,COUNTIFS($B$6:$B$797,B372,$C$6:$C$797,C372,$F$6:$F$797,"&gt;0")=11),1,0)</x:f>
        <x:v>0</x:v>
      </x:c>
    </x:row>
    <x:row r="373" ht="22" customHeight="1">
      <x:c r="A373" s="2" t="str">
        <x:v>61103099_MA_202604_IMPORT</x:v>
      </x:c>
      <x:c r="B373" s="2" t="n">
        <x:v>202604</x:v>
      </x:c>
      <x:c r="C373" s="2" t="str">
        <x:v>61103099</x:v>
      </x:c>
      <x:c r="D373" s="2" t="str">
        <x:v>Morocco</x:v>
      </x:c>
      <x:c r="E373" s="14" t="n">
        <x:v>14565</x:v>
      </x:c>
      <x:c r="F373" s="14" t="n">
        <x:v>430</x:v>
      </x:c>
      <x:c r="G373" s="2" t="str">
        <x:v>WITHIN_BAND</x:v>
      </x:c>
      <x:c r="H373" s="2" t="n">
        <x:v>1</x:v>
      </x:c>
      <x:c r="I373" s="2" t="n">
        <x:f>IF(AND(COUNTIFS($B$6:$B$797,B373,$C$6:$C$797,C373)=11,COUNTIFS($B$6:$B$797,B373,$C$6:$C$797,C373,$G$6:$G$797,"REVIEW")=0,COUNTIFS($B$6:$B$797,B373,$C$6:$C$797,C373,$H$6:$H$797,1)=11,COUNTIFS($B$6:$B$797,B373,$C$6:$C$797,C373,$F$6:$F$797,"&gt;0")=11),1,0)</x:f>
        <x:v>0</x:v>
      </x:c>
    </x:row>
    <x:row r="374" ht="22" customHeight="1">
      <x:c r="A374" s="2" t="str">
        <x:v>61103099_MM_202604_IMPORT</x:v>
      </x:c>
      <x:c r="B374" s="2" t="n">
        <x:v>202604</x:v>
      </x:c>
      <x:c r="C374" s="2" t="str">
        <x:v>61103099</x:v>
      </x:c>
      <x:c r="D374" s="2" t="str">
        <x:v>Myanmar</x:v>
      </x:c>
      <x:c r="E374" s="14" t="n">
        <x:v>53407</x:v>
      </x:c>
      <x:c r="F374" s="14" t="n">
        <x:v>3714</x:v>
      </x:c>
      <x:c r="G374" s="2" t="str">
        <x:v>WITHIN_BAND</x:v>
      </x:c>
      <x:c r="H374" s="2" t="n">
        <x:v>1</x:v>
      </x:c>
      <x:c r="I374" s="2" t="n">
        <x:f>IF(AND(COUNTIFS($B$6:$B$797,B374,$C$6:$C$797,C374)=11,COUNTIFS($B$6:$B$797,B374,$C$6:$C$797,C374,$G$6:$G$797,"REVIEW")=0,COUNTIFS($B$6:$B$797,B374,$C$6:$C$797,C374,$H$6:$H$797,1)=11,COUNTIFS($B$6:$B$797,B374,$C$6:$C$797,C374,$F$6:$F$797,"&gt;0")=11),1,0)</x:f>
        <x:v>0</x:v>
      </x:c>
    </x:row>
    <x:row r="375" ht="22" customHeight="1">
      <x:c r="A375" s="2" t="str">
        <x:v>61103099_PK_202604_IMPORT</x:v>
      </x:c>
      <x:c r="B375" s="2" t="n">
        <x:v>202604</x:v>
      </x:c>
      <x:c r="C375" s="2" t="str">
        <x:v>61103099</x:v>
      </x:c>
      <x:c r="D375" s="2" t="str">
        <x:v>Pakistan</x:v>
      </x:c>
      <x:c r="E375" s="14" t="n">
        <x:v>115457</x:v>
      </x:c>
      <x:c r="F375" s="14" t="n">
        <x:v>8356</x:v>
      </x:c>
      <x:c r="G375" s="2" t="str">
        <x:v>WITHIN_BAND</x:v>
      </x:c>
      <x:c r="H375" s="2" t="n">
        <x:v>1</x:v>
      </x:c>
      <x:c r="I375" s="2" t="n">
        <x:f>IF(AND(COUNTIFS($B$6:$B$797,B375,$C$6:$C$797,C375)=11,COUNTIFS($B$6:$B$797,B375,$C$6:$C$797,C375,$G$6:$G$797,"REVIEW")=0,COUNTIFS($B$6:$B$797,B375,$C$6:$C$797,C375,$H$6:$H$797,1)=11,COUNTIFS($B$6:$B$797,B375,$C$6:$C$797,C375,$F$6:$F$797,"&gt;0")=11),1,0)</x:f>
        <x:v>0</x:v>
      </x:c>
    </x:row>
    <x:row r="376" ht="22" customHeight="1">
      <x:c r="A376" s="2" t="str">
        <x:v>61103099_LK_202604_IMPORT</x:v>
      </x:c>
      <x:c r="B376" s="2" t="n">
        <x:v>202604</x:v>
      </x:c>
      <x:c r="C376" s="2" t="str">
        <x:v>61103099</x:v>
      </x:c>
      <x:c r="D376" s="2" t="str">
        <x:v>Sri Lanka</x:v>
      </x:c>
      <x:c r="E376" s="14" t="n">
        <x:v>121436</x:v>
      </x:c>
      <x:c r="F376" s="14" t="n">
        <x:v>7292</x:v>
      </x:c>
      <x:c r="G376" s="2" t="str">
        <x:v>WITHIN_BAND</x:v>
      </x:c>
      <x:c r="H376" s="2" t="n">
        <x:v>1</x:v>
      </x:c>
      <x:c r="I376" s="2" t="n">
        <x:f>IF(AND(COUNTIFS($B$6:$B$797,B376,$C$6:$C$797,C376)=11,COUNTIFS($B$6:$B$797,B376,$C$6:$C$797,C376,$G$6:$G$797,"REVIEW")=0,COUNTIFS($B$6:$B$797,B376,$C$6:$C$797,C376,$H$6:$H$797,1)=11,COUNTIFS($B$6:$B$797,B376,$C$6:$C$797,C376,$F$6:$F$797,"&gt;0")=11),1,0)</x:f>
        <x:v>0</x:v>
      </x:c>
    </x:row>
    <x:row r="377" ht="22" customHeight="1">
      <x:c r="A377" s="2" t="str">
        <x:v>61103099_TR_202604_IMPORT</x:v>
      </x:c>
      <x:c r="B377" s="2" t="n">
        <x:v>202604</x:v>
      </x:c>
      <x:c r="C377" s="2" t="str">
        <x:v>61103099</x:v>
      </x:c>
      <x:c r="D377" s="2" t="str">
        <x:v>Turkey</x:v>
      </x:c>
      <x:c r="E377" s="14" t="n">
        <x:v>2467717</x:v>
      </x:c>
      <x:c r="F377" s="14" t="n">
        <x:v>448534</x:v>
      </x:c>
      <x:c r="G377" s="2" t="str">
        <x:v>REVIEW</x:v>
      </x:c>
      <x:c r="H377" s="2" t="n">
        <x:v>1</x:v>
      </x:c>
      <x:c r="I377" s="2" t="n">
        <x:f>IF(AND(COUNTIFS($B$6:$B$797,B377,$C$6:$C$797,C377)=11,COUNTIFS($B$6:$B$797,B377,$C$6:$C$797,C377,$G$6:$G$797,"REVIEW")=0,COUNTIFS($B$6:$B$797,B377,$C$6:$C$797,C377,$H$6:$H$797,1)=11,COUNTIFS($B$6:$B$797,B377,$C$6:$C$797,C377,$F$6:$F$797,"&gt;0")=11),1,0)</x:f>
        <x:v>0</x:v>
      </x:c>
    </x:row>
    <x:row r="378" ht="22" customHeight="1">
      <x:c r="A378" s="2" t="str">
        <x:v>61103099_VN_202604_IMPORT</x:v>
      </x:c>
      <x:c r="B378" s="2" t="n">
        <x:v>202604</x:v>
      </x:c>
      <x:c r="C378" s="2" t="str">
        <x:v>61103099</x:v>
      </x:c>
      <x:c r="D378" s="2" t="str">
        <x:v>Vietnam</x:v>
      </x:c>
      <x:c r="E378" s="14" t="n">
        <x:v>716947</x:v>
      </x:c>
      <x:c r="F378" s="14" t="n">
        <x:v>24825</x:v>
      </x:c>
      <x:c r="G378" s="2" t="str">
        <x:v>WITHIN_BAND</x:v>
      </x:c>
      <x:c r="H378" s="2" t="n">
        <x:v>1</x:v>
      </x:c>
      <x:c r="I378" s="2" t="n">
        <x:f>IF(AND(COUNTIFS($B$6:$B$797,B378,$C$6:$C$797,C378)=11,COUNTIFS($B$6:$B$797,B378,$C$6:$C$797,C378,$G$6:$G$797,"REVIEW")=0,COUNTIFS($B$6:$B$797,B378,$C$6:$C$797,C378,$H$6:$H$797,1)=11,COUNTIFS($B$6:$B$797,B378,$C$6:$C$797,C378,$F$6:$F$797,"&gt;0")=11),1,0)</x:f>
        <x:v>0</x:v>
      </x:c>
    </x:row>
    <x:row r="379" ht="22" customHeight="1">
      <x:c r="A379" s="2" t="str">
        <x:v>61103099_WORLD_202604_IMPORT</x:v>
      </x:c>
      <x:c r="B379" s="2" t="n">
        <x:v>202604</x:v>
      </x:c>
      <x:c r="C379" s="2" t="str">
        <x:v>61103099</x:v>
      </x:c>
      <x:c r="D379" s="2" t="str">
        <x:v>World</x:v>
      </x:c>
      <x:c r="E379" s="14" t="n">
        <x:v>22255068</x:v>
      </x:c>
      <x:c r="F379" s="14" t="n">
        <x:v>1553468</x:v>
      </x:c>
      <x:c r="G379" s="2" t="str">
        <x:v>WITHIN_BAND</x:v>
      </x:c>
      <x:c r="H379" s="2" t="n">
        <x:v>1</x:v>
      </x:c>
      <x:c r="I379" s="2" t="n">
        <x:f>IF(AND(COUNTIFS($B$6:$B$797,B379,$C$6:$C$797,C379)=11,COUNTIFS($B$6:$B$797,B379,$C$6:$C$797,C379,$G$6:$G$797,"REVIEW")=0,COUNTIFS($B$6:$B$797,B379,$C$6:$C$797,C379,$H$6:$H$797,1)=11,COUNTIFS($B$6:$B$797,B379,$C$6:$C$797,C379,$F$6:$F$797,"&gt;0")=11),1,0)</x:f>
        <x:v>0</x:v>
      </x:c>
    </x:row>
    <x:row r="380" ht="22" customHeight="1">
      <x:c r="A380" s="2" t="str">
        <x:v>61103099_BD_202605_IMPORT</x:v>
      </x:c>
      <x:c r="B380" s="2" t="n">
        <x:v>202605</x:v>
      </x:c>
      <x:c r="C380" s="2" t="str">
        <x:v>61103099</x:v>
      </x:c>
      <x:c r="D380" s="2" t="str">
        <x:v>Bangladesh</x:v>
      </x:c>
      <x:c r="E380" s="14" t="n">
        <x:v>3949172</x:v>
      </x:c>
      <x:c r="F380" s="14" t="n">
        <x:v>308227</x:v>
      </x:c>
      <x:c r="G380" s="2" t="str">
        <x:v>WITHIN_BAND</x:v>
      </x:c>
      <x:c r="H380" s="2" t="n">
        <x:v>1</x:v>
      </x:c>
      <x:c r="I380" s="2" t="n">
        <x:f>IF(AND(COUNTIFS($B$6:$B$797,B380,$C$6:$C$797,C380)=11,COUNTIFS($B$6:$B$797,B380,$C$6:$C$797,C380,$G$6:$G$797,"REVIEW")=0,COUNTIFS($B$6:$B$797,B380,$C$6:$C$797,C380,$H$6:$H$797,1)=11,COUNTIFS($B$6:$B$797,B380,$C$6:$C$797,C380,$F$6:$F$797,"&gt;0")=11),1,0)</x:f>
        <x:v>0</x:v>
      </x:c>
    </x:row>
    <x:row r="381" ht="22" customHeight="1">
      <x:c r="A381" s="2" t="str">
        <x:v>61103099_KH_202605_IMPORT</x:v>
      </x:c>
      <x:c r="B381" s="2" t="n">
        <x:v>202605</x:v>
      </x:c>
      <x:c r="C381" s="2" t="str">
        <x:v>61103099</x:v>
      </x:c>
      <x:c r="D381" s="2" t="str">
        <x:v>Cambodia</x:v>
      </x:c>
      <x:c r="E381" s="14" t="n">
        <x:v>2129706</x:v>
      </x:c>
      <x:c r="F381" s="14" t="n">
        <x:v>164991</x:v>
      </x:c>
      <x:c r="G381" s="2" t="str">
        <x:v>WITHIN_BAND</x:v>
      </x:c>
      <x:c r="H381" s="2" t="n">
        <x:v>1</x:v>
      </x:c>
      <x:c r="I381" s="2" t="n">
        <x:f>IF(AND(COUNTIFS($B$6:$B$797,B381,$C$6:$C$797,C381)=11,COUNTIFS($B$6:$B$797,B381,$C$6:$C$797,C381,$G$6:$G$797,"REVIEW")=0,COUNTIFS($B$6:$B$797,B381,$C$6:$C$797,C381,$H$6:$H$797,1)=11,COUNTIFS($B$6:$B$797,B381,$C$6:$C$797,C381,$F$6:$F$797,"&gt;0")=11),1,0)</x:f>
        <x:v>0</x:v>
      </x:c>
    </x:row>
    <x:row r="382" ht="22" customHeight="1">
      <x:c r="A382" s="2" t="str">
        <x:v>61103099_CN_202605_IMPORT</x:v>
      </x:c>
      <x:c r="B382" s="2" t="n">
        <x:v>202605</x:v>
      </x:c>
      <x:c r="C382" s="2" t="str">
        <x:v>61103099</x:v>
      </x:c>
      <x:c r="D382" s="2" t="str">
        <x:v>China</x:v>
      </x:c>
      <x:c r="E382" s="14" t="n">
        <x:v>4491895</x:v>
      </x:c>
      <x:c r="F382" s="14" t="n">
        <x:v>256989</x:v>
      </x:c>
      <x:c r="G382" s="2" t="str">
        <x:v>WITHIN_BAND</x:v>
      </x:c>
      <x:c r="H382" s="2" t="n">
        <x:v>1</x:v>
      </x:c>
      <x:c r="I382" s="2" t="n">
        <x:f>IF(AND(COUNTIFS($B$6:$B$797,B382,$C$6:$C$797,C382)=11,COUNTIFS($B$6:$B$797,B382,$C$6:$C$797,C382,$G$6:$G$797,"REVIEW")=0,COUNTIFS($B$6:$B$797,B382,$C$6:$C$797,C382,$H$6:$H$797,1)=11,COUNTIFS($B$6:$B$797,B382,$C$6:$C$797,C382,$F$6:$F$797,"&gt;0")=11),1,0)</x:f>
        <x:v>0</x:v>
      </x:c>
    </x:row>
    <x:row r="383" ht="22" customHeight="1">
      <x:c r="A383" s="2" t="str">
        <x:v>61103099_IN_202605_IMPORT</x:v>
      </x:c>
      <x:c r="B383" s="2" t="n">
        <x:v>202605</x:v>
      </x:c>
      <x:c r="C383" s="2" t="str">
        <x:v>61103099</x:v>
      </x:c>
      <x:c r="D383" s="2" t="str">
        <x:v>India</x:v>
      </x:c>
      <x:c r="E383" s="14" t="n">
        <x:v>88834</x:v>
      </x:c>
      <x:c r="F383" s="14" t="n">
        <x:v>6363</x:v>
      </x:c>
      <x:c r="G383" s="2" t="str">
        <x:v>WITHIN_BAND</x:v>
      </x:c>
      <x:c r="H383" s="2" t="n">
        <x:v>1</x:v>
      </x:c>
      <x:c r="I383" s="2" t="n">
        <x:f>IF(AND(COUNTIFS($B$6:$B$797,B383,$C$6:$C$797,C383)=11,COUNTIFS($B$6:$B$797,B383,$C$6:$C$797,C383,$G$6:$G$797,"REVIEW")=0,COUNTIFS($B$6:$B$797,B383,$C$6:$C$797,C383,$H$6:$H$797,1)=11,COUNTIFS($B$6:$B$797,B383,$C$6:$C$797,C383,$F$6:$F$797,"&gt;0")=11),1,0)</x:f>
        <x:v>0</x:v>
      </x:c>
    </x:row>
    <x:row r="384" ht="22" customHeight="1">
      <x:c r="A384" s="2" t="str">
        <x:v>61103099_MA_202605_IMPORT</x:v>
      </x:c>
      <x:c r="B384" s="2" t="n">
        <x:v>202605</x:v>
      </x:c>
      <x:c r="C384" s="2" t="str">
        <x:v>61103099</x:v>
      </x:c>
      <x:c r="D384" s="2" t="str">
        <x:v>Morocco</x:v>
      </x:c>
      <x:c r="E384" s="14" t="n">
        <x:v>1916</x:v>
      </x:c>
      <x:c r="F384" s="14" t="n">
        <x:v>164</x:v>
      </x:c>
      <x:c r="G384" s="2" t="str">
        <x:v>WITHIN_BAND</x:v>
      </x:c>
      <x:c r="H384" s="2" t="n">
        <x:v>1</x:v>
      </x:c>
      <x:c r="I384" s="2" t="n">
        <x:f>IF(AND(COUNTIFS($B$6:$B$797,B384,$C$6:$C$797,C384)=11,COUNTIFS($B$6:$B$797,B384,$C$6:$C$797,C384,$G$6:$G$797,"REVIEW")=0,COUNTIFS($B$6:$B$797,B384,$C$6:$C$797,C384,$H$6:$H$797,1)=11,COUNTIFS($B$6:$B$797,B384,$C$6:$C$797,C384,$F$6:$F$797,"&gt;0")=11),1,0)</x:f>
        <x:v>0</x:v>
      </x:c>
    </x:row>
    <x:row r="385" ht="22" customHeight="1">
      <x:c r="A385" s="2" t="str">
        <x:v>61103099_MM_202605_IMPORT</x:v>
      </x:c>
      <x:c r="B385" s="2" t="n">
        <x:v>202605</x:v>
      </x:c>
      <x:c r="C385" s="2" t="str">
        <x:v>61103099</x:v>
      </x:c>
      <x:c r="D385" s="2" t="str">
        <x:v>Myanmar</x:v>
      </x:c>
      <x:c r="E385" s="14" t="n">
        <x:v>249665</x:v>
      </x:c>
      <x:c r="F385" s="14" t="n">
        <x:v>17826</x:v>
      </x:c>
      <x:c r="G385" s="2" t="str">
        <x:v>WITHIN_BAND</x:v>
      </x:c>
      <x:c r="H385" s="2" t="n">
        <x:v>1</x:v>
      </x:c>
      <x:c r="I385" s="2" t="n">
        <x:f>IF(AND(COUNTIFS($B$6:$B$797,B385,$C$6:$C$797,C385)=11,COUNTIFS($B$6:$B$797,B385,$C$6:$C$797,C385,$G$6:$G$797,"REVIEW")=0,COUNTIFS($B$6:$B$797,B385,$C$6:$C$797,C385,$H$6:$H$797,1)=11,COUNTIFS($B$6:$B$797,B385,$C$6:$C$797,C385,$F$6:$F$797,"&gt;0")=11),1,0)</x:f>
        <x:v>0</x:v>
      </x:c>
    </x:row>
    <x:row r="386" ht="22" customHeight="1">
      <x:c r="A386" s="2" t="str">
        <x:v>61103099_PK_202605_IMPORT</x:v>
      </x:c>
      <x:c r="B386" s="2" t="n">
        <x:v>202605</x:v>
      </x:c>
      <x:c r="C386" s="2" t="str">
        <x:v>61103099</x:v>
      </x:c>
      <x:c r="D386" s="2" t="str">
        <x:v>Pakistan</x:v>
      </x:c>
      <x:c r="E386" s="14" t="n">
        <x:v>551309</x:v>
      </x:c>
      <x:c r="F386" s="14" t="n">
        <x:v>29781</x:v>
      </x:c>
      <x:c r="G386" s="2" t="str">
        <x:v>WITHIN_BAND</x:v>
      </x:c>
      <x:c r="H386" s="2" t="n">
        <x:v>1</x:v>
      </x:c>
      <x:c r="I386" s="2" t="n">
        <x:f>IF(AND(COUNTIFS($B$6:$B$797,B386,$C$6:$C$797,C386)=11,COUNTIFS($B$6:$B$797,B386,$C$6:$C$797,C386,$G$6:$G$797,"REVIEW")=0,COUNTIFS($B$6:$B$797,B386,$C$6:$C$797,C386,$H$6:$H$797,1)=11,COUNTIFS($B$6:$B$797,B386,$C$6:$C$797,C386,$F$6:$F$797,"&gt;0")=11),1,0)</x:f>
        <x:v>0</x:v>
      </x:c>
    </x:row>
    <x:row r="387" ht="22" customHeight="1">
      <x:c r="A387" s="2" t="str">
        <x:v>61103099_LK_202605_IMPORT</x:v>
      </x:c>
      <x:c r="B387" s="2" t="n">
        <x:v>202605</x:v>
      </x:c>
      <x:c r="C387" s="2" t="str">
        <x:v>61103099</x:v>
      </x:c>
      <x:c r="D387" s="2" t="str">
        <x:v>Sri Lanka</x:v>
      </x:c>
      <x:c r="E387" s="14" t="n">
        <x:v>193270</x:v>
      </x:c>
      <x:c r="F387" s="14" t="n">
        <x:v>9088</x:v>
      </x:c>
      <x:c r="G387" s="2" t="str">
        <x:v>WITHIN_BAND</x:v>
      </x:c>
      <x:c r="H387" s="2" t="n">
        <x:v>1</x:v>
      </x:c>
      <x:c r="I387" s="2" t="n">
        <x:f>IF(AND(COUNTIFS($B$6:$B$797,B387,$C$6:$C$797,C387)=11,COUNTIFS($B$6:$B$797,B387,$C$6:$C$797,C387,$G$6:$G$797,"REVIEW")=0,COUNTIFS($B$6:$B$797,B387,$C$6:$C$797,C387,$H$6:$H$797,1)=11,COUNTIFS($B$6:$B$797,B387,$C$6:$C$797,C387,$F$6:$F$797,"&gt;0")=11),1,0)</x:f>
        <x:v>0</x:v>
      </x:c>
    </x:row>
    <x:row r="388" ht="22" customHeight="1">
      <x:c r="A388" s="2" t="str">
        <x:v>61103099_TR_202605_IMPORT</x:v>
      </x:c>
      <x:c r="B388" s="2" t="n">
        <x:v>202605</x:v>
      </x:c>
      <x:c r="C388" s="2" t="str">
        <x:v>61103099</x:v>
      </x:c>
      <x:c r="D388" s="2" t="str">
        <x:v>Turkey</x:v>
      </x:c>
      <x:c r="E388" s="14" t="n">
        <x:v>2191814</x:v>
      </x:c>
      <x:c r="F388" s="14" t="n">
        <x:v>631864</x:v>
      </x:c>
      <x:c r="G388" s="2" t="str">
        <x:v>REVIEW</x:v>
      </x:c>
      <x:c r="H388" s="2" t="n">
        <x:v>1</x:v>
      </x:c>
      <x:c r="I388" s="2" t="n">
        <x:f>IF(AND(COUNTIFS($B$6:$B$797,B388,$C$6:$C$797,C388)=11,COUNTIFS($B$6:$B$797,B388,$C$6:$C$797,C388,$G$6:$G$797,"REVIEW")=0,COUNTIFS($B$6:$B$797,B388,$C$6:$C$797,C388,$H$6:$H$797,1)=11,COUNTIFS($B$6:$B$797,B388,$C$6:$C$797,C388,$F$6:$F$797,"&gt;0")=11),1,0)</x:f>
        <x:v>0</x:v>
      </x:c>
    </x:row>
    <x:row r="389" ht="22" customHeight="1">
      <x:c r="A389" s="2" t="str">
        <x:v>61103099_VN_202605_IMPORT</x:v>
      </x:c>
      <x:c r="B389" s="2" t="n">
        <x:v>202605</x:v>
      </x:c>
      <x:c r="C389" s="2" t="str">
        <x:v>61103099</x:v>
      </x:c>
      <x:c r="D389" s="2" t="str">
        <x:v>Vietnam</x:v>
      </x:c>
      <x:c r="E389" s="14" t="n">
        <x:v>1313624</x:v>
      </x:c>
      <x:c r="F389" s="14" t="n">
        <x:v>39935</x:v>
      </x:c>
      <x:c r="G389" s="2" t="str">
        <x:v>WITHIN_BAND</x:v>
      </x:c>
      <x:c r="H389" s="2" t="n">
        <x:v>1</x:v>
      </x:c>
      <x:c r="I389" s="2" t="n">
        <x:f>IF(AND(COUNTIFS($B$6:$B$797,B389,$C$6:$C$797,C389)=11,COUNTIFS($B$6:$B$797,B389,$C$6:$C$797,C389,$G$6:$G$797,"REVIEW")=0,COUNTIFS($B$6:$B$797,B389,$C$6:$C$797,C389,$H$6:$H$797,1)=11,COUNTIFS($B$6:$B$797,B389,$C$6:$C$797,C389,$F$6:$F$797,"&gt;0")=11),1,0)</x:f>
        <x:v>0</x:v>
      </x:c>
    </x:row>
    <x:row r="390" ht="22" customHeight="1">
      <x:c r="A390" s="2" t="str">
        <x:v>61103099_WORLD_202605_IMPORT</x:v>
      </x:c>
      <x:c r="B390" s="2" t="n">
        <x:v>202605</x:v>
      </x:c>
      <x:c r="C390" s="2" t="str">
        <x:v>61103099</x:v>
      </x:c>
      <x:c r="D390" s="2" t="str">
        <x:v>World</x:v>
      </x:c>
      <x:c r="E390" s="14" t="n">
        <x:v>23331579</x:v>
      </x:c>
      <x:c r="F390" s="14" t="n">
        <x:v>1766138</x:v>
      </x:c>
      <x:c r="G390" s="2" t="str">
        <x:v>WITHIN_BAND</x:v>
      </x:c>
      <x:c r="H390" s="2" t="n">
        <x:v>1</x:v>
      </x:c>
      <x:c r="I390" s="2" t="n">
        <x:f>IF(AND(COUNTIFS($B$6:$B$797,B390,$C$6:$C$797,C390)=11,COUNTIFS($B$6:$B$797,B390,$C$6:$C$797,C390,$G$6:$G$797,"REVIEW")=0,COUNTIFS($B$6:$B$797,B390,$C$6:$C$797,C390,$H$6:$H$797,1)=11,COUNTIFS($B$6:$B$797,B390,$C$6:$C$797,C390,$F$6:$F$797,"&gt;0")=11),1,0)</x:f>
        <x:v>0</x:v>
      </x:c>
    </x:row>
    <x:row r="391" ht="22" customHeight="1">
      <x:c r="A391" s="2" t="str">
        <x:v>61103099_BD_202606_IMPORT</x:v>
      </x:c>
      <x:c r="B391" s="2" t="n">
        <x:v>202606</x:v>
      </x:c>
      <x:c r="C391" s="2" t="str">
        <x:v>61103099</x:v>
      </x:c>
      <x:c r="D391" s="2" t="str">
        <x:v>Bangladesh</x:v>
      </x:c>
      <x:c r="E391" s="14" t="n">
        <x:v>10282822</x:v>
      </x:c>
      <x:c r="F391" s="14" t="n">
        <x:v>860225</x:v>
      </x:c>
      <x:c r="G391" s="2" t="str">
        <x:v>WITHIN_BAND</x:v>
      </x:c>
      <x:c r="H391" s="2" t="n">
        <x:v>1</x:v>
      </x:c>
      <x:c r="I391" s="2" t="n">
        <x:f>IF(AND(COUNTIFS($B$6:$B$797,B391,$C$6:$C$797,C391)=11,COUNTIFS($B$6:$B$797,B391,$C$6:$C$797,C391,$G$6:$G$797,"REVIEW")=0,COUNTIFS($B$6:$B$797,B391,$C$6:$C$797,C391,$H$6:$H$797,1)=11,COUNTIFS($B$6:$B$797,B391,$C$6:$C$797,C391,$F$6:$F$797,"&gt;0")=11),1,0)</x:f>
        <x:v>1</x:v>
      </x:c>
    </x:row>
    <x:row r="392" ht="22" customHeight="1">
      <x:c r="A392" s="2" t="str">
        <x:v>61103099_KH_202606_IMPORT</x:v>
      </x:c>
      <x:c r="B392" s="2" t="n">
        <x:v>202606</x:v>
      </x:c>
      <x:c r="C392" s="2" t="str">
        <x:v>61103099</x:v>
      </x:c>
      <x:c r="D392" s="2" t="str">
        <x:v>Cambodia</x:v>
      </x:c>
      <x:c r="E392" s="14" t="n">
        <x:v>6491901</x:v>
      </x:c>
      <x:c r="F392" s="14" t="n">
        <x:v>555368</x:v>
      </x:c>
      <x:c r="G392" s="2" t="str">
        <x:v>WITHIN_BAND</x:v>
      </x:c>
      <x:c r="H392" s="2" t="n">
        <x:v>1</x:v>
      </x:c>
      <x:c r="I392" s="2" t="n">
        <x:f>IF(AND(COUNTIFS($B$6:$B$797,B392,$C$6:$C$797,C392)=11,COUNTIFS($B$6:$B$797,B392,$C$6:$C$797,C392,$G$6:$G$797,"REVIEW")=0,COUNTIFS($B$6:$B$797,B392,$C$6:$C$797,C392,$H$6:$H$797,1)=11,COUNTIFS($B$6:$B$797,B392,$C$6:$C$797,C392,$F$6:$F$797,"&gt;0")=11),1,0)</x:f>
        <x:v>1</x:v>
      </x:c>
    </x:row>
    <x:row r="393" ht="22" customHeight="1">
      <x:c r="A393" s="2" t="str">
        <x:v>61103099_CN_202606_IMPORT</x:v>
      </x:c>
      <x:c r="B393" s="2" t="n">
        <x:v>202606</x:v>
      </x:c>
      <x:c r="C393" s="2" t="str">
        <x:v>61103099</x:v>
      </x:c>
      <x:c r="D393" s="2" t="str">
        <x:v>China</x:v>
      </x:c>
      <x:c r="E393" s="14" t="n">
        <x:v>6740184</x:v>
      </x:c>
      <x:c r="F393" s="14" t="n">
        <x:v>440948</x:v>
      </x:c>
      <x:c r="G393" s="2" t="str">
        <x:v>WITHIN_BAND</x:v>
      </x:c>
      <x:c r="H393" s="2" t="n">
        <x:v>1</x:v>
      </x:c>
      <x:c r="I393" s="2" t="n">
        <x:f>IF(AND(COUNTIFS($B$6:$B$797,B393,$C$6:$C$797,C393)=11,COUNTIFS($B$6:$B$797,B393,$C$6:$C$797,C393,$G$6:$G$797,"REVIEW")=0,COUNTIFS($B$6:$B$797,B393,$C$6:$C$797,C393,$H$6:$H$797,1)=11,COUNTIFS($B$6:$B$797,B393,$C$6:$C$797,C393,$F$6:$F$797,"&gt;0")=11),1,0)</x:f>
        <x:v>1</x:v>
      </x:c>
    </x:row>
    <x:row r="394" ht="22" customHeight="1">
      <x:c r="A394" s="2" t="str">
        <x:v>61103099_IN_202606_IMPORT</x:v>
      </x:c>
      <x:c r="B394" s="2" t="n">
        <x:v>202606</x:v>
      </x:c>
      <x:c r="C394" s="2" t="str">
        <x:v>61103099</x:v>
      </x:c>
      <x:c r="D394" s="2" t="str">
        <x:v>India</x:v>
      </x:c>
      <x:c r="E394" s="14" t="n">
        <x:v>184144</x:v>
      </x:c>
      <x:c r="F394" s="14" t="n">
        <x:v>12806</x:v>
      </x:c>
      <x:c r="G394" s="2" t="str">
        <x:v>WITHIN_BAND</x:v>
      </x:c>
      <x:c r="H394" s="2" t="n">
        <x:v>1</x:v>
      </x:c>
      <x:c r="I394" s="2" t="n">
        <x:f>IF(AND(COUNTIFS($B$6:$B$797,B394,$C$6:$C$797,C394)=11,COUNTIFS($B$6:$B$797,B394,$C$6:$C$797,C394,$G$6:$G$797,"REVIEW")=0,COUNTIFS($B$6:$B$797,B394,$C$6:$C$797,C394,$H$6:$H$797,1)=11,COUNTIFS($B$6:$B$797,B394,$C$6:$C$797,C394,$F$6:$F$797,"&gt;0")=11),1,0)</x:f>
        <x:v>1</x:v>
      </x:c>
    </x:row>
    <x:row r="395" ht="22" customHeight="1">
      <x:c r="A395" s="2" t="str">
        <x:v>61103099_MA_202606_IMPORT</x:v>
      </x:c>
      <x:c r="B395" s="2" t="n">
        <x:v>202606</x:v>
      </x:c>
      <x:c r="C395" s="2" t="str">
        <x:v>61103099</x:v>
      </x:c>
      <x:c r="D395" s="2" t="str">
        <x:v>Morocco</x:v>
      </x:c>
      <x:c r="E395" s="14" t="n">
        <x:v>27165</x:v>
      </x:c>
      <x:c r="F395" s="14" t="n">
        <x:v>1262</x:v>
      </x:c>
      <x:c r="G395" s="2" t="str">
        <x:v>WITHIN_BAND</x:v>
      </x:c>
      <x:c r="H395" s="2" t="n">
        <x:v>1</x:v>
      </x:c>
      <x:c r="I395" s="2" t="n">
        <x:f>IF(AND(COUNTIFS($B$6:$B$797,B395,$C$6:$C$797,C395)=11,COUNTIFS($B$6:$B$797,B395,$C$6:$C$797,C395,$G$6:$G$797,"REVIEW")=0,COUNTIFS($B$6:$B$797,B395,$C$6:$C$797,C395,$H$6:$H$797,1)=11,COUNTIFS($B$6:$B$797,B395,$C$6:$C$797,C395,$F$6:$F$797,"&gt;0")=11),1,0)</x:f>
        <x:v>1</x:v>
      </x:c>
    </x:row>
    <x:row r="396" ht="22" customHeight="1">
      <x:c r="A396" s="2" t="str">
        <x:v>61103099_MM_202606_IMPORT</x:v>
      </x:c>
      <x:c r="B396" s="2" t="n">
        <x:v>202606</x:v>
      </x:c>
      <x:c r="C396" s="2" t="str">
        <x:v>61103099</x:v>
      </x:c>
      <x:c r="D396" s="2" t="str">
        <x:v>Myanmar</x:v>
      </x:c>
      <x:c r="E396" s="14" t="n">
        <x:v>110126</x:v>
      </x:c>
      <x:c r="F396" s="14" t="n">
        <x:v>5416</x:v>
      </x:c>
      <x:c r="G396" s="2" t="str">
        <x:v>WITHIN_BAND</x:v>
      </x:c>
      <x:c r="H396" s="2" t="n">
        <x:v>1</x:v>
      </x:c>
      <x:c r="I396" s="2" t="n">
        <x:f>IF(AND(COUNTIFS($B$6:$B$797,B396,$C$6:$C$797,C396)=11,COUNTIFS($B$6:$B$797,B396,$C$6:$C$797,C396,$G$6:$G$797,"REVIEW")=0,COUNTIFS($B$6:$B$797,B396,$C$6:$C$797,C396,$H$6:$H$797,1)=11,COUNTIFS($B$6:$B$797,B396,$C$6:$C$797,C396,$F$6:$F$797,"&gt;0")=11),1,0)</x:f>
        <x:v>1</x:v>
      </x:c>
    </x:row>
    <x:row r="397" ht="22" customHeight="1">
      <x:c r="A397" s="2" t="str">
        <x:v>61103099_PK_202606_IMPORT</x:v>
      </x:c>
      <x:c r="B397" s="2" t="n">
        <x:v>202606</x:v>
      </x:c>
      <x:c r="C397" s="2" t="str">
        <x:v>61103099</x:v>
      </x:c>
      <x:c r="D397" s="2" t="str">
        <x:v>Pakistan</x:v>
      </x:c>
      <x:c r="E397" s="14" t="n">
        <x:v>421038</x:v>
      </x:c>
      <x:c r="F397" s="14" t="n">
        <x:v>26332</x:v>
      </x:c>
      <x:c r="G397" s="2" t="str">
        <x:v>WITHIN_BAND</x:v>
      </x:c>
      <x:c r="H397" s="2" t="n">
        <x:v>1</x:v>
      </x:c>
      <x:c r="I397" s="2" t="n">
        <x:f>IF(AND(COUNTIFS($B$6:$B$797,B397,$C$6:$C$797,C397)=11,COUNTIFS($B$6:$B$797,B397,$C$6:$C$797,C397,$G$6:$G$797,"REVIEW")=0,COUNTIFS($B$6:$B$797,B397,$C$6:$C$797,C397,$H$6:$H$797,1)=11,COUNTIFS($B$6:$B$797,B397,$C$6:$C$797,C397,$F$6:$F$797,"&gt;0")=11),1,0)</x:f>
        <x:v>1</x:v>
      </x:c>
    </x:row>
    <x:row r="398" ht="22" customHeight="1">
      <x:c r="A398" s="2" t="str">
        <x:v>61103099_LK_202606_IMPORT</x:v>
      </x:c>
      <x:c r="B398" s="2" t="n">
        <x:v>202606</x:v>
      </x:c>
      <x:c r="C398" s="2" t="str">
        <x:v>61103099</x:v>
      </x:c>
      <x:c r="D398" s="2" t="str">
        <x:v>Sri Lanka</x:v>
      </x:c>
      <x:c r="E398" s="14" t="n">
        <x:v>154342</x:v>
      </x:c>
      <x:c r="F398" s="14" t="n">
        <x:v>6007</x:v>
      </x:c>
      <x:c r="G398" s="2" t="str">
        <x:v>WITHIN_BAND</x:v>
      </x:c>
      <x:c r="H398" s="2" t="n">
        <x:v>1</x:v>
      </x:c>
      <x:c r="I398" s="2" t="n">
        <x:f>IF(AND(COUNTIFS($B$6:$B$797,B398,$C$6:$C$797,C398)=11,COUNTIFS($B$6:$B$797,B398,$C$6:$C$797,C398,$G$6:$G$797,"REVIEW")=0,COUNTIFS($B$6:$B$797,B398,$C$6:$C$797,C398,$H$6:$H$797,1)=11,COUNTIFS($B$6:$B$797,B398,$C$6:$C$797,C398,$F$6:$F$797,"&gt;0")=11),1,0)</x:f>
        <x:v>1</x:v>
      </x:c>
    </x:row>
    <x:row r="399" ht="22" customHeight="1">
      <x:c r="A399" s="2" t="str">
        <x:v>61103099_TR_202606_IMPORT</x:v>
      </x:c>
      <x:c r="B399" s="2" t="n">
        <x:v>202606</x:v>
      </x:c>
      <x:c r="C399" s="2" t="str">
        <x:v>61103099</x:v>
      </x:c>
      <x:c r="D399" s="2" t="str">
        <x:v>Turkey</x:v>
      </x:c>
      <x:c r="E399" s="14" t="n">
        <x:v>2137912</x:v>
      </x:c>
      <x:c r="F399" s="14" t="n">
        <x:v>127263</x:v>
      </x:c>
      <x:c r="G399" s="2" t="str">
        <x:v>WITHIN_BAND</x:v>
      </x:c>
      <x:c r="H399" s="2" t="n">
        <x:v>1</x:v>
      </x:c>
      <x:c r="I399" s="2" t="n">
        <x:f>IF(AND(COUNTIFS($B$6:$B$797,B399,$C$6:$C$797,C399)=11,COUNTIFS($B$6:$B$797,B399,$C$6:$C$797,C399,$G$6:$G$797,"REVIEW")=0,COUNTIFS($B$6:$B$797,B399,$C$6:$C$797,C399,$H$6:$H$797,1)=11,COUNTIFS($B$6:$B$797,B399,$C$6:$C$797,C399,$F$6:$F$797,"&gt;0")=11),1,0)</x:f>
        <x:v>1</x:v>
      </x:c>
    </x:row>
    <x:row r="400" ht="22" customHeight="1">
      <x:c r="A400" s="2" t="str">
        <x:v>61103099_VN_202606_IMPORT</x:v>
      </x:c>
      <x:c r="B400" s="2" t="n">
        <x:v>202606</x:v>
      </x:c>
      <x:c r="C400" s="2" t="str">
        <x:v>61103099</x:v>
      </x:c>
      <x:c r="D400" s="2" t="str">
        <x:v>Vietnam</x:v>
      </x:c>
      <x:c r="E400" s="14" t="n">
        <x:v>923845</x:v>
      </x:c>
      <x:c r="F400" s="14" t="n">
        <x:v>23839</x:v>
      </x:c>
      <x:c r="G400" s="2" t="str">
        <x:v>WITHIN_BAND</x:v>
      </x:c>
      <x:c r="H400" s="2" t="n">
        <x:v>1</x:v>
      </x:c>
      <x:c r="I400" s="2" t="n">
        <x:f>IF(AND(COUNTIFS($B$6:$B$797,B400,$C$6:$C$797,C400)=11,COUNTIFS($B$6:$B$797,B400,$C$6:$C$797,C400,$G$6:$G$797,"REVIEW")=0,COUNTIFS($B$6:$B$797,B400,$C$6:$C$797,C400,$H$6:$H$797,1)=11,COUNTIFS($B$6:$B$797,B400,$C$6:$C$797,C400,$F$6:$F$797,"&gt;0")=11),1,0)</x:f>
        <x:v>1</x:v>
      </x:c>
    </x:row>
    <x:row r="401" ht="22" customHeight="1">
      <x:c r="A401" s="2" t="str">
        <x:v>61103099_WORLD_202606_IMPORT</x:v>
      </x:c>
      <x:c r="B401" s="2" t="n">
        <x:v>202606</x:v>
      </x:c>
      <x:c r="C401" s="2" t="str">
        <x:v>61103099</x:v>
      </x:c>
      <x:c r="D401" s="2" t="str">
        <x:v>World</x:v>
      </x:c>
      <x:c r="E401" s="14" t="n">
        <x:v>34636977</x:v>
      </x:c>
      <x:c r="F401" s="14" t="n">
        <x:v>2431050</x:v>
      </x:c>
      <x:c r="G401" s="2" t="str">
        <x:v>WITHIN_BAND</x:v>
      </x:c>
      <x:c r="H401" s="2" t="n">
        <x:v>1</x:v>
      </x:c>
      <x:c r="I401" s="2" t="n">
        <x:f>IF(AND(COUNTIFS($B$6:$B$797,B401,$C$6:$C$797,C401)=11,COUNTIFS($B$6:$B$797,B401,$C$6:$C$797,C401,$G$6:$G$797,"REVIEW")=0,COUNTIFS($B$6:$B$797,B401,$C$6:$C$797,C401,$H$6:$H$797,1)=11,COUNTIFS($B$6:$B$797,B401,$C$6:$C$797,C401,$F$6:$F$797,"&gt;0")=11),1,0)</x:f>
        <x:v>1</x:v>
      </x:c>
    </x:row>
    <x:row r="402" ht="22" customHeight="1">
      <x:c r="A402" s="2" t="str">
        <x:v>62044300_BD_202501_IMPORT</x:v>
      </x:c>
      <x:c r="B402" s="2" t="n">
        <x:v>202501</x:v>
      </x:c>
      <x:c r="C402" s="2" t="str">
        <x:v>62044300</x:v>
      </x:c>
      <x:c r="D402" s="2" t="str">
        <x:v>Bangladesh</x:v>
      </x:c>
      <x:c r="E402" s="14" t="n">
        <x:v>589186</x:v>
      </x:c>
      <x:c r="F402" s="14" t="n">
        <x:v>32441</x:v>
      </x:c>
      <x:c r="G402" s="2" t="str">
        <x:v>WITHIN_BAND</x:v>
      </x:c>
      <x:c r="H402" s="2" t="n">
        <x:v>1</x:v>
      </x:c>
      <x:c r="I402" s="2" t="n">
        <x:f>IF(AND(COUNTIFS($B$6:$B$797,B402,$C$6:$C$797,C402)=11,COUNTIFS($B$6:$B$797,B402,$C$6:$C$797,C402,$G$6:$G$797,"REVIEW")=0,COUNTIFS($B$6:$B$797,B402,$C$6:$C$797,C402,$H$6:$H$797,1)=11,COUNTIFS($B$6:$B$797,B402,$C$6:$C$797,C402,$F$6:$F$797,"&gt;0")=11),1,0)</x:f>
        <x:v>1</x:v>
      </x:c>
    </x:row>
    <x:row r="403" ht="22" customHeight="1">
      <x:c r="A403" s="2" t="str">
        <x:v>62044300_KH_202501_IMPORT</x:v>
      </x:c>
      <x:c r="B403" s="2" t="n">
        <x:v>202501</x:v>
      </x:c>
      <x:c r="C403" s="2" t="str">
        <x:v>62044300</x:v>
      </x:c>
      <x:c r="D403" s="2" t="str">
        <x:v>Cambodia</x:v>
      </x:c>
      <x:c r="E403" s="14" t="n">
        <x:v>93792</x:v>
      </x:c>
      <x:c r="F403" s="14" t="n">
        <x:v>4569</x:v>
      </x:c>
      <x:c r="G403" s="2" t="str">
        <x:v>WITHIN_BAND</x:v>
      </x:c>
      <x:c r="H403" s="2" t="n">
        <x:v>1</x:v>
      </x:c>
      <x:c r="I403" s="2" t="n">
        <x:f>IF(AND(COUNTIFS($B$6:$B$797,B403,$C$6:$C$797,C403)=11,COUNTIFS($B$6:$B$797,B403,$C$6:$C$797,C403,$G$6:$G$797,"REVIEW")=0,COUNTIFS($B$6:$B$797,B403,$C$6:$C$797,C403,$H$6:$H$797,1)=11,COUNTIFS($B$6:$B$797,B403,$C$6:$C$797,C403,$F$6:$F$797,"&gt;0")=11),1,0)</x:f>
        <x:v>1</x:v>
      </x:c>
    </x:row>
    <x:row r="404" ht="22" customHeight="1">
      <x:c r="A404" s="2" t="str">
        <x:v>62044300_CN_202501_IMPORT</x:v>
      </x:c>
      <x:c r="B404" s="2" t="n">
        <x:v>202501</x:v>
      </x:c>
      <x:c r="C404" s="2" t="str">
        <x:v>62044300</x:v>
      </x:c>
      <x:c r="D404" s="2" t="str">
        <x:v>China</x:v>
      </x:c>
      <x:c r="E404" s="14" t="n">
        <x:v>8463720</x:v>
      </x:c>
      <x:c r="F404" s="14" t="n">
        <x:v>262408</x:v>
      </x:c>
      <x:c r="G404" s="2" t="str">
        <x:v>WITHIN_BAND</x:v>
      </x:c>
      <x:c r="H404" s="2" t="n">
        <x:v>1</x:v>
      </x:c>
      <x:c r="I404" s="2" t="n">
        <x:f>IF(AND(COUNTIFS($B$6:$B$797,B404,$C$6:$C$797,C404)=11,COUNTIFS($B$6:$B$797,B404,$C$6:$C$797,C404,$G$6:$G$797,"REVIEW")=0,COUNTIFS($B$6:$B$797,B404,$C$6:$C$797,C404,$H$6:$H$797,1)=11,COUNTIFS($B$6:$B$797,B404,$C$6:$C$797,C404,$F$6:$F$797,"&gt;0")=11),1,0)</x:f>
        <x:v>1</x:v>
      </x:c>
    </x:row>
    <x:row r="405" ht="22" customHeight="1">
      <x:c r="A405" s="2" t="str">
        <x:v>62044300_IN_202501_IMPORT</x:v>
      </x:c>
      <x:c r="B405" s="2" t="n">
        <x:v>202501</x:v>
      </x:c>
      <x:c r="C405" s="2" t="str">
        <x:v>62044300</x:v>
      </x:c>
      <x:c r="D405" s="2" t="str">
        <x:v>India</x:v>
      </x:c>
      <x:c r="E405" s="14" t="n">
        <x:v>2513659</x:v>
      </x:c>
      <x:c r="F405" s="14" t="n">
        <x:v>81159</x:v>
      </x:c>
      <x:c r="G405" s="2" t="str">
        <x:v>WITHIN_BAND</x:v>
      </x:c>
      <x:c r="H405" s="2" t="n">
        <x:v>1</x:v>
      </x:c>
      <x:c r="I405" s="2" t="n">
        <x:f>IF(AND(COUNTIFS($B$6:$B$797,B405,$C$6:$C$797,C405)=11,COUNTIFS($B$6:$B$797,B405,$C$6:$C$797,C405,$G$6:$G$797,"REVIEW")=0,COUNTIFS($B$6:$B$797,B405,$C$6:$C$797,C405,$H$6:$H$797,1)=11,COUNTIFS($B$6:$B$797,B405,$C$6:$C$797,C405,$F$6:$F$797,"&gt;0")=11),1,0)</x:f>
        <x:v>1</x:v>
      </x:c>
    </x:row>
    <x:row r="406" ht="22" customHeight="1">
      <x:c r="A406" s="2" t="str">
        <x:v>62044300_MA_202501_IMPORT</x:v>
      </x:c>
      <x:c r="B406" s="2" t="n">
        <x:v>202501</x:v>
      </x:c>
      <x:c r="C406" s="2" t="str">
        <x:v>62044300</x:v>
      </x:c>
      <x:c r="D406" s="2" t="str">
        <x:v>Morocco</x:v>
      </x:c>
      <x:c r="E406" s="14" t="n">
        <x:v>1070168</x:v>
      </x:c>
      <x:c r="F406" s="14" t="n">
        <x:v>48052</x:v>
      </x:c>
      <x:c r="G406" s="2" t="str">
        <x:v>WITHIN_BAND</x:v>
      </x:c>
      <x:c r="H406" s="2" t="n">
        <x:v>1</x:v>
      </x:c>
      <x:c r="I406" s="2" t="n">
        <x:f>IF(AND(COUNTIFS($B$6:$B$797,B406,$C$6:$C$797,C406)=11,COUNTIFS($B$6:$B$797,B406,$C$6:$C$797,C406,$G$6:$G$797,"REVIEW")=0,COUNTIFS($B$6:$B$797,B406,$C$6:$C$797,C406,$H$6:$H$797,1)=11,COUNTIFS($B$6:$B$797,B406,$C$6:$C$797,C406,$F$6:$F$797,"&gt;0")=11),1,0)</x:f>
        <x:v>1</x:v>
      </x:c>
    </x:row>
    <x:row r="407" ht="22" customHeight="1">
      <x:c r="A407" s="2" t="str">
        <x:v>62044300_MM_202501_IMPORT</x:v>
      </x:c>
      <x:c r="B407" s="2" t="n">
        <x:v>202501</x:v>
      </x:c>
      <x:c r="C407" s="2" t="str">
        <x:v>62044300</x:v>
      </x:c>
      <x:c r="D407" s="2" t="str">
        <x:v>Myanmar</x:v>
      </x:c>
      <x:c r="E407" s="14" t="n">
        <x:v>537876</x:v>
      </x:c>
      <x:c r="F407" s="14" t="n">
        <x:v>7439</x:v>
      </x:c>
      <x:c r="G407" s="2" t="str">
        <x:v>WITHIN_BAND</x:v>
      </x:c>
      <x:c r="H407" s="2" t="n">
        <x:v>1</x:v>
      </x:c>
      <x:c r="I407" s="2" t="n">
        <x:f>IF(AND(COUNTIFS($B$6:$B$797,B407,$C$6:$C$797,C407)=11,COUNTIFS($B$6:$B$797,B407,$C$6:$C$797,C407,$G$6:$G$797,"REVIEW")=0,COUNTIFS($B$6:$B$797,B407,$C$6:$C$797,C407,$H$6:$H$797,1)=11,COUNTIFS($B$6:$B$797,B407,$C$6:$C$797,C407,$F$6:$F$797,"&gt;0")=11),1,0)</x:f>
        <x:v>1</x:v>
      </x:c>
    </x:row>
    <x:row r="408" ht="22" customHeight="1">
      <x:c r="A408" s="2" t="str">
        <x:v>62044300_PK_202501_IMPORT</x:v>
      </x:c>
      <x:c r="B408" s="2" t="n">
        <x:v>202501</x:v>
      </x:c>
      <x:c r="C408" s="2" t="str">
        <x:v>62044300</x:v>
      </x:c>
      <x:c r="D408" s="2" t="str">
        <x:v>Pakistan</x:v>
      </x:c>
      <x:c r="E408" s="14" t="n">
        <x:v>207731</x:v>
      </x:c>
      <x:c r="F408" s="14" t="n">
        <x:v>8259</x:v>
      </x:c>
      <x:c r="G408" s="2" t="str">
        <x:v>WITHIN_BAND</x:v>
      </x:c>
      <x:c r="H408" s="2" t="n">
        <x:v>1</x:v>
      </x:c>
      <x:c r="I408" s="2" t="n">
        <x:f>IF(AND(COUNTIFS($B$6:$B$797,B408,$C$6:$C$797,C408)=11,COUNTIFS($B$6:$B$797,B408,$C$6:$C$797,C408,$G$6:$G$797,"REVIEW")=0,COUNTIFS($B$6:$B$797,B408,$C$6:$C$797,C408,$H$6:$H$797,1)=11,COUNTIFS($B$6:$B$797,B408,$C$6:$C$797,C408,$F$6:$F$797,"&gt;0")=11),1,0)</x:f>
        <x:v>1</x:v>
      </x:c>
    </x:row>
    <x:row r="409" ht="22" customHeight="1">
      <x:c r="A409" s="2" t="str">
        <x:v>62044300_LK_202501_IMPORT</x:v>
      </x:c>
      <x:c r="B409" s="2" t="n">
        <x:v>202501</x:v>
      </x:c>
      <x:c r="C409" s="2" t="str">
        <x:v>62044300</x:v>
      </x:c>
      <x:c r="D409" s="2" t="str">
        <x:v>Sri Lanka</x:v>
      </x:c>
      <x:c r="E409" s="14" t="n">
        <x:v>829838</x:v>
      </x:c>
      <x:c r="F409" s="14" t="n">
        <x:v>37582</x:v>
      </x:c>
      <x:c r="G409" s="2" t="str">
        <x:v>WITHIN_BAND</x:v>
      </x:c>
      <x:c r="H409" s="2" t="n">
        <x:v>1</x:v>
      </x:c>
      <x:c r="I409" s="2" t="n">
        <x:f>IF(AND(COUNTIFS($B$6:$B$797,B409,$C$6:$C$797,C409)=11,COUNTIFS($B$6:$B$797,B409,$C$6:$C$797,C409,$G$6:$G$797,"REVIEW")=0,COUNTIFS($B$6:$B$797,B409,$C$6:$C$797,C409,$H$6:$H$797,1)=11,COUNTIFS($B$6:$B$797,B409,$C$6:$C$797,C409,$F$6:$F$797,"&gt;0")=11),1,0)</x:f>
        <x:v>1</x:v>
      </x:c>
    </x:row>
    <x:row r="410" ht="22" customHeight="1">
      <x:c r="A410" s="2" t="str">
        <x:v>62044300_TR_202501_IMPORT</x:v>
      </x:c>
      <x:c r="B410" s="2" t="n">
        <x:v>202501</x:v>
      </x:c>
      <x:c r="C410" s="2" t="str">
        <x:v>62044300</x:v>
      </x:c>
      <x:c r="D410" s="2" t="str">
        <x:v>Turkey</x:v>
      </x:c>
      <x:c r="E410" s="14" t="n">
        <x:v>924890</x:v>
      </x:c>
      <x:c r="F410" s="14" t="n">
        <x:v>25248</x:v>
      </x:c>
      <x:c r="G410" s="2" t="str">
        <x:v>WITHIN_BAND</x:v>
      </x:c>
      <x:c r="H410" s="2" t="n">
        <x:v>1</x:v>
      </x:c>
      <x:c r="I410" s="2" t="n">
        <x:f>IF(AND(COUNTIFS($B$6:$B$797,B410,$C$6:$C$797,C410)=11,COUNTIFS($B$6:$B$797,B410,$C$6:$C$797,C410,$G$6:$G$797,"REVIEW")=0,COUNTIFS($B$6:$B$797,B410,$C$6:$C$797,C410,$H$6:$H$797,1)=11,COUNTIFS($B$6:$B$797,B410,$C$6:$C$797,C410,$F$6:$F$797,"&gt;0")=11),1,0)</x:f>
        <x:v>1</x:v>
      </x:c>
    </x:row>
    <x:row r="411" ht="22" customHeight="1">
      <x:c r="A411" s="2" t="str">
        <x:v>62044300_VN_202501_IMPORT</x:v>
      </x:c>
      <x:c r="B411" s="2" t="n">
        <x:v>202501</x:v>
      </x:c>
      <x:c r="C411" s="2" t="str">
        <x:v>62044300</x:v>
      </x:c>
      <x:c r="D411" s="2" t="str">
        <x:v>Vietnam</x:v>
      </x:c>
      <x:c r="E411" s="14" t="n">
        <x:v>872493</x:v>
      </x:c>
      <x:c r="F411" s="14" t="n">
        <x:v>30995</x:v>
      </x:c>
      <x:c r="G411" s="2" t="str">
        <x:v>WITHIN_BAND</x:v>
      </x:c>
      <x:c r="H411" s="2" t="n">
        <x:v>1</x:v>
      </x:c>
      <x:c r="I411" s="2" t="n">
        <x:f>IF(AND(COUNTIFS($B$6:$B$797,B411,$C$6:$C$797,C411)=11,COUNTIFS($B$6:$B$797,B411,$C$6:$C$797,C411,$G$6:$G$797,"REVIEW")=0,COUNTIFS($B$6:$B$797,B411,$C$6:$C$797,C411,$H$6:$H$797,1)=11,COUNTIFS($B$6:$B$797,B411,$C$6:$C$797,C411,$F$6:$F$797,"&gt;0")=11),1,0)</x:f>
        <x:v>1</x:v>
      </x:c>
    </x:row>
    <x:row r="412" ht="22" customHeight="1">
      <x:c r="A412" s="2" t="str">
        <x:v>62044300_WORLD_202501_IMPORT</x:v>
      </x:c>
      <x:c r="B412" s="2" t="n">
        <x:v>202501</x:v>
      </x:c>
      <x:c r="C412" s="2" t="str">
        <x:v>62044300</x:v>
      </x:c>
      <x:c r="D412" s="2" t="str">
        <x:v>World</x:v>
      </x:c>
      <x:c r="E412" s="14" t="n">
        <x:v>25940775</x:v>
      </x:c>
      <x:c r="F412" s="14" t="n">
        <x:v>712071</x:v>
      </x:c>
      <x:c r="G412" s="2" t="str">
        <x:v>WITHIN_BAND</x:v>
      </x:c>
      <x:c r="H412" s="2" t="n">
        <x:v>1</x:v>
      </x:c>
      <x:c r="I412" s="2" t="n">
        <x:f>IF(AND(COUNTIFS($B$6:$B$797,B412,$C$6:$C$797,C412)=11,COUNTIFS($B$6:$B$797,B412,$C$6:$C$797,C412,$G$6:$G$797,"REVIEW")=0,COUNTIFS($B$6:$B$797,B412,$C$6:$C$797,C412,$H$6:$H$797,1)=11,COUNTIFS($B$6:$B$797,B412,$C$6:$C$797,C412,$F$6:$F$797,"&gt;0")=11),1,0)</x:f>
        <x:v>1</x:v>
      </x:c>
    </x:row>
    <x:row r="413" ht="22" customHeight="1">
      <x:c r="A413" s="2" t="str">
        <x:v>62044300_BD_202502_IMPORT</x:v>
      </x:c>
      <x:c r="B413" s="2" t="n">
        <x:v>202502</x:v>
      </x:c>
      <x:c r="C413" s="2" t="str">
        <x:v>62044300</x:v>
      </x:c>
      <x:c r="D413" s="2" t="str">
        <x:v>Bangladesh</x:v>
      </x:c>
      <x:c r="E413" s="14" t="n">
        <x:v>799940</x:v>
      </x:c>
      <x:c r="F413" s="14" t="n">
        <x:v>49961</x:v>
      </x:c>
      <x:c r="G413" s="2" t="str">
        <x:v>WITHIN_BAND</x:v>
      </x:c>
      <x:c r="H413" s="2" t="n">
        <x:v>1</x:v>
      </x:c>
      <x:c r="I413" s="2" t="n">
        <x:f>IF(AND(COUNTIFS($B$6:$B$797,B413,$C$6:$C$797,C413)=11,COUNTIFS($B$6:$B$797,B413,$C$6:$C$797,C413,$G$6:$G$797,"REVIEW")=0,COUNTIFS($B$6:$B$797,B413,$C$6:$C$797,C413,$H$6:$H$797,1)=11,COUNTIFS($B$6:$B$797,B413,$C$6:$C$797,C413,$F$6:$F$797,"&gt;0")=11),1,0)</x:f>
        <x:v>1</x:v>
      </x:c>
    </x:row>
    <x:row r="414" ht="22" customHeight="1">
      <x:c r="A414" s="2" t="str">
        <x:v>62044300_KH_202502_IMPORT</x:v>
      </x:c>
      <x:c r="B414" s="2" t="n">
        <x:v>202502</x:v>
      </x:c>
      <x:c r="C414" s="2" t="str">
        <x:v>62044300</x:v>
      </x:c>
      <x:c r="D414" s="2" t="str">
        <x:v>Cambodia</x:v>
      </x:c>
      <x:c r="E414" s="14" t="n">
        <x:v>173367</x:v>
      </x:c>
      <x:c r="F414" s="14" t="n">
        <x:v>8697</x:v>
      </x:c>
      <x:c r="G414" s="2" t="str">
        <x:v>WITHIN_BAND</x:v>
      </x:c>
      <x:c r="H414" s="2" t="n">
        <x:v>1</x:v>
      </x:c>
      <x:c r="I414" s="2" t="n">
        <x:f>IF(AND(COUNTIFS($B$6:$B$797,B414,$C$6:$C$797,C414)=11,COUNTIFS($B$6:$B$797,B414,$C$6:$C$797,C414,$G$6:$G$797,"REVIEW")=0,COUNTIFS($B$6:$B$797,B414,$C$6:$C$797,C414,$H$6:$H$797,1)=11,COUNTIFS($B$6:$B$797,B414,$C$6:$C$797,C414,$F$6:$F$797,"&gt;0")=11),1,0)</x:f>
        <x:v>1</x:v>
      </x:c>
    </x:row>
    <x:row r="415" ht="22" customHeight="1">
      <x:c r="A415" s="2" t="str">
        <x:v>62044300_CN_202502_IMPORT</x:v>
      </x:c>
      <x:c r="B415" s="2" t="n">
        <x:v>202502</x:v>
      </x:c>
      <x:c r="C415" s="2" t="str">
        <x:v>62044300</x:v>
      </x:c>
      <x:c r="D415" s="2" t="str">
        <x:v>China</x:v>
      </x:c>
      <x:c r="E415" s="14" t="n">
        <x:v>6795662</x:v>
      </x:c>
      <x:c r="F415" s="14" t="n">
        <x:v>238621</x:v>
      </x:c>
      <x:c r="G415" s="2" t="str">
        <x:v>WITHIN_BAND</x:v>
      </x:c>
      <x:c r="H415" s="2" t="n">
        <x:v>1</x:v>
      </x:c>
      <x:c r="I415" s="2" t="n">
        <x:f>IF(AND(COUNTIFS($B$6:$B$797,B415,$C$6:$C$797,C415)=11,COUNTIFS($B$6:$B$797,B415,$C$6:$C$797,C415,$G$6:$G$797,"REVIEW")=0,COUNTIFS($B$6:$B$797,B415,$C$6:$C$797,C415,$H$6:$H$797,1)=11,COUNTIFS($B$6:$B$797,B415,$C$6:$C$797,C415,$F$6:$F$797,"&gt;0")=11),1,0)</x:f>
        <x:v>1</x:v>
      </x:c>
    </x:row>
    <x:row r="416" ht="22" customHeight="1">
      <x:c r="A416" s="2" t="str">
        <x:v>62044300_IN_202502_IMPORT</x:v>
      </x:c>
      <x:c r="B416" s="2" t="n">
        <x:v>202502</x:v>
      </x:c>
      <x:c r="C416" s="2" t="str">
        <x:v>62044300</x:v>
      </x:c>
      <x:c r="D416" s="2" t="str">
        <x:v>India</x:v>
      </x:c>
      <x:c r="E416" s="14" t="n">
        <x:v>3352893</x:v>
      </x:c>
      <x:c r="F416" s="14" t="n">
        <x:v>99883</x:v>
      </x:c>
      <x:c r="G416" s="2" t="str">
        <x:v>WITHIN_BAND</x:v>
      </x:c>
      <x:c r="H416" s="2" t="n">
        <x:v>1</x:v>
      </x:c>
      <x:c r="I416" s="2" t="n">
        <x:f>IF(AND(COUNTIFS($B$6:$B$797,B416,$C$6:$C$797,C416)=11,COUNTIFS($B$6:$B$797,B416,$C$6:$C$797,C416,$G$6:$G$797,"REVIEW")=0,COUNTIFS($B$6:$B$797,B416,$C$6:$C$797,C416,$H$6:$H$797,1)=11,COUNTIFS($B$6:$B$797,B416,$C$6:$C$797,C416,$F$6:$F$797,"&gt;0")=11),1,0)</x:f>
        <x:v>1</x:v>
      </x:c>
    </x:row>
    <x:row r="417" ht="22" customHeight="1">
      <x:c r="A417" s="2" t="str">
        <x:v>62044300_MA_202502_IMPORT</x:v>
      </x:c>
      <x:c r="B417" s="2" t="n">
        <x:v>202502</x:v>
      </x:c>
      <x:c r="C417" s="2" t="str">
        <x:v>62044300</x:v>
      </x:c>
      <x:c r="D417" s="2" t="str">
        <x:v>Morocco</x:v>
      </x:c>
      <x:c r="E417" s="14" t="n">
        <x:v>754757</x:v>
      </x:c>
      <x:c r="F417" s="14" t="n">
        <x:v>34489</x:v>
      </x:c>
      <x:c r="G417" s="2" t="str">
        <x:v>WITHIN_BAND</x:v>
      </x:c>
      <x:c r="H417" s="2" t="n">
        <x:v>1</x:v>
      </x:c>
      <x:c r="I417" s="2" t="n">
        <x:f>IF(AND(COUNTIFS($B$6:$B$797,B417,$C$6:$C$797,C417)=11,COUNTIFS($B$6:$B$797,B417,$C$6:$C$797,C417,$G$6:$G$797,"REVIEW")=0,COUNTIFS($B$6:$B$797,B417,$C$6:$C$797,C417,$H$6:$H$797,1)=11,COUNTIFS($B$6:$B$797,B417,$C$6:$C$797,C417,$F$6:$F$797,"&gt;0")=11),1,0)</x:f>
        <x:v>1</x:v>
      </x:c>
    </x:row>
    <x:row r="418" ht="22" customHeight="1">
      <x:c r="A418" s="2" t="str">
        <x:v>62044300_MM_202502_IMPORT</x:v>
      </x:c>
      <x:c r="B418" s="2" t="n">
        <x:v>202502</x:v>
      </x:c>
      <x:c r="C418" s="2" t="str">
        <x:v>62044300</x:v>
      </x:c>
      <x:c r="D418" s="2" t="str">
        <x:v>Myanmar</x:v>
      </x:c>
      <x:c r="E418" s="14" t="n">
        <x:v>229004</x:v>
      </x:c>
      <x:c r="F418" s="14" t="n">
        <x:v>5515</x:v>
      </x:c>
      <x:c r="G418" s="2" t="str">
        <x:v>WITHIN_BAND</x:v>
      </x:c>
      <x:c r="H418" s="2" t="n">
        <x:v>1</x:v>
      </x:c>
      <x:c r="I418" s="2" t="n">
        <x:f>IF(AND(COUNTIFS($B$6:$B$797,B418,$C$6:$C$797,C418)=11,COUNTIFS($B$6:$B$797,B418,$C$6:$C$797,C418,$G$6:$G$797,"REVIEW")=0,COUNTIFS($B$6:$B$797,B418,$C$6:$C$797,C418,$H$6:$H$797,1)=11,COUNTIFS($B$6:$B$797,B418,$C$6:$C$797,C418,$F$6:$F$797,"&gt;0")=11),1,0)</x:f>
        <x:v>1</x:v>
      </x:c>
    </x:row>
    <x:row r="419" ht="22" customHeight="1">
      <x:c r="A419" s="2" t="str">
        <x:v>62044300_PK_202502_IMPORT</x:v>
      </x:c>
      <x:c r="B419" s="2" t="n">
        <x:v>202502</x:v>
      </x:c>
      <x:c r="C419" s="2" t="str">
        <x:v>62044300</x:v>
      </x:c>
      <x:c r="D419" s="2" t="str">
        <x:v>Pakistan</x:v>
      </x:c>
      <x:c r="E419" s="14" t="n">
        <x:v>111161</x:v>
      </x:c>
      <x:c r="F419" s="14" t="n">
        <x:v>2885</x:v>
      </x:c>
      <x:c r="G419" s="2" t="str">
        <x:v>WITHIN_BAND</x:v>
      </x:c>
      <x:c r="H419" s="2" t="n">
        <x:v>1</x:v>
      </x:c>
      <x:c r="I419" s="2" t="n">
        <x:f>IF(AND(COUNTIFS($B$6:$B$797,B419,$C$6:$C$797,C419)=11,COUNTIFS($B$6:$B$797,B419,$C$6:$C$797,C419,$G$6:$G$797,"REVIEW")=0,COUNTIFS($B$6:$B$797,B419,$C$6:$C$797,C419,$H$6:$H$797,1)=11,COUNTIFS($B$6:$B$797,B419,$C$6:$C$797,C419,$F$6:$F$797,"&gt;0")=11),1,0)</x:f>
        <x:v>1</x:v>
      </x:c>
    </x:row>
    <x:row r="420" ht="22" customHeight="1">
      <x:c r="A420" s="2" t="str">
        <x:v>62044300_LK_202502_IMPORT</x:v>
      </x:c>
      <x:c r="B420" s="2" t="n">
        <x:v>202502</x:v>
      </x:c>
      <x:c r="C420" s="2" t="str">
        <x:v>62044300</x:v>
      </x:c>
      <x:c r="D420" s="2" t="str">
        <x:v>Sri Lanka</x:v>
      </x:c>
      <x:c r="E420" s="14" t="n">
        <x:v>721739</x:v>
      </x:c>
      <x:c r="F420" s="14" t="n">
        <x:v>49296</x:v>
      </x:c>
      <x:c r="G420" s="2" t="str">
        <x:v>WITHIN_BAND</x:v>
      </x:c>
      <x:c r="H420" s="2" t="n">
        <x:v>1</x:v>
      </x:c>
      <x:c r="I420" s="2" t="n">
        <x:f>IF(AND(COUNTIFS($B$6:$B$797,B420,$C$6:$C$797,C420)=11,COUNTIFS($B$6:$B$797,B420,$C$6:$C$797,C420,$G$6:$G$797,"REVIEW")=0,COUNTIFS($B$6:$B$797,B420,$C$6:$C$797,C420,$H$6:$H$797,1)=11,COUNTIFS($B$6:$B$797,B420,$C$6:$C$797,C420,$F$6:$F$797,"&gt;0")=11),1,0)</x:f>
        <x:v>1</x:v>
      </x:c>
    </x:row>
    <x:row r="421" ht="22" customHeight="1">
      <x:c r="A421" s="2" t="str">
        <x:v>62044300_TR_202502_IMPORT</x:v>
      </x:c>
      <x:c r="B421" s="2" t="n">
        <x:v>202502</x:v>
      </x:c>
      <x:c r="C421" s="2" t="str">
        <x:v>62044300</x:v>
      </x:c>
      <x:c r="D421" s="2" t="str">
        <x:v>Turkey</x:v>
      </x:c>
      <x:c r="E421" s="14" t="n">
        <x:v>857879</x:v>
      </x:c>
      <x:c r="F421" s="14" t="n">
        <x:v>24744</x:v>
      </x:c>
      <x:c r="G421" s="2" t="str">
        <x:v>WITHIN_BAND</x:v>
      </x:c>
      <x:c r="H421" s="2" t="n">
        <x:v>1</x:v>
      </x:c>
      <x:c r="I421" s="2" t="n">
        <x:f>IF(AND(COUNTIFS($B$6:$B$797,B421,$C$6:$C$797,C421)=11,COUNTIFS($B$6:$B$797,B421,$C$6:$C$797,C421,$G$6:$G$797,"REVIEW")=0,COUNTIFS($B$6:$B$797,B421,$C$6:$C$797,C421,$H$6:$H$797,1)=11,COUNTIFS($B$6:$B$797,B421,$C$6:$C$797,C421,$F$6:$F$797,"&gt;0")=11),1,0)</x:f>
        <x:v>1</x:v>
      </x:c>
    </x:row>
    <x:row r="422" ht="22" customHeight="1">
      <x:c r="A422" s="2" t="str">
        <x:v>62044300_VN_202502_IMPORT</x:v>
      </x:c>
      <x:c r="B422" s="2" t="n">
        <x:v>202502</x:v>
      </x:c>
      <x:c r="C422" s="2" t="str">
        <x:v>62044300</x:v>
      </x:c>
      <x:c r="D422" s="2" t="str">
        <x:v>Vietnam</x:v>
      </x:c>
      <x:c r="E422" s="14" t="n">
        <x:v>420206</x:v>
      </x:c>
      <x:c r="F422" s="14" t="n">
        <x:v>15738</x:v>
      </x:c>
      <x:c r="G422" s="2" t="str">
        <x:v>WITHIN_BAND</x:v>
      </x:c>
      <x:c r="H422" s="2" t="n">
        <x:v>1</x:v>
      </x:c>
      <x:c r="I422" s="2" t="n">
        <x:f>IF(AND(COUNTIFS($B$6:$B$797,B422,$C$6:$C$797,C422)=11,COUNTIFS($B$6:$B$797,B422,$C$6:$C$797,C422,$G$6:$G$797,"REVIEW")=0,COUNTIFS($B$6:$B$797,B422,$C$6:$C$797,C422,$H$6:$H$797,1)=11,COUNTIFS($B$6:$B$797,B422,$C$6:$C$797,C422,$F$6:$F$797,"&gt;0")=11),1,0)</x:f>
        <x:v>1</x:v>
      </x:c>
    </x:row>
    <x:row r="423" ht="22" customHeight="1">
      <x:c r="A423" s="2" t="str">
        <x:v>62044300_WORLD_202502_IMPORT</x:v>
      </x:c>
      <x:c r="B423" s="2" t="n">
        <x:v>202502</x:v>
      </x:c>
      <x:c r="C423" s="2" t="str">
        <x:v>62044300</x:v>
      </x:c>
      <x:c r="D423" s="2" t="str">
        <x:v>World</x:v>
      </x:c>
      <x:c r="E423" s="14" t="n">
        <x:v>25262401</x:v>
      </x:c>
      <x:c r="F423" s="14" t="n">
        <x:v>709632</x:v>
      </x:c>
      <x:c r="G423" s="2" t="str">
        <x:v>WITHIN_BAND</x:v>
      </x:c>
      <x:c r="H423" s="2" t="n">
        <x:v>1</x:v>
      </x:c>
      <x:c r="I423" s="2" t="n">
        <x:f>IF(AND(COUNTIFS($B$6:$B$797,B423,$C$6:$C$797,C423)=11,COUNTIFS($B$6:$B$797,B423,$C$6:$C$797,C423,$G$6:$G$797,"REVIEW")=0,COUNTIFS($B$6:$B$797,B423,$C$6:$C$797,C423,$H$6:$H$797,1)=11,COUNTIFS($B$6:$B$797,B423,$C$6:$C$797,C423,$F$6:$F$797,"&gt;0")=11),1,0)</x:f>
        <x:v>1</x:v>
      </x:c>
    </x:row>
    <x:row r="424" ht="22" customHeight="1">
      <x:c r="A424" s="2" t="str">
        <x:v>62044300_BD_202503_IMPORT</x:v>
      </x:c>
      <x:c r="B424" s="2" t="n">
        <x:v>202503</x:v>
      </x:c>
      <x:c r="C424" s="2" t="str">
        <x:v>62044300</x:v>
      </x:c>
      <x:c r="D424" s="2" t="str">
        <x:v>Bangladesh</x:v>
      </x:c>
      <x:c r="E424" s="14" t="n">
        <x:v>1545036</x:v>
      </x:c>
      <x:c r="F424" s="14" t="n">
        <x:v>87064</x:v>
      </x:c>
      <x:c r="G424" s="2" t="str">
        <x:v>WITHIN_BAND</x:v>
      </x:c>
      <x:c r="H424" s="2" t="n">
        <x:v>1</x:v>
      </x:c>
      <x:c r="I424" s="2" t="n">
        <x:f>IF(AND(COUNTIFS($B$6:$B$797,B424,$C$6:$C$797,C424)=11,COUNTIFS($B$6:$B$797,B424,$C$6:$C$797,C424,$G$6:$G$797,"REVIEW")=0,COUNTIFS($B$6:$B$797,B424,$C$6:$C$797,C424,$H$6:$H$797,1)=11,COUNTIFS($B$6:$B$797,B424,$C$6:$C$797,C424,$F$6:$F$797,"&gt;0")=11),1,0)</x:f>
        <x:v>1</x:v>
      </x:c>
    </x:row>
    <x:row r="425" ht="22" customHeight="1">
      <x:c r="A425" s="2" t="str">
        <x:v>62044300_KH_202503_IMPORT</x:v>
      </x:c>
      <x:c r="B425" s="2" t="n">
        <x:v>202503</x:v>
      </x:c>
      <x:c r="C425" s="2" t="str">
        <x:v>62044300</x:v>
      </x:c>
      <x:c r="D425" s="2" t="str">
        <x:v>Cambodia</x:v>
      </x:c>
      <x:c r="E425" s="14" t="n">
        <x:v>265650</x:v>
      </x:c>
      <x:c r="F425" s="14" t="n">
        <x:v>16043</x:v>
      </x:c>
      <x:c r="G425" s="2" t="str">
        <x:v>WITHIN_BAND</x:v>
      </x:c>
      <x:c r="H425" s="2" t="n">
        <x:v>1</x:v>
      </x:c>
      <x:c r="I425" s="2" t="n">
        <x:f>IF(AND(COUNTIFS($B$6:$B$797,B425,$C$6:$C$797,C425)=11,COUNTIFS($B$6:$B$797,B425,$C$6:$C$797,C425,$G$6:$G$797,"REVIEW")=0,COUNTIFS($B$6:$B$797,B425,$C$6:$C$797,C425,$H$6:$H$797,1)=11,COUNTIFS($B$6:$B$797,B425,$C$6:$C$797,C425,$F$6:$F$797,"&gt;0")=11),1,0)</x:f>
        <x:v>1</x:v>
      </x:c>
    </x:row>
    <x:row r="426" ht="22" customHeight="1">
      <x:c r="A426" s="2" t="str">
        <x:v>62044300_CN_202503_IMPORT</x:v>
      </x:c>
      <x:c r="B426" s="2" t="n">
        <x:v>202503</x:v>
      </x:c>
      <x:c r="C426" s="2" t="str">
        <x:v>62044300</x:v>
      </x:c>
      <x:c r="D426" s="2" t="str">
        <x:v>China</x:v>
      </x:c>
      <x:c r="E426" s="14" t="n">
        <x:v>8765717</x:v>
      </x:c>
      <x:c r="F426" s="14" t="n">
        <x:v>294313</x:v>
      </x:c>
      <x:c r="G426" s="2" t="str">
        <x:v>WITHIN_BAND</x:v>
      </x:c>
      <x:c r="H426" s="2" t="n">
        <x:v>1</x:v>
      </x:c>
      <x:c r="I426" s="2" t="n">
        <x:f>IF(AND(COUNTIFS($B$6:$B$797,B426,$C$6:$C$797,C426)=11,COUNTIFS($B$6:$B$797,B426,$C$6:$C$797,C426,$G$6:$G$797,"REVIEW")=0,COUNTIFS($B$6:$B$797,B426,$C$6:$C$797,C426,$H$6:$H$797,1)=11,COUNTIFS($B$6:$B$797,B426,$C$6:$C$797,C426,$F$6:$F$797,"&gt;0")=11),1,0)</x:f>
        <x:v>1</x:v>
      </x:c>
    </x:row>
    <x:row r="427" ht="22" customHeight="1">
      <x:c r="A427" s="2" t="str">
        <x:v>62044300_IN_202503_IMPORT</x:v>
      </x:c>
      <x:c r="B427" s="2" t="n">
        <x:v>202503</x:v>
      </x:c>
      <x:c r="C427" s="2" t="str">
        <x:v>62044300</x:v>
      </x:c>
      <x:c r="D427" s="2" t="str">
        <x:v>India</x:v>
      </x:c>
      <x:c r="E427" s="14" t="n">
        <x:v>3694960</x:v>
      </x:c>
      <x:c r="F427" s="14" t="n">
        <x:v>135592</x:v>
      </x:c>
      <x:c r="G427" s="2" t="str">
        <x:v>WITHIN_BAND</x:v>
      </x:c>
      <x:c r="H427" s="2" t="n">
        <x:v>1</x:v>
      </x:c>
      <x:c r="I427" s="2" t="n">
        <x:f>IF(AND(COUNTIFS($B$6:$B$797,B427,$C$6:$C$797,C427)=11,COUNTIFS($B$6:$B$797,B427,$C$6:$C$797,C427,$G$6:$G$797,"REVIEW")=0,COUNTIFS($B$6:$B$797,B427,$C$6:$C$797,C427,$H$6:$H$797,1)=11,COUNTIFS($B$6:$B$797,B427,$C$6:$C$797,C427,$F$6:$F$797,"&gt;0")=11),1,0)</x:f>
        <x:v>1</x:v>
      </x:c>
    </x:row>
    <x:row r="428" ht="22" customHeight="1">
      <x:c r="A428" s="2" t="str">
        <x:v>62044300_MA_202503_IMPORT</x:v>
      </x:c>
      <x:c r="B428" s="2" t="n">
        <x:v>202503</x:v>
      </x:c>
      <x:c r="C428" s="2" t="str">
        <x:v>62044300</x:v>
      </x:c>
      <x:c r="D428" s="2" t="str">
        <x:v>Morocco</x:v>
      </x:c>
      <x:c r="E428" s="14" t="n">
        <x:v>866061</x:v>
      </x:c>
      <x:c r="F428" s="14" t="n">
        <x:v>38454</x:v>
      </x:c>
      <x:c r="G428" s="2" t="str">
        <x:v>WITHIN_BAND</x:v>
      </x:c>
      <x:c r="H428" s="2" t="n">
        <x:v>1</x:v>
      </x:c>
      <x:c r="I428" s="2" t="n">
        <x:f>IF(AND(COUNTIFS($B$6:$B$797,B428,$C$6:$C$797,C428)=11,COUNTIFS($B$6:$B$797,B428,$C$6:$C$797,C428,$G$6:$G$797,"REVIEW")=0,COUNTIFS($B$6:$B$797,B428,$C$6:$C$797,C428,$H$6:$H$797,1)=11,COUNTIFS($B$6:$B$797,B428,$C$6:$C$797,C428,$F$6:$F$797,"&gt;0")=11),1,0)</x:f>
        <x:v>1</x:v>
      </x:c>
    </x:row>
    <x:row r="429" ht="22" customHeight="1">
      <x:c r="A429" s="2" t="str">
        <x:v>62044300_MM_202503_IMPORT</x:v>
      </x:c>
      <x:c r="B429" s="2" t="n">
        <x:v>202503</x:v>
      </x:c>
      <x:c r="C429" s="2" t="str">
        <x:v>62044300</x:v>
      </x:c>
      <x:c r="D429" s="2" t="str">
        <x:v>Myanmar</x:v>
      </x:c>
      <x:c r="E429" s="14" t="n">
        <x:v>313685</x:v>
      </x:c>
      <x:c r="F429" s="14" t="n">
        <x:v>5939</x:v>
      </x:c>
      <x:c r="G429" s="2" t="str">
        <x:v>WITHIN_BAND</x:v>
      </x:c>
      <x:c r="H429" s="2" t="n">
        <x:v>1</x:v>
      </x:c>
      <x:c r="I429" s="2" t="n">
        <x:f>IF(AND(COUNTIFS($B$6:$B$797,B429,$C$6:$C$797,C429)=11,COUNTIFS($B$6:$B$797,B429,$C$6:$C$797,C429,$G$6:$G$797,"REVIEW")=0,COUNTIFS($B$6:$B$797,B429,$C$6:$C$797,C429,$H$6:$H$797,1)=11,COUNTIFS($B$6:$B$797,B429,$C$6:$C$797,C429,$F$6:$F$797,"&gt;0")=11),1,0)</x:f>
        <x:v>1</x:v>
      </x:c>
    </x:row>
    <x:row r="430" ht="22" customHeight="1">
      <x:c r="A430" s="2" t="str">
        <x:v>62044300_PK_202503_IMPORT</x:v>
      </x:c>
      <x:c r="B430" s="2" t="n">
        <x:v>202503</x:v>
      </x:c>
      <x:c r="C430" s="2" t="str">
        <x:v>62044300</x:v>
      </x:c>
      <x:c r="D430" s="2" t="str">
        <x:v>Pakistan</x:v>
      </x:c>
      <x:c r="E430" s="14" t="n">
        <x:v>231366</x:v>
      </x:c>
      <x:c r="F430" s="14" t="n">
        <x:v>12914</x:v>
      </x:c>
      <x:c r="G430" s="2" t="str">
        <x:v>WITHIN_BAND</x:v>
      </x:c>
      <x:c r="H430" s="2" t="n">
        <x:v>1</x:v>
      </x:c>
      <x:c r="I430" s="2" t="n">
        <x:f>IF(AND(COUNTIFS($B$6:$B$797,B430,$C$6:$C$797,C430)=11,COUNTIFS($B$6:$B$797,B430,$C$6:$C$797,C430,$G$6:$G$797,"REVIEW")=0,COUNTIFS($B$6:$B$797,B430,$C$6:$C$797,C430,$H$6:$H$797,1)=11,COUNTIFS($B$6:$B$797,B430,$C$6:$C$797,C430,$F$6:$F$797,"&gt;0")=11),1,0)</x:f>
        <x:v>1</x:v>
      </x:c>
    </x:row>
    <x:row r="431" ht="22" customHeight="1">
      <x:c r="A431" s="2" t="str">
        <x:v>62044300_LK_202503_IMPORT</x:v>
      </x:c>
      <x:c r="B431" s="2" t="n">
        <x:v>202503</x:v>
      </x:c>
      <x:c r="C431" s="2" t="str">
        <x:v>62044300</x:v>
      </x:c>
      <x:c r="D431" s="2" t="str">
        <x:v>Sri Lanka</x:v>
      </x:c>
      <x:c r="E431" s="14" t="n">
        <x:v>1073789</x:v>
      </x:c>
      <x:c r="F431" s="14" t="n">
        <x:v>46243</x:v>
      </x:c>
      <x:c r="G431" s="2" t="str">
        <x:v>WITHIN_BAND</x:v>
      </x:c>
      <x:c r="H431" s="2" t="n">
        <x:v>1</x:v>
      </x:c>
      <x:c r="I431" s="2" t="n">
        <x:f>IF(AND(COUNTIFS($B$6:$B$797,B431,$C$6:$C$797,C431)=11,COUNTIFS($B$6:$B$797,B431,$C$6:$C$797,C431,$G$6:$G$797,"REVIEW")=0,COUNTIFS($B$6:$B$797,B431,$C$6:$C$797,C431,$H$6:$H$797,1)=11,COUNTIFS($B$6:$B$797,B431,$C$6:$C$797,C431,$F$6:$F$797,"&gt;0")=11),1,0)</x:f>
        <x:v>1</x:v>
      </x:c>
    </x:row>
    <x:row r="432" ht="22" customHeight="1">
      <x:c r="A432" s="2" t="str">
        <x:v>62044300_TR_202503_IMPORT</x:v>
      </x:c>
      <x:c r="B432" s="2" t="n">
        <x:v>202503</x:v>
      </x:c>
      <x:c r="C432" s="2" t="str">
        <x:v>62044300</x:v>
      </x:c>
      <x:c r="D432" s="2" t="str">
        <x:v>Turkey</x:v>
      </x:c>
      <x:c r="E432" s="14" t="n">
        <x:v>1426874</x:v>
      </x:c>
      <x:c r="F432" s="14" t="n">
        <x:v>29768</x:v>
      </x:c>
      <x:c r="G432" s="2" t="str">
        <x:v>WITHIN_BAND</x:v>
      </x:c>
      <x:c r="H432" s="2" t="n">
        <x:v>1</x:v>
      </x:c>
      <x:c r="I432" s="2" t="n">
        <x:f>IF(AND(COUNTIFS($B$6:$B$797,B432,$C$6:$C$797,C432)=11,COUNTIFS($B$6:$B$797,B432,$C$6:$C$797,C432,$G$6:$G$797,"REVIEW")=0,COUNTIFS($B$6:$B$797,B432,$C$6:$C$797,C432,$H$6:$H$797,1)=11,COUNTIFS($B$6:$B$797,B432,$C$6:$C$797,C432,$F$6:$F$797,"&gt;0")=11),1,0)</x:f>
        <x:v>1</x:v>
      </x:c>
    </x:row>
    <x:row r="433" ht="22" customHeight="1">
      <x:c r="A433" s="2" t="str">
        <x:v>62044300_VN_202503_IMPORT</x:v>
      </x:c>
      <x:c r="B433" s="2" t="n">
        <x:v>202503</x:v>
      </x:c>
      <x:c r="C433" s="2" t="str">
        <x:v>62044300</x:v>
      </x:c>
      <x:c r="D433" s="2" t="str">
        <x:v>Vietnam</x:v>
      </x:c>
      <x:c r="E433" s="14" t="n">
        <x:v>512965</x:v>
      </x:c>
      <x:c r="F433" s="14" t="n">
        <x:v>18082</x:v>
      </x:c>
      <x:c r="G433" s="2" t="str">
        <x:v>WITHIN_BAND</x:v>
      </x:c>
      <x:c r="H433" s="2" t="n">
        <x:v>1</x:v>
      </x:c>
      <x:c r="I433" s="2" t="n">
        <x:f>IF(AND(COUNTIFS($B$6:$B$797,B433,$C$6:$C$797,C433)=11,COUNTIFS($B$6:$B$797,B433,$C$6:$C$797,C433,$G$6:$G$797,"REVIEW")=0,COUNTIFS($B$6:$B$797,B433,$C$6:$C$797,C433,$H$6:$H$797,1)=11,COUNTIFS($B$6:$B$797,B433,$C$6:$C$797,C433,$F$6:$F$797,"&gt;0")=11),1,0)</x:f>
        <x:v>1</x:v>
      </x:c>
    </x:row>
    <x:row r="434" ht="22" customHeight="1">
      <x:c r="A434" s="2" t="str">
        <x:v>62044300_WORLD_202503_IMPORT</x:v>
      </x:c>
      <x:c r="B434" s="2" t="n">
        <x:v>202503</x:v>
      </x:c>
      <x:c r="C434" s="2" t="str">
        <x:v>62044300</x:v>
      </x:c>
      <x:c r="D434" s="2" t="str">
        <x:v>World</x:v>
      </x:c>
      <x:c r="E434" s="14" t="n">
        <x:v>30959359</x:v>
      </x:c>
      <x:c r="F434" s="14" t="n">
        <x:v>895057</x:v>
      </x:c>
      <x:c r="G434" s="2" t="str">
        <x:v>WITHIN_BAND</x:v>
      </x:c>
      <x:c r="H434" s="2" t="n">
        <x:v>1</x:v>
      </x:c>
      <x:c r="I434" s="2" t="n">
        <x:f>IF(AND(COUNTIFS($B$6:$B$797,B434,$C$6:$C$797,C434)=11,COUNTIFS($B$6:$B$797,B434,$C$6:$C$797,C434,$G$6:$G$797,"REVIEW")=0,COUNTIFS($B$6:$B$797,B434,$C$6:$C$797,C434,$H$6:$H$797,1)=11,COUNTIFS($B$6:$B$797,B434,$C$6:$C$797,C434,$F$6:$F$797,"&gt;0")=11),1,0)</x:f>
        <x:v>1</x:v>
      </x:c>
    </x:row>
    <x:row r="435" ht="22" customHeight="1">
      <x:c r="A435" s="2" t="str">
        <x:v>62044300_BD_202504_IMPORT</x:v>
      </x:c>
      <x:c r="B435" s="2" t="n">
        <x:v>202504</x:v>
      </x:c>
      <x:c r="C435" s="2" t="str">
        <x:v>62044300</x:v>
      </x:c>
      <x:c r="D435" s="2" t="str">
        <x:v>Bangladesh</x:v>
      </x:c>
      <x:c r="E435" s="14" t="n">
        <x:v>1631300</x:v>
      </x:c>
      <x:c r="F435" s="14" t="n">
        <x:v>98377</x:v>
      </x:c>
      <x:c r="G435" s="2" t="str">
        <x:v>WITHIN_BAND</x:v>
      </x:c>
      <x:c r="H435" s="2" t="n">
        <x:v>1</x:v>
      </x:c>
      <x:c r="I435" s="2" t="n">
        <x:f>IF(AND(COUNTIFS($B$6:$B$797,B435,$C$6:$C$797,C435)=11,COUNTIFS($B$6:$B$797,B435,$C$6:$C$797,C435,$G$6:$G$797,"REVIEW")=0,COUNTIFS($B$6:$B$797,B435,$C$6:$C$797,C435,$H$6:$H$797,1)=11,COUNTIFS($B$6:$B$797,B435,$C$6:$C$797,C435,$F$6:$F$797,"&gt;0")=11),1,0)</x:f>
        <x:v>1</x:v>
      </x:c>
    </x:row>
    <x:row r="436" ht="22" customHeight="1">
      <x:c r="A436" s="2" t="str">
        <x:v>62044300_KH_202504_IMPORT</x:v>
      </x:c>
      <x:c r="B436" s="2" t="n">
        <x:v>202504</x:v>
      </x:c>
      <x:c r="C436" s="2" t="str">
        <x:v>62044300</x:v>
      </x:c>
      <x:c r="D436" s="2" t="str">
        <x:v>Cambodia</x:v>
      </x:c>
      <x:c r="E436" s="14" t="n">
        <x:v>247950</x:v>
      </x:c>
      <x:c r="F436" s="14" t="n">
        <x:v>15033</x:v>
      </x:c>
      <x:c r="G436" s="2" t="str">
        <x:v>WITHIN_BAND</x:v>
      </x:c>
      <x:c r="H436" s="2" t="n">
        <x:v>1</x:v>
      </x:c>
      <x:c r="I436" s="2" t="n">
        <x:f>IF(AND(COUNTIFS($B$6:$B$797,B436,$C$6:$C$797,C436)=11,COUNTIFS($B$6:$B$797,B436,$C$6:$C$797,C436,$G$6:$G$797,"REVIEW")=0,COUNTIFS($B$6:$B$797,B436,$C$6:$C$797,C436,$H$6:$H$797,1)=11,COUNTIFS($B$6:$B$797,B436,$C$6:$C$797,C436,$F$6:$F$797,"&gt;0")=11),1,0)</x:f>
        <x:v>1</x:v>
      </x:c>
    </x:row>
    <x:row r="437" ht="22" customHeight="1">
      <x:c r="A437" s="2" t="str">
        <x:v>62044300_CN_202504_IMPORT</x:v>
      </x:c>
      <x:c r="B437" s="2" t="n">
        <x:v>202504</x:v>
      </x:c>
      <x:c r="C437" s="2" t="str">
        <x:v>62044300</x:v>
      </x:c>
      <x:c r="D437" s="2" t="str">
        <x:v>China</x:v>
      </x:c>
      <x:c r="E437" s="14" t="n">
        <x:v>8109859</x:v>
      </x:c>
      <x:c r="F437" s="14" t="n">
        <x:v>284274</x:v>
      </x:c>
      <x:c r="G437" s="2" t="str">
        <x:v>WITHIN_BAND</x:v>
      </x:c>
      <x:c r="H437" s="2" t="n">
        <x:v>1</x:v>
      </x:c>
      <x:c r="I437" s="2" t="n">
        <x:f>IF(AND(COUNTIFS($B$6:$B$797,B437,$C$6:$C$797,C437)=11,COUNTIFS($B$6:$B$797,B437,$C$6:$C$797,C437,$G$6:$G$797,"REVIEW")=0,COUNTIFS($B$6:$B$797,B437,$C$6:$C$797,C437,$H$6:$H$797,1)=11,COUNTIFS($B$6:$B$797,B437,$C$6:$C$797,C437,$F$6:$F$797,"&gt;0")=11),1,0)</x:f>
        <x:v>1</x:v>
      </x:c>
    </x:row>
    <x:row r="438" ht="22" customHeight="1">
      <x:c r="A438" s="2" t="str">
        <x:v>62044300_IN_202504_IMPORT</x:v>
      </x:c>
      <x:c r="B438" s="2" t="n">
        <x:v>202504</x:v>
      </x:c>
      <x:c r="C438" s="2" t="str">
        <x:v>62044300</x:v>
      </x:c>
      <x:c r="D438" s="2" t="str">
        <x:v>India</x:v>
      </x:c>
      <x:c r="E438" s="14" t="n">
        <x:v>4044322</x:v>
      </x:c>
      <x:c r="F438" s="14" t="n">
        <x:v>171258</x:v>
      </x:c>
      <x:c r="G438" s="2" t="str">
        <x:v>WITHIN_BAND</x:v>
      </x:c>
      <x:c r="H438" s="2" t="n">
        <x:v>1</x:v>
      </x:c>
      <x:c r="I438" s="2" t="n">
        <x:f>IF(AND(COUNTIFS($B$6:$B$797,B438,$C$6:$C$797,C438)=11,COUNTIFS($B$6:$B$797,B438,$C$6:$C$797,C438,$G$6:$G$797,"REVIEW")=0,COUNTIFS($B$6:$B$797,B438,$C$6:$C$797,C438,$H$6:$H$797,1)=11,COUNTIFS($B$6:$B$797,B438,$C$6:$C$797,C438,$F$6:$F$797,"&gt;0")=11),1,0)</x:f>
        <x:v>1</x:v>
      </x:c>
    </x:row>
    <x:row r="439" ht="22" customHeight="1">
      <x:c r="A439" s="2" t="str">
        <x:v>62044300_MA_202504_IMPORT</x:v>
      </x:c>
      <x:c r="B439" s="2" t="n">
        <x:v>202504</x:v>
      </x:c>
      <x:c r="C439" s="2" t="str">
        <x:v>62044300</x:v>
      </x:c>
      <x:c r="D439" s="2" t="str">
        <x:v>Morocco</x:v>
      </x:c>
      <x:c r="E439" s="14" t="n">
        <x:v>902705</x:v>
      </x:c>
      <x:c r="F439" s="14" t="n">
        <x:v>44420</x:v>
      </x:c>
      <x:c r="G439" s="2" t="str">
        <x:v>WITHIN_BAND</x:v>
      </x:c>
      <x:c r="H439" s="2" t="n">
        <x:v>1</x:v>
      </x:c>
      <x:c r="I439" s="2" t="n">
        <x:f>IF(AND(COUNTIFS($B$6:$B$797,B439,$C$6:$C$797,C439)=11,COUNTIFS($B$6:$B$797,B439,$C$6:$C$797,C439,$G$6:$G$797,"REVIEW")=0,COUNTIFS($B$6:$B$797,B439,$C$6:$C$797,C439,$H$6:$H$797,1)=11,COUNTIFS($B$6:$B$797,B439,$C$6:$C$797,C439,$F$6:$F$797,"&gt;0")=11),1,0)</x:f>
        <x:v>1</x:v>
      </x:c>
    </x:row>
    <x:row r="440" ht="22" customHeight="1">
      <x:c r="A440" s="2" t="str">
        <x:v>62044300_MM_202504_IMPORT</x:v>
      </x:c>
      <x:c r="B440" s="2" t="n">
        <x:v>202504</x:v>
      </x:c>
      <x:c r="C440" s="2" t="str">
        <x:v>62044300</x:v>
      </x:c>
      <x:c r="D440" s="2" t="str">
        <x:v>Myanmar</x:v>
      </x:c>
      <x:c r="E440" s="14" t="n">
        <x:v>249887</x:v>
      </x:c>
      <x:c r="F440" s="14" t="n">
        <x:v>6436</x:v>
      </x:c>
      <x:c r="G440" s="2" t="str">
        <x:v>WITHIN_BAND</x:v>
      </x:c>
      <x:c r="H440" s="2" t="n">
        <x:v>1</x:v>
      </x:c>
      <x:c r="I440" s="2" t="n">
        <x:f>IF(AND(COUNTIFS($B$6:$B$797,B440,$C$6:$C$797,C440)=11,COUNTIFS($B$6:$B$797,B440,$C$6:$C$797,C440,$G$6:$G$797,"REVIEW")=0,COUNTIFS($B$6:$B$797,B440,$C$6:$C$797,C440,$H$6:$H$797,1)=11,COUNTIFS($B$6:$B$797,B440,$C$6:$C$797,C440,$F$6:$F$797,"&gt;0")=11),1,0)</x:f>
        <x:v>1</x:v>
      </x:c>
    </x:row>
    <x:row r="441" ht="22" customHeight="1">
      <x:c r="A441" s="2" t="str">
        <x:v>62044300_PK_202504_IMPORT</x:v>
      </x:c>
      <x:c r="B441" s="2" t="n">
        <x:v>202504</x:v>
      </x:c>
      <x:c r="C441" s="2" t="str">
        <x:v>62044300</x:v>
      </x:c>
      <x:c r="D441" s="2" t="str">
        <x:v>Pakistan</x:v>
      </x:c>
      <x:c r="E441" s="14" t="n">
        <x:v>106331</x:v>
      </x:c>
      <x:c r="F441" s="14" t="n">
        <x:v>4353</x:v>
      </x:c>
      <x:c r="G441" s="2" t="str">
        <x:v>WITHIN_BAND</x:v>
      </x:c>
      <x:c r="H441" s="2" t="n">
        <x:v>1</x:v>
      </x:c>
      <x:c r="I441" s="2" t="n">
        <x:f>IF(AND(COUNTIFS($B$6:$B$797,B441,$C$6:$C$797,C441)=11,COUNTIFS($B$6:$B$797,B441,$C$6:$C$797,C441,$G$6:$G$797,"REVIEW")=0,COUNTIFS($B$6:$B$797,B441,$C$6:$C$797,C441,$H$6:$H$797,1)=11,COUNTIFS($B$6:$B$797,B441,$C$6:$C$797,C441,$F$6:$F$797,"&gt;0")=11),1,0)</x:f>
        <x:v>1</x:v>
      </x:c>
    </x:row>
    <x:row r="442" ht="22" customHeight="1">
      <x:c r="A442" s="2" t="str">
        <x:v>62044300_LK_202504_IMPORT</x:v>
      </x:c>
      <x:c r="B442" s="2" t="n">
        <x:v>202504</x:v>
      </x:c>
      <x:c r="C442" s="2" t="str">
        <x:v>62044300</x:v>
      </x:c>
      <x:c r="D442" s="2" t="str">
        <x:v>Sri Lanka</x:v>
      </x:c>
      <x:c r="E442" s="14" t="n">
        <x:v>1304355</x:v>
      </x:c>
      <x:c r="F442" s="14" t="n">
        <x:v>80451</x:v>
      </x:c>
      <x:c r="G442" s="2" t="str">
        <x:v>WITHIN_BAND</x:v>
      </x:c>
      <x:c r="H442" s="2" t="n">
        <x:v>1</x:v>
      </x:c>
      <x:c r="I442" s="2" t="n">
        <x:f>IF(AND(COUNTIFS($B$6:$B$797,B442,$C$6:$C$797,C442)=11,COUNTIFS($B$6:$B$797,B442,$C$6:$C$797,C442,$G$6:$G$797,"REVIEW")=0,COUNTIFS($B$6:$B$797,B442,$C$6:$C$797,C442,$H$6:$H$797,1)=11,COUNTIFS($B$6:$B$797,B442,$C$6:$C$797,C442,$F$6:$F$797,"&gt;0")=11),1,0)</x:f>
        <x:v>1</x:v>
      </x:c>
    </x:row>
    <x:row r="443" ht="22" customHeight="1">
      <x:c r="A443" s="2" t="str">
        <x:v>62044300_TR_202504_IMPORT</x:v>
      </x:c>
      <x:c r="B443" s="2" t="n">
        <x:v>202504</x:v>
      </x:c>
      <x:c r="C443" s="2" t="str">
        <x:v>62044300</x:v>
      </x:c>
      <x:c r="D443" s="2" t="str">
        <x:v>Turkey</x:v>
      </x:c>
      <x:c r="E443" s="14" t="n">
        <x:v>794719</x:v>
      </x:c>
      <x:c r="F443" s="14" t="n">
        <x:v>25960</x:v>
      </x:c>
      <x:c r="G443" s="2" t="str">
        <x:v>WITHIN_BAND</x:v>
      </x:c>
      <x:c r="H443" s="2" t="n">
        <x:v>1</x:v>
      </x:c>
      <x:c r="I443" s="2" t="n">
        <x:f>IF(AND(COUNTIFS($B$6:$B$797,B443,$C$6:$C$797,C443)=11,COUNTIFS($B$6:$B$797,B443,$C$6:$C$797,C443,$G$6:$G$797,"REVIEW")=0,COUNTIFS($B$6:$B$797,B443,$C$6:$C$797,C443,$H$6:$H$797,1)=11,COUNTIFS($B$6:$B$797,B443,$C$6:$C$797,C443,$F$6:$F$797,"&gt;0")=11),1,0)</x:f>
        <x:v>1</x:v>
      </x:c>
    </x:row>
    <x:row r="444" ht="22" customHeight="1">
      <x:c r="A444" s="2" t="str">
        <x:v>62044300_VN_202504_IMPORT</x:v>
      </x:c>
      <x:c r="B444" s="2" t="n">
        <x:v>202504</x:v>
      </x:c>
      <x:c r="C444" s="2" t="str">
        <x:v>62044300</x:v>
      </x:c>
      <x:c r="D444" s="2" t="str">
        <x:v>Vietnam</x:v>
      </x:c>
      <x:c r="E444" s="14" t="n">
        <x:v>916128</x:v>
      </x:c>
      <x:c r="F444" s="14" t="n">
        <x:v>34290</x:v>
      </x:c>
      <x:c r="G444" s="2" t="str">
        <x:v>WITHIN_BAND</x:v>
      </x:c>
      <x:c r="H444" s="2" t="n">
        <x:v>1</x:v>
      </x:c>
      <x:c r="I444" s="2" t="n">
        <x:f>IF(AND(COUNTIFS($B$6:$B$797,B444,$C$6:$C$797,C444)=11,COUNTIFS($B$6:$B$797,B444,$C$6:$C$797,C444,$G$6:$G$797,"REVIEW")=0,COUNTIFS($B$6:$B$797,B444,$C$6:$C$797,C444,$H$6:$H$797,1)=11,COUNTIFS($B$6:$B$797,B444,$C$6:$C$797,C444,$F$6:$F$797,"&gt;0")=11),1,0)</x:f>
        <x:v>1</x:v>
      </x:c>
    </x:row>
    <x:row r="445" ht="22" customHeight="1">
      <x:c r="A445" s="2" t="str">
        <x:v>62044300_WORLD_202504_IMPORT</x:v>
      </x:c>
      <x:c r="B445" s="2" t="n">
        <x:v>202504</x:v>
      </x:c>
      <x:c r="C445" s="2" t="str">
        <x:v>62044300</x:v>
      </x:c>
      <x:c r="D445" s="2" t="str">
        <x:v>World</x:v>
      </x:c>
      <x:c r="E445" s="14" t="n">
        <x:v>30033977</x:v>
      </x:c>
      <x:c r="F445" s="14" t="n">
        <x:v>955936</x:v>
      </x:c>
      <x:c r="G445" s="2" t="str">
        <x:v>WITHIN_BAND</x:v>
      </x:c>
      <x:c r="H445" s="2" t="n">
        <x:v>1</x:v>
      </x:c>
      <x:c r="I445" s="2" t="n">
        <x:f>IF(AND(COUNTIFS($B$6:$B$797,B445,$C$6:$C$797,C445)=11,COUNTIFS($B$6:$B$797,B445,$C$6:$C$797,C445,$G$6:$G$797,"REVIEW")=0,COUNTIFS($B$6:$B$797,B445,$C$6:$C$797,C445,$H$6:$H$797,1)=11,COUNTIFS($B$6:$B$797,B445,$C$6:$C$797,C445,$F$6:$F$797,"&gt;0")=11),1,0)</x:f>
        <x:v>1</x:v>
      </x:c>
    </x:row>
    <x:row r="446" ht="22" customHeight="1">
      <x:c r="A446" s="2" t="str">
        <x:v>62044300_BD_202505_IMPORT</x:v>
      </x:c>
      <x:c r="B446" s="2" t="n">
        <x:v>202505</x:v>
      </x:c>
      <x:c r="C446" s="2" t="str">
        <x:v>62044300</x:v>
      </x:c>
      <x:c r="D446" s="2" t="str">
        <x:v>Bangladesh</x:v>
      </x:c>
      <x:c r="E446" s="14" t="n">
        <x:v>1563541</x:v>
      </x:c>
      <x:c r="F446" s="14" t="n">
        <x:v>92021</x:v>
      </x:c>
      <x:c r="G446" s="2" t="str">
        <x:v>WITHIN_BAND</x:v>
      </x:c>
      <x:c r="H446" s="2" t="n">
        <x:v>1</x:v>
      </x:c>
      <x:c r="I446" s="2" t="n">
        <x:f>IF(AND(COUNTIFS($B$6:$B$797,B446,$C$6:$C$797,C446)=11,COUNTIFS($B$6:$B$797,B446,$C$6:$C$797,C446,$G$6:$G$797,"REVIEW")=0,COUNTIFS($B$6:$B$797,B446,$C$6:$C$797,C446,$H$6:$H$797,1)=11,COUNTIFS($B$6:$B$797,B446,$C$6:$C$797,C446,$F$6:$F$797,"&gt;0")=11),1,0)</x:f>
        <x:v>1</x:v>
      </x:c>
    </x:row>
    <x:row r="447" ht="22" customHeight="1">
      <x:c r="A447" s="2" t="str">
        <x:v>62044300_KH_202505_IMPORT</x:v>
      </x:c>
      <x:c r="B447" s="2" t="n">
        <x:v>202505</x:v>
      </x:c>
      <x:c r="C447" s="2" t="str">
        <x:v>62044300</x:v>
      </x:c>
      <x:c r="D447" s="2" t="str">
        <x:v>Cambodia</x:v>
      </x:c>
      <x:c r="E447" s="14" t="n">
        <x:v>837194</x:v>
      </x:c>
      <x:c r="F447" s="14" t="n">
        <x:v>56550</x:v>
      </x:c>
      <x:c r="G447" s="2" t="str">
        <x:v>WITHIN_BAND</x:v>
      </x:c>
      <x:c r="H447" s="2" t="n">
        <x:v>1</x:v>
      </x:c>
      <x:c r="I447" s="2" t="n">
        <x:f>IF(AND(COUNTIFS($B$6:$B$797,B447,$C$6:$C$797,C447)=11,COUNTIFS($B$6:$B$797,B447,$C$6:$C$797,C447,$G$6:$G$797,"REVIEW")=0,COUNTIFS($B$6:$B$797,B447,$C$6:$C$797,C447,$H$6:$H$797,1)=11,COUNTIFS($B$6:$B$797,B447,$C$6:$C$797,C447,$F$6:$F$797,"&gt;0")=11),1,0)</x:f>
        <x:v>1</x:v>
      </x:c>
    </x:row>
    <x:row r="448" ht="22" customHeight="1">
      <x:c r="A448" s="2" t="str">
        <x:v>62044300_CN_202505_IMPORT</x:v>
      </x:c>
      <x:c r="B448" s="2" t="n">
        <x:v>202505</x:v>
      </x:c>
      <x:c r="C448" s="2" t="str">
        <x:v>62044300</x:v>
      </x:c>
      <x:c r="D448" s="2" t="str">
        <x:v>China</x:v>
      </x:c>
      <x:c r="E448" s="14" t="n">
        <x:v>9366163</x:v>
      </x:c>
      <x:c r="F448" s="14" t="n">
        <x:v>350636</x:v>
      </x:c>
      <x:c r="G448" s="2" t="str">
        <x:v>WITHIN_BAND</x:v>
      </x:c>
      <x:c r="H448" s="2" t="n">
        <x:v>1</x:v>
      </x:c>
      <x:c r="I448" s="2" t="n">
        <x:f>IF(AND(COUNTIFS($B$6:$B$797,B448,$C$6:$C$797,C448)=11,COUNTIFS($B$6:$B$797,B448,$C$6:$C$797,C448,$G$6:$G$797,"REVIEW")=0,COUNTIFS($B$6:$B$797,B448,$C$6:$C$797,C448,$H$6:$H$797,1)=11,COUNTIFS($B$6:$B$797,B448,$C$6:$C$797,C448,$F$6:$F$797,"&gt;0")=11),1,0)</x:f>
        <x:v>1</x:v>
      </x:c>
    </x:row>
    <x:row r="449" ht="22" customHeight="1">
      <x:c r="A449" s="2" t="str">
        <x:v>62044300_IN_202505_IMPORT</x:v>
      </x:c>
      <x:c r="B449" s="2" t="n">
        <x:v>202505</x:v>
      </x:c>
      <x:c r="C449" s="2" t="str">
        <x:v>62044300</x:v>
      </x:c>
      <x:c r="D449" s="2" t="str">
        <x:v>India</x:v>
      </x:c>
      <x:c r="E449" s="14" t="n">
        <x:v>4799200</x:v>
      </x:c>
      <x:c r="F449" s="14" t="n">
        <x:v>177854</x:v>
      </x:c>
      <x:c r="G449" s="2" t="str">
        <x:v>WITHIN_BAND</x:v>
      </x:c>
      <x:c r="H449" s="2" t="n">
        <x:v>1</x:v>
      </x:c>
      <x:c r="I449" s="2" t="n">
        <x:f>IF(AND(COUNTIFS($B$6:$B$797,B449,$C$6:$C$797,C449)=11,COUNTIFS($B$6:$B$797,B449,$C$6:$C$797,C449,$G$6:$G$797,"REVIEW")=0,COUNTIFS($B$6:$B$797,B449,$C$6:$C$797,C449,$H$6:$H$797,1)=11,COUNTIFS($B$6:$B$797,B449,$C$6:$C$797,C449,$F$6:$F$797,"&gt;0")=11),1,0)</x:f>
        <x:v>1</x:v>
      </x:c>
    </x:row>
    <x:row r="450" ht="22" customHeight="1">
      <x:c r="A450" s="2" t="str">
        <x:v>62044300_MA_202505_IMPORT</x:v>
      </x:c>
      <x:c r="B450" s="2" t="n">
        <x:v>202505</x:v>
      </x:c>
      <x:c r="C450" s="2" t="str">
        <x:v>62044300</x:v>
      </x:c>
      <x:c r="D450" s="2" t="str">
        <x:v>Morocco</x:v>
      </x:c>
      <x:c r="E450" s="14" t="n">
        <x:v>1589641</x:v>
      </x:c>
      <x:c r="F450" s="14" t="n">
        <x:v>75969</x:v>
      </x:c>
      <x:c r="G450" s="2" t="str">
        <x:v>WITHIN_BAND</x:v>
      </x:c>
      <x:c r="H450" s="2" t="n">
        <x:v>1</x:v>
      </x:c>
      <x:c r="I450" s="2" t="n">
        <x:f>IF(AND(COUNTIFS($B$6:$B$797,B450,$C$6:$C$797,C450)=11,COUNTIFS($B$6:$B$797,B450,$C$6:$C$797,C450,$G$6:$G$797,"REVIEW")=0,COUNTIFS($B$6:$B$797,B450,$C$6:$C$797,C450,$H$6:$H$797,1)=11,COUNTIFS($B$6:$B$797,B450,$C$6:$C$797,C450,$F$6:$F$797,"&gt;0")=11),1,0)</x:f>
        <x:v>1</x:v>
      </x:c>
    </x:row>
    <x:row r="451" ht="22" customHeight="1">
      <x:c r="A451" s="2" t="str">
        <x:v>62044300_MM_202505_IMPORT</x:v>
      </x:c>
      <x:c r="B451" s="2" t="n">
        <x:v>202505</x:v>
      </x:c>
      <x:c r="C451" s="2" t="str">
        <x:v>62044300</x:v>
      </x:c>
      <x:c r="D451" s="2" t="str">
        <x:v>Myanmar</x:v>
      </x:c>
      <x:c r="E451" s="14" t="n">
        <x:v>404121</x:v>
      </x:c>
      <x:c r="F451" s="14" t="n">
        <x:v>11427</x:v>
      </x:c>
      <x:c r="G451" s="2" t="str">
        <x:v>WITHIN_BAND</x:v>
      </x:c>
      <x:c r="H451" s="2" t="n">
        <x:v>1</x:v>
      </x:c>
      <x:c r="I451" s="2" t="n">
        <x:f>IF(AND(COUNTIFS($B$6:$B$797,B451,$C$6:$C$797,C451)=11,COUNTIFS($B$6:$B$797,B451,$C$6:$C$797,C451,$G$6:$G$797,"REVIEW")=0,COUNTIFS($B$6:$B$797,B451,$C$6:$C$797,C451,$H$6:$H$797,1)=11,COUNTIFS($B$6:$B$797,B451,$C$6:$C$797,C451,$F$6:$F$797,"&gt;0")=11),1,0)</x:f>
        <x:v>1</x:v>
      </x:c>
    </x:row>
    <x:row r="452" ht="22" customHeight="1">
      <x:c r="A452" s="2" t="str">
        <x:v>62044300_PK_202505_IMPORT</x:v>
      </x:c>
      <x:c r="B452" s="2" t="n">
        <x:v>202505</x:v>
      </x:c>
      <x:c r="C452" s="2" t="str">
        <x:v>62044300</x:v>
      </x:c>
      <x:c r="D452" s="2" t="str">
        <x:v>Pakistan</x:v>
      </x:c>
      <x:c r="E452" s="14" t="n">
        <x:v>217737</x:v>
      </x:c>
      <x:c r="F452" s="14" t="n">
        <x:v>13349</x:v>
      </x:c>
      <x:c r="G452" s="2" t="str">
        <x:v>WITHIN_BAND</x:v>
      </x:c>
      <x:c r="H452" s="2" t="n">
        <x:v>1</x:v>
      </x:c>
      <x:c r="I452" s="2" t="n">
        <x:f>IF(AND(COUNTIFS($B$6:$B$797,B452,$C$6:$C$797,C452)=11,COUNTIFS($B$6:$B$797,B452,$C$6:$C$797,C452,$G$6:$G$797,"REVIEW")=0,COUNTIFS($B$6:$B$797,B452,$C$6:$C$797,C452,$H$6:$H$797,1)=11,COUNTIFS($B$6:$B$797,B452,$C$6:$C$797,C452,$F$6:$F$797,"&gt;0")=11),1,0)</x:f>
        <x:v>1</x:v>
      </x:c>
    </x:row>
    <x:row r="453" ht="22" customHeight="1">
      <x:c r="A453" s="2" t="str">
        <x:v>62044300_LK_202505_IMPORT</x:v>
      </x:c>
      <x:c r="B453" s="2" t="n">
        <x:v>202505</x:v>
      </x:c>
      <x:c r="C453" s="2" t="str">
        <x:v>62044300</x:v>
      </x:c>
      <x:c r="D453" s="2" t="str">
        <x:v>Sri Lanka</x:v>
      </x:c>
      <x:c r="E453" s="14" t="n">
        <x:v>2301792</x:v>
      </x:c>
      <x:c r="F453" s="14" t="n">
        <x:v>145045</x:v>
      </x:c>
      <x:c r="G453" s="2" t="str">
        <x:v>WITHIN_BAND</x:v>
      </x:c>
      <x:c r="H453" s="2" t="n">
        <x:v>1</x:v>
      </x:c>
      <x:c r="I453" s="2" t="n">
        <x:f>IF(AND(COUNTIFS($B$6:$B$797,B453,$C$6:$C$797,C453)=11,COUNTIFS($B$6:$B$797,B453,$C$6:$C$797,C453,$G$6:$G$797,"REVIEW")=0,COUNTIFS($B$6:$B$797,B453,$C$6:$C$797,C453,$H$6:$H$797,1)=11,COUNTIFS($B$6:$B$797,B453,$C$6:$C$797,C453,$F$6:$F$797,"&gt;0")=11),1,0)</x:f>
        <x:v>1</x:v>
      </x:c>
    </x:row>
    <x:row r="454" ht="22" customHeight="1">
      <x:c r="A454" s="2" t="str">
        <x:v>62044300_TR_202505_IMPORT</x:v>
      </x:c>
      <x:c r="B454" s="2" t="n">
        <x:v>202505</x:v>
      </x:c>
      <x:c r="C454" s="2" t="str">
        <x:v>62044300</x:v>
      </x:c>
      <x:c r="D454" s="2" t="str">
        <x:v>Turkey</x:v>
      </x:c>
      <x:c r="E454" s="14" t="n">
        <x:v>1049930</x:v>
      </x:c>
      <x:c r="F454" s="14" t="n">
        <x:v>27030</x:v>
      </x:c>
      <x:c r="G454" s="2" t="str">
        <x:v>WITHIN_BAND</x:v>
      </x:c>
      <x:c r="H454" s="2" t="n">
        <x:v>1</x:v>
      </x:c>
      <x:c r="I454" s="2" t="n">
        <x:f>IF(AND(COUNTIFS($B$6:$B$797,B454,$C$6:$C$797,C454)=11,COUNTIFS($B$6:$B$797,B454,$C$6:$C$797,C454,$G$6:$G$797,"REVIEW")=0,COUNTIFS($B$6:$B$797,B454,$C$6:$C$797,C454,$H$6:$H$797,1)=11,COUNTIFS($B$6:$B$797,B454,$C$6:$C$797,C454,$F$6:$F$797,"&gt;0")=11),1,0)</x:f>
        <x:v>1</x:v>
      </x:c>
    </x:row>
    <x:row r="455" ht="22" customHeight="1">
      <x:c r="A455" s="2" t="str">
        <x:v>62044300_VN_202505_IMPORT</x:v>
      </x:c>
      <x:c r="B455" s="2" t="n">
        <x:v>202505</x:v>
      </x:c>
      <x:c r="C455" s="2" t="str">
        <x:v>62044300</x:v>
      </x:c>
      <x:c r="D455" s="2" t="str">
        <x:v>Vietnam</x:v>
      </x:c>
      <x:c r="E455" s="14" t="n">
        <x:v>839203</x:v>
      </x:c>
      <x:c r="F455" s="14" t="n">
        <x:v>36883</x:v>
      </x:c>
      <x:c r="G455" s="2" t="str">
        <x:v>WITHIN_BAND</x:v>
      </x:c>
      <x:c r="H455" s="2" t="n">
        <x:v>1</x:v>
      </x:c>
      <x:c r="I455" s="2" t="n">
        <x:f>IF(AND(COUNTIFS($B$6:$B$797,B455,$C$6:$C$797,C455)=11,COUNTIFS($B$6:$B$797,B455,$C$6:$C$797,C455,$G$6:$G$797,"REVIEW")=0,COUNTIFS($B$6:$B$797,B455,$C$6:$C$797,C455,$H$6:$H$797,1)=11,COUNTIFS($B$6:$B$797,B455,$C$6:$C$797,C455,$F$6:$F$797,"&gt;0")=11),1,0)</x:f>
        <x:v>1</x:v>
      </x:c>
    </x:row>
    <x:row r="456" ht="22" customHeight="1">
      <x:c r="A456" s="2" t="str">
        <x:v>62044300_WORLD_202505_IMPORT</x:v>
      </x:c>
      <x:c r="B456" s="2" t="n">
        <x:v>202505</x:v>
      </x:c>
      <x:c r="C456" s="2" t="str">
        <x:v>62044300</x:v>
      </x:c>
      <x:c r="D456" s="2" t="str">
        <x:v>World</x:v>
      </x:c>
      <x:c r="E456" s="14" t="n">
        <x:v>36508617</x:v>
      </x:c>
      <x:c r="F456" s="14" t="n">
        <x:v>1216202</x:v>
      </x:c>
      <x:c r="G456" s="2" t="str">
        <x:v>WITHIN_BAND</x:v>
      </x:c>
      <x:c r="H456" s="2" t="n">
        <x:v>1</x:v>
      </x:c>
      <x:c r="I456" s="2" t="n">
        <x:f>IF(AND(COUNTIFS($B$6:$B$797,B456,$C$6:$C$797,C456)=11,COUNTIFS($B$6:$B$797,B456,$C$6:$C$797,C456,$G$6:$G$797,"REVIEW")=0,COUNTIFS($B$6:$B$797,B456,$C$6:$C$797,C456,$H$6:$H$797,1)=11,COUNTIFS($B$6:$B$797,B456,$C$6:$C$797,C456,$F$6:$F$797,"&gt;0")=11),1,0)</x:f>
        <x:v>1</x:v>
      </x:c>
    </x:row>
    <x:row r="457" ht="22" customHeight="1">
      <x:c r="A457" s="2" t="str">
        <x:v>62044300_BD_202506_IMPORT</x:v>
      </x:c>
      <x:c r="B457" s="2" t="n">
        <x:v>202506</x:v>
      </x:c>
      <x:c r="C457" s="2" t="str">
        <x:v>62044300</x:v>
      </x:c>
      <x:c r="D457" s="2" t="str">
        <x:v>Bangladesh</x:v>
      </x:c>
      <x:c r="E457" s="14" t="n">
        <x:v>509431</x:v>
      </x:c>
      <x:c r="F457" s="14" t="n">
        <x:v>35719</x:v>
      </x:c>
      <x:c r="G457" s="2" t="str">
        <x:v>WITHIN_BAND</x:v>
      </x:c>
      <x:c r="H457" s="2" t="n">
        <x:v>1</x:v>
      </x:c>
      <x:c r="I457" s="2" t="n">
        <x:f>IF(AND(COUNTIFS($B$6:$B$797,B457,$C$6:$C$797,C457)=11,COUNTIFS($B$6:$B$797,B457,$C$6:$C$797,C457,$G$6:$G$797,"REVIEW")=0,COUNTIFS($B$6:$B$797,B457,$C$6:$C$797,C457,$H$6:$H$797,1)=11,COUNTIFS($B$6:$B$797,B457,$C$6:$C$797,C457,$F$6:$F$797,"&gt;0")=11),1,0)</x:f>
        <x:v>1</x:v>
      </x:c>
    </x:row>
    <x:row r="458" ht="22" customHeight="1">
      <x:c r="A458" s="2" t="str">
        <x:v>62044300_KH_202506_IMPORT</x:v>
      </x:c>
      <x:c r="B458" s="2" t="n">
        <x:v>202506</x:v>
      </x:c>
      <x:c r="C458" s="2" t="str">
        <x:v>62044300</x:v>
      </x:c>
      <x:c r="D458" s="2" t="str">
        <x:v>Cambodia</x:v>
      </x:c>
      <x:c r="E458" s="14" t="n">
        <x:v>349539</x:v>
      </x:c>
      <x:c r="F458" s="14" t="n">
        <x:v>13893</x:v>
      </x:c>
      <x:c r="G458" s="2" t="str">
        <x:v>WITHIN_BAND</x:v>
      </x:c>
      <x:c r="H458" s="2" t="n">
        <x:v>1</x:v>
      </x:c>
      <x:c r="I458" s="2" t="n">
        <x:f>IF(AND(COUNTIFS($B$6:$B$797,B458,$C$6:$C$797,C458)=11,COUNTIFS($B$6:$B$797,B458,$C$6:$C$797,C458,$G$6:$G$797,"REVIEW")=0,COUNTIFS($B$6:$B$797,B458,$C$6:$C$797,C458,$H$6:$H$797,1)=11,COUNTIFS($B$6:$B$797,B458,$C$6:$C$797,C458,$F$6:$F$797,"&gt;0")=11),1,0)</x:f>
        <x:v>1</x:v>
      </x:c>
    </x:row>
    <x:row r="459" ht="22" customHeight="1">
      <x:c r="A459" s="2" t="str">
        <x:v>62044300_CN_202506_IMPORT</x:v>
      </x:c>
      <x:c r="B459" s="2" t="n">
        <x:v>202506</x:v>
      </x:c>
      <x:c r="C459" s="2" t="str">
        <x:v>62044300</x:v>
      </x:c>
      <x:c r="D459" s="2" t="str">
        <x:v>China</x:v>
      </x:c>
      <x:c r="E459" s="14" t="n">
        <x:v>8022775</x:v>
      </x:c>
      <x:c r="F459" s="14" t="n">
        <x:v>320801</x:v>
      </x:c>
      <x:c r="G459" s="2" t="str">
        <x:v>WITHIN_BAND</x:v>
      </x:c>
      <x:c r="H459" s="2" t="n">
        <x:v>1</x:v>
      </x:c>
      <x:c r="I459" s="2" t="n">
        <x:f>IF(AND(COUNTIFS($B$6:$B$797,B459,$C$6:$C$797,C459)=11,COUNTIFS($B$6:$B$797,B459,$C$6:$C$797,C459,$G$6:$G$797,"REVIEW")=0,COUNTIFS($B$6:$B$797,B459,$C$6:$C$797,C459,$H$6:$H$797,1)=11,COUNTIFS($B$6:$B$797,B459,$C$6:$C$797,C459,$F$6:$F$797,"&gt;0")=11),1,0)</x:f>
        <x:v>1</x:v>
      </x:c>
    </x:row>
    <x:row r="460" ht="22" customHeight="1">
      <x:c r="A460" s="2" t="str">
        <x:v>62044300_IN_202506_IMPORT</x:v>
      </x:c>
      <x:c r="B460" s="2" t="n">
        <x:v>202506</x:v>
      </x:c>
      <x:c r="C460" s="2" t="str">
        <x:v>62044300</x:v>
      </x:c>
      <x:c r="D460" s="2" t="str">
        <x:v>India</x:v>
      </x:c>
      <x:c r="E460" s="14" t="n">
        <x:v>2489582</x:v>
      </x:c>
      <x:c r="F460" s="14" t="n">
        <x:v>80628</x:v>
      </x:c>
      <x:c r="G460" s="2" t="str">
        <x:v>WITHIN_BAND</x:v>
      </x:c>
      <x:c r="H460" s="2" t="n">
        <x:v>1</x:v>
      </x:c>
      <x:c r="I460" s="2" t="n">
        <x:f>IF(AND(COUNTIFS($B$6:$B$797,B460,$C$6:$C$797,C460)=11,COUNTIFS($B$6:$B$797,B460,$C$6:$C$797,C460,$G$6:$G$797,"REVIEW")=0,COUNTIFS($B$6:$B$797,B460,$C$6:$C$797,C460,$H$6:$H$797,1)=11,COUNTIFS($B$6:$B$797,B460,$C$6:$C$797,C460,$F$6:$F$797,"&gt;0")=11),1,0)</x:f>
        <x:v>1</x:v>
      </x:c>
    </x:row>
    <x:row r="461" ht="22" customHeight="1">
      <x:c r="A461" s="2" t="str">
        <x:v>62044300_MA_202506_IMPORT</x:v>
      </x:c>
      <x:c r="B461" s="2" t="n">
        <x:v>202506</x:v>
      </x:c>
      <x:c r="C461" s="2" t="str">
        <x:v>62044300</x:v>
      </x:c>
      <x:c r="D461" s="2" t="str">
        <x:v>Morocco</x:v>
      </x:c>
      <x:c r="E461" s="14" t="n">
        <x:v>1413316</x:v>
      </x:c>
      <x:c r="F461" s="14" t="n">
        <x:v>72265</x:v>
      </x:c>
      <x:c r="G461" s="2" t="str">
        <x:v>WITHIN_BAND</x:v>
      </x:c>
      <x:c r="H461" s="2" t="n">
        <x:v>1</x:v>
      </x:c>
      <x:c r="I461" s="2" t="n">
        <x:f>IF(AND(COUNTIFS($B$6:$B$797,B461,$C$6:$C$797,C461)=11,COUNTIFS($B$6:$B$797,B461,$C$6:$C$797,C461,$G$6:$G$797,"REVIEW")=0,COUNTIFS($B$6:$B$797,B461,$C$6:$C$797,C461,$H$6:$H$797,1)=11,COUNTIFS($B$6:$B$797,B461,$C$6:$C$797,C461,$F$6:$F$797,"&gt;0")=11),1,0)</x:f>
        <x:v>1</x:v>
      </x:c>
    </x:row>
    <x:row r="462" ht="22" customHeight="1">
      <x:c r="A462" s="2" t="str">
        <x:v>62044300_MM_202506_IMPORT</x:v>
      </x:c>
      <x:c r="B462" s="2" t="n">
        <x:v>202506</x:v>
      </x:c>
      <x:c r="C462" s="2" t="str">
        <x:v>62044300</x:v>
      </x:c>
      <x:c r="D462" s="2" t="str">
        <x:v>Myanmar</x:v>
      </x:c>
      <x:c r="E462" s="14" t="n">
        <x:v>423834</x:v>
      </x:c>
      <x:c r="F462" s="14" t="n">
        <x:v>11274</x:v>
      </x:c>
      <x:c r="G462" s="2" t="str">
        <x:v>WITHIN_BAND</x:v>
      </x:c>
      <x:c r="H462" s="2" t="n">
        <x:v>1</x:v>
      </x:c>
      <x:c r="I462" s="2" t="n">
        <x:f>IF(AND(COUNTIFS($B$6:$B$797,B462,$C$6:$C$797,C462)=11,COUNTIFS($B$6:$B$797,B462,$C$6:$C$797,C462,$G$6:$G$797,"REVIEW")=0,COUNTIFS($B$6:$B$797,B462,$C$6:$C$797,C462,$H$6:$H$797,1)=11,COUNTIFS($B$6:$B$797,B462,$C$6:$C$797,C462,$F$6:$F$797,"&gt;0")=11),1,0)</x:f>
        <x:v>1</x:v>
      </x:c>
    </x:row>
    <x:row r="463" ht="22" customHeight="1">
      <x:c r="A463" s="2" t="str">
        <x:v>62044300_PK_202506_IMPORT</x:v>
      </x:c>
      <x:c r="B463" s="2" t="n">
        <x:v>202506</x:v>
      </x:c>
      <x:c r="C463" s="2" t="str">
        <x:v>62044300</x:v>
      </x:c>
      <x:c r="D463" s="2" t="str">
        <x:v>Pakistan</x:v>
      </x:c>
      <x:c r="E463" s="14" t="n">
        <x:v>118889</x:v>
      </x:c>
      <x:c r="F463" s="14" t="n">
        <x:v>6747</x:v>
      </x:c>
      <x:c r="G463" s="2" t="str">
        <x:v>WITHIN_BAND</x:v>
      </x:c>
      <x:c r="H463" s="2" t="n">
        <x:v>1</x:v>
      </x:c>
      <x:c r="I463" s="2" t="n">
        <x:f>IF(AND(COUNTIFS($B$6:$B$797,B463,$C$6:$C$797,C463)=11,COUNTIFS($B$6:$B$797,B463,$C$6:$C$797,C463,$G$6:$G$797,"REVIEW")=0,COUNTIFS($B$6:$B$797,B463,$C$6:$C$797,C463,$H$6:$H$797,1)=11,COUNTIFS($B$6:$B$797,B463,$C$6:$C$797,C463,$F$6:$F$797,"&gt;0")=11),1,0)</x:f>
        <x:v>1</x:v>
      </x:c>
    </x:row>
    <x:row r="464" ht="22" customHeight="1">
      <x:c r="A464" s="2" t="str">
        <x:v>62044300_LK_202506_IMPORT</x:v>
      </x:c>
      <x:c r="B464" s="2" t="n">
        <x:v>202506</x:v>
      </x:c>
      <x:c r="C464" s="2" t="str">
        <x:v>62044300</x:v>
      </x:c>
      <x:c r="D464" s="2" t="str">
        <x:v>Sri Lanka</x:v>
      </x:c>
      <x:c r="E464" s="14" t="n">
        <x:v>1034433</x:v>
      </x:c>
      <x:c r="F464" s="14" t="n">
        <x:v>61054</x:v>
      </x:c>
      <x:c r="G464" s="2" t="str">
        <x:v>WITHIN_BAND</x:v>
      </x:c>
      <x:c r="H464" s="2" t="n">
        <x:v>1</x:v>
      </x:c>
      <x:c r="I464" s="2" t="n">
        <x:f>IF(AND(COUNTIFS($B$6:$B$797,B464,$C$6:$C$797,C464)=11,COUNTIFS($B$6:$B$797,B464,$C$6:$C$797,C464,$G$6:$G$797,"REVIEW")=0,COUNTIFS($B$6:$B$797,B464,$C$6:$C$797,C464,$H$6:$H$797,1)=11,COUNTIFS($B$6:$B$797,B464,$C$6:$C$797,C464,$F$6:$F$797,"&gt;0")=11),1,0)</x:f>
        <x:v>1</x:v>
      </x:c>
    </x:row>
    <x:row r="465" ht="22" customHeight="1">
      <x:c r="A465" s="2" t="str">
        <x:v>62044300_TR_202506_IMPORT</x:v>
      </x:c>
      <x:c r="B465" s="2" t="n">
        <x:v>202506</x:v>
      </x:c>
      <x:c r="C465" s="2" t="str">
        <x:v>62044300</x:v>
      </x:c>
      <x:c r="D465" s="2" t="str">
        <x:v>Turkey</x:v>
      </x:c>
      <x:c r="E465" s="14" t="n">
        <x:v>814700</x:v>
      </x:c>
      <x:c r="F465" s="14" t="n">
        <x:v>25903</x:v>
      </x:c>
      <x:c r="G465" s="2" t="str">
        <x:v>WITHIN_BAND</x:v>
      </x:c>
      <x:c r="H465" s="2" t="n">
        <x:v>1</x:v>
      </x:c>
      <x:c r="I465" s="2" t="n">
        <x:f>IF(AND(COUNTIFS($B$6:$B$797,B465,$C$6:$C$797,C465)=11,COUNTIFS($B$6:$B$797,B465,$C$6:$C$797,C465,$G$6:$G$797,"REVIEW")=0,COUNTIFS($B$6:$B$797,B465,$C$6:$C$797,C465,$H$6:$H$797,1)=11,COUNTIFS($B$6:$B$797,B465,$C$6:$C$797,C465,$F$6:$F$797,"&gt;0")=11),1,0)</x:f>
        <x:v>1</x:v>
      </x:c>
    </x:row>
    <x:row r="466" ht="22" customHeight="1">
      <x:c r="A466" s="2" t="str">
        <x:v>62044300_VN_202506_IMPORT</x:v>
      </x:c>
      <x:c r="B466" s="2" t="n">
        <x:v>202506</x:v>
      </x:c>
      <x:c r="C466" s="2" t="str">
        <x:v>62044300</x:v>
      </x:c>
      <x:c r="D466" s="2" t="str">
        <x:v>Vietnam</x:v>
      </x:c>
      <x:c r="E466" s="14" t="n">
        <x:v>594147</x:v>
      </x:c>
      <x:c r="F466" s="14" t="n">
        <x:v>34612</x:v>
      </x:c>
      <x:c r="G466" s="2" t="str">
        <x:v>WITHIN_BAND</x:v>
      </x:c>
      <x:c r="H466" s="2" t="n">
        <x:v>1</x:v>
      </x:c>
      <x:c r="I466" s="2" t="n">
        <x:f>IF(AND(COUNTIFS($B$6:$B$797,B466,$C$6:$C$797,C466)=11,COUNTIFS($B$6:$B$797,B466,$C$6:$C$797,C466,$G$6:$G$797,"REVIEW")=0,COUNTIFS($B$6:$B$797,B466,$C$6:$C$797,C466,$H$6:$H$797,1)=11,COUNTIFS($B$6:$B$797,B466,$C$6:$C$797,C466,$F$6:$F$797,"&gt;0")=11),1,0)</x:f>
        <x:v>1</x:v>
      </x:c>
    </x:row>
    <x:row r="467" ht="22" customHeight="1">
      <x:c r="A467" s="2" t="str">
        <x:v>62044300_WORLD_202506_IMPORT</x:v>
      </x:c>
      <x:c r="B467" s="2" t="n">
        <x:v>202506</x:v>
      </x:c>
      <x:c r="C467" s="2" t="str">
        <x:v>62044300</x:v>
      </x:c>
      <x:c r="D467" s="2" t="str">
        <x:v>World</x:v>
      </x:c>
      <x:c r="E467" s="14" t="n">
        <x:v>27969754</x:v>
      </x:c>
      <x:c r="F467" s="14" t="n">
        <x:v>861779</x:v>
      </x:c>
      <x:c r="G467" s="2" t="str">
        <x:v>WITHIN_BAND</x:v>
      </x:c>
      <x:c r="H467" s="2" t="n">
        <x:v>1</x:v>
      </x:c>
      <x:c r="I467" s="2" t="n">
        <x:f>IF(AND(COUNTIFS($B$6:$B$797,B467,$C$6:$C$797,C467)=11,COUNTIFS($B$6:$B$797,B467,$C$6:$C$797,C467,$G$6:$G$797,"REVIEW")=0,COUNTIFS($B$6:$B$797,B467,$C$6:$C$797,C467,$H$6:$H$797,1)=11,COUNTIFS($B$6:$B$797,B467,$C$6:$C$797,C467,$F$6:$F$797,"&gt;0")=11),1,0)</x:f>
        <x:v>1</x:v>
      </x:c>
    </x:row>
    <x:row r="468" ht="22" customHeight="1">
      <x:c r="A468" s="2" t="str">
        <x:v>62044300_BD_202507_IMPORT</x:v>
      </x:c>
      <x:c r="B468" s="2" t="n">
        <x:v>202507</x:v>
      </x:c>
      <x:c r="C468" s="2" t="str">
        <x:v>62044300</x:v>
      </x:c>
      <x:c r="D468" s="2" t="str">
        <x:v>Bangladesh</x:v>
      </x:c>
      <x:c r="E468" s="14" t="n">
        <x:v>883437</x:v>
      </x:c>
      <x:c r="F468" s="14" t="n">
        <x:v>66909</x:v>
      </x:c>
      <x:c r="G468" s="2" t="str">
        <x:v>WITHIN_BAND</x:v>
      </x:c>
      <x:c r="H468" s="2" t="n">
        <x:v>1</x:v>
      </x:c>
      <x:c r="I468" s="2" t="n">
        <x:f>IF(AND(COUNTIFS($B$6:$B$797,B468,$C$6:$C$797,C468)=11,COUNTIFS($B$6:$B$797,B468,$C$6:$C$797,C468,$G$6:$G$797,"REVIEW")=0,COUNTIFS($B$6:$B$797,B468,$C$6:$C$797,C468,$H$6:$H$797,1)=11,COUNTIFS($B$6:$B$797,B468,$C$6:$C$797,C468,$F$6:$F$797,"&gt;0")=11),1,0)</x:f>
        <x:v>1</x:v>
      </x:c>
    </x:row>
    <x:row r="469" ht="22" customHeight="1">
      <x:c r="A469" s="2" t="str">
        <x:v>62044300_KH_202507_IMPORT</x:v>
      </x:c>
      <x:c r="B469" s="2" t="n">
        <x:v>202507</x:v>
      </x:c>
      <x:c r="C469" s="2" t="str">
        <x:v>62044300</x:v>
      </x:c>
      <x:c r="D469" s="2" t="str">
        <x:v>Cambodia</x:v>
      </x:c>
      <x:c r="E469" s="14" t="n">
        <x:v>148031</x:v>
      </x:c>
      <x:c r="F469" s="14" t="n">
        <x:v>7097</x:v>
      </x:c>
      <x:c r="G469" s="2" t="str">
        <x:v>WITHIN_BAND</x:v>
      </x:c>
      <x:c r="H469" s="2" t="n">
        <x:v>1</x:v>
      </x:c>
      <x:c r="I469" s="2" t="n">
        <x:f>IF(AND(COUNTIFS($B$6:$B$797,B469,$C$6:$C$797,C469)=11,COUNTIFS($B$6:$B$797,B469,$C$6:$C$797,C469,$G$6:$G$797,"REVIEW")=0,COUNTIFS($B$6:$B$797,B469,$C$6:$C$797,C469,$H$6:$H$797,1)=11,COUNTIFS($B$6:$B$797,B469,$C$6:$C$797,C469,$F$6:$F$797,"&gt;0")=11),1,0)</x:f>
        <x:v>1</x:v>
      </x:c>
    </x:row>
    <x:row r="470" ht="22" customHeight="1">
      <x:c r="A470" s="2" t="str">
        <x:v>62044300_CN_202507_IMPORT</x:v>
      </x:c>
      <x:c r="B470" s="2" t="n">
        <x:v>202507</x:v>
      </x:c>
      <x:c r="C470" s="2" t="str">
        <x:v>62044300</x:v>
      </x:c>
      <x:c r="D470" s="2" t="str">
        <x:v>China</x:v>
      </x:c>
      <x:c r="E470" s="14" t="n">
        <x:v>9858210</x:v>
      </x:c>
      <x:c r="F470" s="14" t="n">
        <x:v>367470</x:v>
      </x:c>
      <x:c r="G470" s="2" t="str">
        <x:v>WITHIN_BAND</x:v>
      </x:c>
      <x:c r="H470" s="2" t="n">
        <x:v>1</x:v>
      </x:c>
      <x:c r="I470" s="2" t="n">
        <x:f>IF(AND(COUNTIFS($B$6:$B$797,B470,$C$6:$C$797,C470)=11,COUNTIFS($B$6:$B$797,B470,$C$6:$C$797,C470,$G$6:$G$797,"REVIEW")=0,COUNTIFS($B$6:$B$797,B470,$C$6:$C$797,C470,$H$6:$H$797,1)=11,COUNTIFS($B$6:$B$797,B470,$C$6:$C$797,C470,$F$6:$F$797,"&gt;0")=11),1,0)</x:f>
        <x:v>1</x:v>
      </x:c>
    </x:row>
    <x:row r="471" ht="22" customHeight="1">
      <x:c r="A471" s="2" t="str">
        <x:v>62044300_IN_202507_IMPORT</x:v>
      </x:c>
      <x:c r="B471" s="2" t="n">
        <x:v>202507</x:v>
      </x:c>
      <x:c r="C471" s="2" t="str">
        <x:v>62044300</x:v>
      </x:c>
      <x:c r="D471" s="2" t="str">
        <x:v>India</x:v>
      </x:c>
      <x:c r="E471" s="14" t="n">
        <x:v>2838475</x:v>
      </x:c>
      <x:c r="F471" s="14" t="n">
        <x:v>87960</x:v>
      </x:c>
      <x:c r="G471" s="2" t="str">
        <x:v>WITHIN_BAND</x:v>
      </x:c>
      <x:c r="H471" s="2" t="n">
        <x:v>1</x:v>
      </x:c>
      <x:c r="I471" s="2" t="n">
        <x:f>IF(AND(COUNTIFS($B$6:$B$797,B471,$C$6:$C$797,C471)=11,COUNTIFS($B$6:$B$797,B471,$C$6:$C$797,C471,$G$6:$G$797,"REVIEW")=0,COUNTIFS($B$6:$B$797,B471,$C$6:$C$797,C471,$H$6:$H$797,1)=11,COUNTIFS($B$6:$B$797,B471,$C$6:$C$797,C471,$F$6:$F$797,"&gt;0")=11),1,0)</x:f>
        <x:v>1</x:v>
      </x:c>
    </x:row>
    <x:row r="472" ht="22" customHeight="1">
      <x:c r="A472" s="2" t="str">
        <x:v>62044300_MA_202507_IMPORT</x:v>
      </x:c>
      <x:c r="B472" s="2" t="n">
        <x:v>202507</x:v>
      </x:c>
      <x:c r="C472" s="2" t="str">
        <x:v>62044300</x:v>
      </x:c>
      <x:c r="D472" s="2" t="str">
        <x:v>Morocco</x:v>
      </x:c>
      <x:c r="E472" s="14" t="n">
        <x:v>1300111</x:v>
      </x:c>
      <x:c r="F472" s="14" t="n">
        <x:v>58963</x:v>
      </x:c>
      <x:c r="G472" s="2" t="str">
        <x:v>WITHIN_BAND</x:v>
      </x:c>
      <x:c r="H472" s="2" t="n">
        <x:v>1</x:v>
      </x:c>
      <x:c r="I472" s="2" t="n">
        <x:f>IF(AND(COUNTIFS($B$6:$B$797,B472,$C$6:$C$797,C472)=11,COUNTIFS($B$6:$B$797,B472,$C$6:$C$797,C472,$G$6:$G$797,"REVIEW")=0,COUNTIFS($B$6:$B$797,B472,$C$6:$C$797,C472,$H$6:$H$797,1)=11,COUNTIFS($B$6:$B$797,B472,$C$6:$C$797,C472,$F$6:$F$797,"&gt;0")=11),1,0)</x:f>
        <x:v>1</x:v>
      </x:c>
    </x:row>
    <x:row r="473" ht="22" customHeight="1">
      <x:c r="A473" s="2" t="str">
        <x:v>62044300_MM_202507_IMPORT</x:v>
      </x:c>
      <x:c r="B473" s="2" t="n">
        <x:v>202507</x:v>
      </x:c>
      <x:c r="C473" s="2" t="str">
        <x:v>62044300</x:v>
      </x:c>
      <x:c r="D473" s="2" t="str">
        <x:v>Myanmar</x:v>
      </x:c>
      <x:c r="E473" s="14" t="n">
        <x:v>500882</x:v>
      </x:c>
      <x:c r="F473" s="14" t="n">
        <x:v>10653</x:v>
      </x:c>
      <x:c r="G473" s="2" t="str">
        <x:v>WITHIN_BAND</x:v>
      </x:c>
      <x:c r="H473" s="2" t="n">
        <x:v>1</x:v>
      </x:c>
      <x:c r="I473" s="2" t="n">
        <x:f>IF(AND(COUNTIFS($B$6:$B$797,B473,$C$6:$C$797,C473)=11,COUNTIFS($B$6:$B$797,B473,$C$6:$C$797,C473,$G$6:$G$797,"REVIEW")=0,COUNTIFS($B$6:$B$797,B473,$C$6:$C$797,C473,$H$6:$H$797,1)=11,COUNTIFS($B$6:$B$797,B473,$C$6:$C$797,C473,$F$6:$F$797,"&gt;0")=11),1,0)</x:f>
        <x:v>1</x:v>
      </x:c>
    </x:row>
    <x:row r="474" ht="22" customHeight="1">
      <x:c r="A474" s="2" t="str">
        <x:v>62044300_PK_202507_IMPORT</x:v>
      </x:c>
      <x:c r="B474" s="2" t="n">
        <x:v>202507</x:v>
      </x:c>
      <x:c r="C474" s="2" t="str">
        <x:v>62044300</x:v>
      </x:c>
      <x:c r="D474" s="2" t="str">
        <x:v>Pakistan</x:v>
      </x:c>
      <x:c r="E474" s="14" t="n">
        <x:v>85771</x:v>
      </x:c>
      <x:c r="F474" s="14" t="n">
        <x:v>3642</x:v>
      </x:c>
      <x:c r="G474" s="2" t="str">
        <x:v>WITHIN_BAND</x:v>
      </x:c>
      <x:c r="H474" s="2" t="n">
        <x:v>1</x:v>
      </x:c>
      <x:c r="I474" s="2" t="n">
        <x:f>IF(AND(COUNTIFS($B$6:$B$797,B474,$C$6:$C$797,C474)=11,COUNTIFS($B$6:$B$797,B474,$C$6:$C$797,C474,$G$6:$G$797,"REVIEW")=0,COUNTIFS($B$6:$B$797,B474,$C$6:$C$797,C474,$H$6:$H$797,1)=11,COUNTIFS($B$6:$B$797,B474,$C$6:$C$797,C474,$F$6:$F$797,"&gt;0")=11),1,0)</x:f>
        <x:v>1</x:v>
      </x:c>
    </x:row>
    <x:row r="475" ht="22" customHeight="1">
      <x:c r="A475" s="2" t="str">
        <x:v>62044300_LK_202507_IMPORT</x:v>
      </x:c>
      <x:c r="B475" s="2" t="n">
        <x:v>202507</x:v>
      </x:c>
      <x:c r="C475" s="2" t="str">
        <x:v>62044300</x:v>
      </x:c>
      <x:c r="D475" s="2" t="str">
        <x:v>Sri Lanka</x:v>
      </x:c>
      <x:c r="E475" s="14" t="n">
        <x:v>1269609</x:v>
      </x:c>
      <x:c r="F475" s="14" t="n">
        <x:v>65832</x:v>
      </x:c>
      <x:c r="G475" s="2" t="str">
        <x:v>WITHIN_BAND</x:v>
      </x:c>
      <x:c r="H475" s="2" t="n">
        <x:v>1</x:v>
      </x:c>
      <x:c r="I475" s="2" t="n">
        <x:f>IF(AND(COUNTIFS($B$6:$B$797,B475,$C$6:$C$797,C475)=11,COUNTIFS($B$6:$B$797,B475,$C$6:$C$797,C475,$G$6:$G$797,"REVIEW")=0,COUNTIFS($B$6:$B$797,B475,$C$6:$C$797,C475,$H$6:$H$797,1)=11,COUNTIFS($B$6:$B$797,B475,$C$6:$C$797,C475,$F$6:$F$797,"&gt;0")=11),1,0)</x:f>
        <x:v>1</x:v>
      </x:c>
    </x:row>
    <x:row r="476" ht="22" customHeight="1">
      <x:c r="A476" s="2" t="str">
        <x:v>62044300_TR_202507_IMPORT</x:v>
      </x:c>
      <x:c r="B476" s="2" t="n">
        <x:v>202507</x:v>
      </x:c>
      <x:c r="C476" s="2" t="str">
        <x:v>62044300</x:v>
      </x:c>
      <x:c r="D476" s="2" t="str">
        <x:v>Turkey</x:v>
      </x:c>
      <x:c r="E476" s="14" t="n">
        <x:v>927488</x:v>
      </x:c>
      <x:c r="F476" s="14" t="n">
        <x:v>26995</x:v>
      </x:c>
      <x:c r="G476" s="2" t="str">
        <x:v>WITHIN_BAND</x:v>
      </x:c>
      <x:c r="H476" s="2" t="n">
        <x:v>1</x:v>
      </x:c>
      <x:c r="I476" s="2" t="n">
        <x:f>IF(AND(COUNTIFS($B$6:$B$797,B476,$C$6:$C$797,C476)=11,COUNTIFS($B$6:$B$797,B476,$C$6:$C$797,C476,$G$6:$G$797,"REVIEW")=0,COUNTIFS($B$6:$B$797,B476,$C$6:$C$797,C476,$H$6:$H$797,1)=11,COUNTIFS($B$6:$B$797,B476,$C$6:$C$797,C476,$F$6:$F$797,"&gt;0")=11),1,0)</x:f>
        <x:v>1</x:v>
      </x:c>
    </x:row>
    <x:row r="477" ht="22" customHeight="1">
      <x:c r="A477" s="2" t="str">
        <x:v>62044300_VN_202507_IMPORT</x:v>
      </x:c>
      <x:c r="B477" s="2" t="n">
        <x:v>202507</x:v>
      </x:c>
      <x:c r="C477" s="2" t="str">
        <x:v>62044300</x:v>
      </x:c>
      <x:c r="D477" s="2" t="str">
        <x:v>Vietnam</x:v>
      </x:c>
      <x:c r="E477" s="14" t="n">
        <x:v>353770</x:v>
      </x:c>
      <x:c r="F477" s="14" t="n">
        <x:v>12555</x:v>
      </x:c>
      <x:c r="G477" s="2" t="str">
        <x:v>WITHIN_BAND</x:v>
      </x:c>
      <x:c r="H477" s="2" t="n">
        <x:v>1</x:v>
      </x:c>
      <x:c r="I477" s="2" t="n">
        <x:f>IF(AND(COUNTIFS($B$6:$B$797,B477,$C$6:$C$797,C477)=11,COUNTIFS($B$6:$B$797,B477,$C$6:$C$797,C477,$G$6:$G$797,"REVIEW")=0,COUNTIFS($B$6:$B$797,B477,$C$6:$C$797,C477,$H$6:$H$797,1)=11,COUNTIFS($B$6:$B$797,B477,$C$6:$C$797,C477,$F$6:$F$797,"&gt;0")=11),1,0)</x:f>
        <x:v>1</x:v>
      </x:c>
    </x:row>
    <x:row r="478" ht="22" customHeight="1">
      <x:c r="A478" s="2" t="str">
        <x:v>62044300_WORLD_202507_IMPORT</x:v>
      </x:c>
      <x:c r="B478" s="2" t="n">
        <x:v>202507</x:v>
      </x:c>
      <x:c r="C478" s="2" t="str">
        <x:v>62044300</x:v>
      </x:c>
      <x:c r="D478" s="2" t="str">
        <x:v>World</x:v>
      </x:c>
      <x:c r="E478" s="14" t="n">
        <x:v>30634520</x:v>
      </x:c>
      <x:c r="F478" s="14" t="n">
        <x:v>929178</x:v>
      </x:c>
      <x:c r="G478" s="2" t="str">
        <x:v>WITHIN_BAND</x:v>
      </x:c>
      <x:c r="H478" s="2" t="n">
        <x:v>1</x:v>
      </x:c>
      <x:c r="I478" s="2" t="n">
        <x:f>IF(AND(COUNTIFS($B$6:$B$797,B478,$C$6:$C$797,C478)=11,COUNTIFS($B$6:$B$797,B478,$C$6:$C$797,C478,$G$6:$G$797,"REVIEW")=0,COUNTIFS($B$6:$B$797,B478,$C$6:$C$797,C478,$H$6:$H$797,1)=11,COUNTIFS($B$6:$B$797,B478,$C$6:$C$797,C478,$F$6:$F$797,"&gt;0")=11),1,0)</x:f>
        <x:v>1</x:v>
      </x:c>
    </x:row>
    <x:row r="479" ht="22" customHeight="1">
      <x:c r="A479" s="2" t="str">
        <x:v>62044300_BD_202508_IMPORT</x:v>
      </x:c>
      <x:c r="B479" s="2" t="n">
        <x:v>202508</x:v>
      </x:c>
      <x:c r="C479" s="2" t="str">
        <x:v>62044300</x:v>
      </x:c>
      <x:c r="D479" s="2" t="str">
        <x:v>Bangladesh</x:v>
      </x:c>
      <x:c r="E479" s="14" t="n">
        <x:v>921218</x:v>
      </x:c>
      <x:c r="F479" s="14" t="n">
        <x:v>71485</x:v>
      </x:c>
      <x:c r="G479" s="2" t="str">
        <x:v>WITHIN_BAND</x:v>
      </x:c>
      <x:c r="H479" s="2" t="n">
        <x:v>1</x:v>
      </x:c>
      <x:c r="I479" s="2" t="n">
        <x:f>IF(AND(COUNTIFS($B$6:$B$797,B479,$C$6:$C$797,C479)=11,COUNTIFS($B$6:$B$797,B479,$C$6:$C$797,C479,$G$6:$G$797,"REVIEW")=0,COUNTIFS($B$6:$B$797,B479,$C$6:$C$797,C479,$H$6:$H$797,1)=11,COUNTIFS($B$6:$B$797,B479,$C$6:$C$797,C479,$F$6:$F$797,"&gt;0")=11),1,0)</x:f>
        <x:v>1</x:v>
      </x:c>
    </x:row>
    <x:row r="480" ht="22" customHeight="1">
      <x:c r="A480" s="2" t="str">
        <x:v>62044300_KH_202508_IMPORT</x:v>
      </x:c>
      <x:c r="B480" s="2" t="n">
        <x:v>202508</x:v>
      </x:c>
      <x:c r="C480" s="2" t="str">
        <x:v>62044300</x:v>
      </x:c>
      <x:c r="D480" s="2" t="str">
        <x:v>Cambodia</x:v>
      </x:c>
      <x:c r="E480" s="14" t="n">
        <x:v>149667</x:v>
      </x:c>
      <x:c r="F480" s="14" t="n">
        <x:v>9702</x:v>
      </x:c>
      <x:c r="G480" s="2" t="str">
        <x:v>WITHIN_BAND</x:v>
      </x:c>
      <x:c r="H480" s="2" t="n">
        <x:v>1</x:v>
      </x:c>
      <x:c r="I480" s="2" t="n">
        <x:f>IF(AND(COUNTIFS($B$6:$B$797,B480,$C$6:$C$797,C480)=11,COUNTIFS($B$6:$B$797,B480,$C$6:$C$797,C480,$G$6:$G$797,"REVIEW")=0,COUNTIFS($B$6:$B$797,B480,$C$6:$C$797,C480,$H$6:$H$797,1)=11,COUNTIFS($B$6:$B$797,B480,$C$6:$C$797,C480,$F$6:$F$797,"&gt;0")=11),1,0)</x:f>
        <x:v>1</x:v>
      </x:c>
    </x:row>
    <x:row r="481" ht="22" customHeight="1">
      <x:c r="A481" s="2" t="str">
        <x:v>62044300_CN_202508_IMPORT</x:v>
      </x:c>
      <x:c r="B481" s="2" t="n">
        <x:v>202508</x:v>
      </x:c>
      <x:c r="C481" s="2" t="str">
        <x:v>62044300</x:v>
      </x:c>
      <x:c r="D481" s="2" t="str">
        <x:v>China</x:v>
      </x:c>
      <x:c r="E481" s="14" t="n">
        <x:v>8505079</x:v>
      </x:c>
      <x:c r="F481" s="14" t="n">
        <x:v>325804</x:v>
      </x:c>
      <x:c r="G481" s="2" t="str">
        <x:v>WITHIN_BAND</x:v>
      </x:c>
      <x:c r="H481" s="2" t="n">
        <x:v>1</x:v>
      </x:c>
      <x:c r="I481" s="2" t="n">
        <x:f>IF(AND(COUNTIFS($B$6:$B$797,B481,$C$6:$C$797,C481)=11,COUNTIFS($B$6:$B$797,B481,$C$6:$C$797,C481,$G$6:$G$797,"REVIEW")=0,COUNTIFS($B$6:$B$797,B481,$C$6:$C$797,C481,$H$6:$H$797,1)=11,COUNTIFS($B$6:$B$797,B481,$C$6:$C$797,C481,$F$6:$F$797,"&gt;0")=11),1,0)</x:f>
        <x:v>1</x:v>
      </x:c>
    </x:row>
    <x:row r="482" ht="22" customHeight="1">
      <x:c r="A482" s="2" t="str">
        <x:v>62044300_IN_202508_IMPORT</x:v>
      </x:c>
      <x:c r="B482" s="2" t="n">
        <x:v>202508</x:v>
      </x:c>
      <x:c r="C482" s="2" t="str">
        <x:v>62044300</x:v>
      </x:c>
      <x:c r="D482" s="2" t="str">
        <x:v>India</x:v>
      </x:c>
      <x:c r="E482" s="14" t="n">
        <x:v>2134385</x:v>
      </x:c>
      <x:c r="F482" s="14" t="n">
        <x:v>79210</x:v>
      </x:c>
      <x:c r="G482" s="2" t="str">
        <x:v>WITHIN_BAND</x:v>
      </x:c>
      <x:c r="H482" s="2" t="n">
        <x:v>1</x:v>
      </x:c>
      <x:c r="I482" s="2" t="n">
        <x:f>IF(AND(COUNTIFS($B$6:$B$797,B482,$C$6:$C$797,C482)=11,COUNTIFS($B$6:$B$797,B482,$C$6:$C$797,C482,$G$6:$G$797,"REVIEW")=0,COUNTIFS($B$6:$B$797,B482,$C$6:$C$797,C482,$H$6:$H$797,1)=11,COUNTIFS($B$6:$B$797,B482,$C$6:$C$797,C482,$F$6:$F$797,"&gt;0")=11),1,0)</x:f>
        <x:v>1</x:v>
      </x:c>
    </x:row>
    <x:row r="483" ht="22" customHeight="1">
      <x:c r="A483" s="2" t="str">
        <x:v>62044300_MA_202508_IMPORT</x:v>
      </x:c>
      <x:c r="B483" s="2" t="n">
        <x:v>202508</x:v>
      </x:c>
      <x:c r="C483" s="2" t="str">
        <x:v>62044300</x:v>
      </x:c>
      <x:c r="D483" s="2" t="str">
        <x:v>Morocco</x:v>
      </x:c>
      <x:c r="E483" s="14" t="n">
        <x:v>905318</x:v>
      </x:c>
      <x:c r="F483" s="14" t="n">
        <x:v>40547</x:v>
      </x:c>
      <x:c r="G483" s="2" t="str">
        <x:v>WITHIN_BAND</x:v>
      </x:c>
      <x:c r="H483" s="2" t="n">
        <x:v>1</x:v>
      </x:c>
      <x:c r="I483" s="2" t="n">
        <x:f>IF(AND(COUNTIFS($B$6:$B$797,B483,$C$6:$C$797,C483)=11,COUNTIFS($B$6:$B$797,B483,$C$6:$C$797,C483,$G$6:$G$797,"REVIEW")=0,COUNTIFS($B$6:$B$797,B483,$C$6:$C$797,C483,$H$6:$H$797,1)=11,COUNTIFS($B$6:$B$797,B483,$C$6:$C$797,C483,$F$6:$F$797,"&gt;0")=11),1,0)</x:f>
        <x:v>1</x:v>
      </x:c>
    </x:row>
    <x:row r="484" ht="22" customHeight="1">
      <x:c r="A484" s="2" t="str">
        <x:v>62044300_MM_202508_IMPORT</x:v>
      </x:c>
      <x:c r="B484" s="2" t="n">
        <x:v>202508</x:v>
      </x:c>
      <x:c r="C484" s="2" t="str">
        <x:v>62044300</x:v>
      </x:c>
      <x:c r="D484" s="2" t="str">
        <x:v>Myanmar</x:v>
      </x:c>
      <x:c r="E484" s="14" t="n">
        <x:v>965185</x:v>
      </x:c>
      <x:c r="F484" s="14" t="n">
        <x:v>34315</x:v>
      </x:c>
      <x:c r="G484" s="2" t="str">
        <x:v>WITHIN_BAND</x:v>
      </x:c>
      <x:c r="H484" s="2" t="n">
        <x:v>1</x:v>
      </x:c>
      <x:c r="I484" s="2" t="n">
        <x:f>IF(AND(COUNTIFS($B$6:$B$797,B484,$C$6:$C$797,C484)=11,COUNTIFS($B$6:$B$797,B484,$C$6:$C$797,C484,$G$6:$G$797,"REVIEW")=0,COUNTIFS($B$6:$B$797,B484,$C$6:$C$797,C484,$H$6:$H$797,1)=11,COUNTIFS($B$6:$B$797,B484,$C$6:$C$797,C484,$F$6:$F$797,"&gt;0")=11),1,0)</x:f>
        <x:v>1</x:v>
      </x:c>
    </x:row>
    <x:row r="485" ht="22" customHeight="1">
      <x:c r="A485" s="2" t="str">
        <x:v>62044300_PK_202508_IMPORT</x:v>
      </x:c>
      <x:c r="B485" s="2" t="n">
        <x:v>202508</x:v>
      </x:c>
      <x:c r="C485" s="2" t="str">
        <x:v>62044300</x:v>
      </x:c>
      <x:c r="D485" s="2" t="str">
        <x:v>Pakistan</x:v>
      </x:c>
      <x:c r="E485" s="14" t="n">
        <x:v>155015</x:v>
      </x:c>
      <x:c r="F485" s="14" t="n">
        <x:v>5951</x:v>
      </x:c>
      <x:c r="G485" s="2" t="str">
        <x:v>WITHIN_BAND</x:v>
      </x:c>
      <x:c r="H485" s="2" t="n">
        <x:v>1</x:v>
      </x:c>
      <x:c r="I485" s="2" t="n">
        <x:f>IF(AND(COUNTIFS($B$6:$B$797,B485,$C$6:$C$797,C485)=11,COUNTIFS($B$6:$B$797,B485,$C$6:$C$797,C485,$G$6:$G$797,"REVIEW")=0,COUNTIFS($B$6:$B$797,B485,$C$6:$C$797,C485,$H$6:$H$797,1)=11,COUNTIFS($B$6:$B$797,B485,$C$6:$C$797,C485,$F$6:$F$797,"&gt;0")=11),1,0)</x:f>
        <x:v>1</x:v>
      </x:c>
    </x:row>
    <x:row r="486" ht="22" customHeight="1">
      <x:c r="A486" s="2" t="str">
        <x:v>62044300_LK_202508_IMPORT</x:v>
      </x:c>
      <x:c r="B486" s="2" t="n">
        <x:v>202508</x:v>
      </x:c>
      <x:c r="C486" s="2" t="str">
        <x:v>62044300</x:v>
      </x:c>
      <x:c r="D486" s="2" t="str">
        <x:v>Sri Lanka</x:v>
      </x:c>
      <x:c r="E486" s="14" t="n">
        <x:v>1044143</x:v>
      </x:c>
      <x:c r="F486" s="14" t="n">
        <x:v>59088</x:v>
      </x:c>
      <x:c r="G486" s="2" t="str">
        <x:v>WITHIN_BAND</x:v>
      </x:c>
      <x:c r="H486" s="2" t="n">
        <x:v>1</x:v>
      </x:c>
      <x:c r="I486" s="2" t="n">
        <x:f>IF(AND(COUNTIFS($B$6:$B$797,B486,$C$6:$C$797,C486)=11,COUNTIFS($B$6:$B$797,B486,$C$6:$C$797,C486,$G$6:$G$797,"REVIEW")=0,COUNTIFS($B$6:$B$797,B486,$C$6:$C$797,C486,$H$6:$H$797,1)=11,COUNTIFS($B$6:$B$797,B486,$C$6:$C$797,C486,$F$6:$F$797,"&gt;0")=11),1,0)</x:f>
        <x:v>1</x:v>
      </x:c>
    </x:row>
    <x:row r="487" ht="22" customHeight="1">
      <x:c r="A487" s="2" t="str">
        <x:v>62044300_TR_202508_IMPORT</x:v>
      </x:c>
      <x:c r="B487" s="2" t="n">
        <x:v>202508</x:v>
      </x:c>
      <x:c r="C487" s="2" t="str">
        <x:v>62044300</x:v>
      </x:c>
      <x:c r="D487" s="2" t="str">
        <x:v>Turkey</x:v>
      </x:c>
      <x:c r="E487" s="14" t="n">
        <x:v>845181</x:v>
      </x:c>
      <x:c r="F487" s="14" t="n">
        <x:v>24554</x:v>
      </x:c>
      <x:c r="G487" s="2" t="str">
        <x:v>WITHIN_BAND</x:v>
      </x:c>
      <x:c r="H487" s="2" t="n">
        <x:v>1</x:v>
      </x:c>
      <x:c r="I487" s="2" t="n">
        <x:f>IF(AND(COUNTIFS($B$6:$B$797,B487,$C$6:$C$797,C487)=11,COUNTIFS($B$6:$B$797,B487,$C$6:$C$797,C487,$G$6:$G$797,"REVIEW")=0,COUNTIFS($B$6:$B$797,B487,$C$6:$C$797,C487,$H$6:$H$797,1)=11,COUNTIFS($B$6:$B$797,B487,$C$6:$C$797,C487,$F$6:$F$797,"&gt;0")=11),1,0)</x:f>
        <x:v>1</x:v>
      </x:c>
    </x:row>
    <x:row r="488" ht="22" customHeight="1">
      <x:c r="A488" s="2" t="str">
        <x:v>62044300_VN_202508_IMPORT</x:v>
      </x:c>
      <x:c r="B488" s="2" t="n">
        <x:v>202508</x:v>
      </x:c>
      <x:c r="C488" s="2" t="str">
        <x:v>62044300</x:v>
      </x:c>
      <x:c r="D488" s="2" t="str">
        <x:v>Vietnam</x:v>
      </x:c>
      <x:c r="E488" s="14" t="n">
        <x:v>452239</x:v>
      </x:c>
      <x:c r="F488" s="14" t="n">
        <x:v>21729</x:v>
      </x:c>
      <x:c r="G488" s="2" t="str">
        <x:v>WITHIN_BAND</x:v>
      </x:c>
      <x:c r="H488" s="2" t="n">
        <x:v>1</x:v>
      </x:c>
      <x:c r="I488" s="2" t="n">
        <x:f>IF(AND(COUNTIFS($B$6:$B$797,B488,$C$6:$C$797,C488)=11,COUNTIFS($B$6:$B$797,B488,$C$6:$C$797,C488,$G$6:$G$797,"REVIEW")=0,COUNTIFS($B$6:$B$797,B488,$C$6:$C$797,C488,$H$6:$H$797,1)=11,COUNTIFS($B$6:$B$797,B488,$C$6:$C$797,C488,$F$6:$F$797,"&gt;0")=11),1,0)</x:f>
        <x:v>1</x:v>
      </x:c>
    </x:row>
    <x:row r="489" ht="22" customHeight="1">
      <x:c r="A489" s="2" t="str">
        <x:v>62044300_WORLD_202508_IMPORT</x:v>
      </x:c>
      <x:c r="B489" s="2" t="n">
        <x:v>202508</x:v>
      </x:c>
      <x:c r="C489" s="2" t="str">
        <x:v>62044300</x:v>
      </x:c>
      <x:c r="D489" s="2" t="str">
        <x:v>World</x:v>
      </x:c>
      <x:c r="E489" s="14" t="n">
        <x:v>27292594</x:v>
      </x:c>
      <x:c r="F489" s="14" t="n">
        <x:v>867148</x:v>
      </x:c>
      <x:c r="G489" s="2" t="str">
        <x:v>WITHIN_BAND</x:v>
      </x:c>
      <x:c r="H489" s="2" t="n">
        <x:v>1</x:v>
      </x:c>
      <x:c r="I489" s="2" t="n">
        <x:f>IF(AND(COUNTIFS($B$6:$B$797,B489,$C$6:$C$797,C489)=11,COUNTIFS($B$6:$B$797,B489,$C$6:$C$797,C489,$G$6:$G$797,"REVIEW")=0,COUNTIFS($B$6:$B$797,B489,$C$6:$C$797,C489,$H$6:$H$797,1)=11,COUNTIFS($B$6:$B$797,B489,$C$6:$C$797,C489,$F$6:$F$797,"&gt;0")=11),1,0)</x:f>
        <x:v>1</x:v>
      </x:c>
    </x:row>
    <x:row r="490" ht="22" customHeight="1">
      <x:c r="A490" s="2" t="str">
        <x:v>62044300_BD_202509_IMPORT</x:v>
      </x:c>
      <x:c r="B490" s="2" t="n">
        <x:v>202509</x:v>
      </x:c>
      <x:c r="C490" s="2" t="str">
        <x:v>62044300</x:v>
      </x:c>
      <x:c r="D490" s="2" t="str">
        <x:v>Bangladesh</x:v>
      </x:c>
      <x:c r="E490" s="14" t="n">
        <x:v>1184002</x:v>
      </x:c>
      <x:c r="F490" s="14" t="n">
        <x:v>70147</x:v>
      </x:c>
      <x:c r="G490" s="2" t="str">
        <x:v>WITHIN_BAND</x:v>
      </x:c>
      <x:c r="H490" s="2" t="n">
        <x:v>1</x:v>
      </x:c>
      <x:c r="I490" s="2" t="n">
        <x:f>IF(AND(COUNTIFS($B$6:$B$797,B490,$C$6:$C$797,C490)=11,COUNTIFS($B$6:$B$797,B490,$C$6:$C$797,C490,$G$6:$G$797,"REVIEW")=0,COUNTIFS($B$6:$B$797,B490,$C$6:$C$797,C490,$H$6:$H$797,1)=11,COUNTIFS($B$6:$B$797,B490,$C$6:$C$797,C490,$F$6:$F$797,"&gt;0")=11),1,0)</x:f>
        <x:v>1</x:v>
      </x:c>
    </x:row>
    <x:row r="491" ht="22" customHeight="1">
      <x:c r="A491" s="2" t="str">
        <x:v>62044300_KH_202509_IMPORT</x:v>
      </x:c>
      <x:c r="B491" s="2" t="n">
        <x:v>202509</x:v>
      </x:c>
      <x:c r="C491" s="2" t="str">
        <x:v>62044300</x:v>
      </x:c>
      <x:c r="D491" s="2" t="str">
        <x:v>Cambodia</x:v>
      </x:c>
      <x:c r="E491" s="14" t="n">
        <x:v>392089</x:v>
      </x:c>
      <x:c r="F491" s="14" t="n">
        <x:v>19946</x:v>
      </x:c>
      <x:c r="G491" s="2" t="str">
        <x:v>WITHIN_BAND</x:v>
      </x:c>
      <x:c r="H491" s="2" t="n">
        <x:v>1</x:v>
      </x:c>
      <x:c r="I491" s="2" t="n">
        <x:f>IF(AND(COUNTIFS($B$6:$B$797,B491,$C$6:$C$797,C491)=11,COUNTIFS($B$6:$B$797,B491,$C$6:$C$797,C491,$G$6:$G$797,"REVIEW")=0,COUNTIFS($B$6:$B$797,B491,$C$6:$C$797,C491,$H$6:$H$797,1)=11,COUNTIFS($B$6:$B$797,B491,$C$6:$C$797,C491,$F$6:$F$797,"&gt;0")=11),1,0)</x:f>
        <x:v>1</x:v>
      </x:c>
    </x:row>
    <x:row r="492" ht="22" customHeight="1">
      <x:c r="A492" s="2" t="str">
        <x:v>62044300_CN_202509_IMPORT</x:v>
      </x:c>
      <x:c r="B492" s="2" t="n">
        <x:v>202509</x:v>
      </x:c>
      <x:c r="C492" s="2" t="str">
        <x:v>62044300</x:v>
      </x:c>
      <x:c r="D492" s="2" t="str">
        <x:v>China</x:v>
      </x:c>
      <x:c r="E492" s="14" t="n">
        <x:v>9237066</x:v>
      </x:c>
      <x:c r="F492" s="14" t="n">
        <x:v>371149</x:v>
      </x:c>
      <x:c r="G492" s="2" t="str">
        <x:v>WITHIN_BAND</x:v>
      </x:c>
      <x:c r="H492" s="2" t="n">
        <x:v>1</x:v>
      </x:c>
      <x:c r="I492" s="2" t="n">
        <x:f>IF(AND(COUNTIFS($B$6:$B$797,B492,$C$6:$C$797,C492)=11,COUNTIFS($B$6:$B$797,B492,$C$6:$C$797,C492,$G$6:$G$797,"REVIEW")=0,COUNTIFS($B$6:$B$797,B492,$C$6:$C$797,C492,$H$6:$H$797,1)=11,COUNTIFS($B$6:$B$797,B492,$C$6:$C$797,C492,$F$6:$F$797,"&gt;0")=11),1,0)</x:f>
        <x:v>1</x:v>
      </x:c>
    </x:row>
    <x:row r="493" ht="22" customHeight="1">
      <x:c r="A493" s="2" t="str">
        <x:v>62044300_IN_202509_IMPORT</x:v>
      </x:c>
      <x:c r="B493" s="2" t="n">
        <x:v>202509</x:v>
      </x:c>
      <x:c r="C493" s="2" t="str">
        <x:v>62044300</x:v>
      </x:c>
      <x:c r="D493" s="2" t="str">
        <x:v>India</x:v>
      </x:c>
      <x:c r="E493" s="14" t="n">
        <x:v>2845571</x:v>
      </x:c>
      <x:c r="F493" s="14" t="n">
        <x:v>95672</x:v>
      </x:c>
      <x:c r="G493" s="2" t="str">
        <x:v>WITHIN_BAND</x:v>
      </x:c>
      <x:c r="H493" s="2" t="n">
        <x:v>1</x:v>
      </x:c>
      <x:c r="I493" s="2" t="n">
        <x:f>IF(AND(COUNTIFS($B$6:$B$797,B493,$C$6:$C$797,C493)=11,COUNTIFS($B$6:$B$797,B493,$C$6:$C$797,C493,$G$6:$G$797,"REVIEW")=0,COUNTIFS($B$6:$B$797,B493,$C$6:$C$797,C493,$H$6:$H$797,1)=11,COUNTIFS($B$6:$B$797,B493,$C$6:$C$797,C493,$F$6:$F$797,"&gt;0")=11),1,0)</x:f>
        <x:v>1</x:v>
      </x:c>
    </x:row>
    <x:row r="494" ht="22" customHeight="1">
      <x:c r="A494" s="2" t="str">
        <x:v>62044300_MA_202509_IMPORT</x:v>
      </x:c>
      <x:c r="B494" s="2" t="n">
        <x:v>202509</x:v>
      </x:c>
      <x:c r="C494" s="2" t="str">
        <x:v>62044300</x:v>
      </x:c>
      <x:c r="D494" s="2" t="str">
        <x:v>Morocco</x:v>
      </x:c>
      <x:c r="E494" s="14" t="n">
        <x:v>386164</x:v>
      </x:c>
      <x:c r="F494" s="14" t="n">
        <x:v>17783</x:v>
      </x:c>
      <x:c r="G494" s="2" t="str">
        <x:v>WITHIN_BAND</x:v>
      </x:c>
      <x:c r="H494" s="2" t="n">
        <x:v>1</x:v>
      </x:c>
      <x:c r="I494" s="2" t="n">
        <x:f>IF(AND(COUNTIFS($B$6:$B$797,B494,$C$6:$C$797,C494)=11,COUNTIFS($B$6:$B$797,B494,$C$6:$C$797,C494,$G$6:$G$797,"REVIEW")=0,COUNTIFS($B$6:$B$797,B494,$C$6:$C$797,C494,$H$6:$H$797,1)=11,COUNTIFS($B$6:$B$797,B494,$C$6:$C$797,C494,$F$6:$F$797,"&gt;0")=11),1,0)</x:f>
        <x:v>1</x:v>
      </x:c>
    </x:row>
    <x:row r="495" ht="22" customHeight="1">
      <x:c r="A495" s="2" t="str">
        <x:v>62044300_MM_202509_IMPORT</x:v>
      </x:c>
      <x:c r="B495" s="2" t="n">
        <x:v>202509</x:v>
      </x:c>
      <x:c r="C495" s="2" t="str">
        <x:v>62044300</x:v>
      </x:c>
      <x:c r="D495" s="2" t="str">
        <x:v>Myanmar</x:v>
      </x:c>
      <x:c r="E495" s="14" t="n">
        <x:v>463002</x:v>
      </x:c>
      <x:c r="F495" s="14" t="n">
        <x:v>10664</x:v>
      </x:c>
      <x:c r="G495" s="2" t="str">
        <x:v>WITHIN_BAND</x:v>
      </x:c>
      <x:c r="H495" s="2" t="n">
        <x:v>1</x:v>
      </x:c>
      <x:c r="I495" s="2" t="n">
        <x:f>IF(AND(COUNTIFS($B$6:$B$797,B495,$C$6:$C$797,C495)=11,COUNTIFS($B$6:$B$797,B495,$C$6:$C$797,C495,$G$6:$G$797,"REVIEW")=0,COUNTIFS($B$6:$B$797,B495,$C$6:$C$797,C495,$H$6:$H$797,1)=11,COUNTIFS($B$6:$B$797,B495,$C$6:$C$797,C495,$F$6:$F$797,"&gt;0")=11),1,0)</x:f>
        <x:v>1</x:v>
      </x:c>
    </x:row>
    <x:row r="496" ht="22" customHeight="1">
      <x:c r="A496" s="2" t="str">
        <x:v>62044300_PK_202509_IMPORT</x:v>
      </x:c>
      <x:c r="B496" s="2" t="n">
        <x:v>202509</x:v>
      </x:c>
      <x:c r="C496" s="2" t="str">
        <x:v>62044300</x:v>
      </x:c>
      <x:c r="D496" s="2" t="str">
        <x:v>Pakistan</x:v>
      </x:c>
      <x:c r="E496" s="14" t="n">
        <x:v>62641</x:v>
      </x:c>
      <x:c r="F496" s="14" t="n">
        <x:v>3204</x:v>
      </x:c>
      <x:c r="G496" s="2" t="str">
        <x:v>WITHIN_BAND</x:v>
      </x:c>
      <x:c r="H496" s="2" t="n">
        <x:v>1</x:v>
      </x:c>
      <x:c r="I496" s="2" t="n">
        <x:f>IF(AND(COUNTIFS($B$6:$B$797,B496,$C$6:$C$797,C496)=11,COUNTIFS($B$6:$B$797,B496,$C$6:$C$797,C496,$G$6:$G$797,"REVIEW")=0,COUNTIFS($B$6:$B$797,B496,$C$6:$C$797,C496,$H$6:$H$797,1)=11,COUNTIFS($B$6:$B$797,B496,$C$6:$C$797,C496,$F$6:$F$797,"&gt;0")=11),1,0)</x:f>
        <x:v>1</x:v>
      </x:c>
    </x:row>
    <x:row r="497" ht="22" customHeight="1">
      <x:c r="A497" s="2" t="str">
        <x:v>62044300_LK_202509_IMPORT</x:v>
      </x:c>
      <x:c r="B497" s="2" t="n">
        <x:v>202509</x:v>
      </x:c>
      <x:c r="C497" s="2" t="str">
        <x:v>62044300</x:v>
      </x:c>
      <x:c r="D497" s="2" t="str">
        <x:v>Sri Lanka</x:v>
      </x:c>
      <x:c r="E497" s="14" t="n">
        <x:v>729031</x:v>
      </x:c>
      <x:c r="F497" s="14" t="n">
        <x:v>39105</x:v>
      </x:c>
      <x:c r="G497" s="2" t="str">
        <x:v>WITHIN_BAND</x:v>
      </x:c>
      <x:c r="H497" s="2" t="n">
        <x:v>1</x:v>
      </x:c>
      <x:c r="I497" s="2" t="n">
        <x:f>IF(AND(COUNTIFS($B$6:$B$797,B497,$C$6:$C$797,C497)=11,COUNTIFS($B$6:$B$797,B497,$C$6:$C$797,C497,$G$6:$G$797,"REVIEW")=0,COUNTIFS($B$6:$B$797,B497,$C$6:$C$797,C497,$H$6:$H$797,1)=11,COUNTIFS($B$6:$B$797,B497,$C$6:$C$797,C497,$F$6:$F$797,"&gt;0")=11),1,0)</x:f>
        <x:v>1</x:v>
      </x:c>
    </x:row>
    <x:row r="498" ht="22" customHeight="1">
      <x:c r="A498" s="2" t="str">
        <x:v>62044300_TR_202509_IMPORT</x:v>
      </x:c>
      <x:c r="B498" s="2" t="n">
        <x:v>202509</x:v>
      </x:c>
      <x:c r="C498" s="2" t="str">
        <x:v>62044300</x:v>
      </x:c>
      <x:c r="D498" s="2" t="str">
        <x:v>Turkey</x:v>
      </x:c>
      <x:c r="E498" s="14" t="n">
        <x:v>419987</x:v>
      </x:c>
      <x:c r="F498" s="14" t="n">
        <x:v>10340</x:v>
      </x:c>
      <x:c r="G498" s="2" t="str">
        <x:v>WITHIN_BAND</x:v>
      </x:c>
      <x:c r="H498" s="2" t="n">
        <x:v>1</x:v>
      </x:c>
      <x:c r="I498" s="2" t="n">
        <x:f>IF(AND(COUNTIFS($B$6:$B$797,B498,$C$6:$C$797,C498)=11,COUNTIFS($B$6:$B$797,B498,$C$6:$C$797,C498,$G$6:$G$797,"REVIEW")=0,COUNTIFS($B$6:$B$797,B498,$C$6:$C$797,C498,$H$6:$H$797,1)=11,COUNTIFS($B$6:$B$797,B498,$C$6:$C$797,C498,$F$6:$F$797,"&gt;0")=11),1,0)</x:f>
        <x:v>1</x:v>
      </x:c>
    </x:row>
    <x:row r="499" ht="22" customHeight="1">
      <x:c r="A499" s="2" t="str">
        <x:v>62044300_VN_202509_IMPORT</x:v>
      </x:c>
      <x:c r="B499" s="2" t="n">
        <x:v>202509</x:v>
      </x:c>
      <x:c r="C499" s="2" t="str">
        <x:v>62044300</x:v>
      </x:c>
      <x:c r="D499" s="2" t="str">
        <x:v>Vietnam</x:v>
      </x:c>
      <x:c r="E499" s="14" t="n">
        <x:v>435111</x:v>
      </x:c>
      <x:c r="F499" s="14" t="n">
        <x:v>17168</x:v>
      </x:c>
      <x:c r="G499" s="2" t="str">
        <x:v>WITHIN_BAND</x:v>
      </x:c>
      <x:c r="H499" s="2" t="n">
        <x:v>1</x:v>
      </x:c>
      <x:c r="I499" s="2" t="n">
        <x:f>IF(AND(COUNTIFS($B$6:$B$797,B499,$C$6:$C$797,C499)=11,COUNTIFS($B$6:$B$797,B499,$C$6:$C$797,C499,$G$6:$G$797,"REVIEW")=0,COUNTIFS($B$6:$B$797,B499,$C$6:$C$797,C499,$H$6:$H$797,1)=11,COUNTIFS($B$6:$B$797,B499,$C$6:$C$797,C499,$F$6:$F$797,"&gt;0")=11),1,0)</x:f>
        <x:v>1</x:v>
      </x:c>
    </x:row>
    <x:row r="500" ht="22" customHeight="1">
      <x:c r="A500" s="2" t="str">
        <x:v>62044300_WORLD_202509_IMPORT</x:v>
      </x:c>
      <x:c r="B500" s="2" t="n">
        <x:v>202509</x:v>
      </x:c>
      <x:c r="C500" s="2" t="str">
        <x:v>62044300</x:v>
      </x:c>
      <x:c r="D500" s="2" t="str">
        <x:v>World</x:v>
      </x:c>
      <x:c r="E500" s="14" t="n">
        <x:v>28007044</x:v>
      </x:c>
      <x:c r="F500" s="14" t="n">
        <x:v>834184</x:v>
      </x:c>
      <x:c r="G500" s="2" t="str">
        <x:v>WITHIN_BAND</x:v>
      </x:c>
      <x:c r="H500" s="2" t="n">
        <x:v>1</x:v>
      </x:c>
      <x:c r="I500" s="2" t="n">
        <x:f>IF(AND(COUNTIFS($B$6:$B$797,B500,$C$6:$C$797,C500)=11,COUNTIFS($B$6:$B$797,B500,$C$6:$C$797,C500,$G$6:$G$797,"REVIEW")=0,COUNTIFS($B$6:$B$797,B500,$C$6:$C$797,C500,$H$6:$H$797,1)=11,COUNTIFS($B$6:$B$797,B500,$C$6:$C$797,C500,$F$6:$F$797,"&gt;0")=11),1,0)</x:f>
        <x:v>1</x:v>
      </x:c>
    </x:row>
    <x:row r="501" ht="22" customHeight="1">
      <x:c r="A501" s="2" t="str">
        <x:v>62044300_BD_202510_IMPORT</x:v>
      </x:c>
      <x:c r="B501" s="2" t="n">
        <x:v>202510</x:v>
      </x:c>
      <x:c r="C501" s="2" t="str">
        <x:v>62044300</x:v>
      </x:c>
      <x:c r="D501" s="2" t="str">
        <x:v>Bangladesh</x:v>
      </x:c>
      <x:c r="E501" s="14" t="n">
        <x:v>1796038</x:v>
      </x:c>
      <x:c r="F501" s="14" t="n">
        <x:v>97131</x:v>
      </x:c>
      <x:c r="G501" s="2" t="str">
        <x:v>WITHIN_BAND</x:v>
      </x:c>
      <x:c r="H501" s="2" t="n">
        <x:v>1</x:v>
      </x:c>
      <x:c r="I501" s="2" t="n">
        <x:f>IF(AND(COUNTIFS($B$6:$B$797,B501,$C$6:$C$797,C501)=11,COUNTIFS($B$6:$B$797,B501,$C$6:$C$797,C501,$G$6:$G$797,"REVIEW")=0,COUNTIFS($B$6:$B$797,B501,$C$6:$C$797,C501,$H$6:$H$797,1)=11,COUNTIFS($B$6:$B$797,B501,$C$6:$C$797,C501,$F$6:$F$797,"&gt;0")=11),1,0)</x:f>
        <x:v>1</x:v>
      </x:c>
    </x:row>
    <x:row r="502" ht="22" customHeight="1">
      <x:c r="A502" s="2" t="str">
        <x:v>62044300_KH_202510_IMPORT</x:v>
      </x:c>
      <x:c r="B502" s="2" t="n">
        <x:v>202510</x:v>
      </x:c>
      <x:c r="C502" s="2" t="str">
        <x:v>62044300</x:v>
      </x:c>
      <x:c r="D502" s="2" t="str">
        <x:v>Cambodia</x:v>
      </x:c>
      <x:c r="E502" s="14" t="n">
        <x:v>645703</x:v>
      </x:c>
      <x:c r="F502" s="14" t="n">
        <x:v>28563</x:v>
      </x:c>
      <x:c r="G502" s="2" t="str">
        <x:v>WITHIN_BAND</x:v>
      </x:c>
      <x:c r="H502" s="2" t="n">
        <x:v>1</x:v>
      </x:c>
      <x:c r="I502" s="2" t="n">
        <x:f>IF(AND(COUNTIFS($B$6:$B$797,B502,$C$6:$C$797,C502)=11,COUNTIFS($B$6:$B$797,B502,$C$6:$C$797,C502,$G$6:$G$797,"REVIEW")=0,COUNTIFS($B$6:$B$797,B502,$C$6:$C$797,C502,$H$6:$H$797,1)=11,COUNTIFS($B$6:$B$797,B502,$C$6:$C$797,C502,$F$6:$F$797,"&gt;0")=11),1,0)</x:f>
        <x:v>1</x:v>
      </x:c>
    </x:row>
    <x:row r="503" ht="22" customHeight="1">
      <x:c r="A503" s="2" t="str">
        <x:v>62044300_CN_202510_IMPORT</x:v>
      </x:c>
      <x:c r="B503" s="2" t="n">
        <x:v>202510</x:v>
      </x:c>
      <x:c r="C503" s="2" t="str">
        <x:v>62044300</x:v>
      </x:c>
      <x:c r="D503" s="2" t="str">
        <x:v>China</x:v>
      </x:c>
      <x:c r="E503" s="14" t="n">
        <x:v>10030930</x:v>
      </x:c>
      <x:c r="F503" s="14" t="n">
        <x:v>407658</x:v>
      </x:c>
      <x:c r="G503" s="2" t="str">
        <x:v>WITHIN_BAND</x:v>
      </x:c>
      <x:c r="H503" s="2" t="n">
        <x:v>1</x:v>
      </x:c>
      <x:c r="I503" s="2" t="n">
        <x:f>IF(AND(COUNTIFS($B$6:$B$797,B503,$C$6:$C$797,C503)=11,COUNTIFS($B$6:$B$797,B503,$C$6:$C$797,C503,$G$6:$G$797,"REVIEW")=0,COUNTIFS($B$6:$B$797,B503,$C$6:$C$797,C503,$H$6:$H$797,1)=11,COUNTIFS($B$6:$B$797,B503,$C$6:$C$797,C503,$F$6:$F$797,"&gt;0")=11),1,0)</x:f>
        <x:v>1</x:v>
      </x:c>
    </x:row>
    <x:row r="504" ht="22" customHeight="1">
      <x:c r="A504" s="2" t="str">
        <x:v>62044300_IN_202510_IMPORT</x:v>
      </x:c>
      <x:c r="B504" s="2" t="n">
        <x:v>202510</x:v>
      </x:c>
      <x:c r="C504" s="2" t="str">
        <x:v>62044300</x:v>
      </x:c>
      <x:c r="D504" s="2" t="str">
        <x:v>India</x:v>
      </x:c>
      <x:c r="E504" s="14" t="n">
        <x:v>2575343</x:v>
      </x:c>
      <x:c r="F504" s="14" t="n">
        <x:v>78731</x:v>
      </x:c>
      <x:c r="G504" s="2" t="str">
        <x:v>WITHIN_BAND</x:v>
      </x:c>
      <x:c r="H504" s="2" t="n">
        <x:v>1</x:v>
      </x:c>
      <x:c r="I504" s="2" t="n">
        <x:f>IF(AND(COUNTIFS($B$6:$B$797,B504,$C$6:$C$797,C504)=11,COUNTIFS($B$6:$B$797,B504,$C$6:$C$797,C504,$G$6:$G$797,"REVIEW")=0,COUNTIFS($B$6:$B$797,B504,$C$6:$C$797,C504,$H$6:$H$797,1)=11,COUNTIFS($B$6:$B$797,B504,$C$6:$C$797,C504,$F$6:$F$797,"&gt;0")=11),1,0)</x:f>
        <x:v>1</x:v>
      </x:c>
    </x:row>
    <x:row r="505" ht="22" customHeight="1">
      <x:c r="A505" s="2" t="str">
        <x:v>62044300_MA_202510_IMPORT</x:v>
      </x:c>
      <x:c r="B505" s="2" t="n">
        <x:v>202510</x:v>
      </x:c>
      <x:c r="C505" s="2" t="str">
        <x:v>62044300</x:v>
      </x:c>
      <x:c r="D505" s="2" t="str">
        <x:v>Morocco</x:v>
      </x:c>
      <x:c r="E505" s="14" t="n">
        <x:v>287665</x:v>
      </x:c>
      <x:c r="F505" s="14" t="n">
        <x:v>13001</x:v>
      </x:c>
      <x:c r="G505" s="2" t="str">
        <x:v>WITHIN_BAND</x:v>
      </x:c>
      <x:c r="H505" s="2" t="n">
        <x:v>1</x:v>
      </x:c>
      <x:c r="I505" s="2" t="n">
        <x:f>IF(AND(COUNTIFS($B$6:$B$797,B505,$C$6:$C$797,C505)=11,COUNTIFS($B$6:$B$797,B505,$C$6:$C$797,C505,$G$6:$G$797,"REVIEW")=0,COUNTIFS($B$6:$B$797,B505,$C$6:$C$797,C505,$H$6:$H$797,1)=11,COUNTIFS($B$6:$B$797,B505,$C$6:$C$797,C505,$F$6:$F$797,"&gt;0")=11),1,0)</x:f>
        <x:v>1</x:v>
      </x:c>
    </x:row>
    <x:row r="506" ht="22" customHeight="1">
      <x:c r="A506" s="2" t="str">
        <x:v>62044300_MM_202510_IMPORT</x:v>
      </x:c>
      <x:c r="B506" s="2" t="n">
        <x:v>202510</x:v>
      </x:c>
      <x:c r="C506" s="2" t="str">
        <x:v>62044300</x:v>
      </x:c>
      <x:c r="D506" s="2" t="str">
        <x:v>Myanmar</x:v>
      </x:c>
      <x:c r="E506" s="14" t="n">
        <x:v>658544</x:v>
      </x:c>
      <x:c r="F506" s="14" t="n">
        <x:v>13407</x:v>
      </x:c>
      <x:c r="G506" s="2" t="str">
        <x:v>WITHIN_BAND</x:v>
      </x:c>
      <x:c r="H506" s="2" t="n">
        <x:v>1</x:v>
      </x:c>
      <x:c r="I506" s="2" t="n">
        <x:f>IF(AND(COUNTIFS($B$6:$B$797,B506,$C$6:$C$797,C506)=11,COUNTIFS($B$6:$B$797,B506,$C$6:$C$797,C506,$G$6:$G$797,"REVIEW")=0,COUNTIFS($B$6:$B$797,B506,$C$6:$C$797,C506,$H$6:$H$797,1)=11,COUNTIFS($B$6:$B$797,B506,$C$6:$C$797,C506,$F$6:$F$797,"&gt;0")=11),1,0)</x:f>
        <x:v>1</x:v>
      </x:c>
    </x:row>
    <x:row r="507" ht="22" customHeight="1">
      <x:c r="A507" s="2" t="str">
        <x:v>62044300_PK_202510_IMPORT</x:v>
      </x:c>
      <x:c r="B507" s="2" t="n">
        <x:v>202510</x:v>
      </x:c>
      <x:c r="C507" s="2" t="str">
        <x:v>62044300</x:v>
      </x:c>
      <x:c r="D507" s="2" t="str">
        <x:v>Pakistan</x:v>
      </x:c>
      <x:c r="E507" s="14" t="n">
        <x:v>94633</x:v>
      </x:c>
      <x:c r="F507" s="14" t="n">
        <x:v>5527</x:v>
      </x:c>
      <x:c r="G507" s="2" t="str">
        <x:v>WITHIN_BAND</x:v>
      </x:c>
      <x:c r="H507" s="2" t="n">
        <x:v>1</x:v>
      </x:c>
      <x:c r="I507" s="2" t="n">
        <x:f>IF(AND(COUNTIFS($B$6:$B$797,B507,$C$6:$C$797,C507)=11,COUNTIFS($B$6:$B$797,B507,$C$6:$C$797,C507,$G$6:$G$797,"REVIEW")=0,COUNTIFS($B$6:$B$797,B507,$C$6:$C$797,C507,$H$6:$H$797,1)=11,COUNTIFS($B$6:$B$797,B507,$C$6:$C$797,C507,$F$6:$F$797,"&gt;0")=11),1,0)</x:f>
        <x:v>1</x:v>
      </x:c>
    </x:row>
    <x:row r="508" ht="22" customHeight="1">
      <x:c r="A508" s="2" t="str">
        <x:v>62044300_LK_202510_IMPORT</x:v>
      </x:c>
      <x:c r="B508" s="2" t="n">
        <x:v>202510</x:v>
      </x:c>
      <x:c r="C508" s="2" t="str">
        <x:v>62044300</x:v>
      </x:c>
      <x:c r="D508" s="2" t="str">
        <x:v>Sri Lanka</x:v>
      </x:c>
      <x:c r="E508" s="14" t="n">
        <x:v>1425303</x:v>
      </x:c>
      <x:c r="F508" s="14" t="n">
        <x:v>60016</x:v>
      </x:c>
      <x:c r="G508" s="2" t="str">
        <x:v>WITHIN_BAND</x:v>
      </x:c>
      <x:c r="H508" s="2" t="n">
        <x:v>1</x:v>
      </x:c>
      <x:c r="I508" s="2" t="n">
        <x:f>IF(AND(COUNTIFS($B$6:$B$797,B508,$C$6:$C$797,C508)=11,COUNTIFS($B$6:$B$797,B508,$C$6:$C$797,C508,$G$6:$G$797,"REVIEW")=0,COUNTIFS($B$6:$B$797,B508,$C$6:$C$797,C508,$H$6:$H$797,1)=11,COUNTIFS($B$6:$B$797,B508,$C$6:$C$797,C508,$F$6:$F$797,"&gt;0")=11),1,0)</x:f>
        <x:v>1</x:v>
      </x:c>
    </x:row>
    <x:row r="509" ht="22" customHeight="1">
      <x:c r="A509" s="2" t="str">
        <x:v>62044300_TR_202510_IMPORT</x:v>
      </x:c>
      <x:c r="B509" s="2" t="n">
        <x:v>202510</x:v>
      </x:c>
      <x:c r="C509" s="2" t="str">
        <x:v>62044300</x:v>
      </x:c>
      <x:c r="D509" s="2" t="str">
        <x:v>Turkey</x:v>
      </x:c>
      <x:c r="E509" s="14" t="n">
        <x:v>633994</x:v>
      </x:c>
      <x:c r="F509" s="14" t="n">
        <x:v>14944</x:v>
      </x:c>
      <x:c r="G509" s="2" t="str">
        <x:v>WITHIN_BAND</x:v>
      </x:c>
      <x:c r="H509" s="2" t="n">
        <x:v>1</x:v>
      </x:c>
      <x:c r="I509" s="2" t="n">
        <x:f>IF(AND(COUNTIFS($B$6:$B$797,B509,$C$6:$C$797,C509)=11,COUNTIFS($B$6:$B$797,B509,$C$6:$C$797,C509,$G$6:$G$797,"REVIEW")=0,COUNTIFS($B$6:$B$797,B509,$C$6:$C$797,C509,$H$6:$H$797,1)=11,COUNTIFS($B$6:$B$797,B509,$C$6:$C$797,C509,$F$6:$F$797,"&gt;0")=11),1,0)</x:f>
        <x:v>1</x:v>
      </x:c>
    </x:row>
    <x:row r="510" ht="22" customHeight="1">
      <x:c r="A510" s="2" t="str">
        <x:v>62044300_VN_202510_IMPORT</x:v>
      </x:c>
      <x:c r="B510" s="2" t="n">
        <x:v>202510</x:v>
      </x:c>
      <x:c r="C510" s="2" t="str">
        <x:v>62044300</x:v>
      </x:c>
      <x:c r="D510" s="2" t="str">
        <x:v>Vietnam</x:v>
      </x:c>
      <x:c r="E510" s="14" t="n">
        <x:v>610855</x:v>
      </x:c>
      <x:c r="F510" s="14" t="n">
        <x:v>22101</x:v>
      </x:c>
      <x:c r="G510" s="2" t="str">
        <x:v>WITHIN_BAND</x:v>
      </x:c>
      <x:c r="H510" s="2" t="n">
        <x:v>1</x:v>
      </x:c>
      <x:c r="I510" s="2" t="n">
        <x:f>IF(AND(COUNTIFS($B$6:$B$797,B510,$C$6:$C$797,C510)=11,COUNTIFS($B$6:$B$797,B510,$C$6:$C$797,C510,$G$6:$G$797,"REVIEW")=0,COUNTIFS($B$6:$B$797,B510,$C$6:$C$797,C510,$H$6:$H$797,1)=11,COUNTIFS($B$6:$B$797,B510,$C$6:$C$797,C510,$F$6:$F$797,"&gt;0")=11),1,0)</x:f>
        <x:v>1</x:v>
      </x:c>
    </x:row>
    <x:row r="511" ht="22" customHeight="1">
      <x:c r="A511" s="2" t="str">
        <x:v>62044300_WORLD_202510_IMPORT</x:v>
      </x:c>
      <x:c r="B511" s="2" t="n">
        <x:v>202510</x:v>
      </x:c>
      <x:c r="C511" s="2" t="str">
        <x:v>62044300</x:v>
      </x:c>
      <x:c r="D511" s="2" t="str">
        <x:v>World</x:v>
      </x:c>
      <x:c r="E511" s="14" t="n">
        <x:v>32317234</x:v>
      </x:c>
      <x:c r="F511" s="14" t="n">
        <x:v>943473</x:v>
      </x:c>
      <x:c r="G511" s="2" t="str">
        <x:v>WITHIN_BAND</x:v>
      </x:c>
      <x:c r="H511" s="2" t="n">
        <x:v>1</x:v>
      </x:c>
      <x:c r="I511" s="2" t="n">
        <x:f>IF(AND(COUNTIFS($B$6:$B$797,B511,$C$6:$C$797,C511)=11,COUNTIFS($B$6:$B$797,B511,$C$6:$C$797,C511,$G$6:$G$797,"REVIEW")=0,COUNTIFS($B$6:$B$797,B511,$C$6:$C$797,C511,$H$6:$H$797,1)=11,COUNTIFS($B$6:$B$797,B511,$C$6:$C$797,C511,$F$6:$F$797,"&gt;0")=11),1,0)</x:f>
        <x:v>1</x:v>
      </x:c>
    </x:row>
    <x:row r="512" ht="22" customHeight="1">
      <x:c r="A512" s="2" t="str">
        <x:v>62044300_BD_202511_IMPORT</x:v>
      </x:c>
      <x:c r="B512" s="2" t="n">
        <x:v>202511</x:v>
      </x:c>
      <x:c r="C512" s="2" t="str">
        <x:v>62044300</x:v>
      </x:c>
      <x:c r="D512" s="2" t="str">
        <x:v>Bangladesh</x:v>
      </x:c>
      <x:c r="E512" s="14" t="n">
        <x:v>986551</x:v>
      </x:c>
      <x:c r="F512" s="14" t="n">
        <x:v>54293</x:v>
      </x:c>
      <x:c r="G512" s="2" t="str">
        <x:v>WITHIN_BAND</x:v>
      </x:c>
      <x:c r="H512" s="2" t="n">
        <x:v>1</x:v>
      </x:c>
      <x:c r="I512" s="2" t="n">
        <x:f>IF(AND(COUNTIFS($B$6:$B$797,B512,$C$6:$C$797,C512)=11,COUNTIFS($B$6:$B$797,B512,$C$6:$C$797,C512,$G$6:$G$797,"REVIEW")=0,COUNTIFS($B$6:$B$797,B512,$C$6:$C$797,C512,$H$6:$H$797,1)=11,COUNTIFS($B$6:$B$797,B512,$C$6:$C$797,C512,$F$6:$F$797,"&gt;0")=11),1,0)</x:f>
        <x:v>1</x:v>
      </x:c>
    </x:row>
    <x:row r="513" ht="22" customHeight="1">
      <x:c r="A513" s="2" t="str">
        <x:v>62044300_KH_202511_IMPORT</x:v>
      </x:c>
      <x:c r="B513" s="2" t="n">
        <x:v>202511</x:v>
      </x:c>
      <x:c r="C513" s="2" t="str">
        <x:v>62044300</x:v>
      </x:c>
      <x:c r="D513" s="2" t="str">
        <x:v>Cambodia</x:v>
      </x:c>
      <x:c r="E513" s="14" t="n">
        <x:v>204322</x:v>
      </x:c>
      <x:c r="F513" s="14" t="n">
        <x:v>11842</x:v>
      </x:c>
      <x:c r="G513" s="2" t="str">
        <x:v>WITHIN_BAND</x:v>
      </x:c>
      <x:c r="H513" s="2" t="n">
        <x:v>1</x:v>
      </x:c>
      <x:c r="I513" s="2" t="n">
        <x:f>IF(AND(COUNTIFS($B$6:$B$797,B513,$C$6:$C$797,C513)=11,COUNTIFS($B$6:$B$797,B513,$C$6:$C$797,C513,$G$6:$G$797,"REVIEW")=0,COUNTIFS($B$6:$B$797,B513,$C$6:$C$797,C513,$H$6:$H$797,1)=11,COUNTIFS($B$6:$B$797,B513,$C$6:$C$797,C513,$F$6:$F$797,"&gt;0")=11),1,0)</x:f>
        <x:v>1</x:v>
      </x:c>
    </x:row>
    <x:row r="514" ht="22" customHeight="1">
      <x:c r="A514" s="2" t="str">
        <x:v>62044300_CN_202511_IMPORT</x:v>
      </x:c>
      <x:c r="B514" s="2" t="n">
        <x:v>202511</x:v>
      </x:c>
      <x:c r="C514" s="2" t="str">
        <x:v>62044300</x:v>
      </x:c>
      <x:c r="D514" s="2" t="str">
        <x:v>China</x:v>
      </x:c>
      <x:c r="E514" s="14" t="n">
        <x:v>7235436</x:v>
      </x:c>
      <x:c r="F514" s="14" t="n">
        <x:v>274794</x:v>
      </x:c>
      <x:c r="G514" s="2" t="str">
        <x:v>WITHIN_BAND</x:v>
      </x:c>
      <x:c r="H514" s="2" t="n">
        <x:v>1</x:v>
      </x:c>
      <x:c r="I514" s="2" t="n">
        <x:f>IF(AND(COUNTIFS($B$6:$B$797,B514,$C$6:$C$797,C514)=11,COUNTIFS($B$6:$B$797,B514,$C$6:$C$797,C514,$G$6:$G$797,"REVIEW")=0,COUNTIFS($B$6:$B$797,B514,$C$6:$C$797,C514,$H$6:$H$797,1)=11,COUNTIFS($B$6:$B$797,B514,$C$6:$C$797,C514,$F$6:$F$797,"&gt;0")=11),1,0)</x:f>
        <x:v>1</x:v>
      </x:c>
    </x:row>
    <x:row r="515" ht="22" customHeight="1">
      <x:c r="A515" s="2" t="str">
        <x:v>62044300_IN_202511_IMPORT</x:v>
      </x:c>
      <x:c r="B515" s="2" t="n">
        <x:v>202511</x:v>
      </x:c>
      <x:c r="C515" s="2" t="str">
        <x:v>62044300</x:v>
      </x:c>
      <x:c r="D515" s="2" t="str">
        <x:v>India</x:v>
      </x:c>
      <x:c r="E515" s="14" t="n">
        <x:v>1896519</x:v>
      </x:c>
      <x:c r="F515" s="14" t="n">
        <x:v>46594</x:v>
      </x:c>
      <x:c r="G515" s="2" t="str">
        <x:v>WITHIN_BAND</x:v>
      </x:c>
      <x:c r="H515" s="2" t="n">
        <x:v>1</x:v>
      </x:c>
      <x:c r="I515" s="2" t="n">
        <x:f>IF(AND(COUNTIFS($B$6:$B$797,B515,$C$6:$C$797,C515)=11,COUNTIFS($B$6:$B$797,B515,$C$6:$C$797,C515,$G$6:$G$797,"REVIEW")=0,COUNTIFS($B$6:$B$797,B515,$C$6:$C$797,C515,$H$6:$H$797,1)=11,COUNTIFS($B$6:$B$797,B515,$C$6:$C$797,C515,$F$6:$F$797,"&gt;0")=11),1,0)</x:f>
        <x:v>1</x:v>
      </x:c>
    </x:row>
    <x:row r="516" ht="22" customHeight="1">
      <x:c r="A516" s="2" t="str">
        <x:v>62044300_MA_202511_IMPORT</x:v>
      </x:c>
      <x:c r="B516" s="2" t="n">
        <x:v>202511</x:v>
      </x:c>
      <x:c r="C516" s="2" t="str">
        <x:v>62044300</x:v>
      </x:c>
      <x:c r="D516" s="2" t="str">
        <x:v>Morocco</x:v>
      </x:c>
      <x:c r="E516" s="14" t="n">
        <x:v>414746</x:v>
      </x:c>
      <x:c r="F516" s="14" t="n">
        <x:v>16702</x:v>
      </x:c>
      <x:c r="G516" s="2" t="str">
        <x:v>WITHIN_BAND</x:v>
      </x:c>
      <x:c r="H516" s="2" t="n">
        <x:v>1</x:v>
      </x:c>
      <x:c r="I516" s="2" t="n">
        <x:f>IF(AND(COUNTIFS($B$6:$B$797,B516,$C$6:$C$797,C516)=11,COUNTIFS($B$6:$B$797,B516,$C$6:$C$797,C516,$G$6:$G$797,"REVIEW")=0,COUNTIFS($B$6:$B$797,B516,$C$6:$C$797,C516,$H$6:$H$797,1)=11,COUNTIFS($B$6:$B$797,B516,$C$6:$C$797,C516,$F$6:$F$797,"&gt;0")=11),1,0)</x:f>
        <x:v>1</x:v>
      </x:c>
    </x:row>
    <x:row r="517" ht="22" customHeight="1">
      <x:c r="A517" s="2" t="str">
        <x:v>62044300_MM_202511_IMPORT</x:v>
      </x:c>
      <x:c r="B517" s="2" t="n">
        <x:v>202511</x:v>
      </x:c>
      <x:c r="C517" s="2" t="str">
        <x:v>62044300</x:v>
      </x:c>
      <x:c r="D517" s="2" t="str">
        <x:v>Myanmar</x:v>
      </x:c>
      <x:c r="E517" s="14" t="n">
        <x:v>707696</x:v>
      </x:c>
      <x:c r="F517" s="14" t="n">
        <x:v>10946</x:v>
      </x:c>
      <x:c r="G517" s="2" t="str">
        <x:v>WITHIN_BAND</x:v>
      </x:c>
      <x:c r="H517" s="2" t="n">
        <x:v>1</x:v>
      </x:c>
      <x:c r="I517" s="2" t="n">
        <x:f>IF(AND(COUNTIFS($B$6:$B$797,B517,$C$6:$C$797,C517)=11,COUNTIFS($B$6:$B$797,B517,$C$6:$C$797,C517,$G$6:$G$797,"REVIEW")=0,COUNTIFS($B$6:$B$797,B517,$C$6:$C$797,C517,$H$6:$H$797,1)=11,COUNTIFS($B$6:$B$797,B517,$C$6:$C$797,C517,$F$6:$F$797,"&gt;0")=11),1,0)</x:f>
        <x:v>1</x:v>
      </x:c>
    </x:row>
    <x:row r="518" ht="22" customHeight="1">
      <x:c r="A518" s="2" t="str">
        <x:v>62044300_PK_202511_IMPORT</x:v>
      </x:c>
      <x:c r="B518" s="2" t="n">
        <x:v>202511</x:v>
      </x:c>
      <x:c r="C518" s="2" t="str">
        <x:v>62044300</x:v>
      </x:c>
      <x:c r="D518" s="2" t="str">
        <x:v>Pakistan</x:v>
      </x:c>
      <x:c r="E518" s="14" t="n">
        <x:v>143418</x:v>
      </x:c>
      <x:c r="F518" s="14" t="n">
        <x:v>10184</x:v>
      </x:c>
      <x:c r="G518" s="2" t="str">
        <x:v>WITHIN_BAND</x:v>
      </x:c>
      <x:c r="H518" s="2" t="n">
        <x:v>1</x:v>
      </x:c>
      <x:c r="I518" s="2" t="n">
        <x:f>IF(AND(COUNTIFS($B$6:$B$797,B518,$C$6:$C$797,C518)=11,COUNTIFS($B$6:$B$797,B518,$C$6:$C$797,C518,$G$6:$G$797,"REVIEW")=0,COUNTIFS($B$6:$B$797,B518,$C$6:$C$797,C518,$H$6:$H$797,1)=11,COUNTIFS($B$6:$B$797,B518,$C$6:$C$797,C518,$F$6:$F$797,"&gt;0")=11),1,0)</x:f>
        <x:v>1</x:v>
      </x:c>
    </x:row>
    <x:row r="519" ht="22" customHeight="1">
      <x:c r="A519" s="2" t="str">
        <x:v>62044300_LK_202511_IMPORT</x:v>
      </x:c>
      <x:c r="B519" s="2" t="n">
        <x:v>202511</x:v>
      </x:c>
      <x:c r="C519" s="2" t="str">
        <x:v>62044300</x:v>
      </x:c>
      <x:c r="D519" s="2" t="str">
        <x:v>Sri Lanka</x:v>
      </x:c>
      <x:c r="E519" s="14" t="n">
        <x:v>548287</x:v>
      </x:c>
      <x:c r="F519" s="14" t="n">
        <x:v>24422</x:v>
      </x:c>
      <x:c r="G519" s="2" t="str">
        <x:v>WITHIN_BAND</x:v>
      </x:c>
      <x:c r="H519" s="2" t="n">
        <x:v>1</x:v>
      </x:c>
      <x:c r="I519" s="2" t="n">
        <x:f>IF(AND(COUNTIFS($B$6:$B$797,B519,$C$6:$C$797,C519)=11,COUNTIFS($B$6:$B$797,B519,$C$6:$C$797,C519,$G$6:$G$797,"REVIEW")=0,COUNTIFS($B$6:$B$797,B519,$C$6:$C$797,C519,$H$6:$H$797,1)=11,COUNTIFS($B$6:$B$797,B519,$C$6:$C$797,C519,$F$6:$F$797,"&gt;0")=11),1,0)</x:f>
        <x:v>1</x:v>
      </x:c>
    </x:row>
    <x:row r="520" ht="22" customHeight="1">
      <x:c r="A520" s="2" t="str">
        <x:v>62044300_TR_202511_IMPORT</x:v>
      </x:c>
      <x:c r="B520" s="2" t="n">
        <x:v>202511</x:v>
      </x:c>
      <x:c r="C520" s="2" t="str">
        <x:v>62044300</x:v>
      </x:c>
      <x:c r="D520" s="2" t="str">
        <x:v>Turkey</x:v>
      </x:c>
      <x:c r="E520" s="14" t="n">
        <x:v>650121</x:v>
      </x:c>
      <x:c r="F520" s="14" t="n">
        <x:v>19390</x:v>
      </x:c>
      <x:c r="G520" s="2" t="str">
        <x:v>WITHIN_BAND</x:v>
      </x:c>
      <x:c r="H520" s="2" t="n">
        <x:v>1</x:v>
      </x:c>
      <x:c r="I520" s="2" t="n">
        <x:f>IF(AND(COUNTIFS($B$6:$B$797,B520,$C$6:$C$797,C520)=11,COUNTIFS($B$6:$B$797,B520,$C$6:$C$797,C520,$G$6:$G$797,"REVIEW")=0,COUNTIFS($B$6:$B$797,B520,$C$6:$C$797,C520,$H$6:$H$797,1)=11,COUNTIFS($B$6:$B$797,B520,$C$6:$C$797,C520,$F$6:$F$797,"&gt;0")=11),1,0)</x:f>
        <x:v>1</x:v>
      </x:c>
    </x:row>
    <x:row r="521" ht="22" customHeight="1">
      <x:c r="A521" s="2" t="str">
        <x:v>62044300_VN_202511_IMPORT</x:v>
      </x:c>
      <x:c r="B521" s="2" t="n">
        <x:v>202511</x:v>
      </x:c>
      <x:c r="C521" s="2" t="str">
        <x:v>62044300</x:v>
      </x:c>
      <x:c r="D521" s="2" t="str">
        <x:v>Vietnam</x:v>
      </x:c>
      <x:c r="E521" s="14" t="n">
        <x:v>397783</x:v>
      </x:c>
      <x:c r="F521" s="14" t="n">
        <x:v>13972</x:v>
      </x:c>
      <x:c r="G521" s="2" t="str">
        <x:v>WITHIN_BAND</x:v>
      </x:c>
      <x:c r="H521" s="2" t="n">
        <x:v>1</x:v>
      </x:c>
      <x:c r="I521" s="2" t="n">
        <x:f>IF(AND(COUNTIFS($B$6:$B$797,B521,$C$6:$C$797,C521)=11,COUNTIFS($B$6:$B$797,B521,$C$6:$C$797,C521,$G$6:$G$797,"REVIEW")=0,COUNTIFS($B$6:$B$797,B521,$C$6:$C$797,C521,$H$6:$H$797,1)=11,COUNTIFS($B$6:$B$797,B521,$C$6:$C$797,C521,$F$6:$F$797,"&gt;0")=11),1,0)</x:f>
        <x:v>1</x:v>
      </x:c>
    </x:row>
    <x:row r="522" ht="22" customHeight="1">
      <x:c r="A522" s="2" t="str">
        <x:v>62044300_WORLD_202511_IMPORT</x:v>
      </x:c>
      <x:c r="B522" s="2" t="n">
        <x:v>202511</x:v>
      </x:c>
      <x:c r="C522" s="2" t="str">
        <x:v>62044300</x:v>
      </x:c>
      <x:c r="D522" s="2" t="str">
        <x:v>World</x:v>
      </x:c>
      <x:c r="E522" s="14" t="n">
        <x:v>27432638</x:v>
      </x:c>
      <x:c r="F522" s="14" t="n">
        <x:v>674388</x:v>
      </x:c>
      <x:c r="G522" s="2" t="str">
        <x:v>WITHIN_BAND</x:v>
      </x:c>
      <x:c r="H522" s="2" t="n">
        <x:v>1</x:v>
      </x:c>
      <x:c r="I522" s="2" t="n">
        <x:f>IF(AND(COUNTIFS($B$6:$B$797,B522,$C$6:$C$797,C522)=11,COUNTIFS($B$6:$B$797,B522,$C$6:$C$797,C522,$G$6:$G$797,"REVIEW")=0,COUNTIFS($B$6:$B$797,B522,$C$6:$C$797,C522,$H$6:$H$797,1)=11,COUNTIFS($B$6:$B$797,B522,$C$6:$C$797,C522,$F$6:$F$797,"&gt;0")=11),1,0)</x:f>
        <x:v>1</x:v>
      </x:c>
    </x:row>
    <x:row r="523" ht="22" customHeight="1">
      <x:c r="A523" s="2" t="str">
        <x:v>62044300_BD_202512_IMPORT</x:v>
      </x:c>
      <x:c r="B523" s="2" t="n">
        <x:v>202512</x:v>
      </x:c>
      <x:c r="C523" s="2" t="str">
        <x:v>62044300</x:v>
      </x:c>
      <x:c r="D523" s="2" t="str">
        <x:v>Bangladesh</x:v>
      </x:c>
      <x:c r="E523" s="14" t="n">
        <x:v>551183</x:v>
      </x:c>
      <x:c r="F523" s="14" t="n">
        <x:v>32756</x:v>
      </x:c>
      <x:c r="G523" s="2" t="str">
        <x:v>WITHIN_BAND</x:v>
      </x:c>
      <x:c r="H523" s="2" t="n">
        <x:v>1</x:v>
      </x:c>
      <x:c r="I523" s="2" t="n">
        <x:f>IF(AND(COUNTIFS($B$6:$B$797,B523,$C$6:$C$797,C523)=11,COUNTIFS($B$6:$B$797,B523,$C$6:$C$797,C523,$G$6:$G$797,"REVIEW")=0,COUNTIFS($B$6:$B$797,B523,$C$6:$C$797,C523,$H$6:$H$797,1)=11,COUNTIFS($B$6:$B$797,B523,$C$6:$C$797,C523,$F$6:$F$797,"&gt;0")=11),1,0)</x:f>
        <x:v>1</x:v>
      </x:c>
    </x:row>
    <x:row r="524" ht="22" customHeight="1">
      <x:c r="A524" s="2" t="str">
        <x:v>62044300_KH_202512_IMPORT</x:v>
      </x:c>
      <x:c r="B524" s="2" t="n">
        <x:v>202512</x:v>
      </x:c>
      <x:c r="C524" s="2" t="str">
        <x:v>62044300</x:v>
      </x:c>
      <x:c r="D524" s="2" t="str">
        <x:v>Cambodia</x:v>
      </x:c>
      <x:c r="E524" s="14" t="n">
        <x:v>44231</x:v>
      </x:c>
      <x:c r="F524" s="14" t="n">
        <x:v>1886</x:v>
      </x:c>
      <x:c r="G524" s="2" t="str">
        <x:v>WITHIN_BAND</x:v>
      </x:c>
      <x:c r="H524" s="2" t="n">
        <x:v>1</x:v>
      </x:c>
      <x:c r="I524" s="2" t="n">
        <x:f>IF(AND(COUNTIFS($B$6:$B$797,B524,$C$6:$C$797,C524)=11,COUNTIFS($B$6:$B$797,B524,$C$6:$C$797,C524,$G$6:$G$797,"REVIEW")=0,COUNTIFS($B$6:$B$797,B524,$C$6:$C$797,C524,$H$6:$H$797,1)=11,COUNTIFS($B$6:$B$797,B524,$C$6:$C$797,C524,$F$6:$F$797,"&gt;0")=11),1,0)</x:f>
        <x:v>1</x:v>
      </x:c>
    </x:row>
    <x:row r="525" ht="22" customHeight="1">
      <x:c r="A525" s="2" t="str">
        <x:v>62044300_CN_202512_IMPORT</x:v>
      </x:c>
      <x:c r="B525" s="2" t="n">
        <x:v>202512</x:v>
      </x:c>
      <x:c r="C525" s="2" t="str">
        <x:v>62044300</x:v>
      </x:c>
      <x:c r="D525" s="2" t="str">
        <x:v>China</x:v>
      </x:c>
      <x:c r="E525" s="14" t="n">
        <x:v>7773519</x:v>
      </x:c>
      <x:c r="F525" s="14" t="n">
        <x:v>279783</x:v>
      </x:c>
      <x:c r="G525" s="2" t="str">
        <x:v>WITHIN_BAND</x:v>
      </x:c>
      <x:c r="H525" s="2" t="n">
        <x:v>1</x:v>
      </x:c>
      <x:c r="I525" s="2" t="n">
        <x:f>IF(AND(COUNTIFS($B$6:$B$797,B525,$C$6:$C$797,C525)=11,COUNTIFS($B$6:$B$797,B525,$C$6:$C$797,C525,$G$6:$G$797,"REVIEW")=0,COUNTIFS($B$6:$B$797,B525,$C$6:$C$797,C525,$H$6:$H$797,1)=11,COUNTIFS($B$6:$B$797,B525,$C$6:$C$797,C525,$F$6:$F$797,"&gt;0")=11),1,0)</x:f>
        <x:v>1</x:v>
      </x:c>
    </x:row>
    <x:row r="526" ht="22" customHeight="1">
      <x:c r="A526" s="2" t="str">
        <x:v>62044300_IN_202512_IMPORT</x:v>
      </x:c>
      <x:c r="B526" s="2" t="n">
        <x:v>202512</x:v>
      </x:c>
      <x:c r="C526" s="2" t="str">
        <x:v>62044300</x:v>
      </x:c>
      <x:c r="D526" s="2" t="str">
        <x:v>India</x:v>
      </x:c>
      <x:c r="E526" s="14" t="n">
        <x:v>1823559</x:v>
      </x:c>
      <x:c r="F526" s="14" t="n">
        <x:v>57167</x:v>
      </x:c>
      <x:c r="G526" s="2" t="str">
        <x:v>WITHIN_BAND</x:v>
      </x:c>
      <x:c r="H526" s="2" t="n">
        <x:v>1</x:v>
      </x:c>
      <x:c r="I526" s="2" t="n">
        <x:f>IF(AND(COUNTIFS($B$6:$B$797,B526,$C$6:$C$797,C526)=11,COUNTIFS($B$6:$B$797,B526,$C$6:$C$797,C526,$G$6:$G$797,"REVIEW")=0,COUNTIFS($B$6:$B$797,B526,$C$6:$C$797,C526,$H$6:$H$797,1)=11,COUNTIFS($B$6:$B$797,B526,$C$6:$C$797,C526,$F$6:$F$797,"&gt;0")=11),1,0)</x:f>
        <x:v>1</x:v>
      </x:c>
    </x:row>
    <x:row r="527" ht="22" customHeight="1">
      <x:c r="A527" s="2" t="str">
        <x:v>62044300_MA_202512_IMPORT</x:v>
      </x:c>
      <x:c r="B527" s="2" t="n">
        <x:v>202512</x:v>
      </x:c>
      <x:c r="C527" s="2" t="str">
        <x:v>62044300</x:v>
      </x:c>
      <x:c r="D527" s="2" t="str">
        <x:v>Morocco</x:v>
      </x:c>
      <x:c r="E527" s="14" t="n">
        <x:v>603858</x:v>
      </x:c>
      <x:c r="F527" s="14" t="n">
        <x:v>22614</x:v>
      </x:c>
      <x:c r="G527" s="2" t="str">
        <x:v>WITHIN_BAND</x:v>
      </x:c>
      <x:c r="H527" s="2" t="n">
        <x:v>1</x:v>
      </x:c>
      <x:c r="I527" s="2" t="n">
        <x:f>IF(AND(COUNTIFS($B$6:$B$797,B527,$C$6:$C$797,C527)=11,COUNTIFS($B$6:$B$797,B527,$C$6:$C$797,C527,$G$6:$G$797,"REVIEW")=0,COUNTIFS($B$6:$B$797,B527,$C$6:$C$797,C527,$H$6:$H$797,1)=11,COUNTIFS($B$6:$B$797,B527,$C$6:$C$797,C527,$F$6:$F$797,"&gt;0")=11),1,0)</x:f>
        <x:v>1</x:v>
      </x:c>
    </x:row>
    <x:row r="528" ht="22" customHeight="1">
      <x:c r="A528" s="2" t="str">
        <x:v>62044300_MM_202512_IMPORT</x:v>
      </x:c>
      <x:c r="B528" s="2" t="n">
        <x:v>202512</x:v>
      </x:c>
      <x:c r="C528" s="2" t="str">
        <x:v>62044300</x:v>
      </x:c>
      <x:c r="D528" s="2" t="str">
        <x:v>Myanmar</x:v>
      </x:c>
      <x:c r="E528" s="14" t="n">
        <x:v>651035</x:v>
      </x:c>
      <x:c r="F528" s="14" t="n">
        <x:v>10269</x:v>
      </x:c>
      <x:c r="G528" s="2" t="str">
        <x:v>WITHIN_BAND</x:v>
      </x:c>
      <x:c r="H528" s="2" t="n">
        <x:v>1</x:v>
      </x:c>
      <x:c r="I528" s="2" t="n">
        <x:f>IF(AND(COUNTIFS($B$6:$B$797,B528,$C$6:$C$797,C528)=11,COUNTIFS($B$6:$B$797,B528,$C$6:$C$797,C528,$G$6:$G$797,"REVIEW")=0,COUNTIFS($B$6:$B$797,B528,$C$6:$C$797,C528,$H$6:$H$797,1)=11,COUNTIFS($B$6:$B$797,B528,$C$6:$C$797,C528,$F$6:$F$797,"&gt;0")=11),1,0)</x:f>
        <x:v>1</x:v>
      </x:c>
    </x:row>
    <x:row r="529" ht="22" customHeight="1">
      <x:c r="A529" s="2" t="str">
        <x:v>62044300_PK_202512_IMPORT</x:v>
      </x:c>
      <x:c r="B529" s="2" t="n">
        <x:v>202512</x:v>
      </x:c>
      <x:c r="C529" s="2" t="str">
        <x:v>62044300</x:v>
      </x:c>
      <x:c r="D529" s="2" t="str">
        <x:v>Pakistan</x:v>
      </x:c>
      <x:c r="E529" s="14" t="n">
        <x:v>39974</x:v>
      </x:c>
      <x:c r="F529" s="14" t="n">
        <x:v>1290</x:v>
      </x:c>
      <x:c r="G529" s="2" t="str">
        <x:v>WITHIN_BAND</x:v>
      </x:c>
      <x:c r="H529" s="2" t="n">
        <x:v>1</x:v>
      </x:c>
      <x:c r="I529" s="2" t="n">
        <x:f>IF(AND(COUNTIFS($B$6:$B$797,B529,$C$6:$C$797,C529)=11,COUNTIFS($B$6:$B$797,B529,$C$6:$C$797,C529,$G$6:$G$797,"REVIEW")=0,COUNTIFS($B$6:$B$797,B529,$C$6:$C$797,C529,$H$6:$H$797,1)=11,COUNTIFS($B$6:$B$797,B529,$C$6:$C$797,C529,$F$6:$F$797,"&gt;0")=11),1,0)</x:f>
        <x:v>1</x:v>
      </x:c>
    </x:row>
    <x:row r="530" ht="22" customHeight="1">
      <x:c r="A530" s="2" t="str">
        <x:v>62044300_LK_202512_IMPORT</x:v>
      </x:c>
      <x:c r="B530" s="2" t="n">
        <x:v>202512</x:v>
      </x:c>
      <x:c r="C530" s="2" t="str">
        <x:v>62044300</x:v>
      </x:c>
      <x:c r="D530" s="2" t="str">
        <x:v>Sri Lanka</x:v>
      </x:c>
      <x:c r="E530" s="14" t="n">
        <x:v>306787</x:v>
      </x:c>
      <x:c r="F530" s="14" t="n">
        <x:v>15388</x:v>
      </x:c>
      <x:c r="G530" s="2" t="str">
        <x:v>WITHIN_BAND</x:v>
      </x:c>
      <x:c r="H530" s="2" t="n">
        <x:v>1</x:v>
      </x:c>
      <x:c r="I530" s="2" t="n">
        <x:f>IF(AND(COUNTIFS($B$6:$B$797,B530,$C$6:$C$797,C530)=11,COUNTIFS($B$6:$B$797,B530,$C$6:$C$797,C530,$G$6:$G$797,"REVIEW")=0,COUNTIFS($B$6:$B$797,B530,$C$6:$C$797,C530,$H$6:$H$797,1)=11,COUNTIFS($B$6:$B$797,B530,$C$6:$C$797,C530,$F$6:$F$797,"&gt;0")=11),1,0)</x:f>
        <x:v>1</x:v>
      </x:c>
    </x:row>
    <x:row r="531" ht="22" customHeight="1">
      <x:c r="A531" s="2" t="str">
        <x:v>62044300_TR_202512_IMPORT</x:v>
      </x:c>
      <x:c r="B531" s="2" t="n">
        <x:v>202512</x:v>
      </x:c>
      <x:c r="C531" s="2" t="str">
        <x:v>62044300</x:v>
      </x:c>
      <x:c r="D531" s="2" t="str">
        <x:v>Turkey</x:v>
      </x:c>
      <x:c r="E531" s="14" t="n">
        <x:v>454511</x:v>
      </x:c>
      <x:c r="F531" s="14" t="n">
        <x:v>13207</x:v>
      </x:c>
      <x:c r="G531" s="2" t="str">
        <x:v>WITHIN_BAND</x:v>
      </x:c>
      <x:c r="H531" s="2" t="n">
        <x:v>1</x:v>
      </x:c>
      <x:c r="I531" s="2" t="n">
        <x:f>IF(AND(COUNTIFS($B$6:$B$797,B531,$C$6:$C$797,C531)=11,COUNTIFS($B$6:$B$797,B531,$C$6:$C$797,C531,$G$6:$G$797,"REVIEW")=0,COUNTIFS($B$6:$B$797,B531,$C$6:$C$797,C531,$H$6:$H$797,1)=11,COUNTIFS($B$6:$B$797,B531,$C$6:$C$797,C531,$F$6:$F$797,"&gt;0")=11),1,0)</x:f>
        <x:v>1</x:v>
      </x:c>
    </x:row>
    <x:row r="532" ht="22" customHeight="1">
      <x:c r="A532" s="2" t="str">
        <x:v>62044300_VN_202512_IMPORT</x:v>
      </x:c>
      <x:c r="B532" s="2" t="n">
        <x:v>202512</x:v>
      </x:c>
      <x:c r="C532" s="2" t="str">
        <x:v>62044300</x:v>
      </x:c>
      <x:c r="D532" s="2" t="str">
        <x:v>Vietnam</x:v>
      </x:c>
      <x:c r="E532" s="14" t="n">
        <x:v>505566</x:v>
      </x:c>
      <x:c r="F532" s="14" t="n">
        <x:v>16957</x:v>
      </x:c>
      <x:c r="G532" s="2" t="str">
        <x:v>WITHIN_BAND</x:v>
      </x:c>
      <x:c r="H532" s="2" t="n">
        <x:v>1</x:v>
      </x:c>
      <x:c r="I532" s="2" t="n">
        <x:f>IF(AND(COUNTIFS($B$6:$B$797,B532,$C$6:$C$797,C532)=11,COUNTIFS($B$6:$B$797,B532,$C$6:$C$797,C532,$G$6:$G$797,"REVIEW")=0,COUNTIFS($B$6:$B$797,B532,$C$6:$C$797,C532,$H$6:$H$797,1)=11,COUNTIFS($B$6:$B$797,B532,$C$6:$C$797,C532,$F$6:$F$797,"&gt;0")=11),1,0)</x:f>
        <x:v>1</x:v>
      </x:c>
    </x:row>
    <x:row r="533" ht="22" customHeight="1">
      <x:c r="A533" s="2" t="str">
        <x:v>62044300_WORLD_202512_IMPORT</x:v>
      </x:c>
      <x:c r="B533" s="2" t="n">
        <x:v>202512</x:v>
      </x:c>
      <x:c r="C533" s="2" t="str">
        <x:v>62044300</x:v>
      </x:c>
      <x:c r="D533" s="2" t="str">
        <x:v>World</x:v>
      </x:c>
      <x:c r="E533" s="14" t="n">
        <x:v>26718903</x:v>
      </x:c>
      <x:c r="F533" s="14" t="n">
        <x:v>613645</x:v>
      </x:c>
      <x:c r="G533" s="2" t="str">
        <x:v>WITHIN_BAND</x:v>
      </x:c>
      <x:c r="H533" s="2" t="n">
        <x:v>1</x:v>
      </x:c>
      <x:c r="I533" s="2" t="n">
        <x:f>IF(AND(COUNTIFS($B$6:$B$797,B533,$C$6:$C$797,C533)=11,COUNTIFS($B$6:$B$797,B533,$C$6:$C$797,C533,$G$6:$G$797,"REVIEW")=0,COUNTIFS($B$6:$B$797,B533,$C$6:$C$797,C533,$H$6:$H$797,1)=11,COUNTIFS($B$6:$B$797,B533,$C$6:$C$797,C533,$F$6:$F$797,"&gt;0")=11),1,0)</x:f>
        <x:v>1</x:v>
      </x:c>
    </x:row>
    <x:row r="534" ht="22" customHeight="1">
      <x:c r="A534" s="2" t="str">
        <x:v>62044300_BD_202601_IMPORT</x:v>
      </x:c>
      <x:c r="B534" s="2" t="n">
        <x:v>202601</x:v>
      </x:c>
      <x:c r="C534" s="2" t="str">
        <x:v>62044300</x:v>
      </x:c>
      <x:c r="D534" s="2" t="str">
        <x:v>Bangladesh</x:v>
      </x:c>
      <x:c r="E534" s="14" t="n">
        <x:v>714993</x:v>
      </x:c>
      <x:c r="F534" s="14" t="n">
        <x:v>48484</x:v>
      </x:c>
      <x:c r="G534" s="2" t="str">
        <x:v>WITHIN_BAND</x:v>
      </x:c>
      <x:c r="H534" s="2" t="n">
        <x:v>1</x:v>
      </x:c>
      <x:c r="I534" s="2" t="n">
        <x:f>IF(AND(COUNTIFS($B$6:$B$797,B534,$C$6:$C$797,C534)=11,COUNTIFS($B$6:$B$797,B534,$C$6:$C$797,C534,$G$6:$G$797,"REVIEW")=0,COUNTIFS($B$6:$B$797,B534,$C$6:$C$797,C534,$H$6:$H$797,1)=11,COUNTIFS($B$6:$B$797,B534,$C$6:$C$797,C534,$F$6:$F$797,"&gt;0")=11),1,0)</x:f>
        <x:v>1</x:v>
      </x:c>
    </x:row>
    <x:row r="535" ht="22" customHeight="1">
      <x:c r="A535" s="2" t="str">
        <x:v>62044300_KH_202601_IMPORT</x:v>
      </x:c>
      <x:c r="B535" s="2" t="n">
        <x:v>202601</x:v>
      </x:c>
      <x:c r="C535" s="2" t="str">
        <x:v>62044300</x:v>
      </x:c>
      <x:c r="D535" s="2" t="str">
        <x:v>Cambodia</x:v>
      </x:c>
      <x:c r="E535" s="14" t="n">
        <x:v>93092</x:v>
      </x:c>
      <x:c r="F535" s="14" t="n">
        <x:v>4768</x:v>
      </x:c>
      <x:c r="G535" s="2" t="str">
        <x:v>WITHIN_BAND</x:v>
      </x:c>
      <x:c r="H535" s="2" t="n">
        <x:v>1</x:v>
      </x:c>
      <x:c r="I535" s="2" t="n">
        <x:f>IF(AND(COUNTIFS($B$6:$B$797,B535,$C$6:$C$797,C535)=11,COUNTIFS($B$6:$B$797,B535,$C$6:$C$797,C535,$G$6:$G$797,"REVIEW")=0,COUNTIFS($B$6:$B$797,B535,$C$6:$C$797,C535,$H$6:$H$797,1)=11,COUNTIFS($B$6:$B$797,B535,$C$6:$C$797,C535,$F$6:$F$797,"&gt;0")=11),1,0)</x:f>
        <x:v>1</x:v>
      </x:c>
    </x:row>
    <x:row r="536" ht="22" customHeight="1">
      <x:c r="A536" s="2" t="str">
        <x:v>62044300_CN_202601_IMPORT</x:v>
      </x:c>
      <x:c r="B536" s="2" t="n">
        <x:v>202601</x:v>
      </x:c>
      <x:c r="C536" s="2" t="str">
        <x:v>62044300</x:v>
      </x:c>
      <x:c r="D536" s="2" t="str">
        <x:v>China</x:v>
      </x:c>
      <x:c r="E536" s="14" t="n">
        <x:v>9507364</x:v>
      </x:c>
      <x:c r="F536" s="14" t="n">
        <x:v>324155</x:v>
      </x:c>
      <x:c r="G536" s="2" t="str">
        <x:v>WITHIN_BAND</x:v>
      </x:c>
      <x:c r="H536" s="2" t="n">
        <x:v>1</x:v>
      </x:c>
      <x:c r="I536" s="2" t="n">
        <x:f>IF(AND(COUNTIFS($B$6:$B$797,B536,$C$6:$C$797,C536)=11,COUNTIFS($B$6:$B$797,B536,$C$6:$C$797,C536,$G$6:$G$797,"REVIEW")=0,COUNTIFS($B$6:$B$797,B536,$C$6:$C$797,C536,$H$6:$H$797,1)=11,COUNTIFS($B$6:$B$797,B536,$C$6:$C$797,C536,$F$6:$F$797,"&gt;0")=11),1,0)</x:f>
        <x:v>1</x:v>
      </x:c>
    </x:row>
    <x:row r="537" ht="22" customHeight="1">
      <x:c r="A537" s="2" t="str">
        <x:v>62044300_IN_202601_IMPORT</x:v>
      </x:c>
      <x:c r="B537" s="2" t="n">
        <x:v>202601</x:v>
      </x:c>
      <x:c r="C537" s="2" t="str">
        <x:v>62044300</x:v>
      </x:c>
      <x:c r="D537" s="2" t="str">
        <x:v>India</x:v>
      </x:c>
      <x:c r="E537" s="14" t="n">
        <x:v>4740498</x:v>
      </x:c>
      <x:c r="F537" s="14" t="n">
        <x:v>137380</x:v>
      </x:c>
      <x:c r="G537" s="2" t="str">
        <x:v>WITHIN_BAND</x:v>
      </x:c>
      <x:c r="H537" s="2" t="n">
        <x:v>1</x:v>
      </x:c>
      <x:c r="I537" s="2" t="n">
        <x:f>IF(AND(COUNTIFS($B$6:$B$797,B537,$C$6:$C$797,C537)=11,COUNTIFS($B$6:$B$797,B537,$C$6:$C$797,C537,$G$6:$G$797,"REVIEW")=0,COUNTIFS($B$6:$B$797,B537,$C$6:$C$797,C537,$H$6:$H$797,1)=11,COUNTIFS($B$6:$B$797,B537,$C$6:$C$797,C537,$F$6:$F$797,"&gt;0")=11),1,0)</x:f>
        <x:v>1</x:v>
      </x:c>
    </x:row>
    <x:row r="538" ht="22" customHeight="1">
      <x:c r="A538" s="2" t="str">
        <x:v>62044300_MA_202601_IMPORT</x:v>
      </x:c>
      <x:c r="B538" s="2" t="n">
        <x:v>202601</x:v>
      </x:c>
      <x:c r="C538" s="2" t="str">
        <x:v>62044300</x:v>
      </x:c>
      <x:c r="D538" s="2" t="str">
        <x:v>Morocco</x:v>
      </x:c>
      <x:c r="E538" s="14" t="n">
        <x:v>458486</x:v>
      </x:c>
      <x:c r="F538" s="14" t="n">
        <x:v>18391</x:v>
      </x:c>
      <x:c r="G538" s="2" t="str">
        <x:v>WITHIN_BAND</x:v>
      </x:c>
      <x:c r="H538" s="2" t="n">
        <x:v>1</x:v>
      </x:c>
      <x:c r="I538" s="2" t="n">
        <x:f>IF(AND(COUNTIFS($B$6:$B$797,B538,$C$6:$C$797,C538)=11,COUNTIFS($B$6:$B$797,B538,$C$6:$C$797,C538,$G$6:$G$797,"REVIEW")=0,COUNTIFS($B$6:$B$797,B538,$C$6:$C$797,C538,$H$6:$H$797,1)=11,COUNTIFS($B$6:$B$797,B538,$C$6:$C$797,C538,$F$6:$F$797,"&gt;0")=11),1,0)</x:f>
        <x:v>1</x:v>
      </x:c>
    </x:row>
    <x:row r="539" ht="22" customHeight="1">
      <x:c r="A539" s="2" t="str">
        <x:v>62044300_MM_202601_IMPORT</x:v>
      </x:c>
      <x:c r="B539" s="2" t="n">
        <x:v>202601</x:v>
      </x:c>
      <x:c r="C539" s="2" t="str">
        <x:v>62044300</x:v>
      </x:c>
      <x:c r="D539" s="2" t="str">
        <x:v>Myanmar</x:v>
      </x:c>
      <x:c r="E539" s="14" t="n">
        <x:v>775752</x:v>
      </x:c>
      <x:c r="F539" s="14" t="n">
        <x:v>11990</x:v>
      </x:c>
      <x:c r="G539" s="2" t="str">
        <x:v>WITHIN_BAND</x:v>
      </x:c>
      <x:c r="H539" s="2" t="n">
        <x:v>1</x:v>
      </x:c>
      <x:c r="I539" s="2" t="n">
        <x:f>IF(AND(COUNTIFS($B$6:$B$797,B539,$C$6:$C$797,C539)=11,COUNTIFS($B$6:$B$797,B539,$C$6:$C$797,C539,$G$6:$G$797,"REVIEW")=0,COUNTIFS($B$6:$B$797,B539,$C$6:$C$797,C539,$H$6:$H$797,1)=11,COUNTIFS($B$6:$B$797,B539,$C$6:$C$797,C539,$F$6:$F$797,"&gt;0")=11),1,0)</x:f>
        <x:v>1</x:v>
      </x:c>
    </x:row>
    <x:row r="540" ht="22" customHeight="1">
      <x:c r="A540" s="2" t="str">
        <x:v>62044300_PK_202601_IMPORT</x:v>
      </x:c>
      <x:c r="B540" s="2" t="n">
        <x:v>202601</x:v>
      </x:c>
      <x:c r="C540" s="2" t="str">
        <x:v>62044300</x:v>
      </x:c>
      <x:c r="D540" s="2" t="str">
        <x:v>Pakistan</x:v>
      </x:c>
      <x:c r="E540" s="14" t="n">
        <x:v>130348</x:v>
      </x:c>
      <x:c r="F540" s="14" t="n">
        <x:v>5561</x:v>
      </x:c>
      <x:c r="G540" s="2" t="str">
        <x:v>WITHIN_BAND</x:v>
      </x:c>
      <x:c r="H540" s="2" t="n">
        <x:v>1</x:v>
      </x:c>
      <x:c r="I540" s="2" t="n">
        <x:f>IF(AND(COUNTIFS($B$6:$B$797,B540,$C$6:$C$797,C540)=11,COUNTIFS($B$6:$B$797,B540,$C$6:$C$797,C540,$G$6:$G$797,"REVIEW")=0,COUNTIFS($B$6:$B$797,B540,$C$6:$C$797,C540,$H$6:$H$797,1)=11,COUNTIFS($B$6:$B$797,B540,$C$6:$C$797,C540,$F$6:$F$797,"&gt;0")=11),1,0)</x:f>
        <x:v>1</x:v>
      </x:c>
    </x:row>
    <x:row r="541" ht="22" customHeight="1">
      <x:c r="A541" s="2" t="str">
        <x:v>62044300_LK_202601_IMPORT</x:v>
      </x:c>
      <x:c r="B541" s="2" t="n">
        <x:v>202601</x:v>
      </x:c>
      <x:c r="C541" s="2" t="str">
        <x:v>62044300</x:v>
      </x:c>
      <x:c r="D541" s="2" t="str">
        <x:v>Sri Lanka</x:v>
      </x:c>
      <x:c r="E541" s="14" t="n">
        <x:v>978105</x:v>
      </x:c>
      <x:c r="F541" s="14" t="n">
        <x:v>67126</x:v>
      </x:c>
      <x:c r="G541" s="2" t="str">
        <x:v>WITHIN_BAND</x:v>
      </x:c>
      <x:c r="H541" s="2" t="n">
        <x:v>1</x:v>
      </x:c>
      <x:c r="I541" s="2" t="n">
        <x:f>IF(AND(COUNTIFS($B$6:$B$797,B541,$C$6:$C$797,C541)=11,COUNTIFS($B$6:$B$797,B541,$C$6:$C$797,C541,$G$6:$G$797,"REVIEW")=0,COUNTIFS($B$6:$B$797,B541,$C$6:$C$797,C541,$H$6:$H$797,1)=11,COUNTIFS($B$6:$B$797,B541,$C$6:$C$797,C541,$F$6:$F$797,"&gt;0")=11),1,0)</x:f>
        <x:v>1</x:v>
      </x:c>
    </x:row>
    <x:row r="542" ht="22" customHeight="1">
      <x:c r="A542" s="2" t="str">
        <x:v>62044300_TR_202601_IMPORT</x:v>
      </x:c>
      <x:c r="B542" s="2" t="n">
        <x:v>202601</x:v>
      </x:c>
      <x:c r="C542" s="2" t="str">
        <x:v>62044300</x:v>
      </x:c>
      <x:c r="D542" s="2" t="str">
        <x:v>Turkey</x:v>
      </x:c>
      <x:c r="E542" s="14" t="n">
        <x:v>260823</x:v>
      </x:c>
      <x:c r="F542" s="14" t="n">
        <x:v>8174</x:v>
      </x:c>
      <x:c r="G542" s="2" t="str">
        <x:v>WITHIN_BAND</x:v>
      </x:c>
      <x:c r="H542" s="2" t="n">
        <x:v>1</x:v>
      </x:c>
      <x:c r="I542" s="2" t="n">
        <x:f>IF(AND(COUNTIFS($B$6:$B$797,B542,$C$6:$C$797,C542)=11,COUNTIFS($B$6:$B$797,B542,$C$6:$C$797,C542,$G$6:$G$797,"REVIEW")=0,COUNTIFS($B$6:$B$797,B542,$C$6:$C$797,C542,$H$6:$H$797,1)=11,COUNTIFS($B$6:$B$797,B542,$C$6:$C$797,C542,$F$6:$F$797,"&gt;0")=11),1,0)</x:f>
        <x:v>1</x:v>
      </x:c>
    </x:row>
    <x:row r="543" ht="22" customHeight="1">
      <x:c r="A543" s="2" t="str">
        <x:v>62044300_VN_202601_IMPORT</x:v>
      </x:c>
      <x:c r="B543" s="2" t="n">
        <x:v>202601</x:v>
      </x:c>
      <x:c r="C543" s="2" t="str">
        <x:v>62044300</x:v>
      </x:c>
      <x:c r="D543" s="2" t="str">
        <x:v>Vietnam</x:v>
      </x:c>
      <x:c r="E543" s="14" t="n">
        <x:v>613263</x:v>
      </x:c>
      <x:c r="F543" s="14" t="n">
        <x:v>22039</x:v>
      </x:c>
      <x:c r="G543" s="2" t="str">
        <x:v>WITHIN_BAND</x:v>
      </x:c>
      <x:c r="H543" s="2" t="n">
        <x:v>1</x:v>
      </x:c>
      <x:c r="I543" s="2" t="n">
        <x:f>IF(AND(COUNTIFS($B$6:$B$797,B543,$C$6:$C$797,C543)=11,COUNTIFS($B$6:$B$797,B543,$C$6:$C$797,C543,$G$6:$G$797,"REVIEW")=0,COUNTIFS($B$6:$B$797,B543,$C$6:$C$797,C543,$H$6:$H$797,1)=11,COUNTIFS($B$6:$B$797,B543,$C$6:$C$797,C543,$F$6:$F$797,"&gt;0")=11),1,0)</x:f>
        <x:v>1</x:v>
      </x:c>
    </x:row>
    <x:row r="544" ht="22" customHeight="1">
      <x:c r="A544" s="2" t="str">
        <x:v>62044300_WORLD_202601_IMPORT</x:v>
      </x:c>
      <x:c r="B544" s="2" t="n">
        <x:v>202601</x:v>
      </x:c>
      <x:c r="C544" s="2" t="str">
        <x:v>62044300</x:v>
      </x:c>
      <x:c r="D544" s="2" t="str">
        <x:v>World</x:v>
      </x:c>
      <x:c r="E544" s="14" t="n">
        <x:v>29694985</x:v>
      </x:c>
      <x:c r="F544" s="14" t="n">
        <x:v>858837</x:v>
      </x:c>
      <x:c r="G544" s="2" t="str">
        <x:v>WITHIN_BAND</x:v>
      </x:c>
      <x:c r="H544" s="2" t="n">
        <x:v>1</x:v>
      </x:c>
      <x:c r="I544" s="2" t="n">
        <x:f>IF(AND(COUNTIFS($B$6:$B$797,B544,$C$6:$C$797,C544)=11,COUNTIFS($B$6:$B$797,B544,$C$6:$C$797,C544,$G$6:$G$797,"REVIEW")=0,COUNTIFS($B$6:$B$797,B544,$C$6:$C$797,C544,$H$6:$H$797,1)=11,COUNTIFS($B$6:$B$797,B544,$C$6:$C$797,C544,$F$6:$F$797,"&gt;0")=11),1,0)</x:f>
        <x:v>1</x:v>
      </x:c>
    </x:row>
    <x:row r="545" ht="22" customHeight="1">
      <x:c r="A545" s="2" t="str">
        <x:v>62044300_BD_202602_IMPORT</x:v>
      </x:c>
      <x:c r="B545" s="2" t="n">
        <x:v>202602</x:v>
      </x:c>
      <x:c r="C545" s="2" t="str">
        <x:v>62044300</x:v>
      </x:c>
      <x:c r="D545" s="2" t="str">
        <x:v>Bangladesh</x:v>
      </x:c>
      <x:c r="E545" s="14" t="n">
        <x:v>1247529</x:v>
      </x:c>
      <x:c r="F545" s="14" t="n">
        <x:v>79040</x:v>
      </x:c>
      <x:c r="G545" s="2" t="str">
        <x:v>WITHIN_BAND</x:v>
      </x:c>
      <x:c r="H545" s="2" t="n">
        <x:v>1</x:v>
      </x:c>
      <x:c r="I545" s="2" t="n">
        <x:f>IF(AND(COUNTIFS($B$6:$B$797,B545,$C$6:$C$797,C545)=11,COUNTIFS($B$6:$B$797,B545,$C$6:$C$797,C545,$G$6:$G$797,"REVIEW")=0,COUNTIFS($B$6:$B$797,B545,$C$6:$C$797,C545,$H$6:$H$797,1)=11,COUNTIFS($B$6:$B$797,B545,$C$6:$C$797,C545,$F$6:$F$797,"&gt;0")=11),1,0)</x:f>
        <x:v>1</x:v>
      </x:c>
    </x:row>
    <x:row r="546" ht="22" customHeight="1">
      <x:c r="A546" s="2" t="str">
        <x:v>62044300_KH_202602_IMPORT</x:v>
      </x:c>
      <x:c r="B546" s="2" t="n">
        <x:v>202602</x:v>
      </x:c>
      <x:c r="C546" s="2" t="str">
        <x:v>62044300</x:v>
      </x:c>
      <x:c r="D546" s="2" t="str">
        <x:v>Cambodia</x:v>
      </x:c>
      <x:c r="E546" s="14" t="n">
        <x:v>253334</x:v>
      </x:c>
      <x:c r="F546" s="14" t="n">
        <x:v>15423</x:v>
      </x:c>
      <x:c r="G546" s="2" t="str">
        <x:v>WITHIN_BAND</x:v>
      </x:c>
      <x:c r="H546" s="2" t="n">
        <x:v>1</x:v>
      </x:c>
      <x:c r="I546" s="2" t="n">
        <x:f>IF(AND(COUNTIFS($B$6:$B$797,B546,$C$6:$C$797,C546)=11,COUNTIFS($B$6:$B$797,B546,$C$6:$C$797,C546,$G$6:$G$797,"REVIEW")=0,COUNTIFS($B$6:$B$797,B546,$C$6:$C$797,C546,$H$6:$H$797,1)=11,COUNTIFS($B$6:$B$797,B546,$C$6:$C$797,C546,$F$6:$F$797,"&gt;0")=11),1,0)</x:f>
        <x:v>1</x:v>
      </x:c>
    </x:row>
    <x:row r="547" ht="22" customHeight="1">
      <x:c r="A547" s="2" t="str">
        <x:v>62044300_CN_202602_IMPORT</x:v>
      </x:c>
      <x:c r="B547" s="2" t="n">
        <x:v>202602</x:v>
      </x:c>
      <x:c r="C547" s="2" t="str">
        <x:v>62044300</x:v>
      </x:c>
      <x:c r="D547" s="2" t="str">
        <x:v>China</x:v>
      </x:c>
      <x:c r="E547" s="14" t="n">
        <x:v>11106392</x:v>
      </x:c>
      <x:c r="F547" s="14" t="n">
        <x:v>428376</x:v>
      </x:c>
      <x:c r="G547" s="2" t="str">
        <x:v>WITHIN_BAND</x:v>
      </x:c>
      <x:c r="H547" s="2" t="n">
        <x:v>1</x:v>
      </x:c>
      <x:c r="I547" s="2" t="n">
        <x:f>IF(AND(COUNTIFS($B$6:$B$797,B547,$C$6:$C$797,C547)=11,COUNTIFS($B$6:$B$797,B547,$C$6:$C$797,C547,$G$6:$G$797,"REVIEW")=0,COUNTIFS($B$6:$B$797,B547,$C$6:$C$797,C547,$H$6:$H$797,1)=11,COUNTIFS($B$6:$B$797,B547,$C$6:$C$797,C547,$F$6:$F$797,"&gt;0")=11),1,0)</x:f>
        <x:v>1</x:v>
      </x:c>
    </x:row>
    <x:row r="548" ht="22" customHeight="1">
      <x:c r="A548" s="2" t="str">
        <x:v>62044300_IN_202602_IMPORT</x:v>
      </x:c>
      <x:c r="B548" s="2" t="n">
        <x:v>202602</x:v>
      </x:c>
      <x:c r="C548" s="2" t="str">
        <x:v>62044300</x:v>
      </x:c>
      <x:c r="D548" s="2" t="str">
        <x:v>India</x:v>
      </x:c>
      <x:c r="E548" s="14" t="n">
        <x:v>3203390</x:v>
      </x:c>
      <x:c r="F548" s="14" t="n">
        <x:v>117131</x:v>
      </x:c>
      <x:c r="G548" s="2" t="str">
        <x:v>WITHIN_BAND</x:v>
      </x:c>
      <x:c r="H548" s="2" t="n">
        <x:v>1</x:v>
      </x:c>
      <x:c r="I548" s="2" t="n">
        <x:f>IF(AND(COUNTIFS($B$6:$B$797,B548,$C$6:$C$797,C548)=11,COUNTIFS($B$6:$B$797,B548,$C$6:$C$797,C548,$G$6:$G$797,"REVIEW")=0,COUNTIFS($B$6:$B$797,B548,$C$6:$C$797,C548,$H$6:$H$797,1)=11,COUNTIFS($B$6:$B$797,B548,$C$6:$C$797,C548,$F$6:$F$797,"&gt;0")=11),1,0)</x:f>
        <x:v>1</x:v>
      </x:c>
    </x:row>
    <x:row r="549" ht="22" customHeight="1">
      <x:c r="A549" s="2" t="str">
        <x:v>62044300_MA_202602_IMPORT</x:v>
      </x:c>
      <x:c r="B549" s="2" t="n">
        <x:v>202602</x:v>
      </x:c>
      <x:c r="C549" s="2" t="str">
        <x:v>62044300</x:v>
      </x:c>
      <x:c r="D549" s="2" t="str">
        <x:v>Morocco</x:v>
      </x:c>
      <x:c r="E549" s="14" t="n">
        <x:v>301583</x:v>
      </x:c>
      <x:c r="F549" s="14" t="n">
        <x:v>10345</x:v>
      </x:c>
      <x:c r="G549" s="2" t="str">
        <x:v>WITHIN_BAND</x:v>
      </x:c>
      <x:c r="H549" s="2" t="n">
        <x:v>1</x:v>
      </x:c>
      <x:c r="I549" s="2" t="n">
        <x:f>IF(AND(COUNTIFS($B$6:$B$797,B549,$C$6:$C$797,C549)=11,COUNTIFS($B$6:$B$797,B549,$C$6:$C$797,C549,$G$6:$G$797,"REVIEW")=0,COUNTIFS($B$6:$B$797,B549,$C$6:$C$797,C549,$H$6:$H$797,1)=11,COUNTIFS($B$6:$B$797,B549,$C$6:$C$797,C549,$F$6:$F$797,"&gt;0")=11),1,0)</x:f>
        <x:v>1</x:v>
      </x:c>
    </x:row>
    <x:row r="550" ht="22" customHeight="1">
      <x:c r="A550" s="2" t="str">
        <x:v>62044300_MM_202602_IMPORT</x:v>
      </x:c>
      <x:c r="B550" s="2" t="n">
        <x:v>202602</x:v>
      </x:c>
      <x:c r="C550" s="2" t="str">
        <x:v>62044300</x:v>
      </x:c>
      <x:c r="D550" s="2" t="str">
        <x:v>Myanmar</x:v>
      </x:c>
      <x:c r="E550" s="14" t="n">
        <x:v>361227</x:v>
      </x:c>
      <x:c r="F550" s="14" t="n">
        <x:v>6020</x:v>
      </x:c>
      <x:c r="G550" s="2" t="str">
        <x:v>WITHIN_BAND</x:v>
      </x:c>
      <x:c r="H550" s="2" t="n">
        <x:v>1</x:v>
      </x:c>
      <x:c r="I550" s="2" t="n">
        <x:f>IF(AND(COUNTIFS($B$6:$B$797,B550,$C$6:$C$797,C550)=11,COUNTIFS($B$6:$B$797,B550,$C$6:$C$797,C550,$G$6:$G$797,"REVIEW")=0,COUNTIFS($B$6:$B$797,B550,$C$6:$C$797,C550,$H$6:$H$797,1)=11,COUNTIFS($B$6:$B$797,B550,$C$6:$C$797,C550,$F$6:$F$797,"&gt;0")=11),1,0)</x:f>
        <x:v>1</x:v>
      </x:c>
    </x:row>
    <x:row r="551" ht="22" customHeight="1">
      <x:c r="A551" s="2" t="str">
        <x:v>62044300_PK_202602_IMPORT</x:v>
      </x:c>
      <x:c r="B551" s="2" t="n">
        <x:v>202602</x:v>
      </x:c>
      <x:c r="C551" s="2" t="str">
        <x:v>62044300</x:v>
      </x:c>
      <x:c r="D551" s="2" t="str">
        <x:v>Pakistan</x:v>
      </x:c>
      <x:c r="E551" s="14" t="n">
        <x:v>187927</x:v>
      </x:c>
      <x:c r="F551" s="14" t="n">
        <x:v>10130</x:v>
      </x:c>
      <x:c r="G551" s="2" t="str">
        <x:v>WITHIN_BAND</x:v>
      </x:c>
      <x:c r="H551" s="2" t="n">
        <x:v>1</x:v>
      </x:c>
      <x:c r="I551" s="2" t="n">
        <x:f>IF(AND(COUNTIFS($B$6:$B$797,B551,$C$6:$C$797,C551)=11,COUNTIFS($B$6:$B$797,B551,$C$6:$C$797,C551,$G$6:$G$797,"REVIEW")=0,COUNTIFS($B$6:$B$797,B551,$C$6:$C$797,C551,$H$6:$H$797,1)=11,COUNTIFS($B$6:$B$797,B551,$C$6:$C$797,C551,$F$6:$F$797,"&gt;0")=11),1,0)</x:f>
        <x:v>1</x:v>
      </x:c>
    </x:row>
    <x:row r="552" ht="22" customHeight="1">
      <x:c r="A552" s="2" t="str">
        <x:v>62044300_LK_202602_IMPORT</x:v>
      </x:c>
      <x:c r="B552" s="2" t="n">
        <x:v>202602</x:v>
      </x:c>
      <x:c r="C552" s="2" t="str">
        <x:v>62044300</x:v>
      </x:c>
      <x:c r="D552" s="2" t="str">
        <x:v>Sri Lanka</x:v>
      </x:c>
      <x:c r="E552" s="14" t="n">
        <x:v>914706</x:v>
      </x:c>
      <x:c r="F552" s="14" t="n">
        <x:v>67690</x:v>
      </x:c>
      <x:c r="G552" s="2" t="str">
        <x:v>WITHIN_BAND</x:v>
      </x:c>
      <x:c r="H552" s="2" t="n">
        <x:v>1</x:v>
      </x:c>
      <x:c r="I552" s="2" t="n">
        <x:f>IF(AND(COUNTIFS($B$6:$B$797,B552,$C$6:$C$797,C552)=11,COUNTIFS($B$6:$B$797,B552,$C$6:$C$797,C552,$G$6:$G$797,"REVIEW")=0,COUNTIFS($B$6:$B$797,B552,$C$6:$C$797,C552,$H$6:$H$797,1)=11,COUNTIFS($B$6:$B$797,B552,$C$6:$C$797,C552,$F$6:$F$797,"&gt;0")=11),1,0)</x:f>
        <x:v>1</x:v>
      </x:c>
    </x:row>
    <x:row r="553" ht="22" customHeight="1">
      <x:c r="A553" s="2" t="str">
        <x:v>62044300_TR_202602_IMPORT</x:v>
      </x:c>
      <x:c r="B553" s="2" t="n">
        <x:v>202602</x:v>
      </x:c>
      <x:c r="C553" s="2" t="str">
        <x:v>62044300</x:v>
      </x:c>
      <x:c r="D553" s="2" t="str">
        <x:v>Turkey</x:v>
      </x:c>
      <x:c r="E553" s="14" t="n">
        <x:v>565703</x:v>
      </x:c>
      <x:c r="F553" s="14" t="n">
        <x:v>20483</x:v>
      </x:c>
      <x:c r="G553" s="2" t="str">
        <x:v>WITHIN_BAND</x:v>
      </x:c>
      <x:c r="H553" s="2" t="n">
        <x:v>1</x:v>
      </x:c>
      <x:c r="I553" s="2" t="n">
        <x:f>IF(AND(COUNTIFS($B$6:$B$797,B553,$C$6:$C$797,C553)=11,COUNTIFS($B$6:$B$797,B553,$C$6:$C$797,C553,$G$6:$G$797,"REVIEW")=0,COUNTIFS($B$6:$B$797,B553,$C$6:$C$797,C553,$H$6:$H$797,1)=11,COUNTIFS($B$6:$B$797,B553,$C$6:$C$797,C553,$F$6:$F$797,"&gt;0")=11),1,0)</x:f>
        <x:v>1</x:v>
      </x:c>
    </x:row>
    <x:row r="554" ht="22" customHeight="1">
      <x:c r="A554" s="2" t="str">
        <x:v>62044300_VN_202602_IMPORT</x:v>
      </x:c>
      <x:c r="B554" s="2" t="n">
        <x:v>202602</x:v>
      </x:c>
      <x:c r="C554" s="2" t="str">
        <x:v>62044300</x:v>
      </x:c>
      <x:c r="D554" s="2" t="str">
        <x:v>Vietnam</x:v>
      </x:c>
      <x:c r="E554" s="14" t="n">
        <x:v>399287</x:v>
      </x:c>
      <x:c r="F554" s="14" t="n">
        <x:v>11567</x:v>
      </x:c>
      <x:c r="G554" s="2" t="str">
        <x:v>WITHIN_BAND</x:v>
      </x:c>
      <x:c r="H554" s="2" t="n">
        <x:v>1</x:v>
      </x:c>
      <x:c r="I554" s="2" t="n">
        <x:f>IF(AND(COUNTIFS($B$6:$B$797,B554,$C$6:$C$797,C554)=11,COUNTIFS($B$6:$B$797,B554,$C$6:$C$797,C554,$G$6:$G$797,"REVIEW")=0,COUNTIFS($B$6:$B$797,B554,$C$6:$C$797,C554,$H$6:$H$797,1)=11,COUNTIFS($B$6:$B$797,B554,$C$6:$C$797,C554,$F$6:$F$797,"&gt;0")=11),1,0)</x:f>
        <x:v>1</x:v>
      </x:c>
    </x:row>
    <x:row r="555" ht="22" customHeight="1">
      <x:c r="A555" s="2" t="str">
        <x:v>62044300_WORLD_202602_IMPORT</x:v>
      </x:c>
      <x:c r="B555" s="2" t="n">
        <x:v>202602</x:v>
      </x:c>
      <x:c r="C555" s="2" t="str">
        <x:v>62044300</x:v>
      </x:c>
      <x:c r="D555" s="2" t="str">
        <x:v>World</x:v>
      </x:c>
      <x:c r="E555" s="14" t="n">
        <x:v>32013764</x:v>
      </x:c>
      <x:c r="F555" s="14" t="n">
        <x:v>933716</x:v>
      </x:c>
      <x:c r="G555" s="2" t="str">
        <x:v>WITHIN_BAND</x:v>
      </x:c>
      <x:c r="H555" s="2" t="n">
        <x:v>1</x:v>
      </x:c>
      <x:c r="I555" s="2" t="n">
        <x:f>IF(AND(COUNTIFS($B$6:$B$797,B555,$C$6:$C$797,C555)=11,COUNTIFS($B$6:$B$797,B555,$C$6:$C$797,C555,$G$6:$G$797,"REVIEW")=0,COUNTIFS($B$6:$B$797,B555,$C$6:$C$797,C555,$H$6:$H$797,1)=11,COUNTIFS($B$6:$B$797,B555,$C$6:$C$797,C555,$F$6:$F$797,"&gt;0")=11),1,0)</x:f>
        <x:v>1</x:v>
      </x:c>
    </x:row>
    <x:row r="556" ht="22" customHeight="1">
      <x:c r="A556" s="2" t="str">
        <x:v>62044300_BD_202603_IMPORT</x:v>
      </x:c>
      <x:c r="B556" s="2" t="n">
        <x:v>202603</x:v>
      </x:c>
      <x:c r="C556" s="2" t="str">
        <x:v>62044300</x:v>
      </x:c>
      <x:c r="D556" s="2" t="str">
        <x:v>Bangladesh</x:v>
      </x:c>
      <x:c r="E556" s="14" t="n">
        <x:v>723571</x:v>
      </x:c>
      <x:c r="F556" s="14" t="n">
        <x:v>51999</x:v>
      </x:c>
      <x:c r="G556" s="2" t="str">
        <x:v>WITHIN_BAND</x:v>
      </x:c>
      <x:c r="H556" s="2" t="n">
        <x:v>1</x:v>
      </x:c>
      <x:c r="I556" s="2" t="n">
        <x:f>IF(AND(COUNTIFS($B$6:$B$797,B556,$C$6:$C$797,C556)=11,COUNTIFS($B$6:$B$797,B556,$C$6:$C$797,C556,$G$6:$G$797,"REVIEW")=0,COUNTIFS($B$6:$B$797,B556,$C$6:$C$797,C556,$H$6:$H$797,1)=11,COUNTIFS($B$6:$B$797,B556,$C$6:$C$797,C556,$F$6:$F$797,"&gt;0")=11),1,0)</x:f>
        <x:v>1</x:v>
      </x:c>
    </x:row>
    <x:row r="557" ht="22" customHeight="1">
      <x:c r="A557" s="2" t="str">
        <x:v>62044300_KH_202603_IMPORT</x:v>
      </x:c>
      <x:c r="B557" s="2" t="n">
        <x:v>202603</x:v>
      </x:c>
      <x:c r="C557" s="2" t="str">
        <x:v>62044300</x:v>
      </x:c>
      <x:c r="D557" s="2" t="str">
        <x:v>Cambodia</x:v>
      </x:c>
      <x:c r="E557" s="14" t="n">
        <x:v>77745</x:v>
      </x:c>
      <x:c r="F557" s="14" t="n">
        <x:v>4027</x:v>
      </x:c>
      <x:c r="G557" s="2" t="str">
        <x:v>WITHIN_BAND</x:v>
      </x:c>
      <x:c r="H557" s="2" t="n">
        <x:v>1</x:v>
      </x:c>
      <x:c r="I557" s="2" t="n">
        <x:f>IF(AND(COUNTIFS($B$6:$B$797,B557,$C$6:$C$797,C557)=11,COUNTIFS($B$6:$B$797,B557,$C$6:$C$797,C557,$G$6:$G$797,"REVIEW")=0,COUNTIFS($B$6:$B$797,B557,$C$6:$C$797,C557,$H$6:$H$797,1)=11,COUNTIFS($B$6:$B$797,B557,$C$6:$C$797,C557,$F$6:$F$797,"&gt;0")=11),1,0)</x:f>
        <x:v>1</x:v>
      </x:c>
    </x:row>
    <x:row r="558" ht="22" customHeight="1">
      <x:c r="A558" s="2" t="str">
        <x:v>62044300_CN_202603_IMPORT</x:v>
      </x:c>
      <x:c r="B558" s="2" t="n">
        <x:v>202603</x:v>
      </x:c>
      <x:c r="C558" s="2" t="str">
        <x:v>62044300</x:v>
      </x:c>
      <x:c r="D558" s="2" t="str">
        <x:v>China</x:v>
      </x:c>
      <x:c r="E558" s="14" t="n">
        <x:v>9139711</x:v>
      </x:c>
      <x:c r="F558" s="14" t="n">
        <x:v>360768</x:v>
      </x:c>
      <x:c r="G558" s="2" t="str">
        <x:v>WITHIN_BAND</x:v>
      </x:c>
      <x:c r="H558" s="2" t="n">
        <x:v>1</x:v>
      </x:c>
      <x:c r="I558" s="2" t="n">
        <x:f>IF(AND(COUNTIFS($B$6:$B$797,B558,$C$6:$C$797,C558)=11,COUNTIFS($B$6:$B$797,B558,$C$6:$C$797,C558,$G$6:$G$797,"REVIEW")=0,COUNTIFS($B$6:$B$797,B558,$C$6:$C$797,C558,$H$6:$H$797,1)=11,COUNTIFS($B$6:$B$797,B558,$C$6:$C$797,C558,$F$6:$F$797,"&gt;0")=11),1,0)</x:f>
        <x:v>1</x:v>
      </x:c>
    </x:row>
    <x:row r="559" ht="22" customHeight="1">
      <x:c r="A559" s="2" t="str">
        <x:v>62044300_IN_202603_IMPORT</x:v>
      </x:c>
      <x:c r="B559" s="2" t="n">
        <x:v>202603</x:v>
      </x:c>
      <x:c r="C559" s="2" t="str">
        <x:v>62044300</x:v>
      </x:c>
      <x:c r="D559" s="2" t="str">
        <x:v>India</x:v>
      </x:c>
      <x:c r="E559" s="14" t="n">
        <x:v>3290273</x:v>
      </x:c>
      <x:c r="F559" s="14" t="n">
        <x:v>126036</x:v>
      </x:c>
      <x:c r="G559" s="2" t="str">
        <x:v>WITHIN_BAND</x:v>
      </x:c>
      <x:c r="H559" s="2" t="n">
        <x:v>1</x:v>
      </x:c>
      <x:c r="I559" s="2" t="n">
        <x:f>IF(AND(COUNTIFS($B$6:$B$797,B559,$C$6:$C$797,C559)=11,COUNTIFS($B$6:$B$797,B559,$C$6:$C$797,C559,$G$6:$G$797,"REVIEW")=0,COUNTIFS($B$6:$B$797,B559,$C$6:$C$797,C559,$H$6:$H$797,1)=11,COUNTIFS($B$6:$B$797,B559,$C$6:$C$797,C559,$F$6:$F$797,"&gt;0")=11),1,0)</x:f>
        <x:v>1</x:v>
      </x:c>
    </x:row>
    <x:row r="560" ht="22" customHeight="1">
      <x:c r="A560" s="2" t="str">
        <x:v>62044300_MA_202603_IMPORT</x:v>
      </x:c>
      <x:c r="B560" s="2" t="n">
        <x:v>202603</x:v>
      </x:c>
      <x:c r="C560" s="2" t="str">
        <x:v>62044300</x:v>
      </x:c>
      <x:c r="D560" s="2" t="str">
        <x:v>Morocco</x:v>
      </x:c>
      <x:c r="E560" s="14" t="n">
        <x:v>747416</x:v>
      </x:c>
      <x:c r="F560" s="14" t="n">
        <x:v>30028</x:v>
      </x:c>
      <x:c r="G560" s="2" t="str">
        <x:v>WITHIN_BAND</x:v>
      </x:c>
      <x:c r="H560" s="2" t="n">
        <x:v>1</x:v>
      </x:c>
      <x:c r="I560" s="2" t="n">
        <x:f>IF(AND(COUNTIFS($B$6:$B$797,B560,$C$6:$C$797,C560)=11,COUNTIFS($B$6:$B$797,B560,$C$6:$C$797,C560,$G$6:$G$797,"REVIEW")=0,COUNTIFS($B$6:$B$797,B560,$C$6:$C$797,C560,$H$6:$H$797,1)=11,COUNTIFS($B$6:$B$797,B560,$C$6:$C$797,C560,$F$6:$F$797,"&gt;0")=11),1,0)</x:f>
        <x:v>1</x:v>
      </x:c>
    </x:row>
    <x:row r="561" ht="22" customHeight="1">
      <x:c r="A561" s="2" t="str">
        <x:v>62044300_MM_202603_IMPORT</x:v>
      </x:c>
      <x:c r="B561" s="2" t="n">
        <x:v>202603</x:v>
      </x:c>
      <x:c r="C561" s="2" t="str">
        <x:v>62044300</x:v>
      </x:c>
      <x:c r="D561" s="2" t="str">
        <x:v>Myanmar</x:v>
      </x:c>
      <x:c r="E561" s="14" t="n">
        <x:v>276397</x:v>
      </x:c>
      <x:c r="F561" s="14" t="n">
        <x:v>4547</x:v>
      </x:c>
      <x:c r="G561" s="2" t="str">
        <x:v>WITHIN_BAND</x:v>
      </x:c>
      <x:c r="H561" s="2" t="n">
        <x:v>1</x:v>
      </x:c>
      <x:c r="I561" s="2" t="n">
        <x:f>IF(AND(COUNTIFS($B$6:$B$797,B561,$C$6:$C$797,C561)=11,COUNTIFS($B$6:$B$797,B561,$C$6:$C$797,C561,$G$6:$G$797,"REVIEW")=0,COUNTIFS($B$6:$B$797,B561,$C$6:$C$797,C561,$H$6:$H$797,1)=11,COUNTIFS($B$6:$B$797,B561,$C$6:$C$797,C561,$F$6:$F$797,"&gt;0")=11),1,0)</x:f>
        <x:v>1</x:v>
      </x:c>
    </x:row>
    <x:row r="562" ht="22" customHeight="1">
      <x:c r="A562" s="2" t="str">
        <x:v>62044300_PK_202603_IMPORT</x:v>
      </x:c>
      <x:c r="B562" s="2" t="n">
        <x:v>202603</x:v>
      </x:c>
      <x:c r="C562" s="2" t="str">
        <x:v>62044300</x:v>
      </x:c>
      <x:c r="D562" s="2" t="str">
        <x:v>Pakistan</x:v>
      </x:c>
      <x:c r="E562" s="14" t="n">
        <x:v>51119</x:v>
      </x:c>
      <x:c r="F562" s="14" t="n">
        <x:v>4057</x:v>
      </x:c>
      <x:c r="G562" s="2" t="str">
        <x:v>WITHIN_BAND</x:v>
      </x:c>
      <x:c r="H562" s="2" t="n">
        <x:v>1</x:v>
      </x:c>
      <x:c r="I562" s="2" t="n">
        <x:f>IF(AND(COUNTIFS($B$6:$B$797,B562,$C$6:$C$797,C562)=11,COUNTIFS($B$6:$B$797,B562,$C$6:$C$797,C562,$G$6:$G$797,"REVIEW")=0,COUNTIFS($B$6:$B$797,B562,$C$6:$C$797,C562,$H$6:$H$797,1)=11,COUNTIFS($B$6:$B$797,B562,$C$6:$C$797,C562,$F$6:$F$797,"&gt;0")=11),1,0)</x:f>
        <x:v>1</x:v>
      </x:c>
    </x:row>
    <x:row r="563" ht="22" customHeight="1">
      <x:c r="A563" s="2" t="str">
        <x:v>62044300_LK_202603_IMPORT</x:v>
      </x:c>
      <x:c r="B563" s="2" t="n">
        <x:v>202603</x:v>
      </x:c>
      <x:c r="C563" s="2" t="str">
        <x:v>62044300</x:v>
      </x:c>
      <x:c r="D563" s="2" t="str">
        <x:v>Sri Lanka</x:v>
      </x:c>
      <x:c r="E563" s="14" t="n">
        <x:v>1673826</x:v>
      </x:c>
      <x:c r="F563" s="14" t="n">
        <x:v>101862</x:v>
      </x:c>
      <x:c r="G563" s="2" t="str">
        <x:v>WITHIN_BAND</x:v>
      </x:c>
      <x:c r="H563" s="2" t="n">
        <x:v>1</x:v>
      </x:c>
      <x:c r="I563" s="2" t="n">
        <x:f>IF(AND(COUNTIFS($B$6:$B$797,B563,$C$6:$C$797,C563)=11,COUNTIFS($B$6:$B$797,B563,$C$6:$C$797,C563,$G$6:$G$797,"REVIEW")=0,COUNTIFS($B$6:$B$797,B563,$C$6:$C$797,C563,$H$6:$H$797,1)=11,COUNTIFS($B$6:$B$797,B563,$C$6:$C$797,C563,$F$6:$F$797,"&gt;0")=11),1,0)</x:f>
        <x:v>1</x:v>
      </x:c>
    </x:row>
    <x:row r="564" ht="22" customHeight="1">
      <x:c r="A564" s="2" t="str">
        <x:v>62044300_TR_202603_IMPORT</x:v>
      </x:c>
      <x:c r="B564" s="2" t="n">
        <x:v>202603</x:v>
      </x:c>
      <x:c r="C564" s="2" t="str">
        <x:v>62044300</x:v>
      </x:c>
      <x:c r="D564" s="2" t="str">
        <x:v>Turkey</x:v>
      </x:c>
      <x:c r="E564" s="14" t="n">
        <x:v>387551</x:v>
      </x:c>
      <x:c r="F564" s="14" t="n">
        <x:v>9465</x:v>
      </x:c>
      <x:c r="G564" s="2" t="str">
        <x:v>WITHIN_BAND</x:v>
      </x:c>
      <x:c r="H564" s="2" t="n">
        <x:v>1</x:v>
      </x:c>
      <x:c r="I564" s="2" t="n">
        <x:f>IF(AND(COUNTIFS($B$6:$B$797,B564,$C$6:$C$797,C564)=11,COUNTIFS($B$6:$B$797,B564,$C$6:$C$797,C564,$G$6:$G$797,"REVIEW")=0,COUNTIFS($B$6:$B$797,B564,$C$6:$C$797,C564,$H$6:$H$797,1)=11,COUNTIFS($B$6:$B$797,B564,$C$6:$C$797,C564,$F$6:$F$797,"&gt;0")=11),1,0)</x:f>
        <x:v>1</x:v>
      </x:c>
    </x:row>
    <x:row r="565" ht="22" customHeight="1">
      <x:c r="A565" s="2" t="str">
        <x:v>62044300_VN_202603_IMPORT</x:v>
      </x:c>
      <x:c r="B565" s="2" t="n">
        <x:v>202603</x:v>
      </x:c>
      <x:c r="C565" s="2" t="str">
        <x:v>62044300</x:v>
      </x:c>
      <x:c r="D565" s="2" t="str">
        <x:v>Vietnam</x:v>
      </x:c>
      <x:c r="E565" s="14" t="n">
        <x:v>1222485</x:v>
      </x:c>
      <x:c r="F565" s="14" t="n">
        <x:v>45869</x:v>
      </x:c>
      <x:c r="G565" s="2" t="str">
        <x:v>WITHIN_BAND</x:v>
      </x:c>
      <x:c r="H565" s="2" t="n">
        <x:v>1</x:v>
      </x:c>
      <x:c r="I565" s="2" t="n">
        <x:f>IF(AND(COUNTIFS($B$6:$B$797,B565,$C$6:$C$797,C565)=11,COUNTIFS($B$6:$B$797,B565,$C$6:$C$797,C565,$G$6:$G$797,"REVIEW")=0,COUNTIFS($B$6:$B$797,B565,$C$6:$C$797,C565,$H$6:$H$797,1)=11,COUNTIFS($B$6:$B$797,B565,$C$6:$C$797,C565,$F$6:$F$797,"&gt;0")=11),1,0)</x:f>
        <x:v>1</x:v>
      </x:c>
    </x:row>
    <x:row r="566" ht="22" customHeight="1">
      <x:c r="A566" s="2" t="str">
        <x:v>62044300_WORLD_202603_IMPORT</x:v>
      </x:c>
      <x:c r="B566" s="2" t="n">
        <x:v>202603</x:v>
      </x:c>
      <x:c r="C566" s="2" t="str">
        <x:v>62044300</x:v>
      </x:c>
      <x:c r="D566" s="2" t="str">
        <x:v>World</x:v>
      </x:c>
      <x:c r="E566" s="14" t="n">
        <x:v>29735887</x:v>
      </x:c>
      <x:c r="F566" s="14" t="n">
        <x:v>921599</x:v>
      </x:c>
      <x:c r="G566" s="2" t="str">
        <x:v>WITHIN_BAND</x:v>
      </x:c>
      <x:c r="H566" s="2" t="n">
        <x:v>1</x:v>
      </x:c>
      <x:c r="I566" s="2" t="n">
        <x:f>IF(AND(COUNTIFS($B$6:$B$797,B566,$C$6:$C$797,C566)=11,COUNTIFS($B$6:$B$797,B566,$C$6:$C$797,C566,$G$6:$G$797,"REVIEW")=0,COUNTIFS($B$6:$B$797,B566,$C$6:$C$797,C566,$H$6:$H$797,1)=11,COUNTIFS($B$6:$B$797,B566,$C$6:$C$797,C566,$F$6:$F$797,"&gt;0")=11),1,0)</x:f>
        <x:v>1</x:v>
      </x:c>
    </x:row>
    <x:row r="567" ht="22" customHeight="1">
      <x:c r="A567" s="2" t="str">
        <x:v>62044300_BD_202604_IMPORT</x:v>
      </x:c>
      <x:c r="B567" s="2" t="n">
        <x:v>202604</x:v>
      </x:c>
      <x:c r="C567" s="2" t="str">
        <x:v>62044300</x:v>
      </x:c>
      <x:c r="D567" s="2" t="str">
        <x:v>Bangladesh</x:v>
      </x:c>
      <x:c r="E567" s="14" t="n">
        <x:v>1836082</x:v>
      </x:c>
      <x:c r="F567" s="14" t="n">
        <x:v>104146</x:v>
      </x:c>
      <x:c r="G567" s="2" t="str">
        <x:v>WITHIN_BAND</x:v>
      </x:c>
      <x:c r="H567" s="2" t="n">
        <x:v>1</x:v>
      </x:c>
      <x:c r="I567" s="2" t="n">
        <x:f>IF(AND(COUNTIFS($B$6:$B$797,B567,$C$6:$C$797,C567)=11,COUNTIFS($B$6:$B$797,B567,$C$6:$C$797,C567,$G$6:$G$797,"REVIEW")=0,COUNTIFS($B$6:$B$797,B567,$C$6:$C$797,C567,$H$6:$H$797,1)=11,COUNTIFS($B$6:$B$797,B567,$C$6:$C$797,C567,$F$6:$F$797,"&gt;0")=11),1,0)</x:f>
        <x:v>1</x:v>
      </x:c>
    </x:row>
    <x:row r="568" ht="22" customHeight="1">
      <x:c r="A568" s="2" t="str">
        <x:v>62044300_KH_202604_IMPORT</x:v>
      </x:c>
      <x:c r="B568" s="2" t="n">
        <x:v>202604</x:v>
      </x:c>
      <x:c r="C568" s="2" t="str">
        <x:v>62044300</x:v>
      </x:c>
      <x:c r="D568" s="2" t="str">
        <x:v>Cambodia</x:v>
      </x:c>
      <x:c r="E568" s="14" t="n">
        <x:v>1130525</x:v>
      </x:c>
      <x:c r="F568" s="14" t="n">
        <x:v>57081</x:v>
      </x:c>
      <x:c r="G568" s="2" t="str">
        <x:v>WITHIN_BAND</x:v>
      </x:c>
      <x:c r="H568" s="2" t="n">
        <x:v>1</x:v>
      </x:c>
      <x:c r="I568" s="2" t="n">
        <x:f>IF(AND(COUNTIFS($B$6:$B$797,B568,$C$6:$C$797,C568)=11,COUNTIFS($B$6:$B$797,B568,$C$6:$C$797,C568,$G$6:$G$797,"REVIEW")=0,COUNTIFS($B$6:$B$797,B568,$C$6:$C$797,C568,$H$6:$H$797,1)=11,COUNTIFS($B$6:$B$797,B568,$C$6:$C$797,C568,$F$6:$F$797,"&gt;0")=11),1,0)</x:f>
        <x:v>1</x:v>
      </x:c>
    </x:row>
    <x:row r="569" ht="22" customHeight="1">
      <x:c r="A569" s="2" t="str">
        <x:v>62044300_CN_202604_IMPORT</x:v>
      </x:c>
      <x:c r="B569" s="2" t="n">
        <x:v>202604</x:v>
      </x:c>
      <x:c r="C569" s="2" t="str">
        <x:v>62044300</x:v>
      </x:c>
      <x:c r="D569" s="2" t="str">
        <x:v>China</x:v>
      </x:c>
      <x:c r="E569" s="14" t="n">
        <x:v>7904408</x:v>
      </x:c>
      <x:c r="F569" s="14" t="n">
        <x:v>286292</x:v>
      </x:c>
      <x:c r="G569" s="2" t="str">
        <x:v>WITHIN_BAND</x:v>
      </x:c>
      <x:c r="H569" s="2" t="n">
        <x:v>1</x:v>
      </x:c>
      <x:c r="I569" s="2" t="n">
        <x:f>IF(AND(COUNTIFS($B$6:$B$797,B569,$C$6:$C$797,C569)=11,COUNTIFS($B$6:$B$797,B569,$C$6:$C$797,C569,$G$6:$G$797,"REVIEW")=0,COUNTIFS($B$6:$B$797,B569,$C$6:$C$797,C569,$H$6:$H$797,1)=11,COUNTIFS($B$6:$B$797,B569,$C$6:$C$797,C569,$F$6:$F$797,"&gt;0")=11),1,0)</x:f>
        <x:v>1</x:v>
      </x:c>
    </x:row>
    <x:row r="570" ht="22" customHeight="1">
      <x:c r="A570" s="2" t="str">
        <x:v>62044300_IN_202604_IMPORT</x:v>
      </x:c>
      <x:c r="B570" s="2" t="n">
        <x:v>202604</x:v>
      </x:c>
      <x:c r="C570" s="2" t="str">
        <x:v>62044300</x:v>
      </x:c>
      <x:c r="D570" s="2" t="str">
        <x:v>India</x:v>
      </x:c>
      <x:c r="E570" s="14" t="n">
        <x:v>3455147</x:v>
      </x:c>
      <x:c r="F570" s="14" t="n">
        <x:v>137729</x:v>
      </x:c>
      <x:c r="G570" s="2" t="str">
        <x:v>WITHIN_BAND</x:v>
      </x:c>
      <x:c r="H570" s="2" t="n">
        <x:v>1</x:v>
      </x:c>
      <x:c r="I570" s="2" t="n">
        <x:f>IF(AND(COUNTIFS($B$6:$B$797,B570,$C$6:$C$797,C570)=11,COUNTIFS($B$6:$B$797,B570,$C$6:$C$797,C570,$G$6:$G$797,"REVIEW")=0,COUNTIFS($B$6:$B$797,B570,$C$6:$C$797,C570,$H$6:$H$797,1)=11,COUNTIFS($B$6:$B$797,B570,$C$6:$C$797,C570,$F$6:$F$797,"&gt;0")=11),1,0)</x:f>
        <x:v>1</x:v>
      </x:c>
    </x:row>
    <x:row r="571" ht="22" customHeight="1">
      <x:c r="A571" s="2" t="str">
        <x:v>62044300_MA_202604_IMPORT</x:v>
      </x:c>
      <x:c r="B571" s="2" t="n">
        <x:v>202604</x:v>
      </x:c>
      <x:c r="C571" s="2" t="str">
        <x:v>62044300</x:v>
      </x:c>
      <x:c r="D571" s="2" t="str">
        <x:v>Morocco</x:v>
      </x:c>
      <x:c r="E571" s="14" t="n">
        <x:v>1197116</x:v>
      </x:c>
      <x:c r="F571" s="14" t="n">
        <x:v>45556</x:v>
      </x:c>
      <x:c r="G571" s="2" t="str">
        <x:v>WITHIN_BAND</x:v>
      </x:c>
      <x:c r="H571" s="2" t="n">
        <x:v>1</x:v>
      </x:c>
      <x:c r="I571" s="2" t="n">
        <x:f>IF(AND(COUNTIFS($B$6:$B$797,B571,$C$6:$C$797,C571)=11,COUNTIFS($B$6:$B$797,B571,$C$6:$C$797,C571,$G$6:$G$797,"REVIEW")=0,COUNTIFS($B$6:$B$797,B571,$C$6:$C$797,C571,$H$6:$H$797,1)=11,COUNTIFS($B$6:$B$797,B571,$C$6:$C$797,C571,$F$6:$F$797,"&gt;0")=11),1,0)</x:f>
        <x:v>1</x:v>
      </x:c>
    </x:row>
    <x:row r="572" ht="22" customHeight="1">
      <x:c r="A572" s="2" t="str">
        <x:v>62044300_MM_202604_IMPORT</x:v>
      </x:c>
      <x:c r="B572" s="2" t="n">
        <x:v>202604</x:v>
      </x:c>
      <x:c r="C572" s="2" t="str">
        <x:v>62044300</x:v>
      </x:c>
      <x:c r="D572" s="2" t="str">
        <x:v>Myanmar</x:v>
      </x:c>
      <x:c r="E572" s="14" t="n">
        <x:v>285741</x:v>
      </x:c>
      <x:c r="F572" s="14" t="n">
        <x:v>4318</x:v>
      </x:c>
      <x:c r="G572" s="2" t="str">
        <x:v>WITHIN_BAND</x:v>
      </x:c>
      <x:c r="H572" s="2" t="n">
        <x:v>1</x:v>
      </x:c>
      <x:c r="I572" s="2" t="n">
        <x:f>IF(AND(COUNTIFS($B$6:$B$797,B572,$C$6:$C$797,C572)=11,COUNTIFS($B$6:$B$797,B572,$C$6:$C$797,C572,$G$6:$G$797,"REVIEW")=0,COUNTIFS($B$6:$B$797,B572,$C$6:$C$797,C572,$H$6:$H$797,1)=11,COUNTIFS($B$6:$B$797,B572,$C$6:$C$797,C572,$F$6:$F$797,"&gt;0")=11),1,0)</x:f>
        <x:v>1</x:v>
      </x:c>
    </x:row>
    <x:row r="573" ht="22" customHeight="1">
      <x:c r="A573" s="2" t="str">
        <x:v>62044300_PK_202604_IMPORT</x:v>
      </x:c>
      <x:c r="B573" s="2" t="n">
        <x:v>202604</x:v>
      </x:c>
      <x:c r="C573" s="2" t="str">
        <x:v>62044300</x:v>
      </x:c>
      <x:c r="D573" s="2" t="str">
        <x:v>Pakistan</x:v>
      </x:c>
      <x:c r="E573" s="14" t="n">
        <x:v>51630</x:v>
      </x:c>
      <x:c r="F573" s="14" t="n">
        <x:v>3798</x:v>
      </x:c>
      <x:c r="G573" s="2" t="str">
        <x:v>WITHIN_BAND</x:v>
      </x:c>
      <x:c r="H573" s="2" t="n">
        <x:v>1</x:v>
      </x:c>
      <x:c r="I573" s="2" t="n">
        <x:f>IF(AND(COUNTIFS($B$6:$B$797,B573,$C$6:$C$797,C573)=11,COUNTIFS($B$6:$B$797,B573,$C$6:$C$797,C573,$G$6:$G$797,"REVIEW")=0,COUNTIFS($B$6:$B$797,B573,$C$6:$C$797,C573,$H$6:$H$797,1)=11,COUNTIFS($B$6:$B$797,B573,$C$6:$C$797,C573,$F$6:$F$797,"&gt;0")=11),1,0)</x:f>
        <x:v>1</x:v>
      </x:c>
    </x:row>
    <x:row r="574" ht="22" customHeight="1">
      <x:c r="A574" s="2" t="str">
        <x:v>62044300_LK_202604_IMPORT</x:v>
      </x:c>
      <x:c r="B574" s="2" t="n">
        <x:v>202604</x:v>
      </x:c>
      <x:c r="C574" s="2" t="str">
        <x:v>62044300</x:v>
      </x:c>
      <x:c r="D574" s="2" t="str">
        <x:v>Sri Lanka</x:v>
      </x:c>
      <x:c r="E574" s="14" t="n">
        <x:v>1652998</x:v>
      </x:c>
      <x:c r="F574" s="14" t="n">
        <x:v>105987</x:v>
      </x:c>
      <x:c r="G574" s="2" t="str">
        <x:v>WITHIN_BAND</x:v>
      </x:c>
      <x:c r="H574" s="2" t="n">
        <x:v>1</x:v>
      </x:c>
      <x:c r="I574" s="2" t="n">
        <x:f>IF(AND(COUNTIFS($B$6:$B$797,B574,$C$6:$C$797,C574)=11,COUNTIFS($B$6:$B$797,B574,$C$6:$C$797,C574,$G$6:$G$797,"REVIEW")=0,COUNTIFS($B$6:$B$797,B574,$C$6:$C$797,C574,$H$6:$H$797,1)=11,COUNTIFS($B$6:$B$797,B574,$C$6:$C$797,C574,$F$6:$F$797,"&gt;0")=11),1,0)</x:f>
        <x:v>1</x:v>
      </x:c>
    </x:row>
    <x:row r="575" ht="22" customHeight="1">
      <x:c r="A575" s="2" t="str">
        <x:v>62044300_TR_202604_IMPORT</x:v>
      </x:c>
      <x:c r="B575" s="2" t="n">
        <x:v>202604</x:v>
      </x:c>
      <x:c r="C575" s="2" t="str">
        <x:v>62044300</x:v>
      </x:c>
      <x:c r="D575" s="2" t="str">
        <x:v>Turkey</x:v>
      </x:c>
      <x:c r="E575" s="14" t="n">
        <x:v>325406</x:v>
      </x:c>
      <x:c r="F575" s="14" t="n">
        <x:v>9302</x:v>
      </x:c>
      <x:c r="G575" s="2" t="str">
        <x:v>WITHIN_BAND</x:v>
      </x:c>
      <x:c r="H575" s="2" t="n">
        <x:v>1</x:v>
      </x:c>
      <x:c r="I575" s="2" t="n">
        <x:f>IF(AND(COUNTIFS($B$6:$B$797,B575,$C$6:$C$797,C575)=11,COUNTIFS($B$6:$B$797,B575,$C$6:$C$797,C575,$G$6:$G$797,"REVIEW")=0,COUNTIFS($B$6:$B$797,B575,$C$6:$C$797,C575,$H$6:$H$797,1)=11,COUNTIFS($B$6:$B$797,B575,$C$6:$C$797,C575,$F$6:$F$797,"&gt;0")=11),1,0)</x:f>
        <x:v>1</x:v>
      </x:c>
    </x:row>
    <x:row r="576" ht="22" customHeight="1">
      <x:c r="A576" s="2" t="str">
        <x:v>62044300_VN_202604_IMPORT</x:v>
      </x:c>
      <x:c r="B576" s="2" t="n">
        <x:v>202604</x:v>
      </x:c>
      <x:c r="C576" s="2" t="str">
        <x:v>62044300</x:v>
      </x:c>
      <x:c r="D576" s="2" t="str">
        <x:v>Vietnam</x:v>
      </x:c>
      <x:c r="E576" s="14" t="n">
        <x:v>831992</x:v>
      </x:c>
      <x:c r="F576" s="14" t="n">
        <x:v>48067</x:v>
      </x:c>
      <x:c r="G576" s="2" t="str">
        <x:v>WITHIN_BAND</x:v>
      </x:c>
      <x:c r="H576" s="2" t="n">
        <x:v>1</x:v>
      </x:c>
      <x:c r="I576" s="2" t="n">
        <x:f>IF(AND(COUNTIFS($B$6:$B$797,B576,$C$6:$C$797,C576)=11,COUNTIFS($B$6:$B$797,B576,$C$6:$C$797,C576,$G$6:$G$797,"REVIEW")=0,COUNTIFS($B$6:$B$797,B576,$C$6:$C$797,C576,$H$6:$H$797,1)=11,COUNTIFS($B$6:$B$797,B576,$C$6:$C$797,C576,$F$6:$F$797,"&gt;0")=11),1,0)</x:f>
        <x:v>1</x:v>
      </x:c>
    </x:row>
    <x:row r="577" ht="22" customHeight="1">
      <x:c r="A577" s="2" t="str">
        <x:v>62044300_WORLD_202604_IMPORT</x:v>
      </x:c>
      <x:c r="B577" s="2" t="n">
        <x:v>202604</x:v>
      </x:c>
      <x:c r="C577" s="2" t="str">
        <x:v>62044300</x:v>
      </x:c>
      <x:c r="D577" s="2" t="str">
        <x:v>World</x:v>
      </x:c>
      <x:c r="E577" s="14" t="n">
        <x:v>32945837</x:v>
      </x:c>
      <x:c r="F577" s="14" t="n">
        <x:v>977575</x:v>
      </x:c>
      <x:c r="G577" s="2" t="str">
        <x:v>WITHIN_BAND</x:v>
      </x:c>
      <x:c r="H577" s="2" t="n">
        <x:v>1</x:v>
      </x:c>
      <x:c r="I577" s="2" t="n">
        <x:f>IF(AND(COUNTIFS($B$6:$B$797,B577,$C$6:$C$797,C577)=11,COUNTIFS($B$6:$B$797,B577,$C$6:$C$797,C577,$G$6:$G$797,"REVIEW")=0,COUNTIFS($B$6:$B$797,B577,$C$6:$C$797,C577,$H$6:$H$797,1)=11,COUNTIFS($B$6:$B$797,B577,$C$6:$C$797,C577,$F$6:$F$797,"&gt;0")=11),1,0)</x:f>
        <x:v>1</x:v>
      </x:c>
    </x:row>
    <x:row r="578" ht="22" customHeight="1">
      <x:c r="A578" s="2" t="str">
        <x:v>62044300_BD_202605_IMPORT</x:v>
      </x:c>
      <x:c r="B578" s="2" t="n">
        <x:v>202605</x:v>
      </x:c>
      <x:c r="C578" s="2" t="str">
        <x:v>62044300</x:v>
      </x:c>
      <x:c r="D578" s="2" t="str">
        <x:v>Bangladesh</x:v>
      </x:c>
      <x:c r="E578" s="14" t="n">
        <x:v>1315669</x:v>
      </x:c>
      <x:c r="F578" s="14" t="n">
        <x:v>102114</x:v>
      </x:c>
      <x:c r="G578" s="2" t="str">
        <x:v>WITHIN_BAND</x:v>
      </x:c>
      <x:c r="H578" s="2" t="n">
        <x:v>1</x:v>
      </x:c>
      <x:c r="I578" s="2" t="n">
        <x:f>IF(AND(COUNTIFS($B$6:$B$797,B578,$C$6:$C$797,C578)=11,COUNTIFS($B$6:$B$797,B578,$C$6:$C$797,C578,$G$6:$G$797,"REVIEW")=0,COUNTIFS($B$6:$B$797,B578,$C$6:$C$797,C578,$H$6:$H$797,1)=11,COUNTIFS($B$6:$B$797,B578,$C$6:$C$797,C578,$F$6:$F$797,"&gt;0")=11),1,0)</x:f>
        <x:v>1</x:v>
      </x:c>
    </x:row>
    <x:row r="579" ht="22" customHeight="1">
      <x:c r="A579" s="2" t="str">
        <x:v>62044300_KH_202605_IMPORT</x:v>
      </x:c>
      <x:c r="B579" s="2" t="n">
        <x:v>202605</x:v>
      </x:c>
      <x:c r="C579" s="2" t="str">
        <x:v>62044300</x:v>
      </x:c>
      <x:c r="D579" s="2" t="str">
        <x:v>Cambodia</x:v>
      </x:c>
      <x:c r="E579" s="14" t="n">
        <x:v>1007227</x:v>
      </x:c>
      <x:c r="F579" s="14" t="n">
        <x:v>56320</x:v>
      </x:c>
      <x:c r="G579" s="2" t="str">
        <x:v>WITHIN_BAND</x:v>
      </x:c>
      <x:c r="H579" s="2" t="n">
        <x:v>1</x:v>
      </x:c>
      <x:c r="I579" s="2" t="n">
        <x:f>IF(AND(COUNTIFS($B$6:$B$797,B579,$C$6:$C$797,C579)=11,COUNTIFS($B$6:$B$797,B579,$C$6:$C$797,C579,$G$6:$G$797,"REVIEW")=0,COUNTIFS($B$6:$B$797,B579,$C$6:$C$797,C579,$H$6:$H$797,1)=11,COUNTIFS($B$6:$B$797,B579,$C$6:$C$797,C579,$F$6:$F$797,"&gt;0")=11),1,0)</x:f>
        <x:v>1</x:v>
      </x:c>
    </x:row>
    <x:row r="580" ht="22" customHeight="1">
      <x:c r="A580" s="2" t="str">
        <x:v>62044300_CN_202605_IMPORT</x:v>
      </x:c>
      <x:c r="B580" s="2" t="n">
        <x:v>202605</x:v>
      </x:c>
      <x:c r="C580" s="2" t="str">
        <x:v>62044300</x:v>
      </x:c>
      <x:c r="D580" s="2" t="str">
        <x:v>China</x:v>
      </x:c>
      <x:c r="E580" s="14" t="n">
        <x:v>7268151</x:v>
      </x:c>
      <x:c r="F580" s="14" t="n">
        <x:v>243945</x:v>
      </x:c>
      <x:c r="G580" s="2" t="str">
        <x:v>WITHIN_BAND</x:v>
      </x:c>
      <x:c r="H580" s="2" t="n">
        <x:v>1</x:v>
      </x:c>
      <x:c r="I580" s="2" t="n">
        <x:f>IF(AND(COUNTIFS($B$6:$B$797,B580,$C$6:$C$797,C580)=11,COUNTIFS($B$6:$B$797,B580,$C$6:$C$797,C580,$G$6:$G$797,"REVIEW")=0,COUNTIFS($B$6:$B$797,B580,$C$6:$C$797,C580,$H$6:$H$797,1)=11,COUNTIFS($B$6:$B$797,B580,$C$6:$C$797,C580,$F$6:$F$797,"&gt;0")=11),1,0)</x:f>
        <x:v>1</x:v>
      </x:c>
    </x:row>
    <x:row r="581" ht="22" customHeight="1">
      <x:c r="A581" s="2" t="str">
        <x:v>62044300_IN_202605_IMPORT</x:v>
      </x:c>
      <x:c r="B581" s="2" t="n">
        <x:v>202605</x:v>
      </x:c>
      <x:c r="C581" s="2" t="str">
        <x:v>62044300</x:v>
      </x:c>
      <x:c r="D581" s="2" t="str">
        <x:v>India</x:v>
      </x:c>
      <x:c r="E581" s="14" t="n">
        <x:v>3339046</x:v>
      </x:c>
      <x:c r="F581" s="14" t="n">
        <x:v>127324</x:v>
      </x:c>
      <x:c r="G581" s="2" t="str">
        <x:v>WITHIN_BAND</x:v>
      </x:c>
      <x:c r="H581" s="2" t="n">
        <x:v>1</x:v>
      </x:c>
      <x:c r="I581" s="2" t="n">
        <x:f>IF(AND(COUNTIFS($B$6:$B$797,B581,$C$6:$C$797,C581)=11,COUNTIFS($B$6:$B$797,B581,$C$6:$C$797,C581,$G$6:$G$797,"REVIEW")=0,COUNTIFS($B$6:$B$797,B581,$C$6:$C$797,C581,$H$6:$H$797,1)=11,COUNTIFS($B$6:$B$797,B581,$C$6:$C$797,C581,$F$6:$F$797,"&gt;0")=11),1,0)</x:f>
        <x:v>1</x:v>
      </x:c>
    </x:row>
    <x:row r="582" ht="22" customHeight="1">
      <x:c r="A582" s="2" t="str">
        <x:v>62044300_MA_202605_IMPORT</x:v>
      </x:c>
      <x:c r="B582" s="2" t="n">
        <x:v>202605</x:v>
      </x:c>
      <x:c r="C582" s="2" t="str">
        <x:v>62044300</x:v>
      </x:c>
      <x:c r="D582" s="2" t="str">
        <x:v>Morocco</x:v>
      </x:c>
      <x:c r="E582" s="14" t="n">
        <x:v>1086207</x:v>
      </x:c>
      <x:c r="F582" s="14" t="n">
        <x:v>43026</x:v>
      </x:c>
      <x:c r="G582" s="2" t="str">
        <x:v>WITHIN_BAND</x:v>
      </x:c>
      <x:c r="H582" s="2" t="n">
        <x:v>1</x:v>
      </x:c>
      <x:c r="I582" s="2" t="n">
        <x:f>IF(AND(COUNTIFS($B$6:$B$797,B582,$C$6:$C$797,C582)=11,COUNTIFS($B$6:$B$797,B582,$C$6:$C$797,C582,$G$6:$G$797,"REVIEW")=0,COUNTIFS($B$6:$B$797,B582,$C$6:$C$797,C582,$H$6:$H$797,1)=11,COUNTIFS($B$6:$B$797,B582,$C$6:$C$797,C582,$F$6:$F$797,"&gt;0")=11),1,0)</x:f>
        <x:v>1</x:v>
      </x:c>
    </x:row>
    <x:row r="583" ht="22" customHeight="1">
      <x:c r="A583" s="2" t="str">
        <x:v>62044300_MM_202605_IMPORT</x:v>
      </x:c>
      <x:c r="B583" s="2" t="n">
        <x:v>202605</x:v>
      </x:c>
      <x:c r="C583" s="2" t="str">
        <x:v>62044300</x:v>
      </x:c>
      <x:c r="D583" s="2" t="str">
        <x:v>Myanmar</x:v>
      </x:c>
      <x:c r="E583" s="14" t="n">
        <x:v>403692</x:v>
      </x:c>
      <x:c r="F583" s="14" t="n">
        <x:v>6746</x:v>
      </x:c>
      <x:c r="G583" s="2" t="str">
        <x:v>WITHIN_BAND</x:v>
      </x:c>
      <x:c r="H583" s="2" t="n">
        <x:v>1</x:v>
      </x:c>
      <x:c r="I583" s="2" t="n">
        <x:f>IF(AND(COUNTIFS($B$6:$B$797,B583,$C$6:$C$797,C583)=11,COUNTIFS($B$6:$B$797,B583,$C$6:$C$797,C583,$G$6:$G$797,"REVIEW")=0,COUNTIFS($B$6:$B$797,B583,$C$6:$C$797,C583,$H$6:$H$797,1)=11,COUNTIFS($B$6:$B$797,B583,$C$6:$C$797,C583,$F$6:$F$797,"&gt;0")=11),1,0)</x:f>
        <x:v>1</x:v>
      </x:c>
    </x:row>
    <x:row r="584" ht="22" customHeight="1">
      <x:c r="A584" s="2" t="str">
        <x:v>62044300_PK_202605_IMPORT</x:v>
      </x:c>
      <x:c r="B584" s="2" t="n">
        <x:v>202605</x:v>
      </x:c>
      <x:c r="C584" s="2" t="str">
        <x:v>62044300</x:v>
      </x:c>
      <x:c r="D584" s="2" t="str">
        <x:v>Pakistan</x:v>
      </x:c>
      <x:c r="E584" s="14" t="n">
        <x:v>42237</x:v>
      </x:c>
      <x:c r="F584" s="14" t="n">
        <x:v>1893</x:v>
      </x:c>
      <x:c r="G584" s="2" t="str">
        <x:v>WITHIN_BAND</x:v>
      </x:c>
      <x:c r="H584" s="2" t="n">
        <x:v>1</x:v>
      </x:c>
      <x:c r="I584" s="2" t="n">
        <x:f>IF(AND(COUNTIFS($B$6:$B$797,B584,$C$6:$C$797,C584)=11,COUNTIFS($B$6:$B$797,B584,$C$6:$C$797,C584,$G$6:$G$797,"REVIEW")=0,COUNTIFS($B$6:$B$797,B584,$C$6:$C$797,C584,$H$6:$H$797,1)=11,COUNTIFS($B$6:$B$797,B584,$C$6:$C$797,C584,$F$6:$F$797,"&gt;0")=11),1,0)</x:f>
        <x:v>1</x:v>
      </x:c>
    </x:row>
    <x:row r="585" ht="22" customHeight="1">
      <x:c r="A585" s="2" t="str">
        <x:v>62044300_LK_202605_IMPORT</x:v>
      </x:c>
      <x:c r="B585" s="2" t="n">
        <x:v>202605</x:v>
      </x:c>
      <x:c r="C585" s="2" t="str">
        <x:v>62044300</x:v>
      </x:c>
      <x:c r="D585" s="2" t="str">
        <x:v>Sri Lanka</x:v>
      </x:c>
      <x:c r="E585" s="14" t="n">
        <x:v>1529655</x:v>
      </x:c>
      <x:c r="F585" s="14" t="n">
        <x:v>74521</x:v>
      </x:c>
      <x:c r="G585" s="2" t="str">
        <x:v>WITHIN_BAND</x:v>
      </x:c>
      <x:c r="H585" s="2" t="n">
        <x:v>1</x:v>
      </x:c>
      <x:c r="I585" s="2" t="n">
        <x:f>IF(AND(COUNTIFS($B$6:$B$797,B585,$C$6:$C$797,C585)=11,COUNTIFS($B$6:$B$797,B585,$C$6:$C$797,C585,$G$6:$G$797,"REVIEW")=0,COUNTIFS($B$6:$B$797,B585,$C$6:$C$797,C585,$H$6:$H$797,1)=11,COUNTIFS($B$6:$B$797,B585,$C$6:$C$797,C585,$F$6:$F$797,"&gt;0")=11),1,0)</x:f>
        <x:v>1</x:v>
      </x:c>
    </x:row>
    <x:row r="586" ht="22" customHeight="1">
      <x:c r="A586" s="2" t="str">
        <x:v>62044300_TR_202605_IMPORT</x:v>
      </x:c>
      <x:c r="B586" s="2" t="n">
        <x:v>202605</x:v>
      </x:c>
      <x:c r="C586" s="2" t="str">
        <x:v>62044300</x:v>
      </x:c>
      <x:c r="D586" s="2" t="str">
        <x:v>Turkey</x:v>
      </x:c>
      <x:c r="E586" s="14" t="n">
        <x:v>273975</x:v>
      </x:c>
      <x:c r="F586" s="14" t="n">
        <x:v>7229</x:v>
      </x:c>
      <x:c r="G586" s="2" t="str">
        <x:v>WITHIN_BAND</x:v>
      </x:c>
      <x:c r="H586" s="2" t="n">
        <x:v>1</x:v>
      </x:c>
      <x:c r="I586" s="2" t="n">
        <x:f>IF(AND(COUNTIFS($B$6:$B$797,B586,$C$6:$C$797,C586)=11,COUNTIFS($B$6:$B$797,B586,$C$6:$C$797,C586,$G$6:$G$797,"REVIEW")=0,COUNTIFS($B$6:$B$797,B586,$C$6:$C$797,C586,$H$6:$H$797,1)=11,COUNTIFS($B$6:$B$797,B586,$C$6:$C$797,C586,$F$6:$F$797,"&gt;0")=11),1,0)</x:f>
        <x:v>1</x:v>
      </x:c>
    </x:row>
    <x:row r="587" ht="22" customHeight="1">
      <x:c r="A587" s="2" t="str">
        <x:v>62044300_VN_202605_IMPORT</x:v>
      </x:c>
      <x:c r="B587" s="2" t="n">
        <x:v>202605</x:v>
      </x:c>
      <x:c r="C587" s="2" t="str">
        <x:v>62044300</x:v>
      </x:c>
      <x:c r="D587" s="2" t="str">
        <x:v>Vietnam</x:v>
      </x:c>
      <x:c r="E587" s="14" t="n">
        <x:v>709745</x:v>
      </x:c>
      <x:c r="F587" s="14" t="n">
        <x:v>34194</x:v>
      </x:c>
      <x:c r="G587" s="2" t="str">
        <x:v>WITHIN_BAND</x:v>
      </x:c>
      <x:c r="H587" s="2" t="n">
        <x:v>1</x:v>
      </x:c>
      <x:c r="I587" s="2" t="n">
        <x:f>IF(AND(COUNTIFS($B$6:$B$797,B587,$C$6:$C$797,C587)=11,COUNTIFS($B$6:$B$797,B587,$C$6:$C$797,C587,$G$6:$G$797,"REVIEW")=0,COUNTIFS($B$6:$B$797,B587,$C$6:$C$797,C587,$H$6:$H$797,1)=11,COUNTIFS($B$6:$B$797,B587,$C$6:$C$797,C587,$F$6:$F$797,"&gt;0")=11),1,0)</x:f>
        <x:v>1</x:v>
      </x:c>
    </x:row>
    <x:row r="588" ht="22" customHeight="1">
      <x:c r="A588" s="2" t="str">
        <x:v>62044300_WORLD_202605_IMPORT</x:v>
      </x:c>
      <x:c r="B588" s="2" t="n">
        <x:v>202605</x:v>
      </x:c>
      <x:c r="C588" s="2" t="str">
        <x:v>62044300</x:v>
      </x:c>
      <x:c r="D588" s="2" t="str">
        <x:v>World</x:v>
      </x:c>
      <x:c r="E588" s="14" t="n">
        <x:v>29170442</x:v>
      </x:c>
      <x:c r="F588" s="14" t="n">
        <x:v>922618</x:v>
      </x:c>
      <x:c r="G588" s="2" t="str">
        <x:v>WITHIN_BAND</x:v>
      </x:c>
      <x:c r="H588" s="2" t="n">
        <x:v>1</x:v>
      </x:c>
      <x:c r="I588" s="2" t="n">
        <x:f>IF(AND(COUNTIFS($B$6:$B$797,B588,$C$6:$C$797,C588)=11,COUNTIFS($B$6:$B$797,B588,$C$6:$C$797,C588,$G$6:$G$797,"REVIEW")=0,COUNTIFS($B$6:$B$797,B588,$C$6:$C$797,C588,$H$6:$H$797,1)=11,COUNTIFS($B$6:$B$797,B588,$C$6:$C$797,C588,$F$6:$F$797,"&gt;0")=11),1,0)</x:f>
        <x:v>1</x:v>
      </x:c>
    </x:row>
    <x:row r="589" ht="22" customHeight="1">
      <x:c r="A589" s="2" t="str">
        <x:v>62044300_BD_202606_IMPORT</x:v>
      </x:c>
      <x:c r="B589" s="2" t="n">
        <x:v>202606</x:v>
      </x:c>
      <x:c r="C589" s="2" t="str">
        <x:v>62044300</x:v>
      </x:c>
      <x:c r="D589" s="2" t="str">
        <x:v>Bangladesh</x:v>
      </x:c>
      <x:c r="E589" s="14" t="n">
        <x:v>1086185</x:v>
      </x:c>
      <x:c r="F589" s="14" t="n">
        <x:v>64453</x:v>
      </x:c>
      <x:c r="G589" s="2" t="str">
        <x:v>WITHIN_BAND</x:v>
      </x:c>
      <x:c r="H589" s="2" t="n">
        <x:v>1</x:v>
      </x:c>
      <x:c r="I589" s="2" t="n">
        <x:f>IF(AND(COUNTIFS($B$6:$B$797,B589,$C$6:$C$797,C589)=11,COUNTIFS($B$6:$B$797,B589,$C$6:$C$797,C589,$G$6:$G$797,"REVIEW")=0,COUNTIFS($B$6:$B$797,B589,$C$6:$C$797,C589,$H$6:$H$797,1)=11,COUNTIFS($B$6:$B$797,B589,$C$6:$C$797,C589,$F$6:$F$797,"&gt;0")=11),1,0)</x:f>
        <x:v>1</x:v>
      </x:c>
    </x:row>
    <x:row r="590" ht="22" customHeight="1">
      <x:c r="A590" s="2" t="str">
        <x:v>62044300_KH_202606_IMPORT</x:v>
      </x:c>
      <x:c r="B590" s="2" t="n">
        <x:v>202606</x:v>
      </x:c>
      <x:c r="C590" s="2" t="str">
        <x:v>62044300</x:v>
      </x:c>
      <x:c r="D590" s="2" t="str">
        <x:v>Cambodia</x:v>
      </x:c>
      <x:c r="E590" s="14" t="n">
        <x:v>246481</x:v>
      </x:c>
      <x:c r="F590" s="14" t="n">
        <x:v>13251</x:v>
      </x:c>
      <x:c r="G590" s="2" t="str">
        <x:v>WITHIN_BAND</x:v>
      </x:c>
      <x:c r="H590" s="2" t="n">
        <x:v>1</x:v>
      </x:c>
      <x:c r="I590" s="2" t="n">
        <x:f>IF(AND(COUNTIFS($B$6:$B$797,B590,$C$6:$C$797,C590)=11,COUNTIFS($B$6:$B$797,B590,$C$6:$C$797,C590,$G$6:$G$797,"REVIEW")=0,COUNTIFS($B$6:$B$797,B590,$C$6:$C$797,C590,$H$6:$H$797,1)=11,COUNTIFS($B$6:$B$797,B590,$C$6:$C$797,C590,$F$6:$F$797,"&gt;0")=11),1,0)</x:f>
        <x:v>1</x:v>
      </x:c>
    </x:row>
    <x:row r="591" ht="22" customHeight="1">
      <x:c r="A591" s="2" t="str">
        <x:v>62044300_CN_202606_IMPORT</x:v>
      </x:c>
      <x:c r="B591" s="2" t="n">
        <x:v>202606</x:v>
      </x:c>
      <x:c r="C591" s="2" t="str">
        <x:v>62044300</x:v>
      </x:c>
      <x:c r="D591" s="2" t="str">
        <x:v>China</x:v>
      </x:c>
      <x:c r="E591" s="14" t="n">
        <x:v>7407724</x:v>
      </x:c>
      <x:c r="F591" s="14" t="n">
        <x:v>249367</x:v>
      </x:c>
      <x:c r="G591" s="2" t="str">
        <x:v>WITHIN_BAND</x:v>
      </x:c>
      <x:c r="H591" s="2" t="n">
        <x:v>1</x:v>
      </x:c>
      <x:c r="I591" s="2" t="n">
        <x:f>IF(AND(COUNTIFS($B$6:$B$797,B591,$C$6:$C$797,C591)=11,COUNTIFS($B$6:$B$797,B591,$C$6:$C$797,C591,$G$6:$G$797,"REVIEW")=0,COUNTIFS($B$6:$B$797,B591,$C$6:$C$797,C591,$H$6:$H$797,1)=11,COUNTIFS($B$6:$B$797,B591,$C$6:$C$797,C591,$F$6:$F$797,"&gt;0")=11),1,0)</x:f>
        <x:v>1</x:v>
      </x:c>
    </x:row>
    <x:row r="592" ht="22" customHeight="1">
      <x:c r="A592" s="2" t="str">
        <x:v>62044300_IN_202606_IMPORT</x:v>
      </x:c>
      <x:c r="B592" s="2" t="n">
        <x:v>202606</x:v>
      </x:c>
      <x:c r="C592" s="2" t="str">
        <x:v>62044300</x:v>
      </x:c>
      <x:c r="D592" s="2" t="str">
        <x:v>India</x:v>
      </x:c>
      <x:c r="E592" s="14" t="n">
        <x:v>2230522</x:v>
      </x:c>
      <x:c r="F592" s="14" t="n">
        <x:v>75570</x:v>
      </x:c>
      <x:c r="G592" s="2" t="str">
        <x:v>WITHIN_BAND</x:v>
      </x:c>
      <x:c r="H592" s="2" t="n">
        <x:v>1</x:v>
      </x:c>
      <x:c r="I592" s="2" t="n">
        <x:f>IF(AND(COUNTIFS($B$6:$B$797,B592,$C$6:$C$797,C592)=11,COUNTIFS($B$6:$B$797,B592,$C$6:$C$797,C592,$G$6:$G$797,"REVIEW")=0,COUNTIFS($B$6:$B$797,B592,$C$6:$C$797,C592,$H$6:$H$797,1)=11,COUNTIFS($B$6:$B$797,B592,$C$6:$C$797,C592,$F$6:$F$797,"&gt;0")=11),1,0)</x:f>
        <x:v>1</x:v>
      </x:c>
    </x:row>
    <x:row r="593" ht="22" customHeight="1">
      <x:c r="A593" s="2" t="str">
        <x:v>62044300_MA_202606_IMPORT</x:v>
      </x:c>
      <x:c r="B593" s="2" t="n">
        <x:v>202606</x:v>
      </x:c>
      <x:c r="C593" s="2" t="str">
        <x:v>62044300</x:v>
      </x:c>
      <x:c r="D593" s="2" t="str">
        <x:v>Morocco</x:v>
      </x:c>
      <x:c r="E593" s="14" t="n">
        <x:v>1720368</x:v>
      </x:c>
      <x:c r="F593" s="14" t="n">
        <x:v>71191</x:v>
      </x:c>
      <x:c r="G593" s="2" t="str">
        <x:v>WITHIN_BAND</x:v>
      </x:c>
      <x:c r="H593" s="2" t="n">
        <x:v>1</x:v>
      </x:c>
      <x:c r="I593" s="2" t="n">
        <x:f>IF(AND(COUNTIFS($B$6:$B$797,B593,$C$6:$C$797,C593)=11,COUNTIFS($B$6:$B$797,B593,$C$6:$C$797,C593,$G$6:$G$797,"REVIEW")=0,COUNTIFS($B$6:$B$797,B593,$C$6:$C$797,C593,$H$6:$H$797,1)=11,COUNTIFS($B$6:$B$797,B593,$C$6:$C$797,C593,$F$6:$F$797,"&gt;0")=11),1,0)</x:f>
        <x:v>1</x:v>
      </x:c>
    </x:row>
    <x:row r="594" ht="22" customHeight="1">
      <x:c r="A594" s="2" t="str">
        <x:v>62044300_MM_202606_IMPORT</x:v>
      </x:c>
      <x:c r="B594" s="2" t="n">
        <x:v>202606</x:v>
      </x:c>
      <x:c r="C594" s="2" t="str">
        <x:v>62044300</x:v>
      </x:c>
      <x:c r="D594" s="2" t="str">
        <x:v>Myanmar</x:v>
      </x:c>
      <x:c r="E594" s="14" t="n">
        <x:v>309987</x:v>
      </x:c>
      <x:c r="F594" s="14" t="n">
        <x:v>4365</x:v>
      </x:c>
      <x:c r="G594" s="2" t="str">
        <x:v>WITHIN_BAND</x:v>
      </x:c>
      <x:c r="H594" s="2" t="n">
        <x:v>1</x:v>
      </x:c>
      <x:c r="I594" s="2" t="n">
        <x:f>IF(AND(COUNTIFS($B$6:$B$797,B594,$C$6:$C$797,C594)=11,COUNTIFS($B$6:$B$797,B594,$C$6:$C$797,C594,$G$6:$G$797,"REVIEW")=0,COUNTIFS($B$6:$B$797,B594,$C$6:$C$797,C594,$H$6:$H$797,1)=11,COUNTIFS($B$6:$B$797,B594,$C$6:$C$797,C594,$F$6:$F$797,"&gt;0")=11),1,0)</x:f>
        <x:v>1</x:v>
      </x:c>
    </x:row>
    <x:row r="595" ht="22" customHeight="1">
      <x:c r="A595" s="2" t="str">
        <x:v>62044300_PK_202606_IMPORT</x:v>
      </x:c>
      <x:c r="B595" s="2" t="n">
        <x:v>202606</x:v>
      </x:c>
      <x:c r="C595" s="2" t="str">
        <x:v>62044300</x:v>
      </x:c>
      <x:c r="D595" s="2" t="str">
        <x:v>Pakistan</x:v>
      </x:c>
      <x:c r="E595" s="14" t="n">
        <x:v>33262</x:v>
      </x:c>
      <x:c r="F595" s="14" t="n">
        <x:v>1536</x:v>
      </x:c>
      <x:c r="G595" s="2" t="str">
        <x:v>WITHIN_BAND</x:v>
      </x:c>
      <x:c r="H595" s="2" t="n">
        <x:v>1</x:v>
      </x:c>
      <x:c r="I595" s="2" t="n">
        <x:f>IF(AND(COUNTIFS($B$6:$B$797,B595,$C$6:$C$797,C595)=11,COUNTIFS($B$6:$B$797,B595,$C$6:$C$797,C595,$G$6:$G$797,"REVIEW")=0,COUNTIFS($B$6:$B$797,B595,$C$6:$C$797,C595,$H$6:$H$797,1)=11,COUNTIFS($B$6:$B$797,B595,$C$6:$C$797,C595,$F$6:$F$797,"&gt;0")=11),1,0)</x:f>
        <x:v>1</x:v>
      </x:c>
    </x:row>
    <x:row r="596" ht="22" customHeight="1">
      <x:c r="A596" s="2" t="str">
        <x:v>62044300_LK_202606_IMPORT</x:v>
      </x:c>
      <x:c r="B596" s="2" t="n">
        <x:v>202606</x:v>
      </x:c>
      <x:c r="C596" s="2" t="str">
        <x:v>62044300</x:v>
      </x:c>
      <x:c r="D596" s="2" t="str">
        <x:v>Sri Lanka</x:v>
      </x:c>
      <x:c r="E596" s="14" t="n">
        <x:v>948451</x:v>
      </x:c>
      <x:c r="F596" s="14" t="n">
        <x:v>45663</x:v>
      </x:c>
      <x:c r="G596" s="2" t="str">
        <x:v>WITHIN_BAND</x:v>
      </x:c>
      <x:c r="H596" s="2" t="n">
        <x:v>1</x:v>
      </x:c>
      <x:c r="I596" s="2" t="n">
        <x:f>IF(AND(COUNTIFS($B$6:$B$797,B596,$C$6:$C$797,C596)=11,COUNTIFS($B$6:$B$797,B596,$C$6:$C$797,C596,$G$6:$G$797,"REVIEW")=0,COUNTIFS($B$6:$B$797,B596,$C$6:$C$797,C596,$H$6:$H$797,1)=11,COUNTIFS($B$6:$B$797,B596,$C$6:$C$797,C596,$F$6:$F$797,"&gt;0")=11),1,0)</x:f>
        <x:v>1</x:v>
      </x:c>
    </x:row>
    <x:row r="597" ht="22" customHeight="1">
      <x:c r="A597" s="2" t="str">
        <x:v>62044300_TR_202606_IMPORT</x:v>
      </x:c>
      <x:c r="B597" s="2" t="n">
        <x:v>202606</x:v>
      </x:c>
      <x:c r="C597" s="2" t="str">
        <x:v>62044300</x:v>
      </x:c>
      <x:c r="D597" s="2" t="str">
        <x:v>Turkey</x:v>
      </x:c>
      <x:c r="E597" s="14" t="n">
        <x:v>839239</x:v>
      </x:c>
      <x:c r="F597" s="14" t="n">
        <x:v>14304</x:v>
      </x:c>
      <x:c r="G597" s="2" t="str">
        <x:v>WITHIN_BAND</x:v>
      </x:c>
      <x:c r="H597" s="2" t="n">
        <x:v>1</x:v>
      </x:c>
      <x:c r="I597" s="2" t="n">
        <x:f>IF(AND(COUNTIFS($B$6:$B$797,B597,$C$6:$C$797,C597)=11,COUNTIFS($B$6:$B$797,B597,$C$6:$C$797,C597,$G$6:$G$797,"REVIEW")=0,COUNTIFS($B$6:$B$797,B597,$C$6:$C$797,C597,$H$6:$H$797,1)=11,COUNTIFS($B$6:$B$797,B597,$C$6:$C$797,C597,$F$6:$F$797,"&gt;0")=11),1,0)</x:f>
        <x:v>1</x:v>
      </x:c>
    </x:row>
    <x:row r="598" ht="22" customHeight="1">
      <x:c r="A598" s="2" t="str">
        <x:v>62044300_VN_202606_IMPORT</x:v>
      </x:c>
      <x:c r="B598" s="2" t="n">
        <x:v>202606</x:v>
      </x:c>
      <x:c r="C598" s="2" t="str">
        <x:v>62044300</x:v>
      </x:c>
      <x:c r="D598" s="2" t="str">
        <x:v>Vietnam</x:v>
      </x:c>
      <x:c r="E598" s="14" t="n">
        <x:v>476093</x:v>
      </x:c>
      <x:c r="F598" s="14" t="n">
        <x:v>19607</x:v>
      </x:c>
      <x:c r="G598" s="2" t="str">
        <x:v>WITHIN_BAND</x:v>
      </x:c>
      <x:c r="H598" s="2" t="n">
        <x:v>1</x:v>
      </x:c>
      <x:c r="I598" s="2" t="n">
        <x:f>IF(AND(COUNTIFS($B$6:$B$797,B598,$C$6:$C$797,C598)=11,COUNTIFS($B$6:$B$797,B598,$C$6:$C$797,C598,$G$6:$G$797,"REVIEW")=0,COUNTIFS($B$6:$B$797,B598,$C$6:$C$797,C598,$H$6:$H$797,1)=11,COUNTIFS($B$6:$B$797,B598,$C$6:$C$797,C598,$F$6:$F$797,"&gt;0")=11),1,0)</x:f>
        <x:v>1</x:v>
      </x:c>
    </x:row>
    <x:row r="599" ht="22" customHeight="1">
      <x:c r="A599" s="2" t="str">
        <x:v>62044300_WORLD_202606_IMPORT</x:v>
      </x:c>
      <x:c r="B599" s="2" t="n">
        <x:v>202606</x:v>
      </x:c>
      <x:c r="C599" s="2" t="str">
        <x:v>62044300</x:v>
      </x:c>
      <x:c r="D599" s="2" t="str">
        <x:v>World</x:v>
      </x:c>
      <x:c r="E599" s="14" t="n">
        <x:v>26802445</x:v>
      </x:c>
      <x:c r="F599" s="14" t="n">
        <x:v>814051</x:v>
      </x:c>
      <x:c r="G599" s="2" t="str">
        <x:v>WITHIN_BAND</x:v>
      </x:c>
      <x:c r="H599" s="2" t="n">
        <x:v>1</x:v>
      </x:c>
      <x:c r="I599" s="2" t="n">
        <x:f>IF(AND(COUNTIFS($B$6:$B$797,B599,$C$6:$C$797,C599)=11,COUNTIFS($B$6:$B$797,B599,$C$6:$C$797,C599,$G$6:$G$797,"REVIEW")=0,COUNTIFS($B$6:$B$797,B599,$C$6:$C$797,C599,$H$6:$H$797,1)=11,COUNTIFS($B$6:$B$797,B599,$C$6:$C$797,C599,$F$6:$F$797,"&gt;0")=11),1,0)</x:f>
        <x:v>1</x:v>
      </x:c>
    </x:row>
    <x:row r="600" ht="22" customHeight="1">
      <x:c r="A600" s="2" t="str">
        <x:v>62052000_BD_202501_IMPORT</x:v>
      </x:c>
      <x:c r="B600" s="2" t="n">
        <x:v>202501</x:v>
      </x:c>
      <x:c r="C600" s="2" t="str">
        <x:v>62052000</x:v>
      </x:c>
      <x:c r="D600" s="2" t="str">
        <x:v>Bangladesh</x:v>
      </x:c>
      <x:c r="E600" s="14" t="n">
        <x:v>6513240</x:v>
      </x:c>
      <x:c r="F600" s="14" t="n">
        <x:v>356170</x:v>
      </x:c>
      <x:c r="G600" s="2" t="str">
        <x:v>WITHIN_BAND</x:v>
      </x:c>
      <x:c r="H600" s="2" t="n">
        <x:v>1</x:v>
      </x:c>
      <x:c r="I600" s="2" t="n">
        <x:f>IF(AND(COUNTIFS($B$6:$B$797,B600,$C$6:$C$797,C600)=11,COUNTIFS($B$6:$B$797,B600,$C$6:$C$797,C600,$G$6:$G$797,"REVIEW")=0,COUNTIFS($B$6:$B$797,B600,$C$6:$C$797,C600,$H$6:$H$797,1)=11,COUNTIFS($B$6:$B$797,B600,$C$6:$C$797,C600,$F$6:$F$797,"&gt;0")=11),1,0)</x:f>
        <x:v>1</x:v>
      </x:c>
    </x:row>
    <x:row r="601" ht="22" customHeight="1">
      <x:c r="A601" s="2" t="str">
        <x:v>62052000_KH_202501_IMPORT</x:v>
      </x:c>
      <x:c r="B601" s="2" t="n">
        <x:v>202501</x:v>
      </x:c>
      <x:c r="C601" s="2" t="str">
        <x:v>62052000</x:v>
      </x:c>
      <x:c r="D601" s="2" t="str">
        <x:v>Cambodia</x:v>
      </x:c>
      <x:c r="E601" s="14" t="n">
        <x:v>405341</x:v>
      </x:c>
      <x:c r="F601" s="14" t="n">
        <x:v>13888</x:v>
      </x:c>
      <x:c r="G601" s="2" t="str">
        <x:v>WITHIN_BAND</x:v>
      </x:c>
      <x:c r="H601" s="2" t="n">
        <x:v>1</x:v>
      </x:c>
      <x:c r="I601" s="2" t="n">
        <x:f>IF(AND(COUNTIFS($B$6:$B$797,B601,$C$6:$C$797,C601)=11,COUNTIFS($B$6:$B$797,B601,$C$6:$C$797,C601,$G$6:$G$797,"REVIEW")=0,COUNTIFS($B$6:$B$797,B601,$C$6:$C$797,C601,$H$6:$H$797,1)=11,COUNTIFS($B$6:$B$797,B601,$C$6:$C$797,C601,$F$6:$F$797,"&gt;0")=11),1,0)</x:f>
        <x:v>1</x:v>
      </x:c>
    </x:row>
    <x:row r="602" ht="22" customHeight="1">
      <x:c r="A602" s="2" t="str">
        <x:v>62052000_CN_202501_IMPORT</x:v>
      </x:c>
      <x:c r="B602" s="2" t="n">
        <x:v>202501</x:v>
      </x:c>
      <x:c r="C602" s="2" t="str">
        <x:v>62052000</x:v>
      </x:c>
      <x:c r="D602" s="2" t="str">
        <x:v>China</x:v>
      </x:c>
      <x:c r="E602" s="14" t="n">
        <x:v>1159999</x:v>
      </x:c>
      <x:c r="F602" s="14" t="n">
        <x:v>64293</x:v>
      </x:c>
      <x:c r="G602" s="2" t="str">
        <x:v>WITHIN_BAND</x:v>
      </x:c>
      <x:c r="H602" s="2" t="n">
        <x:v>1</x:v>
      </x:c>
      <x:c r="I602" s="2" t="n">
        <x:f>IF(AND(COUNTIFS($B$6:$B$797,B602,$C$6:$C$797,C602)=11,COUNTIFS($B$6:$B$797,B602,$C$6:$C$797,C602,$G$6:$G$797,"REVIEW")=0,COUNTIFS($B$6:$B$797,B602,$C$6:$C$797,C602,$H$6:$H$797,1)=11,COUNTIFS($B$6:$B$797,B602,$C$6:$C$797,C602,$F$6:$F$797,"&gt;0")=11),1,0)</x:f>
        <x:v>1</x:v>
      </x:c>
    </x:row>
    <x:row r="603" ht="22" customHeight="1">
      <x:c r="A603" s="2" t="str">
        <x:v>62052000_IN_202501_IMPORT</x:v>
      </x:c>
      <x:c r="B603" s="2" t="n">
        <x:v>202501</x:v>
      </x:c>
      <x:c r="C603" s="2" t="str">
        <x:v>62052000</x:v>
      </x:c>
      <x:c r="D603" s="2" t="str">
        <x:v>India</x:v>
      </x:c>
      <x:c r="E603" s="14" t="n">
        <x:v>2105009</x:v>
      </x:c>
      <x:c r="F603" s="14" t="n">
        <x:v>95095</x:v>
      </x:c>
      <x:c r="G603" s="2" t="str">
        <x:v>WITHIN_BAND</x:v>
      </x:c>
      <x:c r="H603" s="2" t="n">
        <x:v>1</x:v>
      </x:c>
      <x:c r="I603" s="2" t="n">
        <x:f>IF(AND(COUNTIFS($B$6:$B$797,B603,$C$6:$C$797,C603)=11,COUNTIFS($B$6:$B$797,B603,$C$6:$C$797,C603,$G$6:$G$797,"REVIEW")=0,COUNTIFS($B$6:$B$797,B603,$C$6:$C$797,C603,$H$6:$H$797,1)=11,COUNTIFS($B$6:$B$797,B603,$C$6:$C$797,C603,$F$6:$F$797,"&gt;0")=11),1,0)</x:f>
        <x:v>1</x:v>
      </x:c>
    </x:row>
    <x:row r="604" ht="22" customHeight="1">
      <x:c r="A604" s="2" t="str">
        <x:v>62052000_MA_202501_IMPORT</x:v>
      </x:c>
      <x:c r="B604" s="2" t="n">
        <x:v>202501</x:v>
      </x:c>
      <x:c r="C604" s="2" t="str">
        <x:v>62052000</x:v>
      </x:c>
      <x:c r="D604" s="2" t="str">
        <x:v>Morocco</x:v>
      </x:c>
      <x:c r="E604" s="14" t="n">
        <x:v>88209</x:v>
      </x:c>
      <x:c r="F604" s="14" t="n">
        <x:v>1784</x:v>
      </x:c>
      <x:c r="G604" s="2" t="str">
        <x:v>WITHIN_BAND</x:v>
      </x:c>
      <x:c r="H604" s="2" t="n">
        <x:v>1</x:v>
      </x:c>
      <x:c r="I604" s="2" t="n">
        <x:f>IF(AND(COUNTIFS($B$6:$B$797,B604,$C$6:$C$797,C604)=11,COUNTIFS($B$6:$B$797,B604,$C$6:$C$797,C604,$G$6:$G$797,"REVIEW")=0,COUNTIFS($B$6:$B$797,B604,$C$6:$C$797,C604,$H$6:$H$797,1)=11,COUNTIFS($B$6:$B$797,B604,$C$6:$C$797,C604,$F$6:$F$797,"&gt;0")=11),1,0)</x:f>
        <x:v>1</x:v>
      </x:c>
    </x:row>
    <x:row r="605" ht="22" customHeight="1">
      <x:c r="A605" s="2" t="str">
        <x:v>62052000_MM_202501_IMPORT</x:v>
      </x:c>
      <x:c r="B605" s="2" t="n">
        <x:v>202501</x:v>
      </x:c>
      <x:c r="C605" s="2" t="str">
        <x:v>62052000</x:v>
      </x:c>
      <x:c r="D605" s="2" t="str">
        <x:v>Myanmar</x:v>
      </x:c>
      <x:c r="E605" s="14" t="n">
        <x:v>78782</x:v>
      </x:c>
      <x:c r="F605" s="14" t="n">
        <x:v>3468</x:v>
      </x:c>
      <x:c r="G605" s="2" t="str">
        <x:v>WITHIN_BAND</x:v>
      </x:c>
      <x:c r="H605" s="2" t="n">
        <x:v>1</x:v>
      </x:c>
      <x:c r="I605" s="2" t="n">
        <x:f>IF(AND(COUNTIFS($B$6:$B$797,B605,$C$6:$C$797,C605)=11,COUNTIFS($B$6:$B$797,B605,$C$6:$C$797,C605,$G$6:$G$797,"REVIEW")=0,COUNTIFS($B$6:$B$797,B605,$C$6:$C$797,C605,$H$6:$H$797,1)=11,COUNTIFS($B$6:$B$797,B605,$C$6:$C$797,C605,$F$6:$F$797,"&gt;0")=11),1,0)</x:f>
        <x:v>1</x:v>
      </x:c>
    </x:row>
    <x:row r="606" ht="22" customHeight="1">
      <x:c r="A606" s="2" t="str">
        <x:v>62052000_PK_202501_IMPORT</x:v>
      </x:c>
      <x:c r="B606" s="2" t="n">
        <x:v>202501</x:v>
      </x:c>
      <x:c r="C606" s="2" t="str">
        <x:v>62052000</x:v>
      </x:c>
      <x:c r="D606" s="2" t="str">
        <x:v>Pakistan</x:v>
      </x:c>
      <x:c r="E606" s="14" t="n">
        <x:v>99448</x:v>
      </x:c>
      <x:c r="F606" s="14" t="n">
        <x:v>6704</x:v>
      </x:c>
      <x:c r="G606" s="2" t="str">
        <x:v>WITHIN_BAND</x:v>
      </x:c>
      <x:c r="H606" s="2" t="n">
        <x:v>1</x:v>
      </x:c>
      <x:c r="I606" s="2" t="n">
        <x:f>IF(AND(COUNTIFS($B$6:$B$797,B606,$C$6:$C$797,C606)=11,COUNTIFS($B$6:$B$797,B606,$C$6:$C$797,C606,$G$6:$G$797,"REVIEW")=0,COUNTIFS($B$6:$B$797,B606,$C$6:$C$797,C606,$H$6:$H$797,1)=11,COUNTIFS($B$6:$B$797,B606,$C$6:$C$797,C606,$F$6:$F$797,"&gt;0")=11),1,0)</x:f>
        <x:v>1</x:v>
      </x:c>
    </x:row>
    <x:row r="607" ht="22" customHeight="1">
      <x:c r="A607" s="2" t="str">
        <x:v>62052000_LK_202501_IMPORT</x:v>
      </x:c>
      <x:c r="B607" s="2" t="n">
        <x:v>202501</x:v>
      </x:c>
      <x:c r="C607" s="2" t="str">
        <x:v>62052000</x:v>
      </x:c>
      <x:c r="D607" s="2" t="str">
        <x:v>Sri Lanka</x:v>
      </x:c>
      <x:c r="E607" s="14" t="n">
        <x:v>249407</x:v>
      </x:c>
      <x:c r="F607" s="14" t="n">
        <x:v>10914</x:v>
      </x:c>
      <x:c r="G607" s="2" t="str">
        <x:v>WITHIN_BAND</x:v>
      </x:c>
      <x:c r="H607" s="2" t="n">
        <x:v>1</x:v>
      </x:c>
      <x:c r="I607" s="2" t="n">
        <x:f>IF(AND(COUNTIFS($B$6:$B$797,B607,$C$6:$C$797,C607)=11,COUNTIFS($B$6:$B$797,B607,$C$6:$C$797,C607,$G$6:$G$797,"REVIEW")=0,COUNTIFS($B$6:$B$797,B607,$C$6:$C$797,C607,$H$6:$H$797,1)=11,COUNTIFS($B$6:$B$797,B607,$C$6:$C$797,C607,$F$6:$F$797,"&gt;0")=11),1,0)</x:f>
        <x:v>1</x:v>
      </x:c>
    </x:row>
    <x:row r="608" ht="22" customHeight="1">
      <x:c r="A608" s="2" t="str">
        <x:v>62052000_TR_202501_IMPORT</x:v>
      </x:c>
      <x:c r="B608" s="2" t="n">
        <x:v>202501</x:v>
      </x:c>
      <x:c r="C608" s="2" t="str">
        <x:v>62052000</x:v>
      </x:c>
      <x:c r="D608" s="2" t="str">
        <x:v>Turkey</x:v>
      </x:c>
      <x:c r="E608" s="14" t="n">
        <x:v>1411460</x:v>
      </x:c>
      <x:c r="F608" s="14" t="n">
        <x:v>36603</x:v>
      </x:c>
      <x:c r="G608" s="2" t="str">
        <x:v>WITHIN_BAND</x:v>
      </x:c>
      <x:c r="H608" s="2" t="n">
        <x:v>1</x:v>
      </x:c>
      <x:c r="I608" s="2" t="n">
        <x:f>IF(AND(COUNTIFS($B$6:$B$797,B608,$C$6:$C$797,C608)=11,COUNTIFS($B$6:$B$797,B608,$C$6:$C$797,C608,$G$6:$G$797,"REVIEW")=0,COUNTIFS($B$6:$B$797,B608,$C$6:$C$797,C608,$H$6:$H$797,1)=11,COUNTIFS($B$6:$B$797,B608,$C$6:$C$797,C608,$F$6:$F$797,"&gt;0")=11),1,0)</x:f>
        <x:v>1</x:v>
      </x:c>
    </x:row>
    <x:row r="609" ht="22" customHeight="1">
      <x:c r="A609" s="2" t="str">
        <x:v>62052000_VN_202501_IMPORT</x:v>
      </x:c>
      <x:c r="B609" s="2" t="n">
        <x:v>202501</x:v>
      </x:c>
      <x:c r="C609" s="2" t="str">
        <x:v>62052000</x:v>
      </x:c>
      <x:c r="D609" s="2" t="str">
        <x:v>Vietnam</x:v>
      </x:c>
      <x:c r="E609" s="14" t="n">
        <x:v>985149</x:v>
      </x:c>
      <x:c r="F609" s="14" t="n">
        <x:v>35235</x:v>
      </x:c>
      <x:c r="G609" s="2" t="str">
        <x:v>WITHIN_BAND</x:v>
      </x:c>
      <x:c r="H609" s="2" t="n">
        <x:v>1</x:v>
      </x:c>
      <x:c r="I609" s="2" t="n">
        <x:f>IF(AND(COUNTIFS($B$6:$B$797,B609,$C$6:$C$797,C609)=11,COUNTIFS($B$6:$B$797,B609,$C$6:$C$797,C609,$G$6:$G$797,"REVIEW")=0,COUNTIFS($B$6:$B$797,B609,$C$6:$C$797,C609,$H$6:$H$797,1)=11,COUNTIFS($B$6:$B$797,B609,$C$6:$C$797,C609,$F$6:$F$797,"&gt;0")=11),1,0)</x:f>
        <x:v>1</x:v>
      </x:c>
    </x:row>
    <x:row r="610" ht="22" customHeight="1">
      <x:c r="A610" s="2" t="str">
        <x:v>62052000_WORLD_202501_IMPORT</x:v>
      </x:c>
      <x:c r="B610" s="2" t="n">
        <x:v>202501</x:v>
      </x:c>
      <x:c r="C610" s="2" t="str">
        <x:v>62052000</x:v>
      </x:c>
      <x:c r="D610" s="2" t="str">
        <x:v>World</x:v>
      </x:c>
      <x:c r="E610" s="14" t="n">
        <x:v>20170282</x:v>
      </x:c>
      <x:c r="F610" s="14" t="n">
        <x:v>744278</x:v>
      </x:c>
      <x:c r="G610" s="2" t="str">
        <x:v>WITHIN_BAND</x:v>
      </x:c>
      <x:c r="H610" s="2" t="n">
        <x:v>1</x:v>
      </x:c>
      <x:c r="I610" s="2" t="n">
        <x:f>IF(AND(COUNTIFS($B$6:$B$797,B610,$C$6:$C$797,C610)=11,COUNTIFS($B$6:$B$797,B610,$C$6:$C$797,C610,$G$6:$G$797,"REVIEW")=0,COUNTIFS($B$6:$B$797,B610,$C$6:$C$797,C610,$H$6:$H$797,1)=11,COUNTIFS($B$6:$B$797,B610,$C$6:$C$797,C610,$F$6:$F$797,"&gt;0")=11),1,0)</x:f>
        <x:v>1</x:v>
      </x:c>
    </x:row>
    <x:row r="611" ht="22" customHeight="1">
      <x:c r="A611" s="2" t="str">
        <x:v>62052000_BD_202502_IMPORT</x:v>
      </x:c>
      <x:c r="B611" s="2" t="n">
        <x:v>202502</x:v>
      </x:c>
      <x:c r="C611" s="2" t="str">
        <x:v>62052000</x:v>
      </x:c>
      <x:c r="D611" s="2" t="str">
        <x:v>Bangladesh</x:v>
      </x:c>
      <x:c r="E611" s="14" t="n">
        <x:v>6404661</x:v>
      </x:c>
      <x:c r="F611" s="14" t="n">
        <x:v>325067</x:v>
      </x:c>
      <x:c r="G611" s="2" t="str">
        <x:v>WITHIN_BAND</x:v>
      </x:c>
      <x:c r="H611" s="2" t="n">
        <x:v>1</x:v>
      </x:c>
      <x:c r="I611" s="2" t="n">
        <x:f>IF(AND(COUNTIFS($B$6:$B$797,B611,$C$6:$C$797,C611)=11,COUNTIFS($B$6:$B$797,B611,$C$6:$C$797,C611,$G$6:$G$797,"REVIEW")=0,COUNTIFS($B$6:$B$797,B611,$C$6:$C$797,C611,$H$6:$H$797,1)=11,COUNTIFS($B$6:$B$797,B611,$C$6:$C$797,C611,$F$6:$F$797,"&gt;0")=11),1,0)</x:f>
        <x:v>1</x:v>
      </x:c>
    </x:row>
    <x:row r="612" ht="22" customHeight="1">
      <x:c r="A612" s="2" t="str">
        <x:v>62052000_KH_202502_IMPORT</x:v>
      </x:c>
      <x:c r="B612" s="2" t="n">
        <x:v>202502</x:v>
      </x:c>
      <x:c r="C612" s="2" t="str">
        <x:v>62052000</x:v>
      </x:c>
      <x:c r="D612" s="2" t="str">
        <x:v>Cambodia</x:v>
      </x:c>
      <x:c r="E612" s="14" t="n">
        <x:v>836550</x:v>
      </x:c>
      <x:c r="F612" s="14" t="n">
        <x:v>44862</x:v>
      </x:c>
      <x:c r="G612" s="2" t="str">
        <x:v>WITHIN_BAND</x:v>
      </x:c>
      <x:c r="H612" s="2" t="n">
        <x:v>1</x:v>
      </x:c>
      <x:c r="I612" s="2" t="n">
        <x:f>IF(AND(COUNTIFS($B$6:$B$797,B612,$C$6:$C$797,C612)=11,COUNTIFS($B$6:$B$797,B612,$C$6:$C$797,C612,$G$6:$G$797,"REVIEW")=0,COUNTIFS($B$6:$B$797,B612,$C$6:$C$797,C612,$H$6:$H$797,1)=11,COUNTIFS($B$6:$B$797,B612,$C$6:$C$797,C612,$F$6:$F$797,"&gt;0")=11),1,0)</x:f>
        <x:v>1</x:v>
      </x:c>
    </x:row>
    <x:row r="613" ht="22" customHeight="1">
      <x:c r="A613" s="2" t="str">
        <x:v>62052000_CN_202502_IMPORT</x:v>
      </x:c>
      <x:c r="B613" s="2" t="n">
        <x:v>202502</x:v>
      </x:c>
      <x:c r="C613" s="2" t="str">
        <x:v>62052000</x:v>
      </x:c>
      <x:c r="D613" s="2" t="str">
        <x:v>China</x:v>
      </x:c>
      <x:c r="E613" s="14" t="n">
        <x:v>1629350</x:v>
      </x:c>
      <x:c r="F613" s="14" t="n">
        <x:v>71392</x:v>
      </x:c>
      <x:c r="G613" s="2" t="str">
        <x:v>WITHIN_BAND</x:v>
      </x:c>
      <x:c r="H613" s="2" t="n">
        <x:v>1</x:v>
      </x:c>
      <x:c r="I613" s="2" t="n">
        <x:f>IF(AND(COUNTIFS($B$6:$B$797,B613,$C$6:$C$797,C613)=11,COUNTIFS($B$6:$B$797,B613,$C$6:$C$797,C613,$G$6:$G$797,"REVIEW")=0,COUNTIFS($B$6:$B$797,B613,$C$6:$C$797,C613,$H$6:$H$797,1)=11,COUNTIFS($B$6:$B$797,B613,$C$6:$C$797,C613,$F$6:$F$797,"&gt;0")=11),1,0)</x:f>
        <x:v>1</x:v>
      </x:c>
    </x:row>
    <x:row r="614" ht="22" customHeight="1">
      <x:c r="A614" s="2" t="str">
        <x:v>62052000_IN_202502_IMPORT</x:v>
      </x:c>
      <x:c r="B614" s="2" t="n">
        <x:v>202502</x:v>
      </x:c>
      <x:c r="C614" s="2" t="str">
        <x:v>62052000</x:v>
      </x:c>
      <x:c r="D614" s="2" t="str">
        <x:v>India</x:v>
      </x:c>
      <x:c r="E614" s="14" t="n">
        <x:v>2315214</x:v>
      </x:c>
      <x:c r="F614" s="14" t="n">
        <x:v>102475</x:v>
      </x:c>
      <x:c r="G614" s="2" t="str">
        <x:v>WITHIN_BAND</x:v>
      </x:c>
      <x:c r="H614" s="2" t="n">
        <x:v>1</x:v>
      </x:c>
      <x:c r="I614" s="2" t="n">
        <x:f>IF(AND(COUNTIFS($B$6:$B$797,B614,$C$6:$C$797,C614)=11,COUNTIFS($B$6:$B$797,B614,$C$6:$C$797,C614,$G$6:$G$797,"REVIEW")=0,COUNTIFS($B$6:$B$797,B614,$C$6:$C$797,C614,$H$6:$H$797,1)=11,COUNTIFS($B$6:$B$797,B614,$C$6:$C$797,C614,$F$6:$F$797,"&gt;0")=11),1,0)</x:f>
        <x:v>1</x:v>
      </x:c>
    </x:row>
    <x:row r="615" ht="22" customHeight="1">
      <x:c r="A615" s="2" t="str">
        <x:v>62052000_MA_202502_IMPORT</x:v>
      </x:c>
      <x:c r="B615" s="2" t="n">
        <x:v>202502</x:v>
      </x:c>
      <x:c r="C615" s="2" t="str">
        <x:v>62052000</x:v>
      </x:c>
      <x:c r="D615" s="2" t="str">
        <x:v>Morocco</x:v>
      </x:c>
      <x:c r="E615" s="14" t="n">
        <x:v>51318</x:v>
      </x:c>
      <x:c r="F615" s="14" t="n">
        <x:v>749</x:v>
      </x:c>
      <x:c r="G615" s="2" t="str">
        <x:v>WITHIN_BAND</x:v>
      </x:c>
      <x:c r="H615" s="2" t="n">
        <x:v>1</x:v>
      </x:c>
      <x:c r="I615" s="2" t="n">
        <x:f>IF(AND(COUNTIFS($B$6:$B$797,B615,$C$6:$C$797,C615)=11,COUNTIFS($B$6:$B$797,B615,$C$6:$C$797,C615,$G$6:$G$797,"REVIEW")=0,COUNTIFS($B$6:$B$797,B615,$C$6:$C$797,C615,$H$6:$H$797,1)=11,COUNTIFS($B$6:$B$797,B615,$C$6:$C$797,C615,$F$6:$F$797,"&gt;0")=11),1,0)</x:f>
        <x:v>1</x:v>
      </x:c>
    </x:row>
    <x:row r="616" ht="22" customHeight="1">
      <x:c r="A616" s="2" t="str">
        <x:v>62052000_MM_202502_IMPORT</x:v>
      </x:c>
      <x:c r="B616" s="2" t="n">
        <x:v>202502</x:v>
      </x:c>
      <x:c r="C616" s="2" t="str">
        <x:v>62052000</x:v>
      </x:c>
      <x:c r="D616" s="2" t="str">
        <x:v>Myanmar</x:v>
      </x:c>
      <x:c r="E616" s="14" t="n">
        <x:v>92077</x:v>
      </x:c>
      <x:c r="F616" s="14" t="n">
        <x:v>3594</x:v>
      </x:c>
      <x:c r="G616" s="2" t="str">
        <x:v>WITHIN_BAND</x:v>
      </x:c>
      <x:c r="H616" s="2" t="n">
        <x:v>1</x:v>
      </x:c>
      <x:c r="I616" s="2" t="n">
        <x:f>IF(AND(COUNTIFS($B$6:$B$797,B616,$C$6:$C$797,C616)=11,COUNTIFS($B$6:$B$797,B616,$C$6:$C$797,C616,$G$6:$G$797,"REVIEW")=0,COUNTIFS($B$6:$B$797,B616,$C$6:$C$797,C616,$H$6:$H$797,1)=11,COUNTIFS($B$6:$B$797,B616,$C$6:$C$797,C616,$F$6:$F$797,"&gt;0")=11),1,0)</x:f>
        <x:v>1</x:v>
      </x:c>
    </x:row>
    <x:row r="617" ht="22" customHeight="1">
      <x:c r="A617" s="2" t="str">
        <x:v>62052000_PK_202502_IMPORT</x:v>
      </x:c>
      <x:c r="B617" s="2" t="n">
        <x:v>202502</x:v>
      </x:c>
      <x:c r="C617" s="2" t="str">
        <x:v>62052000</x:v>
      </x:c>
      <x:c r="D617" s="2" t="str">
        <x:v>Pakistan</x:v>
      </x:c>
      <x:c r="E617" s="14" t="n">
        <x:v>54385</x:v>
      </x:c>
      <x:c r="F617" s="14" t="n">
        <x:v>3075</x:v>
      </x:c>
      <x:c r="G617" s="2" t="str">
        <x:v>WITHIN_BAND</x:v>
      </x:c>
      <x:c r="H617" s="2" t="n">
        <x:v>1</x:v>
      </x:c>
      <x:c r="I617" s="2" t="n">
        <x:f>IF(AND(COUNTIFS($B$6:$B$797,B617,$C$6:$C$797,C617)=11,COUNTIFS($B$6:$B$797,B617,$C$6:$C$797,C617,$G$6:$G$797,"REVIEW")=0,COUNTIFS($B$6:$B$797,B617,$C$6:$C$797,C617,$H$6:$H$797,1)=11,COUNTIFS($B$6:$B$797,B617,$C$6:$C$797,C617,$F$6:$F$797,"&gt;0")=11),1,0)</x:f>
        <x:v>1</x:v>
      </x:c>
    </x:row>
    <x:row r="618" ht="22" customHeight="1">
      <x:c r="A618" s="2" t="str">
        <x:v>62052000_LK_202502_IMPORT</x:v>
      </x:c>
      <x:c r="B618" s="2" t="n">
        <x:v>202502</x:v>
      </x:c>
      <x:c r="C618" s="2" t="str">
        <x:v>62052000</x:v>
      </x:c>
      <x:c r="D618" s="2" t="str">
        <x:v>Sri Lanka</x:v>
      </x:c>
      <x:c r="E618" s="14" t="n">
        <x:v>239825</x:v>
      </x:c>
      <x:c r="F618" s="14" t="n">
        <x:v>11833</x:v>
      </x:c>
      <x:c r="G618" s="2" t="str">
        <x:v>WITHIN_BAND</x:v>
      </x:c>
      <x:c r="H618" s="2" t="n">
        <x:v>1</x:v>
      </x:c>
      <x:c r="I618" s="2" t="n">
        <x:f>IF(AND(COUNTIFS($B$6:$B$797,B618,$C$6:$C$797,C618)=11,COUNTIFS($B$6:$B$797,B618,$C$6:$C$797,C618,$G$6:$G$797,"REVIEW")=0,COUNTIFS($B$6:$B$797,B618,$C$6:$C$797,C618,$H$6:$H$797,1)=11,COUNTIFS($B$6:$B$797,B618,$C$6:$C$797,C618,$F$6:$F$797,"&gt;0")=11),1,0)</x:f>
        <x:v>1</x:v>
      </x:c>
    </x:row>
    <x:row r="619" ht="22" customHeight="1">
      <x:c r="A619" s="2" t="str">
        <x:v>62052000_TR_202502_IMPORT</x:v>
      </x:c>
      <x:c r="B619" s="2" t="n">
        <x:v>202502</x:v>
      </x:c>
      <x:c r="C619" s="2" t="str">
        <x:v>62052000</x:v>
      </x:c>
      <x:c r="D619" s="2" t="str">
        <x:v>Turkey</x:v>
      </x:c>
      <x:c r="E619" s="14" t="n">
        <x:v>1265277</x:v>
      </x:c>
      <x:c r="F619" s="14" t="n">
        <x:v>32932</x:v>
      </x:c>
      <x:c r="G619" s="2" t="str">
        <x:v>WITHIN_BAND</x:v>
      </x:c>
      <x:c r="H619" s="2" t="n">
        <x:v>1</x:v>
      </x:c>
      <x:c r="I619" s="2" t="n">
        <x:f>IF(AND(COUNTIFS($B$6:$B$797,B619,$C$6:$C$797,C619)=11,COUNTIFS($B$6:$B$797,B619,$C$6:$C$797,C619,$G$6:$G$797,"REVIEW")=0,COUNTIFS($B$6:$B$797,B619,$C$6:$C$797,C619,$H$6:$H$797,1)=11,COUNTIFS($B$6:$B$797,B619,$C$6:$C$797,C619,$F$6:$F$797,"&gt;0")=11),1,0)</x:f>
        <x:v>1</x:v>
      </x:c>
    </x:row>
    <x:row r="620" ht="22" customHeight="1">
      <x:c r="A620" s="2" t="str">
        <x:v>62052000_VN_202502_IMPORT</x:v>
      </x:c>
      <x:c r="B620" s="2" t="n">
        <x:v>202502</x:v>
      </x:c>
      <x:c r="C620" s="2" t="str">
        <x:v>62052000</x:v>
      </x:c>
      <x:c r="D620" s="2" t="str">
        <x:v>Vietnam</x:v>
      </x:c>
      <x:c r="E620" s="14" t="n">
        <x:v>1052577</x:v>
      </x:c>
      <x:c r="F620" s="14" t="n">
        <x:v>27302</x:v>
      </x:c>
      <x:c r="G620" s="2" t="str">
        <x:v>WITHIN_BAND</x:v>
      </x:c>
      <x:c r="H620" s="2" t="n">
        <x:v>1</x:v>
      </x:c>
      <x:c r="I620" s="2" t="n">
        <x:f>IF(AND(COUNTIFS($B$6:$B$797,B620,$C$6:$C$797,C620)=11,COUNTIFS($B$6:$B$797,B620,$C$6:$C$797,C620,$G$6:$G$797,"REVIEW")=0,COUNTIFS($B$6:$B$797,B620,$C$6:$C$797,C620,$H$6:$H$797,1)=11,COUNTIFS($B$6:$B$797,B620,$C$6:$C$797,C620,$F$6:$F$797,"&gt;0")=11),1,0)</x:f>
        <x:v>1</x:v>
      </x:c>
    </x:row>
    <x:row r="621" ht="22" customHeight="1">
      <x:c r="A621" s="2" t="str">
        <x:v>62052000_WORLD_202502_IMPORT</x:v>
      </x:c>
      <x:c r="B621" s="2" t="n">
        <x:v>202502</x:v>
      </x:c>
      <x:c r="C621" s="2" t="str">
        <x:v>62052000</x:v>
      </x:c>
      <x:c r="D621" s="2" t="str">
        <x:v>World</x:v>
      </x:c>
      <x:c r="E621" s="14" t="n">
        <x:v>21479765</x:v>
      </x:c>
      <x:c r="F621" s="14" t="n">
        <x:v>736293</x:v>
      </x:c>
      <x:c r="G621" s="2" t="str">
        <x:v>WITHIN_BAND</x:v>
      </x:c>
      <x:c r="H621" s="2" t="n">
        <x:v>1</x:v>
      </x:c>
      <x:c r="I621" s="2" t="n">
        <x:f>IF(AND(COUNTIFS($B$6:$B$797,B621,$C$6:$C$797,C621)=11,COUNTIFS($B$6:$B$797,B621,$C$6:$C$797,C621,$G$6:$G$797,"REVIEW")=0,COUNTIFS($B$6:$B$797,B621,$C$6:$C$797,C621,$H$6:$H$797,1)=11,COUNTIFS($B$6:$B$797,B621,$C$6:$C$797,C621,$F$6:$F$797,"&gt;0")=11),1,0)</x:f>
        <x:v>1</x:v>
      </x:c>
    </x:row>
    <x:row r="622" ht="22" customHeight="1">
      <x:c r="A622" s="2" t="str">
        <x:v>62052000_BD_202503_IMPORT</x:v>
      </x:c>
      <x:c r="B622" s="2" t="n">
        <x:v>202503</x:v>
      </x:c>
      <x:c r="C622" s="2" t="str">
        <x:v>62052000</x:v>
      </x:c>
      <x:c r="D622" s="2" t="str">
        <x:v>Bangladesh</x:v>
      </x:c>
      <x:c r="E622" s="14" t="n">
        <x:v>7869065</x:v>
      </x:c>
      <x:c r="F622" s="14" t="n">
        <x:v>395350</x:v>
      </x:c>
      <x:c r="G622" s="2" t="str">
        <x:v>WITHIN_BAND</x:v>
      </x:c>
      <x:c r="H622" s="2" t="n">
        <x:v>1</x:v>
      </x:c>
      <x:c r="I622" s="2" t="n">
        <x:f>IF(AND(COUNTIFS($B$6:$B$797,B622,$C$6:$C$797,C622)=11,COUNTIFS($B$6:$B$797,B622,$C$6:$C$797,C622,$G$6:$G$797,"REVIEW")=0,COUNTIFS($B$6:$B$797,B622,$C$6:$C$797,C622,$H$6:$H$797,1)=11,COUNTIFS($B$6:$B$797,B622,$C$6:$C$797,C622,$F$6:$F$797,"&gt;0")=11),1,0)</x:f>
        <x:v>1</x:v>
      </x:c>
    </x:row>
    <x:row r="623" ht="22" customHeight="1">
      <x:c r="A623" s="2" t="str">
        <x:v>62052000_KH_202503_IMPORT</x:v>
      </x:c>
      <x:c r="B623" s="2" t="n">
        <x:v>202503</x:v>
      </x:c>
      <x:c r="C623" s="2" t="str">
        <x:v>62052000</x:v>
      </x:c>
      <x:c r="D623" s="2" t="str">
        <x:v>Cambodia</x:v>
      </x:c>
      <x:c r="E623" s="14" t="n">
        <x:v>690028</x:v>
      </x:c>
      <x:c r="F623" s="14" t="n">
        <x:v>34188</x:v>
      </x:c>
      <x:c r="G623" s="2" t="str">
        <x:v>WITHIN_BAND</x:v>
      </x:c>
      <x:c r="H623" s="2" t="n">
        <x:v>1</x:v>
      </x:c>
      <x:c r="I623" s="2" t="n">
        <x:f>IF(AND(COUNTIFS($B$6:$B$797,B623,$C$6:$C$797,C623)=11,COUNTIFS($B$6:$B$797,B623,$C$6:$C$797,C623,$G$6:$G$797,"REVIEW")=0,COUNTIFS($B$6:$B$797,B623,$C$6:$C$797,C623,$H$6:$H$797,1)=11,COUNTIFS($B$6:$B$797,B623,$C$6:$C$797,C623,$F$6:$F$797,"&gt;0")=11),1,0)</x:f>
        <x:v>1</x:v>
      </x:c>
    </x:row>
    <x:row r="624" ht="22" customHeight="1">
      <x:c r="A624" s="2" t="str">
        <x:v>62052000_CN_202503_IMPORT</x:v>
      </x:c>
      <x:c r="B624" s="2" t="n">
        <x:v>202503</x:v>
      </x:c>
      <x:c r="C624" s="2" t="str">
        <x:v>62052000</x:v>
      </x:c>
      <x:c r="D624" s="2" t="str">
        <x:v>China</x:v>
      </x:c>
      <x:c r="E624" s="14" t="n">
        <x:v>1147077</x:v>
      </x:c>
      <x:c r="F624" s="14" t="n">
        <x:v>44505</x:v>
      </x:c>
      <x:c r="G624" s="2" t="str">
        <x:v>WITHIN_BAND</x:v>
      </x:c>
      <x:c r="H624" s="2" t="n">
        <x:v>1</x:v>
      </x:c>
      <x:c r="I624" s="2" t="n">
        <x:f>IF(AND(COUNTIFS($B$6:$B$797,B624,$C$6:$C$797,C624)=11,COUNTIFS($B$6:$B$797,B624,$C$6:$C$797,C624,$G$6:$G$797,"REVIEW")=0,COUNTIFS($B$6:$B$797,B624,$C$6:$C$797,C624,$H$6:$H$797,1)=11,COUNTIFS($B$6:$B$797,B624,$C$6:$C$797,C624,$F$6:$F$797,"&gt;0")=11),1,0)</x:f>
        <x:v>1</x:v>
      </x:c>
    </x:row>
    <x:row r="625" ht="22" customHeight="1">
      <x:c r="A625" s="2" t="str">
        <x:v>62052000_IN_202503_IMPORT</x:v>
      </x:c>
      <x:c r="B625" s="2" t="n">
        <x:v>202503</x:v>
      </x:c>
      <x:c r="C625" s="2" t="str">
        <x:v>62052000</x:v>
      </x:c>
      <x:c r="D625" s="2" t="str">
        <x:v>India</x:v>
      </x:c>
      <x:c r="E625" s="14" t="n">
        <x:v>3668332</x:v>
      </x:c>
      <x:c r="F625" s="14" t="n">
        <x:v>159071</x:v>
      </x:c>
      <x:c r="G625" s="2" t="str">
        <x:v>WITHIN_BAND</x:v>
      </x:c>
      <x:c r="H625" s="2" t="n">
        <x:v>1</x:v>
      </x:c>
      <x:c r="I625" s="2" t="n">
        <x:f>IF(AND(COUNTIFS($B$6:$B$797,B625,$C$6:$C$797,C625)=11,COUNTIFS($B$6:$B$797,B625,$C$6:$C$797,C625,$G$6:$G$797,"REVIEW")=0,COUNTIFS($B$6:$B$797,B625,$C$6:$C$797,C625,$H$6:$H$797,1)=11,COUNTIFS($B$6:$B$797,B625,$C$6:$C$797,C625,$F$6:$F$797,"&gt;0")=11),1,0)</x:f>
        <x:v>1</x:v>
      </x:c>
    </x:row>
    <x:row r="626" ht="22" customHeight="1">
      <x:c r="A626" s="2" t="str">
        <x:v>62052000_MA_202503_IMPORT</x:v>
      </x:c>
      <x:c r="B626" s="2" t="n">
        <x:v>202503</x:v>
      </x:c>
      <x:c r="C626" s="2" t="str">
        <x:v>62052000</x:v>
      </x:c>
      <x:c r="D626" s="2" t="str">
        <x:v>Morocco</x:v>
      </x:c>
      <x:c r="E626" s="14" t="n">
        <x:v>52362</x:v>
      </x:c>
      <x:c r="F626" s="14" t="n">
        <x:v>1345</x:v>
      </x:c>
      <x:c r="G626" s="2" t="str">
        <x:v>WITHIN_BAND</x:v>
      </x:c>
      <x:c r="H626" s="2" t="n">
        <x:v>1</x:v>
      </x:c>
      <x:c r="I626" s="2" t="n">
        <x:f>IF(AND(COUNTIFS($B$6:$B$797,B626,$C$6:$C$797,C626)=11,COUNTIFS($B$6:$B$797,B626,$C$6:$C$797,C626,$G$6:$G$797,"REVIEW")=0,COUNTIFS($B$6:$B$797,B626,$C$6:$C$797,C626,$H$6:$H$797,1)=11,COUNTIFS($B$6:$B$797,B626,$C$6:$C$797,C626,$F$6:$F$797,"&gt;0")=11),1,0)</x:f>
        <x:v>1</x:v>
      </x:c>
    </x:row>
    <x:row r="627" ht="22" customHeight="1">
      <x:c r="A627" s="2" t="str">
        <x:v>62052000_MM_202503_IMPORT</x:v>
      </x:c>
      <x:c r="B627" s="2" t="n">
        <x:v>202503</x:v>
      </x:c>
      <x:c r="C627" s="2" t="str">
        <x:v>62052000</x:v>
      </x:c>
      <x:c r="D627" s="2" t="str">
        <x:v>Myanmar</x:v>
      </x:c>
      <x:c r="E627" s="14" t="n">
        <x:v>70804</x:v>
      </x:c>
      <x:c r="F627" s="14" t="n">
        <x:v>3453</x:v>
      </x:c>
      <x:c r="G627" s="2" t="str">
        <x:v>WITHIN_BAND</x:v>
      </x:c>
      <x:c r="H627" s="2" t="n">
        <x:v>1</x:v>
      </x:c>
      <x:c r="I627" s="2" t="n">
        <x:f>IF(AND(COUNTIFS($B$6:$B$797,B627,$C$6:$C$797,C627)=11,COUNTIFS($B$6:$B$797,B627,$C$6:$C$797,C627,$G$6:$G$797,"REVIEW")=0,COUNTIFS($B$6:$B$797,B627,$C$6:$C$797,C627,$H$6:$H$797,1)=11,COUNTIFS($B$6:$B$797,B627,$C$6:$C$797,C627,$F$6:$F$797,"&gt;0")=11),1,0)</x:f>
        <x:v>1</x:v>
      </x:c>
    </x:row>
    <x:row r="628" ht="22" customHeight="1">
      <x:c r="A628" s="2" t="str">
        <x:v>62052000_PK_202503_IMPORT</x:v>
      </x:c>
      <x:c r="B628" s="2" t="n">
        <x:v>202503</x:v>
      </x:c>
      <x:c r="C628" s="2" t="str">
        <x:v>62052000</x:v>
      </x:c>
      <x:c r="D628" s="2" t="str">
        <x:v>Pakistan</x:v>
      </x:c>
      <x:c r="E628" s="14" t="n">
        <x:v>87595</x:v>
      </x:c>
      <x:c r="F628" s="14" t="n">
        <x:v>8596</x:v>
      </x:c>
      <x:c r="G628" s="2" t="str">
        <x:v>WITHIN_BAND</x:v>
      </x:c>
      <x:c r="H628" s="2" t="n">
        <x:v>1</x:v>
      </x:c>
      <x:c r="I628" s="2" t="n">
        <x:f>IF(AND(COUNTIFS($B$6:$B$797,B628,$C$6:$C$797,C628)=11,COUNTIFS($B$6:$B$797,B628,$C$6:$C$797,C628,$G$6:$G$797,"REVIEW")=0,COUNTIFS($B$6:$B$797,B628,$C$6:$C$797,C628,$H$6:$H$797,1)=11,COUNTIFS($B$6:$B$797,B628,$C$6:$C$797,C628,$F$6:$F$797,"&gt;0")=11),1,0)</x:f>
        <x:v>1</x:v>
      </x:c>
    </x:row>
    <x:row r="629" ht="22" customHeight="1">
      <x:c r="A629" s="2" t="str">
        <x:v>62052000_LK_202503_IMPORT</x:v>
      </x:c>
      <x:c r="B629" s="2" t="n">
        <x:v>202503</x:v>
      </x:c>
      <x:c r="C629" s="2" t="str">
        <x:v>62052000</x:v>
      </x:c>
      <x:c r="D629" s="2" t="str">
        <x:v>Sri Lanka</x:v>
      </x:c>
      <x:c r="E629" s="14" t="n">
        <x:v>288980</x:v>
      </x:c>
      <x:c r="F629" s="14" t="n">
        <x:v>15693</x:v>
      </x:c>
      <x:c r="G629" s="2" t="str">
        <x:v>WITHIN_BAND</x:v>
      </x:c>
      <x:c r="H629" s="2" t="n">
        <x:v>1</x:v>
      </x:c>
      <x:c r="I629" s="2" t="n">
        <x:f>IF(AND(COUNTIFS($B$6:$B$797,B629,$C$6:$C$797,C629)=11,COUNTIFS($B$6:$B$797,B629,$C$6:$C$797,C629,$G$6:$G$797,"REVIEW")=0,COUNTIFS($B$6:$B$797,B629,$C$6:$C$797,C629,$H$6:$H$797,1)=11,COUNTIFS($B$6:$B$797,B629,$C$6:$C$797,C629,$F$6:$F$797,"&gt;0")=11),1,0)</x:f>
        <x:v>1</x:v>
      </x:c>
    </x:row>
    <x:row r="630" ht="22" customHeight="1">
      <x:c r="A630" s="2" t="str">
        <x:v>62052000_TR_202503_IMPORT</x:v>
      </x:c>
      <x:c r="B630" s="2" t="n">
        <x:v>202503</x:v>
      </x:c>
      <x:c r="C630" s="2" t="str">
        <x:v>62052000</x:v>
      </x:c>
      <x:c r="D630" s="2" t="str">
        <x:v>Turkey</x:v>
      </x:c>
      <x:c r="E630" s="14" t="n">
        <x:v>1023096</x:v>
      </x:c>
      <x:c r="F630" s="14" t="n">
        <x:v>27004</x:v>
      </x:c>
      <x:c r="G630" s="2" t="str">
        <x:v>WITHIN_BAND</x:v>
      </x:c>
      <x:c r="H630" s="2" t="n">
        <x:v>1</x:v>
      </x:c>
      <x:c r="I630" s="2" t="n">
        <x:f>IF(AND(COUNTIFS($B$6:$B$797,B630,$C$6:$C$797,C630)=11,COUNTIFS($B$6:$B$797,B630,$C$6:$C$797,C630,$G$6:$G$797,"REVIEW")=0,COUNTIFS($B$6:$B$797,B630,$C$6:$C$797,C630,$H$6:$H$797,1)=11,COUNTIFS($B$6:$B$797,B630,$C$6:$C$797,C630,$F$6:$F$797,"&gt;0")=11),1,0)</x:f>
        <x:v>1</x:v>
      </x:c>
    </x:row>
    <x:row r="631" ht="22" customHeight="1">
      <x:c r="A631" s="2" t="str">
        <x:v>62052000_VN_202503_IMPORT</x:v>
      </x:c>
      <x:c r="B631" s="2" t="n">
        <x:v>202503</x:v>
      </x:c>
      <x:c r="C631" s="2" t="str">
        <x:v>62052000</x:v>
      </x:c>
      <x:c r="D631" s="2" t="str">
        <x:v>Vietnam</x:v>
      </x:c>
      <x:c r="E631" s="14" t="n">
        <x:v>701701</x:v>
      </x:c>
      <x:c r="F631" s="14" t="n">
        <x:v>23596</x:v>
      </x:c>
      <x:c r="G631" s="2" t="str">
        <x:v>WITHIN_BAND</x:v>
      </x:c>
      <x:c r="H631" s="2" t="n">
        <x:v>1</x:v>
      </x:c>
      <x:c r="I631" s="2" t="n">
        <x:f>IF(AND(COUNTIFS($B$6:$B$797,B631,$C$6:$C$797,C631)=11,COUNTIFS($B$6:$B$797,B631,$C$6:$C$797,C631,$G$6:$G$797,"REVIEW")=0,COUNTIFS($B$6:$B$797,B631,$C$6:$C$797,C631,$H$6:$H$797,1)=11,COUNTIFS($B$6:$B$797,B631,$C$6:$C$797,C631,$F$6:$F$797,"&gt;0")=11),1,0)</x:f>
        <x:v>1</x:v>
      </x:c>
    </x:row>
    <x:row r="632" ht="22" customHeight="1">
      <x:c r="A632" s="2" t="str">
        <x:v>62052000_WORLD_202503_IMPORT</x:v>
      </x:c>
      <x:c r="B632" s="2" t="n">
        <x:v>202503</x:v>
      </x:c>
      <x:c r="C632" s="2" t="str">
        <x:v>62052000</x:v>
      </x:c>
      <x:c r="D632" s="2" t="str">
        <x:v>World</x:v>
      </x:c>
      <x:c r="E632" s="14" t="n">
        <x:v>22760523</x:v>
      </x:c>
      <x:c r="F632" s="14" t="n">
        <x:v>854773</x:v>
      </x:c>
      <x:c r="G632" s="2" t="str">
        <x:v>WITHIN_BAND</x:v>
      </x:c>
      <x:c r="H632" s="2" t="n">
        <x:v>1</x:v>
      </x:c>
      <x:c r="I632" s="2" t="n">
        <x:f>IF(AND(COUNTIFS($B$6:$B$797,B632,$C$6:$C$797,C632)=11,COUNTIFS($B$6:$B$797,B632,$C$6:$C$797,C632,$G$6:$G$797,"REVIEW")=0,COUNTIFS($B$6:$B$797,B632,$C$6:$C$797,C632,$H$6:$H$797,1)=11,COUNTIFS($B$6:$B$797,B632,$C$6:$C$797,C632,$F$6:$F$797,"&gt;0")=11),1,0)</x:f>
        <x:v>1</x:v>
      </x:c>
    </x:row>
    <x:row r="633" ht="22" customHeight="1">
      <x:c r="A633" s="2" t="str">
        <x:v>62052000_BD_202504_IMPORT</x:v>
      </x:c>
      <x:c r="B633" s="2" t="n">
        <x:v>202504</x:v>
      </x:c>
      <x:c r="C633" s="2" t="str">
        <x:v>62052000</x:v>
      </x:c>
      <x:c r="D633" s="2" t="str">
        <x:v>Bangladesh</x:v>
      </x:c>
      <x:c r="E633" s="14" t="n">
        <x:v>6838182</x:v>
      </x:c>
      <x:c r="F633" s="14" t="n">
        <x:v>346203</x:v>
      </x:c>
      <x:c r="G633" s="2" t="str">
        <x:v>WITHIN_BAND</x:v>
      </x:c>
      <x:c r="H633" s="2" t="n">
        <x:v>1</x:v>
      </x:c>
      <x:c r="I633" s="2" t="n">
        <x:f>IF(AND(COUNTIFS($B$6:$B$797,B633,$C$6:$C$797,C633)=11,COUNTIFS($B$6:$B$797,B633,$C$6:$C$797,C633,$G$6:$G$797,"REVIEW")=0,COUNTIFS($B$6:$B$797,B633,$C$6:$C$797,C633,$H$6:$H$797,1)=11,COUNTIFS($B$6:$B$797,B633,$C$6:$C$797,C633,$F$6:$F$797,"&gt;0")=11),1,0)</x:f>
        <x:v>1</x:v>
      </x:c>
    </x:row>
    <x:row r="634" ht="22" customHeight="1">
      <x:c r="A634" s="2" t="str">
        <x:v>62052000_KH_202504_IMPORT</x:v>
      </x:c>
      <x:c r="B634" s="2" t="n">
        <x:v>202504</x:v>
      </x:c>
      <x:c r="C634" s="2" t="str">
        <x:v>62052000</x:v>
      </x:c>
      <x:c r="D634" s="2" t="str">
        <x:v>Cambodia</x:v>
      </x:c>
      <x:c r="E634" s="14" t="n">
        <x:v>698304</x:v>
      </x:c>
      <x:c r="F634" s="14" t="n">
        <x:v>26747</x:v>
      </x:c>
      <x:c r="G634" s="2" t="str">
        <x:v>WITHIN_BAND</x:v>
      </x:c>
      <x:c r="H634" s="2" t="n">
        <x:v>1</x:v>
      </x:c>
      <x:c r="I634" s="2" t="n">
        <x:f>IF(AND(COUNTIFS($B$6:$B$797,B634,$C$6:$C$797,C634)=11,COUNTIFS($B$6:$B$797,B634,$C$6:$C$797,C634,$G$6:$G$797,"REVIEW")=0,COUNTIFS($B$6:$B$797,B634,$C$6:$C$797,C634,$H$6:$H$797,1)=11,COUNTIFS($B$6:$B$797,B634,$C$6:$C$797,C634,$F$6:$F$797,"&gt;0")=11),1,0)</x:f>
        <x:v>1</x:v>
      </x:c>
    </x:row>
    <x:row r="635" ht="22" customHeight="1">
      <x:c r="A635" s="2" t="str">
        <x:v>62052000_CN_202504_IMPORT</x:v>
      </x:c>
      <x:c r="B635" s="2" t="n">
        <x:v>202504</x:v>
      </x:c>
      <x:c r="C635" s="2" t="str">
        <x:v>62052000</x:v>
      </x:c>
      <x:c r="D635" s="2" t="str">
        <x:v>China</x:v>
      </x:c>
      <x:c r="E635" s="14" t="n">
        <x:v>1104635</x:v>
      </x:c>
      <x:c r="F635" s="14" t="n">
        <x:v>35986</x:v>
      </x:c>
      <x:c r="G635" s="2" t="str">
        <x:v>WITHIN_BAND</x:v>
      </x:c>
      <x:c r="H635" s="2" t="n">
        <x:v>1</x:v>
      </x:c>
      <x:c r="I635" s="2" t="n">
        <x:f>IF(AND(COUNTIFS($B$6:$B$797,B635,$C$6:$C$797,C635)=11,COUNTIFS($B$6:$B$797,B635,$C$6:$C$797,C635,$G$6:$G$797,"REVIEW")=0,COUNTIFS($B$6:$B$797,B635,$C$6:$C$797,C635,$H$6:$H$797,1)=11,COUNTIFS($B$6:$B$797,B635,$C$6:$C$797,C635,$F$6:$F$797,"&gt;0")=11),1,0)</x:f>
        <x:v>1</x:v>
      </x:c>
    </x:row>
    <x:row r="636" ht="22" customHeight="1">
      <x:c r="A636" s="2" t="str">
        <x:v>62052000_IN_202504_IMPORT</x:v>
      </x:c>
      <x:c r="B636" s="2" t="n">
        <x:v>202504</x:v>
      </x:c>
      <x:c r="C636" s="2" t="str">
        <x:v>62052000</x:v>
      </x:c>
      <x:c r="D636" s="2" t="str">
        <x:v>India</x:v>
      </x:c>
      <x:c r="E636" s="14" t="n">
        <x:v>3226681</x:v>
      </x:c>
      <x:c r="F636" s="14" t="n">
        <x:v>136947</x:v>
      </x:c>
      <x:c r="G636" s="2" t="str">
        <x:v>WITHIN_BAND</x:v>
      </x:c>
      <x:c r="H636" s="2" t="n">
        <x:v>1</x:v>
      </x:c>
      <x:c r="I636" s="2" t="n">
        <x:f>IF(AND(COUNTIFS($B$6:$B$797,B636,$C$6:$C$797,C636)=11,COUNTIFS($B$6:$B$797,B636,$C$6:$C$797,C636,$G$6:$G$797,"REVIEW")=0,COUNTIFS($B$6:$B$797,B636,$C$6:$C$797,C636,$H$6:$H$797,1)=11,COUNTIFS($B$6:$B$797,B636,$C$6:$C$797,C636,$F$6:$F$797,"&gt;0")=11),1,0)</x:f>
        <x:v>1</x:v>
      </x:c>
    </x:row>
    <x:row r="637" ht="22" customHeight="1">
      <x:c r="A637" s="2" t="str">
        <x:v>62052000_MA_202504_IMPORT</x:v>
      </x:c>
      <x:c r="B637" s="2" t="n">
        <x:v>202504</x:v>
      </x:c>
      <x:c r="C637" s="2" t="str">
        <x:v>62052000</x:v>
      </x:c>
      <x:c r="D637" s="2" t="str">
        <x:v>Morocco</x:v>
      </x:c>
      <x:c r="E637" s="14" t="n">
        <x:v>107356</x:v>
      </x:c>
      <x:c r="F637" s="14" t="n">
        <x:v>2401</x:v>
      </x:c>
      <x:c r="G637" s="2" t="str">
        <x:v>WITHIN_BAND</x:v>
      </x:c>
      <x:c r="H637" s="2" t="n">
        <x:v>1</x:v>
      </x:c>
      <x:c r="I637" s="2" t="n">
        <x:f>IF(AND(COUNTIFS($B$6:$B$797,B637,$C$6:$C$797,C637)=11,COUNTIFS($B$6:$B$797,B637,$C$6:$C$797,C637,$G$6:$G$797,"REVIEW")=0,COUNTIFS($B$6:$B$797,B637,$C$6:$C$797,C637,$H$6:$H$797,1)=11,COUNTIFS($B$6:$B$797,B637,$C$6:$C$797,C637,$F$6:$F$797,"&gt;0")=11),1,0)</x:f>
        <x:v>1</x:v>
      </x:c>
    </x:row>
    <x:row r="638" ht="22" customHeight="1">
      <x:c r="A638" s="2" t="str">
        <x:v>62052000_MM_202504_IMPORT</x:v>
      </x:c>
      <x:c r="B638" s="2" t="n">
        <x:v>202504</x:v>
      </x:c>
      <x:c r="C638" s="2" t="str">
        <x:v>62052000</x:v>
      </x:c>
      <x:c r="D638" s="2" t="str">
        <x:v>Myanmar</x:v>
      </x:c>
      <x:c r="E638" s="14" t="n">
        <x:v>105561</x:v>
      </x:c>
      <x:c r="F638" s="14" t="n">
        <x:v>5099</x:v>
      </x:c>
      <x:c r="G638" s="2" t="str">
        <x:v>WITHIN_BAND</x:v>
      </x:c>
      <x:c r="H638" s="2" t="n">
        <x:v>1</x:v>
      </x:c>
      <x:c r="I638" s="2" t="n">
        <x:f>IF(AND(COUNTIFS($B$6:$B$797,B638,$C$6:$C$797,C638)=11,COUNTIFS($B$6:$B$797,B638,$C$6:$C$797,C638,$G$6:$G$797,"REVIEW")=0,COUNTIFS($B$6:$B$797,B638,$C$6:$C$797,C638,$H$6:$H$797,1)=11,COUNTIFS($B$6:$B$797,B638,$C$6:$C$797,C638,$F$6:$F$797,"&gt;0")=11),1,0)</x:f>
        <x:v>1</x:v>
      </x:c>
    </x:row>
    <x:row r="639" ht="22" customHeight="1">
      <x:c r="A639" s="2" t="str">
        <x:v>62052000_PK_202504_IMPORT</x:v>
      </x:c>
      <x:c r="B639" s="2" t="n">
        <x:v>202504</x:v>
      </x:c>
      <x:c r="C639" s="2" t="str">
        <x:v>62052000</x:v>
      </x:c>
      <x:c r="D639" s="2" t="str">
        <x:v>Pakistan</x:v>
      </x:c>
      <x:c r="E639" s="14" t="n">
        <x:v>77129</x:v>
      </x:c>
      <x:c r="F639" s="14" t="n">
        <x:v>5890</x:v>
      </x:c>
      <x:c r="G639" s="2" t="str">
        <x:v>WITHIN_BAND</x:v>
      </x:c>
      <x:c r="H639" s="2" t="n">
        <x:v>1</x:v>
      </x:c>
      <x:c r="I639" s="2" t="n">
        <x:f>IF(AND(COUNTIFS($B$6:$B$797,B639,$C$6:$C$797,C639)=11,COUNTIFS($B$6:$B$797,B639,$C$6:$C$797,C639,$G$6:$G$797,"REVIEW")=0,COUNTIFS($B$6:$B$797,B639,$C$6:$C$797,C639,$H$6:$H$797,1)=11,COUNTIFS($B$6:$B$797,B639,$C$6:$C$797,C639,$F$6:$F$797,"&gt;0")=11),1,0)</x:f>
        <x:v>1</x:v>
      </x:c>
    </x:row>
    <x:row r="640" ht="22" customHeight="1">
      <x:c r="A640" s="2" t="str">
        <x:v>62052000_LK_202504_IMPORT</x:v>
      </x:c>
      <x:c r="B640" s="2" t="n">
        <x:v>202504</x:v>
      </x:c>
      <x:c r="C640" s="2" t="str">
        <x:v>62052000</x:v>
      </x:c>
      <x:c r="D640" s="2" t="str">
        <x:v>Sri Lanka</x:v>
      </x:c>
      <x:c r="E640" s="14" t="n">
        <x:v>276951</x:v>
      </x:c>
      <x:c r="F640" s="14" t="n">
        <x:v>12508</x:v>
      </x:c>
      <x:c r="G640" s="2" t="str">
        <x:v>WITHIN_BAND</x:v>
      </x:c>
      <x:c r="H640" s="2" t="n">
        <x:v>1</x:v>
      </x:c>
      <x:c r="I640" s="2" t="n">
        <x:f>IF(AND(COUNTIFS($B$6:$B$797,B640,$C$6:$C$797,C640)=11,COUNTIFS($B$6:$B$797,B640,$C$6:$C$797,C640,$G$6:$G$797,"REVIEW")=0,COUNTIFS($B$6:$B$797,B640,$C$6:$C$797,C640,$H$6:$H$797,1)=11,COUNTIFS($B$6:$B$797,B640,$C$6:$C$797,C640,$F$6:$F$797,"&gt;0")=11),1,0)</x:f>
        <x:v>1</x:v>
      </x:c>
    </x:row>
    <x:row r="641" ht="22" customHeight="1">
      <x:c r="A641" s="2" t="str">
        <x:v>62052000_TR_202504_IMPORT</x:v>
      </x:c>
      <x:c r="B641" s="2" t="n">
        <x:v>202504</x:v>
      </x:c>
      <x:c r="C641" s="2" t="str">
        <x:v>62052000</x:v>
      </x:c>
      <x:c r="D641" s="2" t="str">
        <x:v>Turkey</x:v>
      </x:c>
      <x:c r="E641" s="14" t="n">
        <x:v>1154885</x:v>
      </x:c>
      <x:c r="F641" s="14" t="n">
        <x:v>31359</x:v>
      </x:c>
      <x:c r="G641" s="2" t="str">
        <x:v>WITHIN_BAND</x:v>
      </x:c>
      <x:c r="H641" s="2" t="n">
        <x:v>1</x:v>
      </x:c>
      <x:c r="I641" s="2" t="n">
        <x:f>IF(AND(COUNTIFS($B$6:$B$797,B641,$C$6:$C$797,C641)=11,COUNTIFS($B$6:$B$797,B641,$C$6:$C$797,C641,$G$6:$G$797,"REVIEW")=0,COUNTIFS($B$6:$B$797,B641,$C$6:$C$797,C641,$H$6:$H$797,1)=11,COUNTIFS($B$6:$B$797,B641,$C$6:$C$797,C641,$F$6:$F$797,"&gt;0")=11),1,0)</x:f>
        <x:v>1</x:v>
      </x:c>
    </x:row>
    <x:row r="642" ht="22" customHeight="1">
      <x:c r="A642" s="2" t="str">
        <x:v>62052000_VN_202504_IMPORT</x:v>
      </x:c>
      <x:c r="B642" s="2" t="n">
        <x:v>202504</x:v>
      </x:c>
      <x:c r="C642" s="2" t="str">
        <x:v>62052000</x:v>
      </x:c>
      <x:c r="D642" s="2" t="str">
        <x:v>Vietnam</x:v>
      </x:c>
      <x:c r="E642" s="14" t="n">
        <x:v>399520</x:v>
      </x:c>
      <x:c r="F642" s="14" t="n">
        <x:v>10355</x:v>
      </x:c>
      <x:c r="G642" s="2" t="str">
        <x:v>WITHIN_BAND</x:v>
      </x:c>
      <x:c r="H642" s="2" t="n">
        <x:v>1</x:v>
      </x:c>
      <x:c r="I642" s="2" t="n">
        <x:f>IF(AND(COUNTIFS($B$6:$B$797,B642,$C$6:$C$797,C642)=11,COUNTIFS($B$6:$B$797,B642,$C$6:$C$797,C642,$G$6:$G$797,"REVIEW")=0,COUNTIFS($B$6:$B$797,B642,$C$6:$C$797,C642,$H$6:$H$797,1)=11,COUNTIFS($B$6:$B$797,B642,$C$6:$C$797,C642,$F$6:$F$797,"&gt;0")=11),1,0)</x:f>
        <x:v>1</x:v>
      </x:c>
    </x:row>
    <x:row r="643" ht="22" customHeight="1">
      <x:c r="A643" s="2" t="str">
        <x:v>62052000_WORLD_202504_IMPORT</x:v>
      </x:c>
      <x:c r="B643" s="2" t="n">
        <x:v>202504</x:v>
      </x:c>
      <x:c r="C643" s="2" t="str">
        <x:v>62052000</x:v>
      </x:c>
      <x:c r="D643" s="2" t="str">
        <x:v>World</x:v>
      </x:c>
      <x:c r="E643" s="14" t="n">
        <x:v>22599336</x:v>
      </x:c>
      <x:c r="F643" s="14" t="n">
        <x:v>780864</x:v>
      </x:c>
      <x:c r="G643" s="2" t="str">
        <x:v>WITHIN_BAND</x:v>
      </x:c>
      <x:c r="H643" s="2" t="n">
        <x:v>1</x:v>
      </x:c>
      <x:c r="I643" s="2" t="n">
        <x:f>IF(AND(COUNTIFS($B$6:$B$797,B643,$C$6:$C$797,C643)=11,COUNTIFS($B$6:$B$797,B643,$C$6:$C$797,C643,$G$6:$G$797,"REVIEW")=0,COUNTIFS($B$6:$B$797,B643,$C$6:$C$797,C643,$H$6:$H$797,1)=11,COUNTIFS($B$6:$B$797,B643,$C$6:$C$797,C643,$F$6:$F$797,"&gt;0")=11),1,0)</x:f>
        <x:v>1</x:v>
      </x:c>
    </x:row>
    <x:row r="644" ht="22" customHeight="1">
      <x:c r="A644" s="2" t="str">
        <x:v>62052000_BD_202505_IMPORT</x:v>
      </x:c>
      <x:c r="B644" s="2" t="n">
        <x:v>202505</x:v>
      </x:c>
      <x:c r="C644" s="2" t="str">
        <x:v>62052000</x:v>
      </x:c>
      <x:c r="D644" s="2" t="str">
        <x:v>Bangladesh</x:v>
      </x:c>
      <x:c r="E644" s="14" t="n">
        <x:v>7415393</x:v>
      </x:c>
      <x:c r="F644" s="14" t="n">
        <x:v>384470</x:v>
      </x:c>
      <x:c r="G644" s="2" t="str">
        <x:v>WITHIN_BAND</x:v>
      </x:c>
      <x:c r="H644" s="2" t="n">
        <x:v>1</x:v>
      </x:c>
      <x:c r="I644" s="2" t="n">
        <x:f>IF(AND(COUNTIFS($B$6:$B$797,B644,$C$6:$C$797,C644)=11,COUNTIFS($B$6:$B$797,B644,$C$6:$C$797,C644,$G$6:$G$797,"REVIEW")=0,COUNTIFS($B$6:$B$797,B644,$C$6:$C$797,C644,$H$6:$H$797,1)=11,COUNTIFS($B$6:$B$797,B644,$C$6:$C$797,C644,$F$6:$F$797,"&gt;0")=11),1,0)</x:f>
        <x:v>1</x:v>
      </x:c>
    </x:row>
    <x:row r="645" ht="22" customHeight="1">
      <x:c r="A645" s="2" t="str">
        <x:v>62052000_KH_202505_IMPORT</x:v>
      </x:c>
      <x:c r="B645" s="2" t="n">
        <x:v>202505</x:v>
      </x:c>
      <x:c r="C645" s="2" t="str">
        <x:v>62052000</x:v>
      </x:c>
      <x:c r="D645" s="2" t="str">
        <x:v>Cambodia</x:v>
      </x:c>
      <x:c r="E645" s="14" t="n">
        <x:v>1264440</x:v>
      </x:c>
      <x:c r="F645" s="14" t="n">
        <x:v>48527</x:v>
      </x:c>
      <x:c r="G645" s="2" t="str">
        <x:v>WITHIN_BAND</x:v>
      </x:c>
      <x:c r="H645" s="2" t="n">
        <x:v>1</x:v>
      </x:c>
      <x:c r="I645" s="2" t="n">
        <x:f>IF(AND(COUNTIFS($B$6:$B$797,B645,$C$6:$C$797,C645)=11,COUNTIFS($B$6:$B$797,B645,$C$6:$C$797,C645,$G$6:$G$797,"REVIEW")=0,COUNTIFS($B$6:$B$797,B645,$C$6:$C$797,C645,$H$6:$H$797,1)=11,COUNTIFS($B$6:$B$797,B645,$C$6:$C$797,C645,$F$6:$F$797,"&gt;0")=11),1,0)</x:f>
        <x:v>1</x:v>
      </x:c>
    </x:row>
    <x:row r="646" ht="22" customHeight="1">
      <x:c r="A646" s="2" t="str">
        <x:v>62052000_CN_202505_IMPORT</x:v>
      </x:c>
      <x:c r="B646" s="2" t="n">
        <x:v>202505</x:v>
      </x:c>
      <x:c r="C646" s="2" t="str">
        <x:v>62052000</x:v>
      </x:c>
      <x:c r="D646" s="2" t="str">
        <x:v>China</x:v>
      </x:c>
      <x:c r="E646" s="14" t="n">
        <x:v>958580</x:v>
      </x:c>
      <x:c r="F646" s="14" t="n">
        <x:v>51583</x:v>
      </x:c>
      <x:c r="G646" s="2" t="str">
        <x:v>WITHIN_BAND</x:v>
      </x:c>
      <x:c r="H646" s="2" t="n">
        <x:v>1</x:v>
      </x:c>
      <x:c r="I646" s="2" t="n">
        <x:f>IF(AND(COUNTIFS($B$6:$B$797,B646,$C$6:$C$797,C646)=11,COUNTIFS($B$6:$B$797,B646,$C$6:$C$797,C646,$G$6:$G$797,"REVIEW")=0,COUNTIFS($B$6:$B$797,B646,$C$6:$C$797,C646,$H$6:$H$797,1)=11,COUNTIFS($B$6:$B$797,B646,$C$6:$C$797,C646,$F$6:$F$797,"&gt;0")=11),1,0)</x:f>
        <x:v>1</x:v>
      </x:c>
    </x:row>
    <x:row r="647" ht="22" customHeight="1">
      <x:c r="A647" s="2" t="str">
        <x:v>62052000_IN_202505_IMPORT</x:v>
      </x:c>
      <x:c r="B647" s="2" t="n">
        <x:v>202505</x:v>
      </x:c>
      <x:c r="C647" s="2" t="str">
        <x:v>62052000</x:v>
      </x:c>
      <x:c r="D647" s="2" t="str">
        <x:v>India</x:v>
      </x:c>
      <x:c r="E647" s="14" t="n">
        <x:v>3166495</x:v>
      </x:c>
      <x:c r="F647" s="14" t="n">
        <x:v>139445</x:v>
      </x:c>
      <x:c r="G647" s="2" t="str">
        <x:v>WITHIN_BAND</x:v>
      </x:c>
      <x:c r="H647" s="2" t="n">
        <x:v>1</x:v>
      </x:c>
      <x:c r="I647" s="2" t="n">
        <x:f>IF(AND(COUNTIFS($B$6:$B$797,B647,$C$6:$C$797,C647)=11,COUNTIFS($B$6:$B$797,B647,$C$6:$C$797,C647,$G$6:$G$797,"REVIEW")=0,COUNTIFS($B$6:$B$797,B647,$C$6:$C$797,C647,$H$6:$H$797,1)=11,COUNTIFS($B$6:$B$797,B647,$C$6:$C$797,C647,$F$6:$F$797,"&gt;0")=11),1,0)</x:f>
        <x:v>1</x:v>
      </x:c>
    </x:row>
    <x:row r="648" ht="22" customHeight="1">
      <x:c r="A648" s="2" t="str">
        <x:v>62052000_MA_202505_IMPORT</x:v>
      </x:c>
      <x:c r="B648" s="2" t="n">
        <x:v>202505</x:v>
      </x:c>
      <x:c r="C648" s="2" t="str">
        <x:v>62052000</x:v>
      </x:c>
      <x:c r="D648" s="2" t="str">
        <x:v>Morocco</x:v>
      </x:c>
      <x:c r="E648" s="14" t="n">
        <x:v>232820</x:v>
      </x:c>
      <x:c r="F648" s="14" t="n">
        <x:v>6165</x:v>
      </x:c>
      <x:c r="G648" s="2" t="str">
        <x:v>WITHIN_BAND</x:v>
      </x:c>
      <x:c r="H648" s="2" t="n">
        <x:v>1</x:v>
      </x:c>
      <x:c r="I648" s="2" t="n">
        <x:f>IF(AND(COUNTIFS($B$6:$B$797,B648,$C$6:$C$797,C648)=11,COUNTIFS($B$6:$B$797,B648,$C$6:$C$797,C648,$G$6:$G$797,"REVIEW")=0,COUNTIFS($B$6:$B$797,B648,$C$6:$C$797,C648,$H$6:$H$797,1)=11,COUNTIFS($B$6:$B$797,B648,$C$6:$C$797,C648,$F$6:$F$797,"&gt;0")=11),1,0)</x:f>
        <x:v>1</x:v>
      </x:c>
    </x:row>
    <x:row r="649" ht="22" customHeight="1">
      <x:c r="A649" s="2" t="str">
        <x:v>62052000_MM_202505_IMPORT</x:v>
      </x:c>
      <x:c r="B649" s="2" t="n">
        <x:v>202505</x:v>
      </x:c>
      <x:c r="C649" s="2" t="str">
        <x:v>62052000</x:v>
      </x:c>
      <x:c r="D649" s="2" t="str">
        <x:v>Myanmar</x:v>
      </x:c>
      <x:c r="E649" s="14" t="n">
        <x:v>128054</x:v>
      </x:c>
      <x:c r="F649" s="14" t="n">
        <x:v>8635</x:v>
      </x:c>
      <x:c r="G649" s="2" t="str">
        <x:v>WITHIN_BAND</x:v>
      </x:c>
      <x:c r="H649" s="2" t="n">
        <x:v>1</x:v>
      </x:c>
      <x:c r="I649" s="2" t="n">
        <x:f>IF(AND(COUNTIFS($B$6:$B$797,B649,$C$6:$C$797,C649)=11,COUNTIFS($B$6:$B$797,B649,$C$6:$C$797,C649,$G$6:$G$797,"REVIEW")=0,COUNTIFS($B$6:$B$797,B649,$C$6:$C$797,C649,$H$6:$H$797,1)=11,COUNTIFS($B$6:$B$797,B649,$C$6:$C$797,C649,$F$6:$F$797,"&gt;0")=11),1,0)</x:f>
        <x:v>1</x:v>
      </x:c>
    </x:row>
    <x:row r="650" ht="22" customHeight="1">
      <x:c r="A650" s="2" t="str">
        <x:v>62052000_PK_202505_IMPORT</x:v>
      </x:c>
      <x:c r="B650" s="2" t="n">
        <x:v>202505</x:v>
      </x:c>
      <x:c r="C650" s="2" t="str">
        <x:v>62052000</x:v>
      </x:c>
      <x:c r="D650" s="2" t="str">
        <x:v>Pakistan</x:v>
      </x:c>
      <x:c r="E650" s="14" t="n">
        <x:v>99370</x:v>
      </x:c>
      <x:c r="F650" s="14" t="n">
        <x:v>8704</x:v>
      </x:c>
      <x:c r="G650" s="2" t="str">
        <x:v>WITHIN_BAND</x:v>
      </x:c>
      <x:c r="H650" s="2" t="n">
        <x:v>1</x:v>
      </x:c>
      <x:c r="I650" s="2" t="n">
        <x:f>IF(AND(COUNTIFS($B$6:$B$797,B650,$C$6:$C$797,C650)=11,COUNTIFS($B$6:$B$797,B650,$C$6:$C$797,C650,$G$6:$G$797,"REVIEW")=0,COUNTIFS($B$6:$B$797,B650,$C$6:$C$797,C650,$H$6:$H$797,1)=11,COUNTIFS($B$6:$B$797,B650,$C$6:$C$797,C650,$F$6:$F$797,"&gt;0")=11),1,0)</x:f>
        <x:v>1</x:v>
      </x:c>
    </x:row>
    <x:row r="651" ht="22" customHeight="1">
      <x:c r="A651" s="2" t="str">
        <x:v>62052000_LK_202505_IMPORT</x:v>
      </x:c>
      <x:c r="B651" s="2" t="n">
        <x:v>202505</x:v>
      </x:c>
      <x:c r="C651" s="2" t="str">
        <x:v>62052000</x:v>
      </x:c>
      <x:c r="D651" s="2" t="str">
        <x:v>Sri Lanka</x:v>
      </x:c>
      <x:c r="E651" s="14" t="n">
        <x:v>356011</x:v>
      </x:c>
      <x:c r="F651" s="14" t="n">
        <x:v>20769</x:v>
      </x:c>
      <x:c r="G651" s="2" t="str">
        <x:v>WITHIN_BAND</x:v>
      </x:c>
      <x:c r="H651" s="2" t="n">
        <x:v>1</x:v>
      </x:c>
      <x:c r="I651" s="2" t="n">
        <x:f>IF(AND(COUNTIFS($B$6:$B$797,B651,$C$6:$C$797,C651)=11,COUNTIFS($B$6:$B$797,B651,$C$6:$C$797,C651,$G$6:$G$797,"REVIEW")=0,COUNTIFS($B$6:$B$797,B651,$C$6:$C$797,C651,$H$6:$H$797,1)=11,COUNTIFS($B$6:$B$797,B651,$C$6:$C$797,C651,$F$6:$F$797,"&gt;0")=11),1,0)</x:f>
        <x:v>1</x:v>
      </x:c>
    </x:row>
    <x:row r="652" ht="22" customHeight="1">
      <x:c r="A652" s="2" t="str">
        <x:v>62052000_TR_202505_IMPORT</x:v>
      </x:c>
      <x:c r="B652" s="2" t="n">
        <x:v>202505</x:v>
      </x:c>
      <x:c r="C652" s="2" t="str">
        <x:v>62052000</x:v>
      </x:c>
      <x:c r="D652" s="2" t="str">
        <x:v>Turkey</x:v>
      </x:c>
      <x:c r="E652" s="14" t="n">
        <x:v>973631</x:v>
      </x:c>
      <x:c r="F652" s="14" t="n">
        <x:v>27326</x:v>
      </x:c>
      <x:c r="G652" s="2" t="str">
        <x:v>WITHIN_BAND</x:v>
      </x:c>
      <x:c r="H652" s="2" t="n">
        <x:v>1</x:v>
      </x:c>
      <x:c r="I652" s="2" t="n">
        <x:f>IF(AND(COUNTIFS($B$6:$B$797,B652,$C$6:$C$797,C652)=11,COUNTIFS($B$6:$B$797,B652,$C$6:$C$797,C652,$G$6:$G$797,"REVIEW")=0,COUNTIFS($B$6:$B$797,B652,$C$6:$C$797,C652,$H$6:$H$797,1)=11,COUNTIFS($B$6:$B$797,B652,$C$6:$C$797,C652,$F$6:$F$797,"&gt;0")=11),1,0)</x:f>
        <x:v>1</x:v>
      </x:c>
    </x:row>
    <x:row r="653" ht="22" customHeight="1">
      <x:c r="A653" s="2" t="str">
        <x:v>62052000_VN_202505_IMPORT</x:v>
      </x:c>
      <x:c r="B653" s="2" t="n">
        <x:v>202505</x:v>
      </x:c>
      <x:c r="C653" s="2" t="str">
        <x:v>62052000</x:v>
      </x:c>
      <x:c r="D653" s="2" t="str">
        <x:v>Vietnam</x:v>
      </x:c>
      <x:c r="E653" s="14" t="n">
        <x:v>949400</x:v>
      </x:c>
      <x:c r="F653" s="14" t="n">
        <x:v>33324</x:v>
      </x:c>
      <x:c r="G653" s="2" t="str">
        <x:v>WITHIN_BAND</x:v>
      </x:c>
      <x:c r="H653" s="2" t="n">
        <x:v>1</x:v>
      </x:c>
      <x:c r="I653" s="2" t="n">
        <x:f>IF(AND(COUNTIFS($B$6:$B$797,B653,$C$6:$C$797,C653)=11,COUNTIFS($B$6:$B$797,B653,$C$6:$C$797,C653,$G$6:$G$797,"REVIEW")=0,COUNTIFS($B$6:$B$797,B653,$C$6:$C$797,C653,$H$6:$H$797,1)=11,COUNTIFS($B$6:$B$797,B653,$C$6:$C$797,C653,$F$6:$F$797,"&gt;0")=11),1,0)</x:f>
        <x:v>1</x:v>
      </x:c>
    </x:row>
    <x:row r="654" ht="22" customHeight="1">
      <x:c r="A654" s="2" t="str">
        <x:v>62052000_WORLD_202505_IMPORT</x:v>
      </x:c>
      <x:c r="B654" s="2" t="n">
        <x:v>202505</x:v>
      </x:c>
      <x:c r="C654" s="2" t="str">
        <x:v>62052000</x:v>
      </x:c>
      <x:c r="D654" s="2" t="str">
        <x:v>World</x:v>
      </x:c>
      <x:c r="E654" s="14" t="n">
        <x:v>23433219</x:v>
      </x:c>
      <x:c r="F654" s="14" t="n">
        <x:v>931861</x:v>
      </x:c>
      <x:c r="G654" s="2" t="str">
        <x:v>WITHIN_BAND</x:v>
      </x:c>
      <x:c r="H654" s="2" t="n">
        <x:v>1</x:v>
      </x:c>
      <x:c r="I654" s="2" t="n">
        <x:f>IF(AND(COUNTIFS($B$6:$B$797,B654,$C$6:$C$797,C654)=11,COUNTIFS($B$6:$B$797,B654,$C$6:$C$797,C654,$G$6:$G$797,"REVIEW")=0,COUNTIFS($B$6:$B$797,B654,$C$6:$C$797,C654,$H$6:$H$797,1)=11,COUNTIFS($B$6:$B$797,B654,$C$6:$C$797,C654,$F$6:$F$797,"&gt;0")=11),1,0)</x:f>
        <x:v>1</x:v>
      </x:c>
    </x:row>
    <x:row r="655" ht="22" customHeight="1">
      <x:c r="A655" s="2" t="str">
        <x:v>62052000_BD_202506_IMPORT</x:v>
      </x:c>
      <x:c r="B655" s="2" t="n">
        <x:v>202506</x:v>
      </x:c>
      <x:c r="C655" s="2" t="str">
        <x:v>62052000</x:v>
      </x:c>
      <x:c r="D655" s="2" t="str">
        <x:v>Bangladesh</x:v>
      </x:c>
      <x:c r="E655" s="14" t="n">
        <x:v>6112493</x:v>
      </x:c>
      <x:c r="F655" s="14" t="n">
        <x:v>363194</x:v>
      </x:c>
      <x:c r="G655" s="2" t="str">
        <x:v>WITHIN_BAND</x:v>
      </x:c>
      <x:c r="H655" s="2" t="n">
        <x:v>1</x:v>
      </x:c>
      <x:c r="I655" s="2" t="n">
        <x:f>IF(AND(COUNTIFS($B$6:$B$797,B655,$C$6:$C$797,C655)=11,COUNTIFS($B$6:$B$797,B655,$C$6:$C$797,C655,$G$6:$G$797,"REVIEW")=0,COUNTIFS($B$6:$B$797,B655,$C$6:$C$797,C655,$H$6:$H$797,1)=11,COUNTIFS($B$6:$B$797,B655,$C$6:$C$797,C655,$F$6:$F$797,"&gt;0")=11),1,0)</x:f>
        <x:v>1</x:v>
      </x:c>
    </x:row>
    <x:row r="656" ht="22" customHeight="1">
      <x:c r="A656" s="2" t="str">
        <x:v>62052000_KH_202506_IMPORT</x:v>
      </x:c>
      <x:c r="B656" s="2" t="n">
        <x:v>202506</x:v>
      </x:c>
      <x:c r="C656" s="2" t="str">
        <x:v>62052000</x:v>
      </x:c>
      <x:c r="D656" s="2" t="str">
        <x:v>Cambodia</x:v>
      </x:c>
      <x:c r="E656" s="14" t="n">
        <x:v>2792569</x:v>
      </x:c>
      <x:c r="F656" s="14" t="n">
        <x:v>104758</x:v>
      </x:c>
      <x:c r="G656" s="2" t="str">
        <x:v>WITHIN_BAND</x:v>
      </x:c>
      <x:c r="H656" s="2" t="n">
        <x:v>1</x:v>
      </x:c>
      <x:c r="I656" s="2" t="n">
        <x:f>IF(AND(COUNTIFS($B$6:$B$797,B656,$C$6:$C$797,C656)=11,COUNTIFS($B$6:$B$797,B656,$C$6:$C$797,C656,$G$6:$G$797,"REVIEW")=0,COUNTIFS($B$6:$B$797,B656,$C$6:$C$797,C656,$H$6:$H$797,1)=11,COUNTIFS($B$6:$B$797,B656,$C$6:$C$797,C656,$F$6:$F$797,"&gt;0")=11),1,0)</x:f>
        <x:v>1</x:v>
      </x:c>
    </x:row>
    <x:row r="657" ht="22" customHeight="1">
      <x:c r="A657" s="2" t="str">
        <x:v>62052000_CN_202506_IMPORT</x:v>
      </x:c>
      <x:c r="B657" s="2" t="n">
        <x:v>202506</x:v>
      </x:c>
      <x:c r="C657" s="2" t="str">
        <x:v>62052000</x:v>
      </x:c>
      <x:c r="D657" s="2" t="str">
        <x:v>China</x:v>
      </x:c>
      <x:c r="E657" s="14" t="n">
        <x:v>742074</x:v>
      </x:c>
      <x:c r="F657" s="14" t="n">
        <x:v>42333</x:v>
      </x:c>
      <x:c r="G657" s="2" t="str">
        <x:v>WITHIN_BAND</x:v>
      </x:c>
      <x:c r="H657" s="2" t="n">
        <x:v>1</x:v>
      </x:c>
      <x:c r="I657" s="2" t="n">
        <x:f>IF(AND(COUNTIFS($B$6:$B$797,B657,$C$6:$C$797,C657)=11,COUNTIFS($B$6:$B$797,B657,$C$6:$C$797,C657,$G$6:$G$797,"REVIEW")=0,COUNTIFS($B$6:$B$797,B657,$C$6:$C$797,C657,$H$6:$H$797,1)=11,COUNTIFS($B$6:$B$797,B657,$C$6:$C$797,C657,$F$6:$F$797,"&gt;0")=11),1,0)</x:f>
        <x:v>1</x:v>
      </x:c>
    </x:row>
    <x:row r="658" ht="22" customHeight="1">
      <x:c r="A658" s="2" t="str">
        <x:v>62052000_IN_202506_IMPORT</x:v>
      </x:c>
      <x:c r="B658" s="2" t="n">
        <x:v>202506</x:v>
      </x:c>
      <x:c r="C658" s="2" t="str">
        <x:v>62052000</x:v>
      </x:c>
      <x:c r="D658" s="2" t="str">
        <x:v>India</x:v>
      </x:c>
      <x:c r="E658" s="14" t="n">
        <x:v>2474899</x:v>
      </x:c>
      <x:c r="F658" s="14" t="n">
        <x:v>108579</x:v>
      </x:c>
      <x:c r="G658" s="2" t="str">
        <x:v>WITHIN_BAND</x:v>
      </x:c>
      <x:c r="H658" s="2" t="n">
        <x:v>1</x:v>
      </x:c>
      <x:c r="I658" s="2" t="n">
        <x:f>IF(AND(COUNTIFS($B$6:$B$797,B658,$C$6:$C$797,C658)=11,COUNTIFS($B$6:$B$797,B658,$C$6:$C$797,C658,$G$6:$G$797,"REVIEW")=0,COUNTIFS($B$6:$B$797,B658,$C$6:$C$797,C658,$H$6:$H$797,1)=11,COUNTIFS($B$6:$B$797,B658,$C$6:$C$797,C658,$F$6:$F$797,"&gt;0")=11),1,0)</x:f>
        <x:v>1</x:v>
      </x:c>
    </x:row>
    <x:row r="659" ht="22" customHeight="1">
      <x:c r="A659" s="2" t="str">
        <x:v>62052000_MA_202506_IMPORT</x:v>
      </x:c>
      <x:c r="B659" s="2" t="n">
        <x:v>202506</x:v>
      </x:c>
      <x:c r="C659" s="2" t="str">
        <x:v>62052000</x:v>
      </x:c>
      <x:c r="D659" s="2" t="str">
        <x:v>Morocco</x:v>
      </x:c>
      <x:c r="E659" s="14" t="n">
        <x:v>166121</x:v>
      </x:c>
      <x:c r="F659" s="14" t="n">
        <x:v>3215</x:v>
      </x:c>
      <x:c r="G659" s="2" t="str">
        <x:v>WITHIN_BAND</x:v>
      </x:c>
      <x:c r="H659" s="2" t="n">
        <x:v>1</x:v>
      </x:c>
      <x:c r="I659" s="2" t="n">
        <x:f>IF(AND(COUNTIFS($B$6:$B$797,B659,$C$6:$C$797,C659)=11,COUNTIFS($B$6:$B$797,B659,$C$6:$C$797,C659,$G$6:$G$797,"REVIEW")=0,COUNTIFS($B$6:$B$797,B659,$C$6:$C$797,C659,$H$6:$H$797,1)=11,COUNTIFS($B$6:$B$797,B659,$C$6:$C$797,C659,$F$6:$F$797,"&gt;0")=11),1,0)</x:f>
        <x:v>1</x:v>
      </x:c>
    </x:row>
    <x:row r="660" ht="22" customHeight="1">
      <x:c r="A660" s="2" t="str">
        <x:v>62052000_MM_202506_IMPORT</x:v>
      </x:c>
      <x:c r="B660" s="2" t="n">
        <x:v>202506</x:v>
      </x:c>
      <x:c r="C660" s="2" t="str">
        <x:v>62052000</x:v>
      </x:c>
      <x:c r="D660" s="2" t="str">
        <x:v>Myanmar</x:v>
      </x:c>
      <x:c r="E660" s="14" t="n">
        <x:v>74593</x:v>
      </x:c>
      <x:c r="F660" s="14" t="n">
        <x:v>6943</x:v>
      </x:c>
      <x:c r="G660" s="2" t="str">
        <x:v>WITHIN_BAND</x:v>
      </x:c>
      <x:c r="H660" s="2" t="n">
        <x:v>1</x:v>
      </x:c>
      <x:c r="I660" s="2" t="n">
        <x:f>IF(AND(COUNTIFS($B$6:$B$797,B660,$C$6:$C$797,C660)=11,COUNTIFS($B$6:$B$797,B660,$C$6:$C$797,C660,$G$6:$G$797,"REVIEW")=0,COUNTIFS($B$6:$B$797,B660,$C$6:$C$797,C660,$H$6:$H$797,1)=11,COUNTIFS($B$6:$B$797,B660,$C$6:$C$797,C660,$F$6:$F$797,"&gt;0")=11),1,0)</x:f>
        <x:v>1</x:v>
      </x:c>
    </x:row>
    <x:row r="661" ht="22" customHeight="1">
      <x:c r="A661" s="2" t="str">
        <x:v>62052000_PK_202506_IMPORT</x:v>
      </x:c>
      <x:c r="B661" s="2" t="n">
        <x:v>202506</x:v>
      </x:c>
      <x:c r="C661" s="2" t="str">
        <x:v>62052000</x:v>
      </x:c>
      <x:c r="D661" s="2" t="str">
        <x:v>Pakistan</x:v>
      </x:c>
      <x:c r="E661" s="14" t="n">
        <x:v>39738</x:v>
      </x:c>
      <x:c r="F661" s="14" t="n">
        <x:v>3691</x:v>
      </x:c>
      <x:c r="G661" s="2" t="str">
        <x:v>WITHIN_BAND</x:v>
      </x:c>
      <x:c r="H661" s="2" t="n">
        <x:v>1</x:v>
      </x:c>
      <x:c r="I661" s="2" t="n">
        <x:f>IF(AND(COUNTIFS($B$6:$B$797,B661,$C$6:$C$797,C661)=11,COUNTIFS($B$6:$B$797,B661,$C$6:$C$797,C661,$G$6:$G$797,"REVIEW")=0,COUNTIFS($B$6:$B$797,B661,$C$6:$C$797,C661,$H$6:$H$797,1)=11,COUNTIFS($B$6:$B$797,B661,$C$6:$C$797,C661,$F$6:$F$797,"&gt;0")=11),1,0)</x:f>
        <x:v>1</x:v>
      </x:c>
    </x:row>
    <x:row r="662" ht="22" customHeight="1">
      <x:c r="A662" s="2" t="str">
        <x:v>62052000_LK_202506_IMPORT</x:v>
      </x:c>
      <x:c r="B662" s="2" t="n">
        <x:v>202506</x:v>
      </x:c>
      <x:c r="C662" s="2" t="str">
        <x:v>62052000</x:v>
      </x:c>
      <x:c r="D662" s="2" t="str">
        <x:v>Sri Lanka</x:v>
      </x:c>
      <x:c r="E662" s="14" t="n">
        <x:v>489732</x:v>
      </x:c>
      <x:c r="F662" s="14" t="n">
        <x:v>16168</x:v>
      </x:c>
      <x:c r="G662" s="2" t="str">
        <x:v>WITHIN_BAND</x:v>
      </x:c>
      <x:c r="H662" s="2" t="n">
        <x:v>1</x:v>
      </x:c>
      <x:c r="I662" s="2" t="n">
        <x:f>IF(AND(COUNTIFS($B$6:$B$797,B662,$C$6:$C$797,C662)=11,COUNTIFS($B$6:$B$797,B662,$C$6:$C$797,C662,$G$6:$G$797,"REVIEW")=0,COUNTIFS($B$6:$B$797,B662,$C$6:$C$797,C662,$H$6:$H$797,1)=11,COUNTIFS($B$6:$B$797,B662,$C$6:$C$797,C662,$F$6:$F$797,"&gt;0")=11),1,0)</x:f>
        <x:v>1</x:v>
      </x:c>
    </x:row>
    <x:row r="663" ht="22" customHeight="1">
      <x:c r="A663" s="2" t="str">
        <x:v>62052000_TR_202506_IMPORT</x:v>
      </x:c>
      <x:c r="B663" s="2" t="n">
        <x:v>202506</x:v>
      </x:c>
      <x:c r="C663" s="2" t="str">
        <x:v>62052000</x:v>
      </x:c>
      <x:c r="D663" s="2" t="str">
        <x:v>Turkey</x:v>
      </x:c>
      <x:c r="E663" s="14" t="n">
        <x:v>803813</x:v>
      </x:c>
      <x:c r="F663" s="14" t="n">
        <x:v>20868</x:v>
      </x:c>
      <x:c r="G663" s="2" t="str">
        <x:v>WITHIN_BAND</x:v>
      </x:c>
      <x:c r="H663" s="2" t="n">
        <x:v>1</x:v>
      </x:c>
      <x:c r="I663" s="2" t="n">
        <x:f>IF(AND(COUNTIFS($B$6:$B$797,B663,$C$6:$C$797,C663)=11,COUNTIFS($B$6:$B$797,B663,$C$6:$C$797,C663,$G$6:$G$797,"REVIEW")=0,COUNTIFS($B$6:$B$797,B663,$C$6:$C$797,C663,$H$6:$H$797,1)=11,COUNTIFS($B$6:$B$797,B663,$C$6:$C$797,C663,$F$6:$F$797,"&gt;0")=11),1,0)</x:f>
        <x:v>1</x:v>
      </x:c>
    </x:row>
    <x:row r="664" ht="22" customHeight="1">
      <x:c r="A664" s="2" t="str">
        <x:v>62052000_VN_202506_IMPORT</x:v>
      </x:c>
      <x:c r="B664" s="2" t="n">
        <x:v>202506</x:v>
      </x:c>
      <x:c r="C664" s="2" t="str">
        <x:v>62052000</x:v>
      </x:c>
      <x:c r="D664" s="2" t="str">
        <x:v>Vietnam</x:v>
      </x:c>
      <x:c r="E664" s="14" t="n">
        <x:v>666333</x:v>
      </x:c>
      <x:c r="F664" s="14" t="n">
        <x:v>24265</x:v>
      </x:c>
      <x:c r="G664" s="2" t="str">
        <x:v>WITHIN_BAND</x:v>
      </x:c>
      <x:c r="H664" s="2" t="n">
        <x:v>1</x:v>
      </x:c>
      <x:c r="I664" s="2" t="n">
        <x:f>IF(AND(COUNTIFS($B$6:$B$797,B664,$C$6:$C$797,C664)=11,COUNTIFS($B$6:$B$797,B664,$C$6:$C$797,C664,$G$6:$G$797,"REVIEW")=0,COUNTIFS($B$6:$B$797,B664,$C$6:$C$797,C664,$H$6:$H$797,1)=11,COUNTIFS($B$6:$B$797,B664,$C$6:$C$797,C664,$F$6:$F$797,"&gt;0")=11),1,0)</x:f>
        <x:v>1</x:v>
      </x:c>
    </x:row>
    <x:row r="665" ht="22" customHeight="1">
      <x:c r="A665" s="2" t="str">
        <x:v>62052000_WORLD_202506_IMPORT</x:v>
      </x:c>
      <x:c r="B665" s="2" t="n">
        <x:v>202506</x:v>
      </x:c>
      <x:c r="C665" s="2" t="str">
        <x:v>62052000</x:v>
      </x:c>
      <x:c r="D665" s="2" t="str">
        <x:v>World</x:v>
      </x:c>
      <x:c r="E665" s="14" t="n">
        <x:v>21406585</x:v>
      </x:c>
      <x:c r="F665" s="14" t="n">
        <x:v>821333</x:v>
      </x:c>
      <x:c r="G665" s="2" t="str">
        <x:v>WITHIN_BAND</x:v>
      </x:c>
      <x:c r="H665" s="2" t="n">
        <x:v>1</x:v>
      </x:c>
      <x:c r="I665" s="2" t="n">
        <x:f>IF(AND(COUNTIFS($B$6:$B$797,B665,$C$6:$C$797,C665)=11,COUNTIFS($B$6:$B$797,B665,$C$6:$C$797,C665,$G$6:$G$797,"REVIEW")=0,COUNTIFS($B$6:$B$797,B665,$C$6:$C$797,C665,$H$6:$H$797,1)=11,COUNTIFS($B$6:$B$797,B665,$C$6:$C$797,C665,$F$6:$F$797,"&gt;0")=11),1,0)</x:f>
        <x:v>1</x:v>
      </x:c>
    </x:row>
    <x:row r="666" ht="22" customHeight="1">
      <x:c r="A666" s="2" t="str">
        <x:v>62052000_BD_202507_IMPORT</x:v>
      </x:c>
      <x:c r="B666" s="2" t="n">
        <x:v>202507</x:v>
      </x:c>
      <x:c r="C666" s="2" t="str">
        <x:v>62052000</x:v>
      </x:c>
      <x:c r="D666" s="2" t="str">
        <x:v>Bangladesh</x:v>
      </x:c>
      <x:c r="E666" s="14" t="n">
        <x:v>6720288</x:v>
      </x:c>
      <x:c r="F666" s="14" t="n">
        <x:v>386519</x:v>
      </x:c>
      <x:c r="G666" s="2" t="str">
        <x:v>WITHIN_BAND</x:v>
      </x:c>
      <x:c r="H666" s="2" t="n">
        <x:v>1</x:v>
      </x:c>
      <x:c r="I666" s="2" t="n">
        <x:f>IF(AND(COUNTIFS($B$6:$B$797,B666,$C$6:$C$797,C666)=11,COUNTIFS($B$6:$B$797,B666,$C$6:$C$797,C666,$G$6:$G$797,"REVIEW")=0,COUNTIFS($B$6:$B$797,B666,$C$6:$C$797,C666,$H$6:$H$797,1)=11,COUNTIFS($B$6:$B$797,B666,$C$6:$C$797,C666,$F$6:$F$797,"&gt;0")=11),1,0)</x:f>
        <x:v>1</x:v>
      </x:c>
    </x:row>
    <x:row r="667" ht="22" customHeight="1">
      <x:c r="A667" s="2" t="str">
        <x:v>62052000_KH_202507_IMPORT</x:v>
      </x:c>
      <x:c r="B667" s="2" t="n">
        <x:v>202507</x:v>
      </x:c>
      <x:c r="C667" s="2" t="str">
        <x:v>62052000</x:v>
      </x:c>
      <x:c r="D667" s="2" t="str">
        <x:v>Cambodia</x:v>
      </x:c>
      <x:c r="E667" s="14" t="n">
        <x:v>1115255</x:v>
      </x:c>
      <x:c r="F667" s="14" t="n">
        <x:v>49672</x:v>
      </x:c>
      <x:c r="G667" s="2" t="str">
        <x:v>WITHIN_BAND</x:v>
      </x:c>
      <x:c r="H667" s="2" t="n">
        <x:v>1</x:v>
      </x:c>
      <x:c r="I667" s="2" t="n">
        <x:f>IF(AND(COUNTIFS($B$6:$B$797,B667,$C$6:$C$797,C667)=11,COUNTIFS($B$6:$B$797,B667,$C$6:$C$797,C667,$G$6:$G$797,"REVIEW")=0,COUNTIFS($B$6:$B$797,B667,$C$6:$C$797,C667,$H$6:$H$797,1)=11,COUNTIFS($B$6:$B$797,B667,$C$6:$C$797,C667,$F$6:$F$797,"&gt;0")=11),1,0)</x:f>
        <x:v>1</x:v>
      </x:c>
    </x:row>
    <x:row r="668" ht="22" customHeight="1">
      <x:c r="A668" s="2" t="str">
        <x:v>62052000_CN_202507_IMPORT</x:v>
      </x:c>
      <x:c r="B668" s="2" t="n">
        <x:v>202507</x:v>
      </x:c>
      <x:c r="C668" s="2" t="str">
        <x:v>62052000</x:v>
      </x:c>
      <x:c r="D668" s="2" t="str">
        <x:v>China</x:v>
      </x:c>
      <x:c r="E668" s="14" t="n">
        <x:v>1285983</x:v>
      </x:c>
      <x:c r="F668" s="14" t="n">
        <x:v>61923</x:v>
      </x:c>
      <x:c r="G668" s="2" t="str">
        <x:v>WITHIN_BAND</x:v>
      </x:c>
      <x:c r="H668" s="2" t="n">
        <x:v>1</x:v>
      </x:c>
      <x:c r="I668" s="2" t="n">
        <x:f>IF(AND(COUNTIFS($B$6:$B$797,B668,$C$6:$C$797,C668)=11,COUNTIFS($B$6:$B$797,B668,$C$6:$C$797,C668,$G$6:$G$797,"REVIEW")=0,COUNTIFS($B$6:$B$797,B668,$C$6:$C$797,C668,$H$6:$H$797,1)=11,COUNTIFS($B$6:$B$797,B668,$C$6:$C$797,C668,$F$6:$F$797,"&gt;0")=11),1,0)</x:f>
        <x:v>1</x:v>
      </x:c>
    </x:row>
    <x:row r="669" ht="22" customHeight="1">
      <x:c r="A669" s="2" t="str">
        <x:v>62052000_IN_202507_IMPORT</x:v>
      </x:c>
      <x:c r="B669" s="2" t="n">
        <x:v>202507</x:v>
      </x:c>
      <x:c r="C669" s="2" t="str">
        <x:v>62052000</x:v>
      </x:c>
      <x:c r="D669" s="2" t="str">
        <x:v>India</x:v>
      </x:c>
      <x:c r="E669" s="14" t="n">
        <x:v>2433614</x:v>
      </x:c>
      <x:c r="F669" s="14" t="n">
        <x:v>115572</x:v>
      </x:c>
      <x:c r="G669" s="2" t="str">
        <x:v>WITHIN_BAND</x:v>
      </x:c>
      <x:c r="H669" s="2" t="n">
        <x:v>1</x:v>
      </x:c>
      <x:c r="I669" s="2" t="n">
        <x:f>IF(AND(COUNTIFS($B$6:$B$797,B669,$C$6:$C$797,C669)=11,COUNTIFS($B$6:$B$797,B669,$C$6:$C$797,C669,$G$6:$G$797,"REVIEW")=0,COUNTIFS($B$6:$B$797,B669,$C$6:$C$797,C669,$H$6:$H$797,1)=11,COUNTIFS($B$6:$B$797,B669,$C$6:$C$797,C669,$F$6:$F$797,"&gt;0")=11),1,0)</x:f>
        <x:v>1</x:v>
      </x:c>
    </x:row>
    <x:row r="670" ht="22" customHeight="1">
      <x:c r="A670" s="2" t="str">
        <x:v>62052000_MA_202507_IMPORT</x:v>
      </x:c>
      <x:c r="B670" s="2" t="n">
        <x:v>202507</x:v>
      </x:c>
      <x:c r="C670" s="2" t="str">
        <x:v>62052000</x:v>
      </x:c>
      <x:c r="D670" s="2" t="str">
        <x:v>Morocco</x:v>
      </x:c>
      <x:c r="E670" s="14" t="n">
        <x:v>192356</x:v>
      </x:c>
      <x:c r="F670" s="14" t="n">
        <x:v>4195</x:v>
      </x:c>
      <x:c r="G670" s="2" t="str">
        <x:v>WITHIN_BAND</x:v>
      </x:c>
      <x:c r="H670" s="2" t="n">
        <x:v>1</x:v>
      </x:c>
      <x:c r="I670" s="2" t="n">
        <x:f>IF(AND(COUNTIFS($B$6:$B$797,B670,$C$6:$C$797,C670)=11,COUNTIFS($B$6:$B$797,B670,$C$6:$C$797,C670,$G$6:$G$797,"REVIEW")=0,COUNTIFS($B$6:$B$797,B670,$C$6:$C$797,C670,$H$6:$H$797,1)=11,COUNTIFS($B$6:$B$797,B670,$C$6:$C$797,C670,$F$6:$F$797,"&gt;0")=11),1,0)</x:f>
        <x:v>1</x:v>
      </x:c>
    </x:row>
    <x:row r="671" ht="22" customHeight="1">
      <x:c r="A671" s="2" t="str">
        <x:v>62052000_MM_202507_IMPORT</x:v>
      </x:c>
      <x:c r="B671" s="2" t="n">
        <x:v>202507</x:v>
      </x:c>
      <x:c r="C671" s="2" t="str">
        <x:v>62052000</x:v>
      </x:c>
      <x:c r="D671" s="2" t="str">
        <x:v>Myanmar</x:v>
      </x:c>
      <x:c r="E671" s="14" t="n">
        <x:v>34295</x:v>
      </x:c>
      <x:c r="F671" s="14" t="n">
        <x:v>2123</x:v>
      </x:c>
      <x:c r="G671" s="2" t="str">
        <x:v>WITHIN_BAND</x:v>
      </x:c>
      <x:c r="H671" s="2" t="n">
        <x:v>1</x:v>
      </x:c>
      <x:c r="I671" s="2" t="n">
        <x:f>IF(AND(COUNTIFS($B$6:$B$797,B671,$C$6:$C$797,C671)=11,COUNTIFS($B$6:$B$797,B671,$C$6:$C$797,C671,$G$6:$G$797,"REVIEW")=0,COUNTIFS($B$6:$B$797,B671,$C$6:$C$797,C671,$H$6:$H$797,1)=11,COUNTIFS($B$6:$B$797,B671,$C$6:$C$797,C671,$F$6:$F$797,"&gt;0")=11),1,0)</x:f>
        <x:v>1</x:v>
      </x:c>
    </x:row>
    <x:row r="672" ht="22" customHeight="1">
      <x:c r="A672" s="2" t="str">
        <x:v>62052000_PK_202507_IMPORT</x:v>
      </x:c>
      <x:c r="B672" s="2" t="n">
        <x:v>202507</x:v>
      </x:c>
      <x:c r="C672" s="2" t="str">
        <x:v>62052000</x:v>
      </x:c>
      <x:c r="D672" s="2" t="str">
        <x:v>Pakistan</x:v>
      </x:c>
      <x:c r="E672" s="14" t="n">
        <x:v>43220</x:v>
      </x:c>
      <x:c r="F672" s="14" t="n">
        <x:v>2888</x:v>
      </x:c>
      <x:c r="G672" s="2" t="str">
        <x:v>WITHIN_BAND</x:v>
      </x:c>
      <x:c r="H672" s="2" t="n">
        <x:v>1</x:v>
      </x:c>
      <x:c r="I672" s="2" t="n">
        <x:f>IF(AND(COUNTIFS($B$6:$B$797,B672,$C$6:$C$797,C672)=11,COUNTIFS($B$6:$B$797,B672,$C$6:$C$797,C672,$G$6:$G$797,"REVIEW")=0,COUNTIFS($B$6:$B$797,B672,$C$6:$C$797,C672,$H$6:$H$797,1)=11,COUNTIFS($B$6:$B$797,B672,$C$6:$C$797,C672,$F$6:$F$797,"&gt;0")=11),1,0)</x:f>
        <x:v>1</x:v>
      </x:c>
    </x:row>
    <x:row r="673" ht="22" customHeight="1">
      <x:c r="A673" s="2" t="str">
        <x:v>62052000_LK_202507_IMPORT</x:v>
      </x:c>
      <x:c r="B673" s="2" t="n">
        <x:v>202507</x:v>
      </x:c>
      <x:c r="C673" s="2" t="str">
        <x:v>62052000</x:v>
      </x:c>
      <x:c r="D673" s="2" t="str">
        <x:v>Sri Lanka</x:v>
      </x:c>
      <x:c r="E673" s="14" t="n">
        <x:v>362612</x:v>
      </x:c>
      <x:c r="F673" s="14" t="n">
        <x:v>12807</x:v>
      </x:c>
      <x:c r="G673" s="2" t="str">
        <x:v>WITHIN_BAND</x:v>
      </x:c>
      <x:c r="H673" s="2" t="n">
        <x:v>1</x:v>
      </x:c>
      <x:c r="I673" s="2" t="n">
        <x:f>IF(AND(COUNTIFS($B$6:$B$797,B673,$C$6:$C$797,C673)=11,COUNTIFS($B$6:$B$797,B673,$C$6:$C$797,C673,$G$6:$G$797,"REVIEW")=0,COUNTIFS($B$6:$B$797,B673,$C$6:$C$797,C673,$H$6:$H$797,1)=11,COUNTIFS($B$6:$B$797,B673,$C$6:$C$797,C673,$F$6:$F$797,"&gt;0")=11),1,0)</x:f>
        <x:v>1</x:v>
      </x:c>
    </x:row>
    <x:row r="674" ht="22" customHeight="1">
      <x:c r="A674" s="2" t="str">
        <x:v>62052000_TR_202507_IMPORT</x:v>
      </x:c>
      <x:c r="B674" s="2" t="n">
        <x:v>202507</x:v>
      </x:c>
      <x:c r="C674" s="2" t="str">
        <x:v>62052000</x:v>
      </x:c>
      <x:c r="D674" s="2" t="str">
        <x:v>Turkey</x:v>
      </x:c>
      <x:c r="E674" s="14" t="n">
        <x:v>1430736</x:v>
      </x:c>
      <x:c r="F674" s="14" t="n">
        <x:v>38498</x:v>
      </x:c>
      <x:c r="G674" s="2" t="str">
        <x:v>WITHIN_BAND</x:v>
      </x:c>
      <x:c r="H674" s="2" t="n">
        <x:v>1</x:v>
      </x:c>
      <x:c r="I674" s="2" t="n">
        <x:f>IF(AND(COUNTIFS($B$6:$B$797,B674,$C$6:$C$797,C674)=11,COUNTIFS($B$6:$B$797,B674,$C$6:$C$797,C674,$G$6:$G$797,"REVIEW")=0,COUNTIFS($B$6:$B$797,B674,$C$6:$C$797,C674,$H$6:$H$797,1)=11,COUNTIFS($B$6:$B$797,B674,$C$6:$C$797,C674,$F$6:$F$797,"&gt;0")=11),1,0)</x:f>
        <x:v>1</x:v>
      </x:c>
    </x:row>
    <x:row r="675" ht="22" customHeight="1">
      <x:c r="A675" s="2" t="str">
        <x:v>62052000_VN_202507_IMPORT</x:v>
      </x:c>
      <x:c r="B675" s="2" t="n">
        <x:v>202507</x:v>
      </x:c>
      <x:c r="C675" s="2" t="str">
        <x:v>62052000</x:v>
      </x:c>
      <x:c r="D675" s="2" t="str">
        <x:v>Vietnam</x:v>
      </x:c>
      <x:c r="E675" s="14" t="n">
        <x:v>1352190</x:v>
      </x:c>
      <x:c r="F675" s="14" t="n">
        <x:v>44969</x:v>
      </x:c>
      <x:c r="G675" s="2" t="str">
        <x:v>WITHIN_BAND</x:v>
      </x:c>
      <x:c r="H675" s="2" t="n">
        <x:v>1</x:v>
      </x:c>
      <x:c r="I675" s="2" t="n">
        <x:f>IF(AND(COUNTIFS($B$6:$B$797,B675,$C$6:$C$797,C675)=11,COUNTIFS($B$6:$B$797,B675,$C$6:$C$797,C675,$G$6:$G$797,"REVIEW")=0,COUNTIFS($B$6:$B$797,B675,$C$6:$C$797,C675,$H$6:$H$797,1)=11,COUNTIFS($B$6:$B$797,B675,$C$6:$C$797,C675,$F$6:$F$797,"&gt;0")=11),1,0)</x:f>
        <x:v>1</x:v>
      </x:c>
    </x:row>
    <x:row r="676" ht="22" customHeight="1">
      <x:c r="A676" s="2" t="str">
        <x:v>62052000_WORLD_202507_IMPORT</x:v>
      </x:c>
      <x:c r="B676" s="2" t="n">
        <x:v>202507</x:v>
      </x:c>
      <x:c r="C676" s="2" t="str">
        <x:v>62052000</x:v>
      </x:c>
      <x:c r="D676" s="2" t="str">
        <x:v>World</x:v>
      </x:c>
      <x:c r="E676" s="14" t="n">
        <x:v>24228303</x:v>
      </x:c>
      <x:c r="F676" s="14" t="n">
        <x:v>907198</x:v>
      </x:c>
      <x:c r="G676" s="2" t="str">
        <x:v>WITHIN_BAND</x:v>
      </x:c>
      <x:c r="H676" s="2" t="n">
        <x:v>1</x:v>
      </x:c>
      <x:c r="I676" s="2" t="n">
        <x:f>IF(AND(COUNTIFS($B$6:$B$797,B676,$C$6:$C$797,C676)=11,COUNTIFS($B$6:$B$797,B676,$C$6:$C$797,C676,$G$6:$G$797,"REVIEW")=0,COUNTIFS($B$6:$B$797,B676,$C$6:$C$797,C676,$H$6:$H$797,1)=11,COUNTIFS($B$6:$B$797,B676,$C$6:$C$797,C676,$F$6:$F$797,"&gt;0")=11),1,0)</x:f>
        <x:v>1</x:v>
      </x:c>
    </x:row>
    <x:row r="677" ht="22" customHeight="1">
      <x:c r="A677" s="2" t="str">
        <x:v>62052000_BD_202508_IMPORT</x:v>
      </x:c>
      <x:c r="B677" s="2" t="n">
        <x:v>202508</x:v>
      </x:c>
      <x:c r="C677" s="2" t="str">
        <x:v>62052000</x:v>
      </x:c>
      <x:c r="D677" s="2" t="str">
        <x:v>Bangladesh</x:v>
      </x:c>
      <x:c r="E677" s="14" t="n">
        <x:v>5352740</x:v>
      </x:c>
      <x:c r="F677" s="14" t="n">
        <x:v>339370</x:v>
      </x:c>
      <x:c r="G677" s="2" t="str">
        <x:v>WITHIN_BAND</x:v>
      </x:c>
      <x:c r="H677" s="2" t="n">
        <x:v>1</x:v>
      </x:c>
      <x:c r="I677" s="2" t="n">
        <x:f>IF(AND(COUNTIFS($B$6:$B$797,B677,$C$6:$C$797,C677)=11,COUNTIFS($B$6:$B$797,B677,$C$6:$C$797,C677,$G$6:$G$797,"REVIEW")=0,COUNTIFS($B$6:$B$797,B677,$C$6:$C$797,C677,$H$6:$H$797,1)=11,COUNTIFS($B$6:$B$797,B677,$C$6:$C$797,C677,$F$6:$F$797,"&gt;0")=11),1,0)</x:f>
        <x:v>1</x:v>
      </x:c>
    </x:row>
    <x:row r="678" ht="22" customHeight="1">
      <x:c r="A678" s="2" t="str">
        <x:v>62052000_KH_202508_IMPORT</x:v>
      </x:c>
      <x:c r="B678" s="2" t="n">
        <x:v>202508</x:v>
      </x:c>
      <x:c r="C678" s="2" t="str">
        <x:v>62052000</x:v>
      </x:c>
      <x:c r="D678" s="2" t="str">
        <x:v>Cambodia</x:v>
      </x:c>
      <x:c r="E678" s="14" t="n">
        <x:v>2168996</x:v>
      </x:c>
      <x:c r="F678" s="14" t="n">
        <x:v>91313</x:v>
      </x:c>
      <x:c r="G678" s="2" t="str">
        <x:v>WITHIN_BAND</x:v>
      </x:c>
      <x:c r="H678" s="2" t="n">
        <x:v>1</x:v>
      </x:c>
      <x:c r="I678" s="2" t="n">
        <x:f>IF(AND(COUNTIFS($B$6:$B$797,B678,$C$6:$C$797,C678)=11,COUNTIFS($B$6:$B$797,B678,$C$6:$C$797,C678,$G$6:$G$797,"REVIEW")=0,COUNTIFS($B$6:$B$797,B678,$C$6:$C$797,C678,$H$6:$H$797,1)=11,COUNTIFS($B$6:$B$797,B678,$C$6:$C$797,C678,$F$6:$F$797,"&gt;0")=11),1,0)</x:f>
        <x:v>1</x:v>
      </x:c>
    </x:row>
    <x:row r="679" ht="22" customHeight="1">
      <x:c r="A679" s="2" t="str">
        <x:v>62052000_CN_202508_IMPORT</x:v>
      </x:c>
      <x:c r="B679" s="2" t="n">
        <x:v>202508</x:v>
      </x:c>
      <x:c r="C679" s="2" t="str">
        <x:v>62052000</x:v>
      </x:c>
      <x:c r="D679" s="2" t="str">
        <x:v>China</x:v>
      </x:c>
      <x:c r="E679" s="14" t="n">
        <x:v>753200</x:v>
      </x:c>
      <x:c r="F679" s="14" t="n">
        <x:v>40747</x:v>
      </x:c>
      <x:c r="G679" s="2" t="str">
        <x:v>WITHIN_BAND</x:v>
      </x:c>
      <x:c r="H679" s="2" t="n">
        <x:v>1</x:v>
      </x:c>
      <x:c r="I679" s="2" t="n">
        <x:f>IF(AND(COUNTIFS($B$6:$B$797,B679,$C$6:$C$797,C679)=11,COUNTIFS($B$6:$B$797,B679,$C$6:$C$797,C679,$G$6:$G$797,"REVIEW")=0,COUNTIFS($B$6:$B$797,B679,$C$6:$C$797,C679,$H$6:$H$797,1)=11,COUNTIFS($B$6:$B$797,B679,$C$6:$C$797,C679,$F$6:$F$797,"&gt;0")=11),1,0)</x:f>
        <x:v>1</x:v>
      </x:c>
    </x:row>
    <x:row r="680" ht="22" customHeight="1">
      <x:c r="A680" s="2" t="str">
        <x:v>62052000_IN_202508_IMPORT</x:v>
      </x:c>
      <x:c r="B680" s="2" t="n">
        <x:v>202508</x:v>
      </x:c>
      <x:c r="C680" s="2" t="str">
        <x:v>62052000</x:v>
      </x:c>
      <x:c r="D680" s="2" t="str">
        <x:v>India</x:v>
      </x:c>
      <x:c r="E680" s="14" t="n">
        <x:v>2271413</x:v>
      </x:c>
      <x:c r="F680" s="14" t="n">
        <x:v>124088</x:v>
      </x:c>
      <x:c r="G680" s="2" t="str">
        <x:v>WITHIN_BAND</x:v>
      </x:c>
      <x:c r="H680" s="2" t="n">
        <x:v>1</x:v>
      </x:c>
      <x:c r="I680" s="2" t="n">
        <x:f>IF(AND(COUNTIFS($B$6:$B$797,B680,$C$6:$C$797,C680)=11,COUNTIFS($B$6:$B$797,B680,$C$6:$C$797,C680,$G$6:$G$797,"REVIEW")=0,COUNTIFS($B$6:$B$797,B680,$C$6:$C$797,C680,$H$6:$H$797,1)=11,COUNTIFS($B$6:$B$797,B680,$C$6:$C$797,C680,$F$6:$F$797,"&gt;0")=11),1,0)</x:f>
        <x:v>1</x:v>
      </x:c>
    </x:row>
    <x:row r="681" ht="22" customHeight="1">
      <x:c r="A681" s="2" t="str">
        <x:v>62052000_MA_202508_IMPORT</x:v>
      </x:c>
      <x:c r="B681" s="2" t="n">
        <x:v>202508</x:v>
      </x:c>
      <x:c r="C681" s="2" t="str">
        <x:v>62052000</x:v>
      </x:c>
      <x:c r="D681" s="2" t="str">
        <x:v>Morocco</x:v>
      </x:c>
      <x:c r="E681" s="14" t="n">
        <x:v>110851</x:v>
      </x:c>
      <x:c r="F681" s="14" t="n">
        <x:v>2996</x:v>
      </x:c>
      <x:c r="G681" s="2" t="str">
        <x:v>WITHIN_BAND</x:v>
      </x:c>
      <x:c r="H681" s="2" t="n">
        <x:v>1</x:v>
      </x:c>
      <x:c r="I681" s="2" t="n">
        <x:f>IF(AND(COUNTIFS($B$6:$B$797,B681,$C$6:$C$797,C681)=11,COUNTIFS($B$6:$B$797,B681,$C$6:$C$797,C681,$G$6:$G$797,"REVIEW")=0,COUNTIFS($B$6:$B$797,B681,$C$6:$C$797,C681,$H$6:$H$797,1)=11,COUNTIFS($B$6:$B$797,B681,$C$6:$C$797,C681,$F$6:$F$797,"&gt;0")=11),1,0)</x:f>
        <x:v>1</x:v>
      </x:c>
    </x:row>
    <x:row r="682" ht="22" customHeight="1">
      <x:c r="A682" s="2" t="str">
        <x:v>62052000_MM_202508_IMPORT</x:v>
      </x:c>
      <x:c r="B682" s="2" t="n">
        <x:v>202508</x:v>
      </x:c>
      <x:c r="C682" s="2" t="str">
        <x:v>62052000</x:v>
      </x:c>
      <x:c r="D682" s="2" t="str">
        <x:v>Myanmar</x:v>
      </x:c>
      <x:c r="E682" s="14" t="n">
        <x:v>71047</x:v>
      </x:c>
      <x:c r="F682" s="14" t="n">
        <x:v>7597</x:v>
      </x:c>
      <x:c r="G682" s="2" t="str">
        <x:v>WITHIN_BAND</x:v>
      </x:c>
      <x:c r="H682" s="2" t="n">
        <x:v>1</x:v>
      </x:c>
      <x:c r="I682" s="2" t="n">
        <x:f>IF(AND(COUNTIFS($B$6:$B$797,B682,$C$6:$C$797,C682)=11,COUNTIFS($B$6:$B$797,B682,$C$6:$C$797,C682,$G$6:$G$797,"REVIEW")=0,COUNTIFS($B$6:$B$797,B682,$C$6:$C$797,C682,$H$6:$H$797,1)=11,COUNTIFS($B$6:$B$797,B682,$C$6:$C$797,C682,$F$6:$F$797,"&gt;0")=11),1,0)</x:f>
        <x:v>1</x:v>
      </x:c>
    </x:row>
    <x:row r="683" ht="22" customHeight="1">
      <x:c r="A683" s="2" t="str">
        <x:v>62052000_PK_202508_IMPORT</x:v>
      </x:c>
      <x:c r="B683" s="2" t="n">
        <x:v>202508</x:v>
      </x:c>
      <x:c r="C683" s="2" t="str">
        <x:v>62052000</x:v>
      </x:c>
      <x:c r="D683" s="2" t="str">
        <x:v>Pakistan</x:v>
      </x:c>
      <x:c r="E683" s="14" t="n">
        <x:v>50782</x:v>
      </x:c>
      <x:c r="F683" s="14" t="n">
        <x:v>3957</x:v>
      </x:c>
      <x:c r="G683" s="2" t="str">
        <x:v>WITHIN_BAND</x:v>
      </x:c>
      <x:c r="H683" s="2" t="n">
        <x:v>1</x:v>
      </x:c>
      <x:c r="I683" s="2" t="n">
        <x:f>IF(AND(COUNTIFS($B$6:$B$797,B683,$C$6:$C$797,C683)=11,COUNTIFS($B$6:$B$797,B683,$C$6:$C$797,C683,$G$6:$G$797,"REVIEW")=0,COUNTIFS($B$6:$B$797,B683,$C$6:$C$797,C683,$H$6:$H$797,1)=11,COUNTIFS($B$6:$B$797,B683,$C$6:$C$797,C683,$F$6:$F$797,"&gt;0")=11),1,0)</x:f>
        <x:v>1</x:v>
      </x:c>
    </x:row>
    <x:row r="684" ht="22" customHeight="1">
      <x:c r="A684" s="2" t="str">
        <x:v>62052000_LK_202508_IMPORT</x:v>
      </x:c>
      <x:c r="B684" s="2" t="n">
        <x:v>202508</x:v>
      </x:c>
      <x:c r="C684" s="2" t="str">
        <x:v>62052000</x:v>
      </x:c>
      <x:c r="D684" s="2" t="str">
        <x:v>Sri Lanka</x:v>
      </x:c>
      <x:c r="E684" s="14" t="n">
        <x:v>630651</x:v>
      </x:c>
      <x:c r="F684" s="14" t="n">
        <x:v>38745</x:v>
      </x:c>
      <x:c r="G684" s="2" t="str">
        <x:v>WITHIN_BAND</x:v>
      </x:c>
      <x:c r="H684" s="2" t="n">
        <x:v>1</x:v>
      </x:c>
      <x:c r="I684" s="2" t="n">
        <x:f>IF(AND(COUNTIFS($B$6:$B$797,B684,$C$6:$C$797,C684)=11,COUNTIFS($B$6:$B$797,B684,$C$6:$C$797,C684,$G$6:$G$797,"REVIEW")=0,COUNTIFS($B$6:$B$797,B684,$C$6:$C$797,C684,$H$6:$H$797,1)=11,COUNTIFS($B$6:$B$797,B684,$C$6:$C$797,C684,$F$6:$F$797,"&gt;0")=11),1,0)</x:f>
        <x:v>1</x:v>
      </x:c>
    </x:row>
    <x:row r="685" ht="22" customHeight="1">
      <x:c r="A685" s="2" t="str">
        <x:v>62052000_TR_202508_IMPORT</x:v>
      </x:c>
      <x:c r="B685" s="2" t="n">
        <x:v>202508</x:v>
      </x:c>
      <x:c r="C685" s="2" t="str">
        <x:v>62052000</x:v>
      </x:c>
      <x:c r="D685" s="2" t="str">
        <x:v>Turkey</x:v>
      </x:c>
      <x:c r="E685" s="14" t="n">
        <x:v>1217465</x:v>
      </x:c>
      <x:c r="F685" s="14" t="n">
        <x:v>31159</x:v>
      </x:c>
      <x:c r="G685" s="2" t="str">
        <x:v>WITHIN_BAND</x:v>
      </x:c>
      <x:c r="H685" s="2" t="n">
        <x:v>1</x:v>
      </x:c>
      <x:c r="I685" s="2" t="n">
        <x:f>IF(AND(COUNTIFS($B$6:$B$797,B685,$C$6:$C$797,C685)=11,COUNTIFS($B$6:$B$797,B685,$C$6:$C$797,C685,$G$6:$G$797,"REVIEW")=0,COUNTIFS($B$6:$B$797,B685,$C$6:$C$797,C685,$H$6:$H$797,1)=11,COUNTIFS($B$6:$B$797,B685,$C$6:$C$797,C685,$F$6:$F$797,"&gt;0")=11),1,0)</x:f>
        <x:v>1</x:v>
      </x:c>
    </x:row>
    <x:row r="686" ht="22" customHeight="1">
      <x:c r="A686" s="2" t="str">
        <x:v>62052000_VN_202508_IMPORT</x:v>
      </x:c>
      <x:c r="B686" s="2" t="n">
        <x:v>202508</x:v>
      </x:c>
      <x:c r="C686" s="2" t="str">
        <x:v>62052000</x:v>
      </x:c>
      <x:c r="D686" s="2" t="str">
        <x:v>Vietnam</x:v>
      </x:c>
      <x:c r="E686" s="14" t="n">
        <x:v>1127901</x:v>
      </x:c>
      <x:c r="F686" s="14" t="n">
        <x:v>38802</x:v>
      </x:c>
      <x:c r="G686" s="2" t="str">
        <x:v>WITHIN_BAND</x:v>
      </x:c>
      <x:c r="H686" s="2" t="n">
        <x:v>1</x:v>
      </x:c>
      <x:c r="I686" s="2" t="n">
        <x:f>IF(AND(COUNTIFS($B$6:$B$797,B686,$C$6:$C$797,C686)=11,COUNTIFS($B$6:$B$797,B686,$C$6:$C$797,C686,$G$6:$G$797,"REVIEW")=0,COUNTIFS($B$6:$B$797,B686,$C$6:$C$797,C686,$H$6:$H$797,1)=11,COUNTIFS($B$6:$B$797,B686,$C$6:$C$797,C686,$F$6:$F$797,"&gt;0")=11),1,0)</x:f>
        <x:v>1</x:v>
      </x:c>
    </x:row>
    <x:row r="687" ht="22" customHeight="1">
      <x:c r="A687" s="2" t="str">
        <x:v>62052000_WORLD_202508_IMPORT</x:v>
      </x:c>
      <x:c r="B687" s="2" t="n">
        <x:v>202508</x:v>
      </x:c>
      <x:c r="C687" s="2" t="str">
        <x:v>62052000</x:v>
      </x:c>
      <x:c r="D687" s="2" t="str">
        <x:v>World</x:v>
      </x:c>
      <x:c r="E687" s="14" t="n">
        <x:v>21524330</x:v>
      </x:c>
      <x:c r="F687" s="14" t="n">
        <x:v>870734</x:v>
      </x:c>
      <x:c r="G687" s="2" t="str">
        <x:v>WITHIN_BAND</x:v>
      </x:c>
      <x:c r="H687" s="2" t="n">
        <x:v>1</x:v>
      </x:c>
      <x:c r="I687" s="2" t="n">
        <x:f>IF(AND(COUNTIFS($B$6:$B$797,B687,$C$6:$C$797,C687)=11,COUNTIFS($B$6:$B$797,B687,$C$6:$C$797,C687,$G$6:$G$797,"REVIEW")=0,COUNTIFS($B$6:$B$797,B687,$C$6:$C$797,C687,$H$6:$H$797,1)=11,COUNTIFS($B$6:$B$797,B687,$C$6:$C$797,C687,$F$6:$F$797,"&gt;0")=11),1,0)</x:f>
        <x:v>1</x:v>
      </x:c>
    </x:row>
    <x:row r="688" ht="22" customHeight="1">
      <x:c r="A688" s="2" t="str">
        <x:v>62052000_BD_202509_IMPORT</x:v>
      </x:c>
      <x:c r="B688" s="2" t="n">
        <x:v>202509</x:v>
      </x:c>
      <x:c r="C688" s="2" t="str">
        <x:v>62052000</x:v>
      </x:c>
      <x:c r="D688" s="2" t="str">
        <x:v>Bangladesh</x:v>
      </x:c>
      <x:c r="E688" s="14" t="n">
        <x:v>7983866</x:v>
      </x:c>
      <x:c r="F688" s="14" t="n">
        <x:v>497313</x:v>
      </x:c>
      <x:c r="G688" s="2" t="str">
        <x:v>WITHIN_BAND</x:v>
      </x:c>
      <x:c r="H688" s="2" t="n">
        <x:v>1</x:v>
      </x:c>
      <x:c r="I688" s="2" t="n">
        <x:f>IF(AND(COUNTIFS($B$6:$B$797,B688,$C$6:$C$797,C688)=11,COUNTIFS($B$6:$B$797,B688,$C$6:$C$797,C688,$G$6:$G$797,"REVIEW")=0,COUNTIFS($B$6:$B$797,B688,$C$6:$C$797,C688,$H$6:$H$797,1)=11,COUNTIFS($B$6:$B$797,B688,$C$6:$C$797,C688,$F$6:$F$797,"&gt;0")=11),1,0)</x:f>
        <x:v>1</x:v>
      </x:c>
    </x:row>
    <x:row r="689" ht="22" customHeight="1">
      <x:c r="A689" s="2" t="str">
        <x:v>62052000_KH_202509_IMPORT</x:v>
      </x:c>
      <x:c r="B689" s="2" t="n">
        <x:v>202509</x:v>
      </x:c>
      <x:c r="C689" s="2" t="str">
        <x:v>62052000</x:v>
      </x:c>
      <x:c r="D689" s="2" t="str">
        <x:v>Cambodia</x:v>
      </x:c>
      <x:c r="E689" s="14" t="n">
        <x:v>1565005</x:v>
      </x:c>
      <x:c r="F689" s="14" t="n">
        <x:v>81178</x:v>
      </x:c>
      <x:c r="G689" s="2" t="str">
        <x:v>WITHIN_BAND</x:v>
      </x:c>
      <x:c r="H689" s="2" t="n">
        <x:v>1</x:v>
      </x:c>
      <x:c r="I689" s="2" t="n">
        <x:f>IF(AND(COUNTIFS($B$6:$B$797,B689,$C$6:$C$797,C689)=11,COUNTIFS($B$6:$B$797,B689,$C$6:$C$797,C689,$G$6:$G$797,"REVIEW")=0,COUNTIFS($B$6:$B$797,B689,$C$6:$C$797,C689,$H$6:$H$797,1)=11,COUNTIFS($B$6:$B$797,B689,$C$6:$C$797,C689,$F$6:$F$797,"&gt;0")=11),1,0)</x:f>
        <x:v>1</x:v>
      </x:c>
    </x:row>
    <x:row r="690" ht="22" customHeight="1">
      <x:c r="A690" s="2" t="str">
        <x:v>62052000_CN_202509_IMPORT</x:v>
      </x:c>
      <x:c r="B690" s="2" t="n">
        <x:v>202509</x:v>
      </x:c>
      <x:c r="C690" s="2" t="str">
        <x:v>62052000</x:v>
      </x:c>
      <x:c r="D690" s="2" t="str">
        <x:v>China</x:v>
      </x:c>
      <x:c r="E690" s="14" t="n">
        <x:v>1116666</x:v>
      </x:c>
      <x:c r="F690" s="14" t="n">
        <x:v>58399</x:v>
      </x:c>
      <x:c r="G690" s="2" t="str">
        <x:v>WITHIN_BAND</x:v>
      </x:c>
      <x:c r="H690" s="2" t="n">
        <x:v>1</x:v>
      </x:c>
      <x:c r="I690" s="2" t="n">
        <x:f>IF(AND(COUNTIFS($B$6:$B$797,B690,$C$6:$C$797,C690)=11,COUNTIFS($B$6:$B$797,B690,$C$6:$C$797,C690,$G$6:$G$797,"REVIEW")=0,COUNTIFS($B$6:$B$797,B690,$C$6:$C$797,C690,$H$6:$H$797,1)=11,COUNTIFS($B$6:$B$797,B690,$C$6:$C$797,C690,$F$6:$F$797,"&gt;0")=11),1,0)</x:f>
        <x:v>1</x:v>
      </x:c>
    </x:row>
    <x:row r="691" ht="22" customHeight="1">
      <x:c r="A691" s="2" t="str">
        <x:v>62052000_IN_202509_IMPORT</x:v>
      </x:c>
      <x:c r="B691" s="2" t="n">
        <x:v>202509</x:v>
      </x:c>
      <x:c r="C691" s="2" t="str">
        <x:v>62052000</x:v>
      </x:c>
      <x:c r="D691" s="2" t="str">
        <x:v>India</x:v>
      </x:c>
      <x:c r="E691" s="14" t="n">
        <x:v>2708941</x:v>
      </x:c>
      <x:c r="F691" s="14" t="n">
        <x:v>150288</x:v>
      </x:c>
      <x:c r="G691" s="2" t="str">
        <x:v>WITHIN_BAND</x:v>
      </x:c>
      <x:c r="H691" s="2" t="n">
        <x:v>1</x:v>
      </x:c>
      <x:c r="I691" s="2" t="n">
        <x:f>IF(AND(COUNTIFS($B$6:$B$797,B691,$C$6:$C$797,C691)=11,COUNTIFS($B$6:$B$797,B691,$C$6:$C$797,C691,$G$6:$G$797,"REVIEW")=0,COUNTIFS($B$6:$B$797,B691,$C$6:$C$797,C691,$H$6:$H$797,1)=11,COUNTIFS($B$6:$B$797,B691,$C$6:$C$797,C691,$F$6:$F$797,"&gt;0")=11),1,0)</x:f>
        <x:v>1</x:v>
      </x:c>
    </x:row>
    <x:row r="692" ht="22" customHeight="1">
      <x:c r="A692" s="2" t="str">
        <x:v>62052000_MA_202509_IMPORT</x:v>
      </x:c>
      <x:c r="B692" s="2" t="n">
        <x:v>202509</x:v>
      </x:c>
      <x:c r="C692" s="2" t="str">
        <x:v>62052000</x:v>
      </x:c>
      <x:c r="D692" s="2" t="str">
        <x:v>Morocco</x:v>
      </x:c>
      <x:c r="E692" s="14" t="n">
        <x:v>69824</x:v>
      </x:c>
      <x:c r="F692" s="14" t="n">
        <x:v>1931</x:v>
      </x:c>
      <x:c r="G692" s="2" t="str">
        <x:v>WITHIN_BAND</x:v>
      </x:c>
      <x:c r="H692" s="2" t="n">
        <x:v>1</x:v>
      </x:c>
      <x:c r="I692" s="2" t="n">
        <x:f>IF(AND(COUNTIFS($B$6:$B$797,B692,$C$6:$C$797,C692)=11,COUNTIFS($B$6:$B$797,B692,$C$6:$C$797,C692,$G$6:$G$797,"REVIEW")=0,COUNTIFS($B$6:$B$797,B692,$C$6:$C$797,C692,$H$6:$H$797,1)=11,COUNTIFS($B$6:$B$797,B692,$C$6:$C$797,C692,$F$6:$F$797,"&gt;0")=11),1,0)</x:f>
        <x:v>1</x:v>
      </x:c>
    </x:row>
    <x:row r="693" ht="22" customHeight="1">
      <x:c r="A693" s="2" t="str">
        <x:v>62052000_MM_202509_IMPORT</x:v>
      </x:c>
      <x:c r="B693" s="2" t="n">
        <x:v>202509</x:v>
      </x:c>
      <x:c r="C693" s="2" t="str">
        <x:v>62052000</x:v>
      </x:c>
      <x:c r="D693" s="2" t="str">
        <x:v>Myanmar</x:v>
      </x:c>
      <x:c r="E693" s="14" t="n">
        <x:v>57312</x:v>
      </x:c>
      <x:c r="F693" s="14" t="n">
        <x:v>3899</x:v>
      </x:c>
      <x:c r="G693" s="2" t="str">
        <x:v>WITHIN_BAND</x:v>
      </x:c>
      <x:c r="H693" s="2" t="n">
        <x:v>1</x:v>
      </x:c>
      <x:c r="I693" s="2" t="n">
        <x:f>IF(AND(COUNTIFS($B$6:$B$797,B693,$C$6:$C$797,C693)=11,COUNTIFS($B$6:$B$797,B693,$C$6:$C$797,C693,$G$6:$G$797,"REVIEW")=0,COUNTIFS($B$6:$B$797,B693,$C$6:$C$797,C693,$H$6:$H$797,1)=11,COUNTIFS($B$6:$B$797,B693,$C$6:$C$797,C693,$F$6:$F$797,"&gt;0")=11),1,0)</x:f>
        <x:v>1</x:v>
      </x:c>
    </x:row>
    <x:row r="694" ht="22" customHeight="1">
      <x:c r="A694" s="2" t="str">
        <x:v>62052000_PK_202509_IMPORT</x:v>
      </x:c>
      <x:c r="B694" s="2" t="n">
        <x:v>202509</x:v>
      </x:c>
      <x:c r="C694" s="2" t="str">
        <x:v>62052000</x:v>
      </x:c>
      <x:c r="D694" s="2" t="str">
        <x:v>Pakistan</x:v>
      </x:c>
      <x:c r="E694" s="14" t="n">
        <x:v>62224</x:v>
      </x:c>
      <x:c r="F694" s="14" t="n">
        <x:v>5212</x:v>
      </x:c>
      <x:c r="G694" s="2" t="str">
        <x:v>WITHIN_BAND</x:v>
      </x:c>
      <x:c r="H694" s="2" t="n">
        <x:v>1</x:v>
      </x:c>
      <x:c r="I694" s="2" t="n">
        <x:f>IF(AND(COUNTIFS($B$6:$B$797,B694,$C$6:$C$797,C694)=11,COUNTIFS($B$6:$B$797,B694,$C$6:$C$797,C694,$G$6:$G$797,"REVIEW")=0,COUNTIFS($B$6:$B$797,B694,$C$6:$C$797,C694,$H$6:$H$797,1)=11,COUNTIFS($B$6:$B$797,B694,$C$6:$C$797,C694,$F$6:$F$797,"&gt;0")=11),1,0)</x:f>
        <x:v>1</x:v>
      </x:c>
    </x:row>
    <x:row r="695" ht="22" customHeight="1">
      <x:c r="A695" s="2" t="str">
        <x:v>62052000_LK_202509_IMPORT</x:v>
      </x:c>
      <x:c r="B695" s="2" t="n">
        <x:v>202509</x:v>
      </x:c>
      <x:c r="C695" s="2" t="str">
        <x:v>62052000</x:v>
      </x:c>
      <x:c r="D695" s="2" t="str">
        <x:v>Sri Lanka</x:v>
      </x:c>
      <x:c r="E695" s="14" t="n">
        <x:v>201372</x:v>
      </x:c>
      <x:c r="F695" s="14" t="n">
        <x:v>10412</x:v>
      </x:c>
      <x:c r="G695" s="2" t="str">
        <x:v>WITHIN_BAND</x:v>
      </x:c>
      <x:c r="H695" s="2" t="n">
        <x:v>1</x:v>
      </x:c>
      <x:c r="I695" s="2" t="n">
        <x:f>IF(AND(COUNTIFS($B$6:$B$797,B695,$C$6:$C$797,C695)=11,COUNTIFS($B$6:$B$797,B695,$C$6:$C$797,C695,$G$6:$G$797,"REVIEW")=0,COUNTIFS($B$6:$B$797,B695,$C$6:$C$797,C695,$H$6:$H$797,1)=11,COUNTIFS($B$6:$B$797,B695,$C$6:$C$797,C695,$F$6:$F$797,"&gt;0")=11),1,0)</x:f>
        <x:v>1</x:v>
      </x:c>
    </x:row>
    <x:row r="696" ht="22" customHeight="1">
      <x:c r="A696" s="2" t="str">
        <x:v>62052000_TR_202509_IMPORT</x:v>
      </x:c>
      <x:c r="B696" s="2" t="n">
        <x:v>202509</x:v>
      </x:c>
      <x:c r="C696" s="2" t="str">
        <x:v>62052000</x:v>
      </x:c>
      <x:c r="D696" s="2" t="str">
        <x:v>Turkey</x:v>
      </x:c>
      <x:c r="E696" s="14" t="n">
        <x:v>1040945</x:v>
      </x:c>
      <x:c r="F696" s="14" t="n">
        <x:v>28815</x:v>
      </x:c>
      <x:c r="G696" s="2" t="str">
        <x:v>WITHIN_BAND</x:v>
      </x:c>
      <x:c r="H696" s="2" t="n">
        <x:v>1</x:v>
      </x:c>
      <x:c r="I696" s="2" t="n">
        <x:f>IF(AND(COUNTIFS($B$6:$B$797,B696,$C$6:$C$797,C696)=11,COUNTIFS($B$6:$B$797,B696,$C$6:$C$797,C696,$G$6:$G$797,"REVIEW")=0,COUNTIFS($B$6:$B$797,B696,$C$6:$C$797,C696,$H$6:$H$797,1)=11,COUNTIFS($B$6:$B$797,B696,$C$6:$C$797,C696,$F$6:$F$797,"&gt;0")=11),1,0)</x:f>
        <x:v>1</x:v>
      </x:c>
    </x:row>
    <x:row r="697" ht="22" customHeight="1">
      <x:c r="A697" s="2" t="str">
        <x:v>62052000_VN_202509_IMPORT</x:v>
      </x:c>
      <x:c r="B697" s="2" t="n">
        <x:v>202509</x:v>
      </x:c>
      <x:c r="C697" s="2" t="str">
        <x:v>62052000</x:v>
      </x:c>
      <x:c r="D697" s="2" t="str">
        <x:v>Vietnam</x:v>
      </x:c>
      <x:c r="E697" s="14" t="n">
        <x:v>1609534</x:v>
      </x:c>
      <x:c r="F697" s="14" t="n">
        <x:v>56922</x:v>
      </x:c>
      <x:c r="G697" s="2" t="str">
        <x:v>WITHIN_BAND</x:v>
      </x:c>
      <x:c r="H697" s="2" t="n">
        <x:v>1</x:v>
      </x:c>
      <x:c r="I697" s="2" t="n">
        <x:f>IF(AND(COUNTIFS($B$6:$B$797,B697,$C$6:$C$797,C697)=11,COUNTIFS($B$6:$B$797,B697,$C$6:$C$797,C697,$G$6:$G$797,"REVIEW")=0,COUNTIFS($B$6:$B$797,B697,$C$6:$C$797,C697,$H$6:$H$797,1)=11,COUNTIFS($B$6:$B$797,B697,$C$6:$C$797,C697,$F$6:$F$797,"&gt;0")=11),1,0)</x:f>
        <x:v>1</x:v>
      </x:c>
    </x:row>
    <x:row r="698" ht="22" customHeight="1">
      <x:c r="A698" s="2" t="str">
        <x:v>62052000_WORLD_202509_IMPORT</x:v>
      </x:c>
      <x:c r="B698" s="2" t="n">
        <x:v>202509</x:v>
      </x:c>
      <x:c r="C698" s="2" t="str">
        <x:v>62052000</x:v>
      </x:c>
      <x:c r="D698" s="2" t="str">
        <x:v>World</x:v>
      </x:c>
      <x:c r="E698" s="14" t="n">
        <x:v>24047530</x:v>
      </x:c>
      <x:c r="F698" s="14" t="n">
        <x:v>1046448</x:v>
      </x:c>
      <x:c r="G698" s="2" t="str">
        <x:v>WITHIN_BAND</x:v>
      </x:c>
      <x:c r="H698" s="2" t="n">
        <x:v>1</x:v>
      </x:c>
      <x:c r="I698" s="2" t="n">
        <x:f>IF(AND(COUNTIFS($B$6:$B$797,B698,$C$6:$C$797,C698)=11,COUNTIFS($B$6:$B$797,B698,$C$6:$C$797,C698,$G$6:$G$797,"REVIEW")=0,COUNTIFS($B$6:$B$797,B698,$C$6:$C$797,C698,$H$6:$H$797,1)=11,COUNTIFS($B$6:$B$797,B698,$C$6:$C$797,C698,$F$6:$F$797,"&gt;0")=11),1,0)</x:f>
        <x:v>1</x:v>
      </x:c>
    </x:row>
    <x:row r="699" ht="22" customHeight="1">
      <x:c r="A699" s="2" t="str">
        <x:v>62052000_BD_202510_IMPORT</x:v>
      </x:c>
      <x:c r="B699" s="2" t="n">
        <x:v>202510</x:v>
      </x:c>
      <x:c r="C699" s="2" t="str">
        <x:v>62052000</x:v>
      </x:c>
      <x:c r="D699" s="2" t="str">
        <x:v>Bangladesh</x:v>
      </x:c>
      <x:c r="E699" s="14" t="n">
        <x:v>8708228</x:v>
      </x:c>
      <x:c r="F699" s="14" t="n">
        <x:v>524177</x:v>
      </x:c>
      <x:c r="G699" s="2" t="str">
        <x:v>WITHIN_BAND</x:v>
      </x:c>
      <x:c r="H699" s="2" t="n">
        <x:v>1</x:v>
      </x:c>
      <x:c r="I699" s="2" t="n">
        <x:f>IF(AND(COUNTIFS($B$6:$B$797,B699,$C$6:$C$797,C699)=11,COUNTIFS($B$6:$B$797,B699,$C$6:$C$797,C699,$G$6:$G$797,"REVIEW")=0,COUNTIFS($B$6:$B$797,B699,$C$6:$C$797,C699,$H$6:$H$797,1)=11,COUNTIFS($B$6:$B$797,B699,$C$6:$C$797,C699,$F$6:$F$797,"&gt;0")=11),1,0)</x:f>
        <x:v>0</x:v>
      </x:c>
    </x:row>
    <x:row r="700" ht="22" customHeight="1">
      <x:c r="A700" s="2" t="str">
        <x:v>62052000_KH_202510_IMPORT</x:v>
      </x:c>
      <x:c r="B700" s="2" t="n">
        <x:v>202510</x:v>
      </x:c>
      <x:c r="C700" s="2" t="str">
        <x:v>62052000</x:v>
      </x:c>
      <x:c r="D700" s="2" t="str">
        <x:v>Cambodia</x:v>
      </x:c>
      <x:c r="E700" s="14" t="n">
        <x:v>1817166</x:v>
      </x:c>
      <x:c r="F700" s="14" t="n">
        <x:v>85507</x:v>
      </x:c>
      <x:c r="G700" s="2" t="str">
        <x:v>WITHIN_BAND</x:v>
      </x:c>
      <x:c r="H700" s="2" t="n">
        <x:v>1</x:v>
      </x:c>
      <x:c r="I700" s="2" t="n">
        <x:f>IF(AND(COUNTIFS($B$6:$B$797,B700,$C$6:$C$797,C700)=11,COUNTIFS($B$6:$B$797,B700,$C$6:$C$797,C700,$G$6:$G$797,"REVIEW")=0,COUNTIFS($B$6:$B$797,B700,$C$6:$C$797,C700,$H$6:$H$797,1)=11,COUNTIFS($B$6:$B$797,B700,$C$6:$C$797,C700,$F$6:$F$797,"&gt;0")=11),1,0)</x:f>
        <x:v>0</x:v>
      </x:c>
    </x:row>
    <x:row r="701" ht="22" customHeight="1">
      <x:c r="A701" s="2" t="str">
        <x:v>62052000_CN_202510_IMPORT</x:v>
      </x:c>
      <x:c r="B701" s="2" t="n">
        <x:v>202510</x:v>
      </x:c>
      <x:c r="C701" s="2" t="str">
        <x:v>62052000</x:v>
      </x:c>
      <x:c r="D701" s="2" t="str">
        <x:v>China</x:v>
      </x:c>
      <x:c r="E701" s="14" t="n">
        <x:v>879271</x:v>
      </x:c>
      <x:c r="F701" s="14" t="n">
        <x:v>47899</x:v>
      </x:c>
      <x:c r="G701" s="2" t="str">
        <x:v>WITHIN_BAND</x:v>
      </x:c>
      <x:c r="H701" s="2" t="n">
        <x:v>1</x:v>
      </x:c>
      <x:c r="I701" s="2" t="n">
        <x:f>IF(AND(COUNTIFS($B$6:$B$797,B701,$C$6:$C$797,C701)=11,COUNTIFS($B$6:$B$797,B701,$C$6:$C$797,C701,$G$6:$G$797,"REVIEW")=0,COUNTIFS($B$6:$B$797,B701,$C$6:$C$797,C701,$H$6:$H$797,1)=11,COUNTIFS($B$6:$B$797,B701,$C$6:$C$797,C701,$F$6:$F$797,"&gt;0")=11),1,0)</x:f>
        <x:v>0</x:v>
      </x:c>
    </x:row>
    <x:row r="702" ht="22" customHeight="1">
      <x:c r="A702" s="2" t="str">
        <x:v>62052000_IN_202510_IMPORT</x:v>
      </x:c>
      <x:c r="B702" s="2" t="n">
        <x:v>202510</x:v>
      </x:c>
      <x:c r="C702" s="2" t="str">
        <x:v>62052000</x:v>
      </x:c>
      <x:c r="D702" s="2" t="str">
        <x:v>India</x:v>
      </x:c>
      <x:c r="E702" s="14" t="n">
        <x:v>2100150</x:v>
      </x:c>
      <x:c r="F702" s="14" t="n">
        <x:v>104693</x:v>
      </x:c>
      <x:c r="G702" s="2" t="str">
        <x:v>WITHIN_BAND</x:v>
      </x:c>
      <x:c r="H702" s="2" t="n">
        <x:v>1</x:v>
      </x:c>
      <x:c r="I702" s="2" t="n">
        <x:f>IF(AND(COUNTIFS($B$6:$B$797,B702,$C$6:$C$797,C702)=11,COUNTIFS($B$6:$B$797,B702,$C$6:$C$797,C702,$G$6:$G$797,"REVIEW")=0,COUNTIFS($B$6:$B$797,B702,$C$6:$C$797,C702,$H$6:$H$797,1)=11,COUNTIFS($B$6:$B$797,B702,$C$6:$C$797,C702,$F$6:$F$797,"&gt;0")=11),1,0)</x:f>
        <x:v>0</x:v>
      </x:c>
    </x:row>
    <x:row r="703" ht="22" customHeight="1">
      <x:c r="A703" s="2" t="str">
        <x:v>62052000_MA_202510_IMPORT</x:v>
      </x:c>
      <x:c r="B703" s="2" t="n">
        <x:v>202510</x:v>
      </x:c>
      <x:c r="C703" s="2" t="str">
        <x:v>62052000</x:v>
      </x:c>
      <x:c r="D703" s="2" t="str">
        <x:v>Morocco</x:v>
      </x:c>
      <x:c r="E703" s="14" t="n">
        <x:v>57135</x:v>
      </x:c>
      <x:c r="F703" s="14" t="n">
        <x:v>1309</x:v>
      </x:c>
      <x:c r="G703" s="2" t="str">
        <x:v>WITHIN_BAND</x:v>
      </x:c>
      <x:c r="H703" s="2" t="n">
        <x:v>1</x:v>
      </x:c>
      <x:c r="I703" s="2" t="n">
        <x:f>IF(AND(COUNTIFS($B$6:$B$797,B703,$C$6:$C$797,C703)=11,COUNTIFS($B$6:$B$797,B703,$C$6:$C$797,C703,$G$6:$G$797,"REVIEW")=0,COUNTIFS($B$6:$B$797,B703,$C$6:$C$797,C703,$H$6:$H$797,1)=11,COUNTIFS($B$6:$B$797,B703,$C$6:$C$797,C703,$F$6:$F$797,"&gt;0")=11),1,0)</x:f>
        <x:v>0</x:v>
      </x:c>
    </x:row>
    <x:row r="704" ht="22" customHeight="1">
      <x:c r="A704" s="2" t="str">
        <x:v>62052000_MM_202510_IMPORT</x:v>
      </x:c>
      <x:c r="B704" s="2" t="n">
        <x:v>202510</x:v>
      </x:c>
      <x:c r="C704" s="2" t="str">
        <x:v>62052000</x:v>
      </x:c>
      <x:c r="D704" s="2" t="str">
        <x:v>Myanmar</x:v>
      </x:c>
      <x:c r="E704" s="14" t="n">
        <x:v>30762</x:v>
      </x:c>
      <x:c r="F704" s="14" t="n">
        <x:v>3608</x:v>
      </x:c>
      <x:c r="G704" s="2" t="str">
        <x:v>REVIEW</x:v>
      </x:c>
      <x:c r="H704" s="2" t="n">
        <x:v>1</x:v>
      </x:c>
      <x:c r="I704" s="2" t="n">
        <x:f>IF(AND(COUNTIFS($B$6:$B$797,B704,$C$6:$C$797,C704)=11,COUNTIFS($B$6:$B$797,B704,$C$6:$C$797,C704,$G$6:$G$797,"REVIEW")=0,COUNTIFS($B$6:$B$797,B704,$C$6:$C$797,C704,$H$6:$H$797,1)=11,COUNTIFS($B$6:$B$797,B704,$C$6:$C$797,C704,$F$6:$F$797,"&gt;0")=11),1,0)</x:f>
        <x:v>0</x:v>
      </x:c>
    </x:row>
    <x:row r="705" ht="22" customHeight="1">
      <x:c r="A705" s="2" t="str">
        <x:v>62052000_PK_202510_IMPORT</x:v>
      </x:c>
      <x:c r="B705" s="2" t="n">
        <x:v>202510</x:v>
      </x:c>
      <x:c r="C705" s="2" t="str">
        <x:v>62052000</x:v>
      </x:c>
      <x:c r="D705" s="2" t="str">
        <x:v>Pakistan</x:v>
      </x:c>
      <x:c r="E705" s="14" t="n">
        <x:v>86693</x:v>
      </x:c>
      <x:c r="F705" s="14" t="n">
        <x:v>5748</x:v>
      </x:c>
      <x:c r="G705" s="2" t="str">
        <x:v>WITHIN_BAND</x:v>
      </x:c>
      <x:c r="H705" s="2" t="n">
        <x:v>1</x:v>
      </x:c>
      <x:c r="I705" s="2" t="n">
        <x:f>IF(AND(COUNTIFS($B$6:$B$797,B705,$C$6:$C$797,C705)=11,COUNTIFS($B$6:$B$797,B705,$C$6:$C$797,C705,$G$6:$G$797,"REVIEW")=0,COUNTIFS($B$6:$B$797,B705,$C$6:$C$797,C705,$H$6:$H$797,1)=11,COUNTIFS($B$6:$B$797,B705,$C$6:$C$797,C705,$F$6:$F$797,"&gt;0")=11),1,0)</x:f>
        <x:v>0</x:v>
      </x:c>
    </x:row>
    <x:row r="706" ht="22" customHeight="1">
      <x:c r="A706" s="2" t="str">
        <x:v>62052000_LK_202510_IMPORT</x:v>
      </x:c>
      <x:c r="B706" s="2" t="n">
        <x:v>202510</x:v>
      </x:c>
      <x:c r="C706" s="2" t="str">
        <x:v>62052000</x:v>
      </x:c>
      <x:c r="D706" s="2" t="str">
        <x:v>Sri Lanka</x:v>
      </x:c>
      <x:c r="E706" s="14" t="n">
        <x:v>441736</x:v>
      </x:c>
      <x:c r="F706" s="14" t="n">
        <x:v>25775</x:v>
      </x:c>
      <x:c r="G706" s="2" t="str">
        <x:v>WITHIN_BAND</x:v>
      </x:c>
      <x:c r="H706" s="2" t="n">
        <x:v>1</x:v>
      </x:c>
      <x:c r="I706" s="2" t="n">
        <x:f>IF(AND(COUNTIFS($B$6:$B$797,B706,$C$6:$C$797,C706)=11,COUNTIFS($B$6:$B$797,B706,$C$6:$C$797,C706,$G$6:$G$797,"REVIEW")=0,COUNTIFS($B$6:$B$797,B706,$C$6:$C$797,C706,$H$6:$H$797,1)=11,COUNTIFS($B$6:$B$797,B706,$C$6:$C$797,C706,$F$6:$F$797,"&gt;0")=11),1,0)</x:f>
        <x:v>0</x:v>
      </x:c>
    </x:row>
    <x:row r="707" ht="22" customHeight="1">
      <x:c r="A707" s="2" t="str">
        <x:v>62052000_TR_202510_IMPORT</x:v>
      </x:c>
      <x:c r="B707" s="2" t="n">
        <x:v>202510</x:v>
      </x:c>
      <x:c r="C707" s="2" t="str">
        <x:v>62052000</x:v>
      </x:c>
      <x:c r="D707" s="2" t="str">
        <x:v>Turkey</x:v>
      </x:c>
      <x:c r="E707" s="14" t="n">
        <x:v>1092544</x:v>
      </x:c>
      <x:c r="F707" s="14" t="n">
        <x:v>32544</x:v>
      </x:c>
      <x:c r="G707" s="2" t="str">
        <x:v>WITHIN_BAND</x:v>
      </x:c>
      <x:c r="H707" s="2" t="n">
        <x:v>1</x:v>
      </x:c>
      <x:c r="I707" s="2" t="n">
        <x:f>IF(AND(COUNTIFS($B$6:$B$797,B707,$C$6:$C$797,C707)=11,COUNTIFS($B$6:$B$797,B707,$C$6:$C$797,C707,$G$6:$G$797,"REVIEW")=0,COUNTIFS($B$6:$B$797,B707,$C$6:$C$797,C707,$H$6:$H$797,1)=11,COUNTIFS($B$6:$B$797,B707,$C$6:$C$797,C707,$F$6:$F$797,"&gt;0")=11),1,0)</x:f>
        <x:v>0</x:v>
      </x:c>
    </x:row>
    <x:row r="708" ht="22" customHeight="1">
      <x:c r="A708" s="2" t="str">
        <x:v>62052000_VN_202510_IMPORT</x:v>
      </x:c>
      <x:c r="B708" s="2" t="n">
        <x:v>202510</x:v>
      </x:c>
      <x:c r="C708" s="2" t="str">
        <x:v>62052000</x:v>
      </x:c>
      <x:c r="D708" s="2" t="str">
        <x:v>Vietnam</x:v>
      </x:c>
      <x:c r="E708" s="14" t="n">
        <x:v>1341526</x:v>
      </x:c>
      <x:c r="F708" s="14" t="n">
        <x:v>49143</x:v>
      </x:c>
      <x:c r="G708" s="2" t="str">
        <x:v>WITHIN_BAND</x:v>
      </x:c>
      <x:c r="H708" s="2" t="n">
        <x:v>1</x:v>
      </x:c>
      <x:c r="I708" s="2" t="n">
        <x:f>IF(AND(COUNTIFS($B$6:$B$797,B708,$C$6:$C$797,C708)=11,COUNTIFS($B$6:$B$797,B708,$C$6:$C$797,C708,$G$6:$G$797,"REVIEW")=0,COUNTIFS($B$6:$B$797,B708,$C$6:$C$797,C708,$H$6:$H$797,1)=11,COUNTIFS($B$6:$B$797,B708,$C$6:$C$797,C708,$F$6:$F$797,"&gt;0")=11),1,0)</x:f>
        <x:v>0</x:v>
      </x:c>
    </x:row>
    <x:row r="709" ht="22" customHeight="1">
      <x:c r="A709" s="2" t="str">
        <x:v>62052000_WORLD_202510_IMPORT</x:v>
      </x:c>
      <x:c r="B709" s="2" t="n">
        <x:v>202510</x:v>
      </x:c>
      <x:c r="C709" s="2" t="str">
        <x:v>62052000</x:v>
      </x:c>
      <x:c r="D709" s="2" t="str">
        <x:v>World</x:v>
      </x:c>
      <x:c r="E709" s="14" t="n">
        <x:v>24639571</x:v>
      </x:c>
      <x:c r="F709" s="14" t="n">
        <x:v>1046047</x:v>
      </x:c>
      <x:c r="G709" s="2" t="str">
        <x:v>WITHIN_BAND</x:v>
      </x:c>
      <x:c r="H709" s="2" t="n">
        <x:v>1</x:v>
      </x:c>
      <x:c r="I709" s="2" t="n">
        <x:f>IF(AND(COUNTIFS($B$6:$B$797,B709,$C$6:$C$797,C709)=11,COUNTIFS($B$6:$B$797,B709,$C$6:$C$797,C709,$G$6:$G$797,"REVIEW")=0,COUNTIFS($B$6:$B$797,B709,$C$6:$C$797,C709,$H$6:$H$797,1)=11,COUNTIFS($B$6:$B$797,B709,$C$6:$C$797,C709,$F$6:$F$797,"&gt;0")=11),1,0)</x:f>
        <x:v>0</x:v>
      </x:c>
    </x:row>
    <x:row r="710" ht="22" customHeight="1">
      <x:c r="A710" s="2" t="str">
        <x:v>62052000_BD_202511_IMPORT</x:v>
      </x:c>
      <x:c r="B710" s="2" t="n">
        <x:v>202511</x:v>
      </x:c>
      <x:c r="C710" s="2" t="str">
        <x:v>62052000</x:v>
      </x:c>
      <x:c r="D710" s="2" t="str">
        <x:v>Bangladesh</x:v>
      </x:c>
      <x:c r="E710" s="14" t="n">
        <x:v>5446978</x:v>
      </x:c>
      <x:c r="F710" s="14" t="n">
        <x:v>359619</x:v>
      </x:c>
      <x:c r="G710" s="2" t="str">
        <x:v>WITHIN_BAND</x:v>
      </x:c>
      <x:c r="H710" s="2" t="n">
        <x:v>1</x:v>
      </x:c>
      <x:c r="I710" s="2" t="n">
        <x:f>IF(AND(COUNTIFS($B$6:$B$797,B710,$C$6:$C$797,C710)=11,COUNTIFS($B$6:$B$797,B710,$C$6:$C$797,C710,$G$6:$G$797,"REVIEW")=0,COUNTIFS($B$6:$B$797,B710,$C$6:$C$797,C710,$H$6:$H$797,1)=11,COUNTIFS($B$6:$B$797,B710,$C$6:$C$797,C710,$F$6:$F$797,"&gt;0")=11),1,0)</x:f>
        <x:v>1</x:v>
      </x:c>
    </x:row>
    <x:row r="711" ht="22" customHeight="1">
      <x:c r="A711" s="2" t="str">
        <x:v>62052000_KH_202511_IMPORT</x:v>
      </x:c>
      <x:c r="B711" s="2" t="n">
        <x:v>202511</x:v>
      </x:c>
      <x:c r="C711" s="2" t="str">
        <x:v>62052000</x:v>
      </x:c>
      <x:c r="D711" s="2" t="str">
        <x:v>Cambodia</x:v>
      </x:c>
      <x:c r="E711" s="14" t="n">
        <x:v>585756</x:v>
      </x:c>
      <x:c r="F711" s="14" t="n">
        <x:v>32846</x:v>
      </x:c>
      <x:c r="G711" s="2" t="str">
        <x:v>WITHIN_BAND</x:v>
      </x:c>
      <x:c r="H711" s="2" t="n">
        <x:v>1</x:v>
      </x:c>
      <x:c r="I711" s="2" t="n">
        <x:f>IF(AND(COUNTIFS($B$6:$B$797,B711,$C$6:$C$797,C711)=11,COUNTIFS($B$6:$B$797,B711,$C$6:$C$797,C711,$G$6:$G$797,"REVIEW")=0,COUNTIFS($B$6:$B$797,B711,$C$6:$C$797,C711,$H$6:$H$797,1)=11,COUNTIFS($B$6:$B$797,B711,$C$6:$C$797,C711,$F$6:$F$797,"&gt;0")=11),1,0)</x:f>
        <x:v>1</x:v>
      </x:c>
    </x:row>
    <x:row r="712" ht="22" customHeight="1">
      <x:c r="A712" s="2" t="str">
        <x:v>62052000_CN_202511_IMPORT</x:v>
      </x:c>
      <x:c r="B712" s="2" t="n">
        <x:v>202511</x:v>
      </x:c>
      <x:c r="C712" s="2" t="str">
        <x:v>62052000</x:v>
      </x:c>
      <x:c r="D712" s="2" t="str">
        <x:v>China</x:v>
      </x:c>
      <x:c r="E712" s="14" t="n">
        <x:v>730082</x:v>
      </x:c>
      <x:c r="F712" s="14" t="n">
        <x:v>42501</x:v>
      </x:c>
      <x:c r="G712" s="2" t="str">
        <x:v>WITHIN_BAND</x:v>
      </x:c>
      <x:c r="H712" s="2" t="n">
        <x:v>1</x:v>
      </x:c>
      <x:c r="I712" s="2" t="n">
        <x:f>IF(AND(COUNTIFS($B$6:$B$797,B712,$C$6:$C$797,C712)=11,COUNTIFS($B$6:$B$797,B712,$C$6:$C$797,C712,$G$6:$G$797,"REVIEW")=0,COUNTIFS($B$6:$B$797,B712,$C$6:$C$797,C712,$H$6:$H$797,1)=11,COUNTIFS($B$6:$B$797,B712,$C$6:$C$797,C712,$F$6:$F$797,"&gt;0")=11),1,0)</x:f>
        <x:v>1</x:v>
      </x:c>
    </x:row>
    <x:row r="713" ht="22" customHeight="1">
      <x:c r="A713" s="2" t="str">
        <x:v>62052000_IN_202511_IMPORT</x:v>
      </x:c>
      <x:c r="B713" s="2" t="n">
        <x:v>202511</x:v>
      </x:c>
      <x:c r="C713" s="2" t="str">
        <x:v>62052000</x:v>
      </x:c>
      <x:c r="D713" s="2" t="str">
        <x:v>India</x:v>
      </x:c>
      <x:c r="E713" s="14" t="n">
        <x:v>1534616</x:v>
      </x:c>
      <x:c r="F713" s="14" t="n">
        <x:v>85011</x:v>
      </x:c>
      <x:c r="G713" s="2" t="str">
        <x:v>WITHIN_BAND</x:v>
      </x:c>
      <x:c r="H713" s="2" t="n">
        <x:v>1</x:v>
      </x:c>
      <x:c r="I713" s="2" t="n">
        <x:f>IF(AND(COUNTIFS($B$6:$B$797,B713,$C$6:$C$797,C713)=11,COUNTIFS($B$6:$B$797,B713,$C$6:$C$797,C713,$G$6:$G$797,"REVIEW")=0,COUNTIFS($B$6:$B$797,B713,$C$6:$C$797,C713,$H$6:$H$797,1)=11,COUNTIFS($B$6:$B$797,B713,$C$6:$C$797,C713,$F$6:$F$797,"&gt;0")=11),1,0)</x:f>
        <x:v>1</x:v>
      </x:c>
    </x:row>
    <x:row r="714" ht="22" customHeight="1">
      <x:c r="A714" s="2" t="str">
        <x:v>62052000_MA_202511_IMPORT</x:v>
      </x:c>
      <x:c r="B714" s="2" t="n">
        <x:v>202511</x:v>
      </x:c>
      <x:c r="C714" s="2" t="str">
        <x:v>62052000</x:v>
      </x:c>
      <x:c r="D714" s="2" t="str">
        <x:v>Morocco</x:v>
      </x:c>
      <x:c r="E714" s="14" t="n">
        <x:v>137945</x:v>
      </x:c>
      <x:c r="F714" s="14" t="n">
        <x:v>3666</x:v>
      </x:c>
      <x:c r="G714" s="2" t="str">
        <x:v>WITHIN_BAND</x:v>
      </x:c>
      <x:c r="H714" s="2" t="n">
        <x:v>1</x:v>
      </x:c>
      <x:c r="I714" s="2" t="n">
        <x:f>IF(AND(COUNTIFS($B$6:$B$797,B714,$C$6:$C$797,C714)=11,COUNTIFS($B$6:$B$797,B714,$C$6:$C$797,C714,$G$6:$G$797,"REVIEW")=0,COUNTIFS($B$6:$B$797,B714,$C$6:$C$797,C714,$H$6:$H$797,1)=11,COUNTIFS($B$6:$B$797,B714,$C$6:$C$797,C714,$F$6:$F$797,"&gt;0")=11),1,0)</x:f>
        <x:v>1</x:v>
      </x:c>
    </x:row>
    <x:row r="715" ht="22" customHeight="1">
      <x:c r="A715" s="2" t="str">
        <x:v>62052000_MM_202511_IMPORT</x:v>
      </x:c>
      <x:c r="B715" s="2" t="n">
        <x:v>202511</x:v>
      </x:c>
      <x:c r="C715" s="2" t="str">
        <x:v>62052000</x:v>
      </x:c>
      <x:c r="D715" s="2" t="str">
        <x:v>Myanmar</x:v>
      </x:c>
      <x:c r="E715" s="14" t="n">
        <x:v>30383</x:v>
      </x:c>
      <x:c r="F715" s="14" t="n">
        <x:v>3301</x:v>
      </x:c>
      <x:c r="G715" s="2" t="str">
        <x:v>WITHIN_BAND</x:v>
      </x:c>
      <x:c r="H715" s="2" t="n">
        <x:v>1</x:v>
      </x:c>
      <x:c r="I715" s="2" t="n">
        <x:f>IF(AND(COUNTIFS($B$6:$B$797,B715,$C$6:$C$797,C715)=11,COUNTIFS($B$6:$B$797,B715,$C$6:$C$797,C715,$G$6:$G$797,"REVIEW")=0,COUNTIFS($B$6:$B$797,B715,$C$6:$C$797,C715,$H$6:$H$797,1)=11,COUNTIFS($B$6:$B$797,B715,$C$6:$C$797,C715,$F$6:$F$797,"&gt;0")=11),1,0)</x:f>
        <x:v>1</x:v>
      </x:c>
    </x:row>
    <x:row r="716" ht="22" customHeight="1">
      <x:c r="A716" s="2" t="str">
        <x:v>62052000_PK_202511_IMPORT</x:v>
      </x:c>
      <x:c r="B716" s="2" t="n">
        <x:v>202511</x:v>
      </x:c>
      <x:c r="C716" s="2" t="str">
        <x:v>62052000</x:v>
      </x:c>
      <x:c r="D716" s="2" t="str">
        <x:v>Pakistan</x:v>
      </x:c>
      <x:c r="E716" s="14" t="n">
        <x:v>38129</x:v>
      </x:c>
      <x:c r="F716" s="14" t="n">
        <x:v>5085</x:v>
      </x:c>
      <x:c r="G716" s="2" t="str">
        <x:v>WITHIN_BAND</x:v>
      </x:c>
      <x:c r="H716" s="2" t="n">
        <x:v>1</x:v>
      </x:c>
      <x:c r="I716" s="2" t="n">
        <x:f>IF(AND(COUNTIFS($B$6:$B$797,B716,$C$6:$C$797,C716)=11,COUNTIFS($B$6:$B$797,B716,$C$6:$C$797,C716,$G$6:$G$797,"REVIEW")=0,COUNTIFS($B$6:$B$797,B716,$C$6:$C$797,C716,$H$6:$H$797,1)=11,COUNTIFS($B$6:$B$797,B716,$C$6:$C$797,C716,$F$6:$F$797,"&gt;0")=11),1,0)</x:f>
        <x:v>1</x:v>
      </x:c>
    </x:row>
    <x:row r="717" ht="22" customHeight="1">
      <x:c r="A717" s="2" t="str">
        <x:v>62052000_LK_202511_IMPORT</x:v>
      </x:c>
      <x:c r="B717" s="2" t="n">
        <x:v>202511</x:v>
      </x:c>
      <x:c r="C717" s="2" t="str">
        <x:v>62052000</x:v>
      </x:c>
      <x:c r="D717" s="2" t="str">
        <x:v>Sri Lanka</x:v>
      </x:c>
      <x:c r="E717" s="14" t="n">
        <x:v>296317</x:v>
      </x:c>
      <x:c r="F717" s="14" t="n">
        <x:v>16552</x:v>
      </x:c>
      <x:c r="G717" s="2" t="str">
        <x:v>WITHIN_BAND</x:v>
      </x:c>
      <x:c r="H717" s="2" t="n">
        <x:v>1</x:v>
      </x:c>
      <x:c r="I717" s="2" t="n">
        <x:f>IF(AND(COUNTIFS($B$6:$B$797,B717,$C$6:$C$797,C717)=11,COUNTIFS($B$6:$B$797,B717,$C$6:$C$797,C717,$G$6:$G$797,"REVIEW")=0,COUNTIFS($B$6:$B$797,B717,$C$6:$C$797,C717,$H$6:$H$797,1)=11,COUNTIFS($B$6:$B$797,B717,$C$6:$C$797,C717,$F$6:$F$797,"&gt;0")=11),1,0)</x:f>
        <x:v>1</x:v>
      </x:c>
    </x:row>
    <x:row r="718" ht="22" customHeight="1">
      <x:c r="A718" s="2" t="str">
        <x:v>62052000_TR_202511_IMPORT</x:v>
      </x:c>
      <x:c r="B718" s="2" t="n">
        <x:v>202511</x:v>
      </x:c>
      <x:c r="C718" s="2" t="str">
        <x:v>62052000</x:v>
      </x:c>
      <x:c r="D718" s="2" t="str">
        <x:v>Turkey</x:v>
      </x:c>
      <x:c r="E718" s="14" t="n">
        <x:v>878189</x:v>
      </x:c>
      <x:c r="F718" s="14" t="n">
        <x:v>20661</x:v>
      </x:c>
      <x:c r="G718" s="2" t="str">
        <x:v>WITHIN_BAND</x:v>
      </x:c>
      <x:c r="H718" s="2" t="n">
        <x:v>1</x:v>
      </x:c>
      <x:c r="I718" s="2" t="n">
        <x:f>IF(AND(COUNTIFS($B$6:$B$797,B718,$C$6:$C$797,C718)=11,COUNTIFS($B$6:$B$797,B718,$C$6:$C$797,C718,$G$6:$G$797,"REVIEW")=0,COUNTIFS($B$6:$B$797,B718,$C$6:$C$797,C718,$H$6:$H$797,1)=11,COUNTIFS($B$6:$B$797,B718,$C$6:$C$797,C718,$F$6:$F$797,"&gt;0")=11),1,0)</x:f>
        <x:v>1</x:v>
      </x:c>
    </x:row>
    <x:row r="719" ht="22" customHeight="1">
      <x:c r="A719" s="2" t="str">
        <x:v>62052000_VN_202511_IMPORT</x:v>
      </x:c>
      <x:c r="B719" s="2" t="n">
        <x:v>202511</x:v>
      </x:c>
      <x:c r="C719" s="2" t="str">
        <x:v>62052000</x:v>
      </x:c>
      <x:c r="D719" s="2" t="str">
        <x:v>Vietnam</x:v>
      </x:c>
      <x:c r="E719" s="14" t="n">
        <x:v>1571395</x:v>
      </x:c>
      <x:c r="F719" s="14" t="n">
        <x:v>50223</x:v>
      </x:c>
      <x:c r="G719" s="2" t="str">
        <x:v>WITHIN_BAND</x:v>
      </x:c>
      <x:c r="H719" s="2" t="n">
        <x:v>1</x:v>
      </x:c>
      <x:c r="I719" s="2" t="n">
        <x:f>IF(AND(COUNTIFS($B$6:$B$797,B719,$C$6:$C$797,C719)=11,COUNTIFS($B$6:$B$797,B719,$C$6:$C$797,C719,$G$6:$G$797,"REVIEW")=0,COUNTIFS($B$6:$B$797,B719,$C$6:$C$797,C719,$H$6:$H$797,1)=11,COUNTIFS($B$6:$B$797,B719,$C$6:$C$797,C719,$F$6:$F$797,"&gt;0")=11),1,0)</x:f>
        <x:v>1</x:v>
      </x:c>
    </x:row>
    <x:row r="720" ht="22" customHeight="1">
      <x:c r="A720" s="2" t="str">
        <x:v>62052000_WORLD_202511_IMPORT</x:v>
      </x:c>
      <x:c r="B720" s="2" t="n">
        <x:v>202511</x:v>
      </x:c>
      <x:c r="C720" s="2" t="str">
        <x:v>62052000</x:v>
      </x:c>
      <x:c r="D720" s="2" t="str">
        <x:v>World</x:v>
      </x:c>
      <x:c r="E720" s="14" t="n">
        <x:v>17808006</x:v>
      </x:c>
      <x:c r="F720" s="14" t="n">
        <x:v>741586</x:v>
      </x:c>
      <x:c r="G720" s="2" t="str">
        <x:v>WITHIN_BAND</x:v>
      </x:c>
      <x:c r="H720" s="2" t="n">
        <x:v>1</x:v>
      </x:c>
      <x:c r="I720" s="2" t="n">
        <x:f>IF(AND(COUNTIFS($B$6:$B$797,B720,$C$6:$C$797,C720)=11,COUNTIFS($B$6:$B$797,B720,$C$6:$C$797,C720,$G$6:$G$797,"REVIEW")=0,COUNTIFS($B$6:$B$797,B720,$C$6:$C$797,C720,$H$6:$H$797,1)=11,COUNTIFS($B$6:$B$797,B720,$C$6:$C$797,C720,$F$6:$F$797,"&gt;0")=11),1,0)</x:f>
        <x:v>1</x:v>
      </x:c>
    </x:row>
    <x:row r="721" ht="22" customHeight="1">
      <x:c r="A721" s="2" t="str">
        <x:v>62052000_BD_202512_IMPORT</x:v>
      </x:c>
      <x:c r="B721" s="2" t="n">
        <x:v>202512</x:v>
      </x:c>
      <x:c r="C721" s="2" t="str">
        <x:v>62052000</x:v>
      </x:c>
      <x:c r="D721" s="2" t="str">
        <x:v>Bangladesh</x:v>
      </x:c>
      <x:c r="E721" s="14" t="n">
        <x:v>5766530</x:v>
      </x:c>
      <x:c r="F721" s="14" t="n">
        <x:v>353265</x:v>
      </x:c>
      <x:c r="G721" s="2" t="str">
        <x:v>WITHIN_BAND</x:v>
      </x:c>
      <x:c r="H721" s="2" t="n">
        <x:v>1</x:v>
      </x:c>
      <x:c r="I721" s="2" t="n">
        <x:f>IF(AND(COUNTIFS($B$6:$B$797,B721,$C$6:$C$797,C721)=11,COUNTIFS($B$6:$B$797,B721,$C$6:$C$797,C721,$G$6:$G$797,"REVIEW")=0,COUNTIFS($B$6:$B$797,B721,$C$6:$C$797,C721,$H$6:$H$797,1)=11,COUNTIFS($B$6:$B$797,B721,$C$6:$C$797,C721,$F$6:$F$797,"&gt;0")=11),1,0)</x:f>
        <x:v>0</x:v>
      </x:c>
    </x:row>
    <x:row r="722" ht="22" customHeight="1">
      <x:c r="A722" s="2" t="str">
        <x:v>62052000_KH_202512_IMPORT</x:v>
      </x:c>
      <x:c r="B722" s="2" t="n">
        <x:v>202512</x:v>
      </x:c>
      <x:c r="C722" s="2" t="str">
        <x:v>62052000</x:v>
      </x:c>
      <x:c r="D722" s="2" t="str">
        <x:v>Cambodia</x:v>
      </x:c>
      <x:c r="E722" s="14" t="n">
        <x:v>1482774</x:v>
      </x:c>
      <x:c r="F722" s="14" t="n">
        <x:v>60718</x:v>
      </x:c>
      <x:c r="G722" s="2" t="str">
        <x:v>WITHIN_BAND</x:v>
      </x:c>
      <x:c r="H722" s="2" t="n">
        <x:v>1</x:v>
      </x:c>
      <x:c r="I722" s="2" t="n">
        <x:f>IF(AND(COUNTIFS($B$6:$B$797,B722,$C$6:$C$797,C722)=11,COUNTIFS($B$6:$B$797,B722,$C$6:$C$797,C722,$G$6:$G$797,"REVIEW")=0,COUNTIFS($B$6:$B$797,B722,$C$6:$C$797,C722,$H$6:$H$797,1)=11,COUNTIFS($B$6:$B$797,B722,$C$6:$C$797,C722,$F$6:$F$797,"&gt;0")=11),1,0)</x:f>
        <x:v>0</x:v>
      </x:c>
    </x:row>
    <x:row r="723" ht="22" customHeight="1">
      <x:c r="A723" s="2" t="str">
        <x:v>62052000_CN_202512_IMPORT</x:v>
      </x:c>
      <x:c r="B723" s="2" t="n">
        <x:v>202512</x:v>
      </x:c>
      <x:c r="C723" s="2" t="str">
        <x:v>62052000</x:v>
      </x:c>
      <x:c r="D723" s="2" t="str">
        <x:v>China</x:v>
      </x:c>
      <x:c r="E723" s="14" t="n">
        <x:v>484351</x:v>
      </x:c>
      <x:c r="F723" s="14" t="n">
        <x:v>23409</x:v>
      </x:c>
      <x:c r="G723" s="2" t="str">
        <x:v>WITHIN_BAND</x:v>
      </x:c>
      <x:c r="H723" s="2" t="n">
        <x:v>1</x:v>
      </x:c>
      <x:c r="I723" s="2" t="n">
        <x:f>IF(AND(COUNTIFS($B$6:$B$797,B723,$C$6:$C$797,C723)=11,COUNTIFS($B$6:$B$797,B723,$C$6:$C$797,C723,$G$6:$G$797,"REVIEW")=0,COUNTIFS($B$6:$B$797,B723,$C$6:$C$797,C723,$H$6:$H$797,1)=11,COUNTIFS($B$6:$B$797,B723,$C$6:$C$797,C723,$F$6:$F$797,"&gt;0")=11),1,0)</x:f>
        <x:v>0</x:v>
      </x:c>
    </x:row>
    <x:row r="724" ht="22" customHeight="1">
      <x:c r="A724" s="2" t="str">
        <x:v>62052000_IN_202512_IMPORT</x:v>
      </x:c>
      <x:c r="B724" s="2" t="n">
        <x:v>202512</x:v>
      </x:c>
      <x:c r="C724" s="2" t="str">
        <x:v>62052000</x:v>
      </x:c>
      <x:c r="D724" s="2" t="str">
        <x:v>India</x:v>
      </x:c>
      <x:c r="E724" s="14" t="n">
        <x:v>2017497</x:v>
      </x:c>
      <x:c r="F724" s="14" t="n">
        <x:v>92876</x:v>
      </x:c>
      <x:c r="G724" s="2" t="str">
        <x:v>WITHIN_BAND</x:v>
      </x:c>
      <x:c r="H724" s="2" t="n">
        <x:v>1</x:v>
      </x:c>
      <x:c r="I724" s="2" t="n">
        <x:f>IF(AND(COUNTIFS($B$6:$B$797,B724,$C$6:$C$797,C724)=11,COUNTIFS($B$6:$B$797,B724,$C$6:$C$797,C724,$G$6:$G$797,"REVIEW")=0,COUNTIFS($B$6:$B$797,B724,$C$6:$C$797,C724,$H$6:$H$797,1)=11,COUNTIFS($B$6:$B$797,B724,$C$6:$C$797,C724,$F$6:$F$797,"&gt;0")=11),1,0)</x:f>
        <x:v>0</x:v>
      </x:c>
    </x:row>
    <x:row r="725" ht="22" customHeight="1">
      <x:c r="A725" s="2" t="str">
        <x:v>62052000_MA_202512_IMPORT</x:v>
      </x:c>
      <x:c r="B725" s="2" t="n">
        <x:v>202512</x:v>
      </x:c>
      <x:c r="C725" s="2" t="str">
        <x:v>62052000</x:v>
      </x:c>
      <x:c r="D725" s="2" t="str">
        <x:v>Morocco</x:v>
      </x:c>
      <x:c r="E725" s="14" t="n">
        <x:v>129579</x:v>
      </x:c>
      <x:c r="F725" s="14" t="n">
        <x:v>3478</x:v>
      </x:c>
      <x:c r="G725" s="2" t="str">
        <x:v>WITHIN_BAND</x:v>
      </x:c>
      <x:c r="H725" s="2" t="n">
        <x:v>1</x:v>
      </x:c>
      <x:c r="I725" s="2" t="n">
        <x:f>IF(AND(COUNTIFS($B$6:$B$797,B725,$C$6:$C$797,C725)=11,COUNTIFS($B$6:$B$797,B725,$C$6:$C$797,C725,$G$6:$G$797,"REVIEW")=0,COUNTIFS($B$6:$B$797,B725,$C$6:$C$797,C725,$H$6:$H$797,1)=11,COUNTIFS($B$6:$B$797,B725,$C$6:$C$797,C725,$F$6:$F$797,"&gt;0")=11),1,0)</x:f>
        <x:v>0</x:v>
      </x:c>
    </x:row>
    <x:row r="726" ht="22" customHeight="1">
      <x:c r="A726" s="2" t="str">
        <x:v>62052000_MM_202512_IMPORT</x:v>
      </x:c>
      <x:c r="B726" s="2" t="n">
        <x:v>202512</x:v>
      </x:c>
      <x:c r="C726" s="2" t="str">
        <x:v>62052000</x:v>
      </x:c>
      <x:c r="D726" s="2" t="str">
        <x:v>Myanmar</x:v>
      </x:c>
      <x:c r="E726" s="14" t="n">
        <x:v>24466</x:v>
      </x:c>
      <x:c r="F726" s="14" t="n">
        <x:v>2726</x:v>
      </x:c>
      <x:c r="G726" s="2" t="str">
        <x:v>REVIEW</x:v>
      </x:c>
      <x:c r="H726" s="2" t="n">
        <x:v>1</x:v>
      </x:c>
      <x:c r="I726" s="2" t="n">
        <x:f>IF(AND(COUNTIFS($B$6:$B$797,B726,$C$6:$C$797,C726)=11,COUNTIFS($B$6:$B$797,B726,$C$6:$C$797,C726,$G$6:$G$797,"REVIEW")=0,COUNTIFS($B$6:$B$797,B726,$C$6:$C$797,C726,$H$6:$H$797,1)=11,COUNTIFS($B$6:$B$797,B726,$C$6:$C$797,C726,$F$6:$F$797,"&gt;0")=11),1,0)</x:f>
        <x:v>0</x:v>
      </x:c>
    </x:row>
    <x:row r="727" ht="22" customHeight="1">
      <x:c r="A727" s="2" t="str">
        <x:v>62052000_PK_202512_IMPORT</x:v>
      </x:c>
      <x:c r="B727" s="2" t="n">
        <x:v>202512</x:v>
      </x:c>
      <x:c r="C727" s="2" t="str">
        <x:v>62052000</x:v>
      </x:c>
      <x:c r="D727" s="2" t="str">
        <x:v>Pakistan</x:v>
      </x:c>
      <x:c r="E727" s="14" t="n">
        <x:v>60058</x:v>
      </x:c>
      <x:c r="F727" s="14" t="n">
        <x:v>9798</x:v>
      </x:c>
      <x:c r="G727" s="2" t="str">
        <x:v>WITHIN_BAND</x:v>
      </x:c>
      <x:c r="H727" s="2" t="n">
        <x:v>1</x:v>
      </x:c>
      <x:c r="I727" s="2" t="n">
        <x:f>IF(AND(COUNTIFS($B$6:$B$797,B727,$C$6:$C$797,C727)=11,COUNTIFS($B$6:$B$797,B727,$C$6:$C$797,C727,$G$6:$G$797,"REVIEW")=0,COUNTIFS($B$6:$B$797,B727,$C$6:$C$797,C727,$H$6:$H$797,1)=11,COUNTIFS($B$6:$B$797,B727,$C$6:$C$797,C727,$F$6:$F$797,"&gt;0")=11),1,0)</x:f>
        <x:v>0</x:v>
      </x:c>
    </x:row>
    <x:row r="728" ht="22" customHeight="1">
      <x:c r="A728" s="2" t="str">
        <x:v>62052000_LK_202512_IMPORT</x:v>
      </x:c>
      <x:c r="B728" s="2" t="n">
        <x:v>202512</x:v>
      </x:c>
      <x:c r="C728" s="2" t="str">
        <x:v>62052000</x:v>
      </x:c>
      <x:c r="D728" s="2" t="str">
        <x:v>Sri Lanka</x:v>
      </x:c>
      <x:c r="E728" s="14" t="n">
        <x:v>362860</x:v>
      </x:c>
      <x:c r="F728" s="14" t="n">
        <x:v>21386</x:v>
      </x:c>
      <x:c r="G728" s="2" t="str">
        <x:v>WITHIN_BAND</x:v>
      </x:c>
      <x:c r="H728" s="2" t="n">
        <x:v>1</x:v>
      </x:c>
      <x:c r="I728" s="2" t="n">
        <x:f>IF(AND(COUNTIFS($B$6:$B$797,B728,$C$6:$C$797,C728)=11,COUNTIFS($B$6:$B$797,B728,$C$6:$C$797,C728,$G$6:$G$797,"REVIEW")=0,COUNTIFS($B$6:$B$797,B728,$C$6:$C$797,C728,$H$6:$H$797,1)=11,COUNTIFS($B$6:$B$797,B728,$C$6:$C$797,C728,$F$6:$F$797,"&gt;0")=11),1,0)</x:f>
        <x:v>0</x:v>
      </x:c>
    </x:row>
    <x:row r="729" ht="22" customHeight="1">
      <x:c r="A729" s="2" t="str">
        <x:v>62052000_TR_202512_IMPORT</x:v>
      </x:c>
      <x:c r="B729" s="2" t="n">
        <x:v>202512</x:v>
      </x:c>
      <x:c r="C729" s="2" t="str">
        <x:v>62052000</x:v>
      </x:c>
      <x:c r="D729" s="2" t="str">
        <x:v>Turkey</x:v>
      </x:c>
      <x:c r="E729" s="14" t="n">
        <x:v>616316</x:v>
      </x:c>
      <x:c r="F729" s="14" t="n">
        <x:v>15541</x:v>
      </x:c>
      <x:c r="G729" s="2" t="str">
        <x:v>WITHIN_BAND</x:v>
      </x:c>
      <x:c r="H729" s="2" t="n">
        <x:v>1</x:v>
      </x:c>
      <x:c r="I729" s="2" t="n">
        <x:f>IF(AND(COUNTIFS($B$6:$B$797,B729,$C$6:$C$797,C729)=11,COUNTIFS($B$6:$B$797,B729,$C$6:$C$797,C729,$G$6:$G$797,"REVIEW")=0,COUNTIFS($B$6:$B$797,B729,$C$6:$C$797,C729,$H$6:$H$797,1)=11,COUNTIFS($B$6:$B$797,B729,$C$6:$C$797,C729,$F$6:$F$797,"&gt;0")=11),1,0)</x:f>
        <x:v>0</x:v>
      </x:c>
    </x:row>
    <x:row r="730" ht="22" customHeight="1">
      <x:c r="A730" s="2" t="str">
        <x:v>62052000_VN_202512_IMPORT</x:v>
      </x:c>
      <x:c r="B730" s="2" t="n">
        <x:v>202512</x:v>
      </x:c>
      <x:c r="C730" s="2" t="str">
        <x:v>62052000</x:v>
      </x:c>
      <x:c r="D730" s="2" t="str">
        <x:v>Vietnam</x:v>
      </x:c>
      <x:c r="E730" s="14" t="n">
        <x:v>1206091</x:v>
      </x:c>
      <x:c r="F730" s="14" t="n">
        <x:v>46158</x:v>
      </x:c>
      <x:c r="G730" s="2" t="str">
        <x:v>WITHIN_BAND</x:v>
      </x:c>
      <x:c r="H730" s="2" t="n">
        <x:v>1</x:v>
      </x:c>
      <x:c r="I730" s="2" t="n">
        <x:f>IF(AND(COUNTIFS($B$6:$B$797,B730,$C$6:$C$797,C730)=11,COUNTIFS($B$6:$B$797,B730,$C$6:$C$797,C730,$G$6:$G$797,"REVIEW")=0,COUNTIFS($B$6:$B$797,B730,$C$6:$C$797,C730,$H$6:$H$797,1)=11,COUNTIFS($B$6:$B$797,B730,$C$6:$C$797,C730,$F$6:$F$797,"&gt;0")=11),1,0)</x:f>
        <x:v>0</x:v>
      </x:c>
    </x:row>
    <x:row r="731" ht="22" customHeight="1">
      <x:c r="A731" s="2" t="str">
        <x:v>62052000_WORLD_202512_IMPORT</x:v>
      </x:c>
      <x:c r="B731" s="2" t="n">
        <x:v>202512</x:v>
      </x:c>
      <x:c r="C731" s="2" t="str">
        <x:v>62052000</x:v>
      </x:c>
      <x:c r="D731" s="2" t="str">
        <x:v>World</x:v>
      </x:c>
      <x:c r="E731" s="14" t="n">
        <x:v>19148318</x:v>
      </x:c>
      <x:c r="F731" s="14" t="n">
        <x:v>808496</x:v>
      </x:c>
      <x:c r="G731" s="2" t="str">
        <x:v>WITHIN_BAND</x:v>
      </x:c>
      <x:c r="H731" s="2" t="n">
        <x:v>1</x:v>
      </x:c>
      <x:c r="I731" s="2" t="n">
        <x:f>IF(AND(COUNTIFS($B$6:$B$797,B731,$C$6:$C$797,C731)=11,COUNTIFS($B$6:$B$797,B731,$C$6:$C$797,C731,$G$6:$G$797,"REVIEW")=0,COUNTIFS($B$6:$B$797,B731,$C$6:$C$797,C731,$H$6:$H$797,1)=11,COUNTIFS($B$6:$B$797,B731,$C$6:$C$797,C731,$F$6:$F$797,"&gt;0")=11),1,0)</x:f>
        <x:v>0</x:v>
      </x:c>
    </x:row>
    <x:row r="732" ht="22" customHeight="1">
      <x:c r="A732" s="2" t="str">
        <x:v>62052000_BD_202601_IMPORT</x:v>
      </x:c>
      <x:c r="B732" s="2" t="n">
        <x:v>202601</x:v>
      </x:c>
      <x:c r="C732" s="2" t="str">
        <x:v>62052000</x:v>
      </x:c>
      <x:c r="D732" s="2" t="str">
        <x:v>Bangladesh</x:v>
      </x:c>
      <x:c r="E732" s="14" t="n">
        <x:v>4162204</x:v>
      </x:c>
      <x:c r="F732" s="14" t="n">
        <x:v>250802</x:v>
      </x:c>
      <x:c r="G732" s="2" t="str">
        <x:v>WITHIN_BAND</x:v>
      </x:c>
      <x:c r="H732" s="2" t="n">
        <x:v>1</x:v>
      </x:c>
      <x:c r="I732" s="2" t="n">
        <x:f>IF(AND(COUNTIFS($B$6:$B$797,B732,$C$6:$C$797,C732)=11,COUNTIFS($B$6:$B$797,B732,$C$6:$C$797,C732,$G$6:$G$797,"REVIEW")=0,COUNTIFS($B$6:$B$797,B732,$C$6:$C$797,C732,$H$6:$H$797,1)=11,COUNTIFS($B$6:$B$797,B732,$C$6:$C$797,C732,$F$6:$F$797,"&gt;0")=11),1,0)</x:f>
        <x:v>0</x:v>
      </x:c>
    </x:row>
    <x:row r="733" ht="22" customHeight="1">
      <x:c r="A733" s="2" t="str">
        <x:v>62052000_KH_202601_IMPORT</x:v>
      </x:c>
      <x:c r="B733" s="2" t="n">
        <x:v>202601</x:v>
      </x:c>
      <x:c r="C733" s="2" t="str">
        <x:v>62052000</x:v>
      </x:c>
      <x:c r="D733" s="2" t="str">
        <x:v>Cambodia</x:v>
      </x:c>
      <x:c r="E733" s="14" t="n">
        <x:v>1075528</x:v>
      </x:c>
      <x:c r="F733" s="14" t="n">
        <x:v>53207</x:v>
      </x:c>
      <x:c r="G733" s="2" t="str">
        <x:v>WITHIN_BAND</x:v>
      </x:c>
      <x:c r="H733" s="2" t="n">
        <x:v>1</x:v>
      </x:c>
      <x:c r="I733" s="2" t="n">
        <x:f>IF(AND(COUNTIFS($B$6:$B$797,B733,$C$6:$C$797,C733)=11,COUNTIFS($B$6:$B$797,B733,$C$6:$C$797,C733,$G$6:$G$797,"REVIEW")=0,COUNTIFS($B$6:$B$797,B733,$C$6:$C$797,C733,$H$6:$H$797,1)=11,COUNTIFS($B$6:$B$797,B733,$C$6:$C$797,C733,$F$6:$F$797,"&gt;0")=11),1,0)</x:f>
        <x:v>0</x:v>
      </x:c>
    </x:row>
    <x:row r="734" ht="22" customHeight="1">
      <x:c r="A734" s="2" t="str">
        <x:v>62052000_CN_202601_IMPORT</x:v>
      </x:c>
      <x:c r="B734" s="2" t="n">
        <x:v>202601</x:v>
      </x:c>
      <x:c r="C734" s="2" t="str">
        <x:v>62052000</x:v>
      </x:c>
      <x:c r="D734" s="2" t="str">
        <x:v>China</x:v>
      </x:c>
      <x:c r="E734" s="14" t="n">
        <x:v>766410</x:v>
      </x:c>
      <x:c r="F734" s="14" t="n">
        <x:v>33797</x:v>
      </x:c>
      <x:c r="G734" s="2" t="str">
        <x:v>WITHIN_BAND</x:v>
      </x:c>
      <x:c r="H734" s="2" t="n">
        <x:v>1</x:v>
      </x:c>
      <x:c r="I734" s="2" t="n">
        <x:f>IF(AND(COUNTIFS($B$6:$B$797,B734,$C$6:$C$797,C734)=11,COUNTIFS($B$6:$B$797,B734,$C$6:$C$797,C734,$G$6:$G$797,"REVIEW")=0,COUNTIFS($B$6:$B$797,B734,$C$6:$C$797,C734,$H$6:$H$797,1)=11,COUNTIFS($B$6:$B$797,B734,$C$6:$C$797,C734,$F$6:$F$797,"&gt;0")=11),1,0)</x:f>
        <x:v>0</x:v>
      </x:c>
    </x:row>
    <x:row r="735" ht="22" customHeight="1">
      <x:c r="A735" s="2" t="str">
        <x:v>62052000_IN_202601_IMPORT</x:v>
      </x:c>
      <x:c r="B735" s="2" t="n">
        <x:v>202601</x:v>
      </x:c>
      <x:c r="C735" s="2" t="str">
        <x:v>62052000</x:v>
      </x:c>
      <x:c r="D735" s="2" t="str">
        <x:v>India</x:v>
      </x:c>
      <x:c r="E735" s="14" t="n">
        <x:v>3235414</x:v>
      </x:c>
      <x:c r="F735" s="14" t="n">
        <x:v>130393</x:v>
      </x:c>
      <x:c r="G735" s="2" t="str">
        <x:v>WITHIN_BAND</x:v>
      </x:c>
      <x:c r="H735" s="2" t="n">
        <x:v>1</x:v>
      </x:c>
      <x:c r="I735" s="2" t="n">
        <x:f>IF(AND(COUNTIFS($B$6:$B$797,B735,$C$6:$C$797,C735)=11,COUNTIFS($B$6:$B$797,B735,$C$6:$C$797,C735,$G$6:$G$797,"REVIEW")=0,COUNTIFS($B$6:$B$797,B735,$C$6:$C$797,C735,$H$6:$H$797,1)=11,COUNTIFS($B$6:$B$797,B735,$C$6:$C$797,C735,$F$6:$F$797,"&gt;0")=11),1,0)</x:f>
        <x:v>0</x:v>
      </x:c>
    </x:row>
    <x:row r="736" ht="22" customHeight="1">
      <x:c r="A736" s="2" t="str">
        <x:v>62052000_MA_202601_IMPORT</x:v>
      </x:c>
      <x:c r="B736" s="2" t="n">
        <x:v>202601</x:v>
      </x:c>
      <x:c r="C736" s="2" t="str">
        <x:v>62052000</x:v>
      </x:c>
      <x:c r="D736" s="2" t="str">
        <x:v>Morocco</x:v>
      </x:c>
      <x:c r="E736" s="14" t="n">
        <x:v>90236</x:v>
      </x:c>
      <x:c r="F736" s="14" t="n">
        <x:v>2455</x:v>
      </x:c>
      <x:c r="G736" s="2" t="str">
        <x:v>WITHIN_BAND</x:v>
      </x:c>
      <x:c r="H736" s="2" t="n">
        <x:v>1</x:v>
      </x:c>
      <x:c r="I736" s="2" t="n">
        <x:f>IF(AND(COUNTIFS($B$6:$B$797,B736,$C$6:$C$797,C736)=11,COUNTIFS($B$6:$B$797,B736,$C$6:$C$797,C736,$G$6:$G$797,"REVIEW")=0,COUNTIFS($B$6:$B$797,B736,$C$6:$C$797,C736,$H$6:$H$797,1)=11,COUNTIFS($B$6:$B$797,B736,$C$6:$C$797,C736,$F$6:$F$797,"&gt;0")=11),1,0)</x:f>
        <x:v>0</x:v>
      </x:c>
    </x:row>
    <x:row r="737" ht="22" customHeight="1">
      <x:c r="A737" s="2" t="str">
        <x:v>62052000_MM_202601_IMPORT</x:v>
      </x:c>
      <x:c r="B737" s="2" t="n">
        <x:v>202601</x:v>
      </x:c>
      <x:c r="C737" s="2" t="str">
        <x:v>62052000</x:v>
      </x:c>
      <x:c r="D737" s="2" t="str">
        <x:v>Myanmar</x:v>
      </x:c>
      <x:c r="E737" s="14" t="n">
        <x:v>8474</x:v>
      </x:c>
      <x:c r="F737" s="14" t="n">
        <x:v>1016</x:v>
      </x:c>
      <x:c r="G737" s="2" t="str">
        <x:v>REVIEW</x:v>
      </x:c>
      <x:c r="H737" s="2" t="n">
        <x:v>1</x:v>
      </x:c>
      <x:c r="I737" s="2" t="n">
        <x:f>IF(AND(COUNTIFS($B$6:$B$797,B737,$C$6:$C$797,C737)=11,COUNTIFS($B$6:$B$797,B737,$C$6:$C$797,C737,$G$6:$G$797,"REVIEW")=0,COUNTIFS($B$6:$B$797,B737,$C$6:$C$797,C737,$H$6:$H$797,1)=11,COUNTIFS($B$6:$B$797,B737,$C$6:$C$797,C737,$F$6:$F$797,"&gt;0")=11),1,0)</x:f>
        <x:v>0</x:v>
      </x:c>
    </x:row>
    <x:row r="738" ht="22" customHeight="1">
      <x:c r="A738" s="2" t="str">
        <x:v>62052000_PK_202601_IMPORT</x:v>
      </x:c>
      <x:c r="B738" s="2" t="n">
        <x:v>202601</x:v>
      </x:c>
      <x:c r="C738" s="2" t="str">
        <x:v>62052000</x:v>
      </x:c>
      <x:c r="D738" s="2" t="str">
        <x:v>Pakistan</x:v>
      </x:c>
      <x:c r="E738" s="14" t="n">
        <x:v>118887</x:v>
      </x:c>
      <x:c r="F738" s="14" t="n">
        <x:v>8511</x:v>
      </x:c>
      <x:c r="G738" s="2" t="str">
        <x:v>WITHIN_BAND</x:v>
      </x:c>
      <x:c r="H738" s="2" t="n">
        <x:v>1</x:v>
      </x:c>
      <x:c r="I738" s="2" t="n">
        <x:f>IF(AND(COUNTIFS($B$6:$B$797,B738,$C$6:$C$797,C738)=11,COUNTIFS($B$6:$B$797,B738,$C$6:$C$797,C738,$G$6:$G$797,"REVIEW")=0,COUNTIFS($B$6:$B$797,B738,$C$6:$C$797,C738,$H$6:$H$797,1)=11,COUNTIFS($B$6:$B$797,B738,$C$6:$C$797,C738,$F$6:$F$797,"&gt;0")=11),1,0)</x:f>
        <x:v>0</x:v>
      </x:c>
    </x:row>
    <x:row r="739" ht="22" customHeight="1">
      <x:c r="A739" s="2" t="str">
        <x:v>62052000_LK_202601_IMPORT</x:v>
      </x:c>
      <x:c r="B739" s="2" t="n">
        <x:v>202601</x:v>
      </x:c>
      <x:c r="C739" s="2" t="str">
        <x:v>62052000</x:v>
      </x:c>
      <x:c r="D739" s="2" t="str">
        <x:v>Sri Lanka</x:v>
      </x:c>
      <x:c r="E739" s="14" t="n">
        <x:v>263759</x:v>
      </x:c>
      <x:c r="F739" s="14" t="n">
        <x:v>13563</x:v>
      </x:c>
      <x:c r="G739" s="2" t="str">
        <x:v>WITHIN_BAND</x:v>
      </x:c>
      <x:c r="H739" s="2" t="n">
        <x:v>1</x:v>
      </x:c>
      <x:c r="I739" s="2" t="n">
        <x:f>IF(AND(COUNTIFS($B$6:$B$797,B739,$C$6:$C$797,C739)=11,COUNTIFS($B$6:$B$797,B739,$C$6:$C$797,C739,$G$6:$G$797,"REVIEW")=0,COUNTIFS($B$6:$B$797,B739,$C$6:$C$797,C739,$H$6:$H$797,1)=11,COUNTIFS($B$6:$B$797,B739,$C$6:$C$797,C739,$F$6:$F$797,"&gt;0")=11),1,0)</x:f>
        <x:v>0</x:v>
      </x:c>
    </x:row>
    <x:row r="740" ht="22" customHeight="1">
      <x:c r="A740" s="2" t="str">
        <x:v>62052000_TR_202601_IMPORT</x:v>
      </x:c>
      <x:c r="B740" s="2" t="n">
        <x:v>202601</x:v>
      </x:c>
      <x:c r="C740" s="2" t="str">
        <x:v>62052000</x:v>
      </x:c>
      <x:c r="D740" s="2" t="str">
        <x:v>Turkey</x:v>
      </x:c>
      <x:c r="E740" s="14" t="n">
        <x:v>1117606</x:v>
      </x:c>
      <x:c r="F740" s="14" t="n">
        <x:v>28291</x:v>
      </x:c>
      <x:c r="G740" s="2" t="str">
        <x:v>WITHIN_BAND</x:v>
      </x:c>
      <x:c r="H740" s="2" t="n">
        <x:v>1</x:v>
      </x:c>
      <x:c r="I740" s="2" t="n">
        <x:f>IF(AND(COUNTIFS($B$6:$B$797,B740,$C$6:$C$797,C740)=11,COUNTIFS($B$6:$B$797,B740,$C$6:$C$797,C740,$G$6:$G$797,"REVIEW")=0,COUNTIFS($B$6:$B$797,B740,$C$6:$C$797,C740,$H$6:$H$797,1)=11,COUNTIFS($B$6:$B$797,B740,$C$6:$C$797,C740,$F$6:$F$797,"&gt;0")=11),1,0)</x:f>
        <x:v>0</x:v>
      </x:c>
    </x:row>
    <x:row r="741" ht="22" customHeight="1">
      <x:c r="A741" s="2" t="str">
        <x:v>62052000_VN_202601_IMPORT</x:v>
      </x:c>
      <x:c r="B741" s="2" t="n">
        <x:v>202601</x:v>
      </x:c>
      <x:c r="C741" s="2" t="str">
        <x:v>62052000</x:v>
      </x:c>
      <x:c r="D741" s="2" t="str">
        <x:v>Vietnam</x:v>
      </x:c>
      <x:c r="E741" s="14" t="n">
        <x:v>1188753</x:v>
      </x:c>
      <x:c r="F741" s="14" t="n">
        <x:v>40326</x:v>
      </x:c>
      <x:c r="G741" s="2" t="str">
        <x:v>WITHIN_BAND</x:v>
      </x:c>
      <x:c r="H741" s="2" t="n">
        <x:v>1</x:v>
      </x:c>
      <x:c r="I741" s="2" t="n">
        <x:f>IF(AND(COUNTIFS($B$6:$B$797,B741,$C$6:$C$797,C741)=11,COUNTIFS($B$6:$B$797,B741,$C$6:$C$797,C741,$G$6:$G$797,"REVIEW")=0,COUNTIFS($B$6:$B$797,B741,$C$6:$C$797,C741,$H$6:$H$797,1)=11,COUNTIFS($B$6:$B$797,B741,$C$6:$C$797,C741,$F$6:$F$797,"&gt;0")=11),1,0)</x:f>
        <x:v>0</x:v>
      </x:c>
    </x:row>
    <x:row r="742" ht="22" customHeight="1">
      <x:c r="A742" s="2" t="str">
        <x:v>62052000_WORLD_202601_IMPORT</x:v>
      </x:c>
      <x:c r="B742" s="2" t="n">
        <x:v>202601</x:v>
      </x:c>
      <x:c r="C742" s="2" t="str">
        <x:v>62052000</x:v>
      </x:c>
      <x:c r="D742" s="2" t="str">
        <x:v>World</x:v>
      </x:c>
      <x:c r="E742" s="14" t="n">
        <x:v>18955486</x:v>
      </x:c>
      <x:c r="F742" s="14" t="n">
        <x:v>678833</x:v>
      </x:c>
      <x:c r="G742" s="2" t="str">
        <x:v>WITHIN_BAND</x:v>
      </x:c>
      <x:c r="H742" s="2" t="n">
        <x:v>1</x:v>
      </x:c>
      <x:c r="I742" s="2" t="n">
        <x:f>IF(AND(COUNTIFS($B$6:$B$797,B742,$C$6:$C$797,C742)=11,COUNTIFS($B$6:$B$797,B742,$C$6:$C$797,C742,$G$6:$G$797,"REVIEW")=0,COUNTIFS($B$6:$B$797,B742,$C$6:$C$797,C742,$H$6:$H$797,1)=11,COUNTIFS($B$6:$B$797,B742,$C$6:$C$797,C742,$F$6:$F$797,"&gt;0")=11),1,0)</x:f>
        <x:v>0</x:v>
      </x:c>
    </x:row>
    <x:row r="743" ht="22" customHeight="1">
      <x:c r="A743" s="2" t="str">
        <x:v>62052000_BD_202602_IMPORT</x:v>
      </x:c>
      <x:c r="B743" s="2" t="n">
        <x:v>202602</x:v>
      </x:c>
      <x:c r="C743" s="2" t="str">
        <x:v>62052000</x:v>
      </x:c>
      <x:c r="D743" s="2" t="str">
        <x:v>Bangladesh</x:v>
      </x:c>
      <x:c r="E743" s="14" t="n">
        <x:v>6426648</x:v>
      </x:c>
      <x:c r="F743" s="14" t="n">
        <x:v>373145</x:v>
      </x:c>
      <x:c r="G743" s="2" t="str">
        <x:v>WITHIN_BAND</x:v>
      </x:c>
      <x:c r="H743" s="2" t="n">
        <x:v>1</x:v>
      </x:c>
      <x:c r="I743" s="2" t="n">
        <x:f>IF(AND(COUNTIFS($B$6:$B$797,B743,$C$6:$C$797,C743)=11,COUNTIFS($B$6:$B$797,B743,$C$6:$C$797,C743,$G$6:$G$797,"REVIEW")=0,COUNTIFS($B$6:$B$797,B743,$C$6:$C$797,C743,$H$6:$H$797,1)=11,COUNTIFS($B$6:$B$797,B743,$C$6:$C$797,C743,$F$6:$F$797,"&gt;0")=11),1,0)</x:f>
        <x:v>1</x:v>
      </x:c>
    </x:row>
    <x:row r="744" ht="22" customHeight="1">
      <x:c r="A744" s="2" t="str">
        <x:v>62052000_KH_202602_IMPORT</x:v>
      </x:c>
      <x:c r="B744" s="2" t="n">
        <x:v>202602</x:v>
      </x:c>
      <x:c r="C744" s="2" t="str">
        <x:v>62052000</x:v>
      </x:c>
      <x:c r="D744" s="2" t="str">
        <x:v>Cambodia</x:v>
      </x:c>
      <x:c r="E744" s="14" t="n">
        <x:v>1114957</x:v>
      </x:c>
      <x:c r="F744" s="14" t="n">
        <x:v>54447</x:v>
      </x:c>
      <x:c r="G744" s="2" t="str">
        <x:v>WITHIN_BAND</x:v>
      </x:c>
      <x:c r="H744" s="2" t="n">
        <x:v>1</x:v>
      </x:c>
      <x:c r="I744" s="2" t="n">
        <x:f>IF(AND(COUNTIFS($B$6:$B$797,B744,$C$6:$C$797,C744)=11,COUNTIFS($B$6:$B$797,B744,$C$6:$C$797,C744,$G$6:$G$797,"REVIEW")=0,COUNTIFS($B$6:$B$797,B744,$C$6:$C$797,C744,$H$6:$H$797,1)=11,COUNTIFS($B$6:$B$797,B744,$C$6:$C$797,C744,$F$6:$F$797,"&gt;0")=11),1,0)</x:f>
        <x:v>1</x:v>
      </x:c>
    </x:row>
    <x:row r="745" ht="22" customHeight="1">
      <x:c r="A745" s="2" t="str">
        <x:v>62052000_CN_202602_IMPORT</x:v>
      </x:c>
      <x:c r="B745" s="2" t="n">
        <x:v>202602</x:v>
      </x:c>
      <x:c r="C745" s="2" t="str">
        <x:v>62052000</x:v>
      </x:c>
      <x:c r="D745" s="2" t="str">
        <x:v>China</x:v>
      </x:c>
      <x:c r="E745" s="14" t="n">
        <x:v>1102656</x:v>
      </x:c>
      <x:c r="F745" s="14" t="n">
        <x:v>46879</x:v>
      </x:c>
      <x:c r="G745" s="2" t="str">
        <x:v>WITHIN_BAND</x:v>
      </x:c>
      <x:c r="H745" s="2" t="n">
        <x:v>1</x:v>
      </x:c>
      <x:c r="I745" s="2" t="n">
        <x:f>IF(AND(COUNTIFS($B$6:$B$797,B745,$C$6:$C$797,C745)=11,COUNTIFS($B$6:$B$797,B745,$C$6:$C$797,C745,$G$6:$G$797,"REVIEW")=0,COUNTIFS($B$6:$B$797,B745,$C$6:$C$797,C745,$H$6:$H$797,1)=11,COUNTIFS($B$6:$B$797,B745,$C$6:$C$797,C745,$F$6:$F$797,"&gt;0")=11),1,0)</x:f>
        <x:v>1</x:v>
      </x:c>
    </x:row>
    <x:row r="746" ht="22" customHeight="1">
      <x:c r="A746" s="2" t="str">
        <x:v>62052000_IN_202602_IMPORT</x:v>
      </x:c>
      <x:c r="B746" s="2" t="n">
        <x:v>202602</x:v>
      </x:c>
      <x:c r="C746" s="2" t="str">
        <x:v>62052000</x:v>
      </x:c>
      <x:c r="D746" s="2" t="str">
        <x:v>India</x:v>
      </x:c>
      <x:c r="E746" s="14" t="n">
        <x:v>3055628</x:v>
      </x:c>
      <x:c r="F746" s="14" t="n">
        <x:v>138365</x:v>
      </x:c>
      <x:c r="G746" s="2" t="str">
        <x:v>WITHIN_BAND</x:v>
      </x:c>
      <x:c r="H746" s="2" t="n">
        <x:v>1</x:v>
      </x:c>
      <x:c r="I746" s="2" t="n">
        <x:f>IF(AND(COUNTIFS($B$6:$B$797,B746,$C$6:$C$797,C746)=11,COUNTIFS($B$6:$B$797,B746,$C$6:$C$797,C746,$G$6:$G$797,"REVIEW")=0,COUNTIFS($B$6:$B$797,B746,$C$6:$C$797,C746,$H$6:$H$797,1)=11,COUNTIFS($B$6:$B$797,B746,$C$6:$C$797,C746,$F$6:$F$797,"&gt;0")=11),1,0)</x:f>
        <x:v>1</x:v>
      </x:c>
    </x:row>
    <x:row r="747" ht="22" customHeight="1">
      <x:c r="A747" s="2" t="str">
        <x:v>62052000_MA_202602_IMPORT</x:v>
      </x:c>
      <x:c r="B747" s="2" t="n">
        <x:v>202602</x:v>
      </x:c>
      <x:c r="C747" s="2" t="str">
        <x:v>62052000</x:v>
      </x:c>
      <x:c r="D747" s="2" t="str">
        <x:v>Morocco</x:v>
      </x:c>
      <x:c r="E747" s="14" t="n">
        <x:v>63732</x:v>
      </x:c>
      <x:c r="F747" s="14" t="n">
        <x:v>1819</x:v>
      </x:c>
      <x:c r="G747" s="2" t="str">
        <x:v>WITHIN_BAND</x:v>
      </x:c>
      <x:c r="H747" s="2" t="n">
        <x:v>1</x:v>
      </x:c>
      <x:c r="I747" s="2" t="n">
        <x:f>IF(AND(COUNTIFS($B$6:$B$797,B747,$C$6:$C$797,C747)=11,COUNTIFS($B$6:$B$797,B747,$C$6:$C$797,C747,$G$6:$G$797,"REVIEW")=0,COUNTIFS($B$6:$B$797,B747,$C$6:$C$797,C747,$H$6:$H$797,1)=11,COUNTIFS($B$6:$B$797,B747,$C$6:$C$797,C747,$F$6:$F$797,"&gt;0")=11),1,0)</x:f>
        <x:v>1</x:v>
      </x:c>
    </x:row>
    <x:row r="748" ht="22" customHeight="1">
      <x:c r="A748" s="2" t="str">
        <x:v>62052000_MM_202602_IMPORT</x:v>
      </x:c>
      <x:c r="B748" s="2" t="n">
        <x:v>202602</x:v>
      </x:c>
      <x:c r="C748" s="2" t="str">
        <x:v>62052000</x:v>
      </x:c>
      <x:c r="D748" s="2" t="str">
        <x:v>Myanmar</x:v>
      </x:c>
      <x:c r="E748" s="14" t="n">
        <x:v>72733</x:v>
      </x:c>
      <x:c r="F748" s="14" t="n">
        <x:v>3710</x:v>
      </x:c>
      <x:c r="G748" s="2" t="str">
        <x:v>WITHIN_BAND</x:v>
      </x:c>
      <x:c r="H748" s="2" t="n">
        <x:v>1</x:v>
      </x:c>
      <x:c r="I748" s="2" t="n">
        <x:f>IF(AND(COUNTIFS($B$6:$B$797,B748,$C$6:$C$797,C748)=11,COUNTIFS($B$6:$B$797,B748,$C$6:$C$797,C748,$G$6:$G$797,"REVIEW")=0,COUNTIFS($B$6:$B$797,B748,$C$6:$C$797,C748,$H$6:$H$797,1)=11,COUNTIFS($B$6:$B$797,B748,$C$6:$C$797,C748,$F$6:$F$797,"&gt;0")=11),1,0)</x:f>
        <x:v>1</x:v>
      </x:c>
    </x:row>
    <x:row r="749" ht="22" customHeight="1">
      <x:c r="A749" s="2" t="str">
        <x:v>62052000_PK_202602_IMPORT</x:v>
      </x:c>
      <x:c r="B749" s="2" t="n">
        <x:v>202602</x:v>
      </x:c>
      <x:c r="C749" s="2" t="str">
        <x:v>62052000</x:v>
      </x:c>
      <x:c r="D749" s="2" t="str">
        <x:v>Pakistan</x:v>
      </x:c>
      <x:c r="E749" s="14" t="n">
        <x:v>55286</x:v>
      </x:c>
      <x:c r="F749" s="14" t="n">
        <x:v>4655</x:v>
      </x:c>
      <x:c r="G749" s="2" t="str">
        <x:v>WITHIN_BAND</x:v>
      </x:c>
      <x:c r="H749" s="2" t="n">
        <x:v>1</x:v>
      </x:c>
      <x:c r="I749" s="2" t="n">
        <x:f>IF(AND(COUNTIFS($B$6:$B$797,B749,$C$6:$C$797,C749)=11,COUNTIFS($B$6:$B$797,B749,$C$6:$C$797,C749,$G$6:$G$797,"REVIEW")=0,COUNTIFS($B$6:$B$797,B749,$C$6:$C$797,C749,$H$6:$H$797,1)=11,COUNTIFS($B$6:$B$797,B749,$C$6:$C$797,C749,$F$6:$F$797,"&gt;0")=11),1,0)</x:f>
        <x:v>1</x:v>
      </x:c>
    </x:row>
    <x:row r="750" ht="22" customHeight="1">
      <x:c r="A750" s="2" t="str">
        <x:v>62052000_LK_202602_IMPORT</x:v>
      </x:c>
      <x:c r="B750" s="2" t="n">
        <x:v>202602</x:v>
      </x:c>
      <x:c r="C750" s="2" t="str">
        <x:v>62052000</x:v>
      </x:c>
      <x:c r="D750" s="2" t="str">
        <x:v>Sri Lanka</x:v>
      </x:c>
      <x:c r="E750" s="14" t="n">
        <x:v>372800</x:v>
      </x:c>
      <x:c r="F750" s="14" t="n">
        <x:v>15552</x:v>
      </x:c>
      <x:c r="G750" s="2" t="str">
        <x:v>WITHIN_BAND</x:v>
      </x:c>
      <x:c r="H750" s="2" t="n">
        <x:v>1</x:v>
      </x:c>
      <x:c r="I750" s="2" t="n">
        <x:f>IF(AND(COUNTIFS($B$6:$B$797,B750,$C$6:$C$797,C750)=11,COUNTIFS($B$6:$B$797,B750,$C$6:$C$797,C750,$G$6:$G$797,"REVIEW")=0,COUNTIFS($B$6:$B$797,B750,$C$6:$C$797,C750,$H$6:$H$797,1)=11,COUNTIFS($B$6:$B$797,B750,$C$6:$C$797,C750,$F$6:$F$797,"&gt;0")=11),1,0)</x:f>
        <x:v>1</x:v>
      </x:c>
    </x:row>
    <x:row r="751" ht="22" customHeight="1">
      <x:c r="A751" s="2" t="str">
        <x:v>62052000_TR_202602_IMPORT</x:v>
      </x:c>
      <x:c r="B751" s="2" t="n">
        <x:v>202602</x:v>
      </x:c>
      <x:c r="C751" s="2" t="str">
        <x:v>62052000</x:v>
      </x:c>
      <x:c r="D751" s="2" t="str">
        <x:v>Turkey</x:v>
      </x:c>
      <x:c r="E751" s="14" t="n">
        <x:v>907564</x:v>
      </x:c>
      <x:c r="F751" s="14" t="n">
        <x:v>23374</x:v>
      </x:c>
      <x:c r="G751" s="2" t="str">
        <x:v>WITHIN_BAND</x:v>
      </x:c>
      <x:c r="H751" s="2" t="n">
        <x:v>1</x:v>
      </x:c>
      <x:c r="I751" s="2" t="n">
        <x:f>IF(AND(COUNTIFS($B$6:$B$797,B751,$C$6:$C$797,C751)=11,COUNTIFS($B$6:$B$797,B751,$C$6:$C$797,C751,$G$6:$G$797,"REVIEW")=0,COUNTIFS($B$6:$B$797,B751,$C$6:$C$797,C751,$H$6:$H$797,1)=11,COUNTIFS($B$6:$B$797,B751,$C$6:$C$797,C751,$F$6:$F$797,"&gt;0")=11),1,0)</x:f>
        <x:v>1</x:v>
      </x:c>
    </x:row>
    <x:row r="752" ht="22" customHeight="1">
      <x:c r="A752" s="2" t="str">
        <x:v>62052000_VN_202602_IMPORT</x:v>
      </x:c>
      <x:c r="B752" s="2" t="n">
        <x:v>202602</x:v>
      </x:c>
      <x:c r="C752" s="2" t="str">
        <x:v>62052000</x:v>
      </x:c>
      <x:c r="D752" s="2" t="str">
        <x:v>Vietnam</x:v>
      </x:c>
      <x:c r="E752" s="14" t="n">
        <x:v>1342210</x:v>
      </x:c>
      <x:c r="F752" s="14" t="n">
        <x:v>46772</x:v>
      </x:c>
      <x:c r="G752" s="2" t="str">
        <x:v>WITHIN_BAND</x:v>
      </x:c>
      <x:c r="H752" s="2" t="n">
        <x:v>1</x:v>
      </x:c>
      <x:c r="I752" s="2" t="n">
        <x:f>IF(AND(COUNTIFS($B$6:$B$797,B752,$C$6:$C$797,C752)=11,COUNTIFS($B$6:$B$797,B752,$C$6:$C$797,C752,$G$6:$G$797,"REVIEW")=0,COUNTIFS($B$6:$B$797,B752,$C$6:$C$797,C752,$H$6:$H$797,1)=11,COUNTIFS($B$6:$B$797,B752,$C$6:$C$797,C752,$F$6:$F$797,"&gt;0")=11),1,0)</x:f>
        <x:v>1</x:v>
      </x:c>
    </x:row>
    <x:row r="753" ht="22" customHeight="1">
      <x:c r="A753" s="2" t="str">
        <x:v>62052000_WORLD_202602_IMPORT</x:v>
      </x:c>
      <x:c r="B753" s="2" t="n">
        <x:v>202602</x:v>
      </x:c>
      <x:c r="C753" s="2" t="str">
        <x:v>62052000</x:v>
      </x:c>
      <x:c r="D753" s="2" t="str">
        <x:v>World</x:v>
      </x:c>
      <x:c r="E753" s="14" t="n">
        <x:v>21330779</x:v>
      </x:c>
      <x:c r="F753" s="14" t="n">
        <x:v>808655</x:v>
      </x:c>
      <x:c r="G753" s="2" t="str">
        <x:v>WITHIN_BAND</x:v>
      </x:c>
      <x:c r="H753" s="2" t="n">
        <x:v>1</x:v>
      </x:c>
      <x:c r="I753" s="2" t="n">
        <x:f>IF(AND(COUNTIFS($B$6:$B$797,B753,$C$6:$C$797,C753)=11,COUNTIFS($B$6:$B$797,B753,$C$6:$C$797,C753,$G$6:$G$797,"REVIEW")=0,COUNTIFS($B$6:$B$797,B753,$C$6:$C$797,C753,$H$6:$H$797,1)=11,COUNTIFS($B$6:$B$797,B753,$C$6:$C$797,C753,$F$6:$F$797,"&gt;0")=11),1,0)</x:f>
        <x:v>1</x:v>
      </x:c>
    </x:row>
    <x:row r="754" ht="22" customHeight="1">
      <x:c r="A754" s="2" t="str">
        <x:v>62052000_BD_202603_IMPORT</x:v>
      </x:c>
      <x:c r="B754" s="2" t="n">
        <x:v>202603</x:v>
      </x:c>
      <x:c r="C754" s="2" t="str">
        <x:v>62052000</x:v>
      </x:c>
      <x:c r="D754" s="2" t="str">
        <x:v>Bangladesh</x:v>
      </x:c>
      <x:c r="E754" s="14" t="n">
        <x:v>7183022</x:v>
      </x:c>
      <x:c r="F754" s="14" t="n">
        <x:v>432618</x:v>
      </x:c>
      <x:c r="G754" s="2" t="str">
        <x:v>WITHIN_BAND</x:v>
      </x:c>
      <x:c r="H754" s="2" t="n">
        <x:v>1</x:v>
      </x:c>
      <x:c r="I754" s="2" t="n">
        <x:f>IF(AND(COUNTIFS($B$6:$B$797,B754,$C$6:$C$797,C754)=11,COUNTIFS($B$6:$B$797,B754,$C$6:$C$797,C754,$G$6:$G$797,"REVIEW")=0,COUNTIFS($B$6:$B$797,B754,$C$6:$C$797,C754,$H$6:$H$797,1)=11,COUNTIFS($B$6:$B$797,B754,$C$6:$C$797,C754,$F$6:$F$797,"&gt;0")=11),1,0)</x:f>
        <x:v>1</x:v>
      </x:c>
    </x:row>
    <x:row r="755" ht="22" customHeight="1">
      <x:c r="A755" s="2" t="str">
        <x:v>62052000_KH_202603_IMPORT</x:v>
      </x:c>
      <x:c r="B755" s="2" t="n">
        <x:v>202603</x:v>
      </x:c>
      <x:c r="C755" s="2" t="str">
        <x:v>62052000</x:v>
      </x:c>
      <x:c r="D755" s="2" t="str">
        <x:v>Cambodia</x:v>
      </x:c>
      <x:c r="E755" s="14" t="n">
        <x:v>491911</x:v>
      </x:c>
      <x:c r="F755" s="14" t="n">
        <x:v>27026</x:v>
      </x:c>
      <x:c r="G755" s="2" t="str">
        <x:v>WITHIN_BAND</x:v>
      </x:c>
      <x:c r="H755" s="2" t="n">
        <x:v>1</x:v>
      </x:c>
      <x:c r="I755" s="2" t="n">
        <x:f>IF(AND(COUNTIFS($B$6:$B$797,B755,$C$6:$C$797,C755)=11,COUNTIFS($B$6:$B$797,B755,$C$6:$C$797,C755,$G$6:$G$797,"REVIEW")=0,COUNTIFS($B$6:$B$797,B755,$C$6:$C$797,C755,$H$6:$H$797,1)=11,COUNTIFS($B$6:$B$797,B755,$C$6:$C$797,C755,$F$6:$F$797,"&gt;0")=11),1,0)</x:f>
        <x:v>1</x:v>
      </x:c>
    </x:row>
    <x:row r="756" ht="22" customHeight="1">
      <x:c r="A756" s="2" t="str">
        <x:v>62052000_CN_202603_IMPORT</x:v>
      </x:c>
      <x:c r="B756" s="2" t="n">
        <x:v>202603</x:v>
      </x:c>
      <x:c r="C756" s="2" t="str">
        <x:v>62052000</x:v>
      </x:c>
      <x:c r="D756" s="2" t="str">
        <x:v>China</x:v>
      </x:c>
      <x:c r="E756" s="14" t="n">
        <x:v>804232</x:v>
      </x:c>
      <x:c r="F756" s="14" t="n">
        <x:v>41873</x:v>
      </x:c>
      <x:c r="G756" s="2" t="str">
        <x:v>WITHIN_BAND</x:v>
      </x:c>
      <x:c r="H756" s="2" t="n">
        <x:v>1</x:v>
      </x:c>
      <x:c r="I756" s="2" t="n">
        <x:f>IF(AND(COUNTIFS($B$6:$B$797,B756,$C$6:$C$797,C756)=11,COUNTIFS($B$6:$B$797,B756,$C$6:$C$797,C756,$G$6:$G$797,"REVIEW")=0,COUNTIFS($B$6:$B$797,B756,$C$6:$C$797,C756,$H$6:$H$797,1)=11,COUNTIFS($B$6:$B$797,B756,$C$6:$C$797,C756,$F$6:$F$797,"&gt;0")=11),1,0)</x:f>
        <x:v>1</x:v>
      </x:c>
    </x:row>
    <x:row r="757" ht="22" customHeight="1">
      <x:c r="A757" s="2" t="str">
        <x:v>62052000_IN_202603_IMPORT</x:v>
      </x:c>
      <x:c r="B757" s="2" t="n">
        <x:v>202603</x:v>
      </x:c>
      <x:c r="C757" s="2" t="str">
        <x:v>62052000</x:v>
      </x:c>
      <x:c r="D757" s="2" t="str">
        <x:v>India</x:v>
      </x:c>
      <x:c r="E757" s="14" t="n">
        <x:v>2142796</x:v>
      </x:c>
      <x:c r="F757" s="14" t="n">
        <x:v>103542</x:v>
      </x:c>
      <x:c r="G757" s="2" t="str">
        <x:v>WITHIN_BAND</x:v>
      </x:c>
      <x:c r="H757" s="2" t="n">
        <x:v>1</x:v>
      </x:c>
      <x:c r="I757" s="2" t="n">
        <x:f>IF(AND(COUNTIFS($B$6:$B$797,B757,$C$6:$C$797,C757)=11,COUNTIFS($B$6:$B$797,B757,$C$6:$C$797,C757,$G$6:$G$797,"REVIEW")=0,COUNTIFS($B$6:$B$797,B757,$C$6:$C$797,C757,$H$6:$H$797,1)=11,COUNTIFS($B$6:$B$797,B757,$C$6:$C$797,C757,$F$6:$F$797,"&gt;0")=11),1,0)</x:f>
        <x:v>1</x:v>
      </x:c>
    </x:row>
    <x:row r="758" ht="22" customHeight="1">
      <x:c r="A758" s="2" t="str">
        <x:v>62052000_MA_202603_IMPORT</x:v>
      </x:c>
      <x:c r="B758" s="2" t="n">
        <x:v>202603</x:v>
      </x:c>
      <x:c r="C758" s="2" t="str">
        <x:v>62052000</x:v>
      </x:c>
      <x:c r="D758" s="2" t="str">
        <x:v>Morocco</x:v>
      </x:c>
      <x:c r="E758" s="14" t="n">
        <x:v>53697</x:v>
      </x:c>
      <x:c r="F758" s="14" t="n">
        <x:v>993</x:v>
      </x:c>
      <x:c r="G758" s="2" t="str">
        <x:v>WITHIN_BAND</x:v>
      </x:c>
      <x:c r="H758" s="2" t="n">
        <x:v>1</x:v>
      </x:c>
      <x:c r="I758" s="2" t="n">
        <x:f>IF(AND(COUNTIFS($B$6:$B$797,B758,$C$6:$C$797,C758)=11,COUNTIFS($B$6:$B$797,B758,$C$6:$C$797,C758,$G$6:$G$797,"REVIEW")=0,COUNTIFS($B$6:$B$797,B758,$C$6:$C$797,C758,$H$6:$H$797,1)=11,COUNTIFS($B$6:$B$797,B758,$C$6:$C$797,C758,$F$6:$F$797,"&gt;0")=11),1,0)</x:f>
        <x:v>1</x:v>
      </x:c>
    </x:row>
    <x:row r="759" ht="22" customHeight="1">
      <x:c r="A759" s="2" t="str">
        <x:v>62052000_MM_202603_IMPORT</x:v>
      </x:c>
      <x:c r="B759" s="2" t="n">
        <x:v>202603</x:v>
      </x:c>
      <x:c r="C759" s="2" t="str">
        <x:v>62052000</x:v>
      </x:c>
      <x:c r="D759" s="2" t="str">
        <x:v>Myanmar</x:v>
      </x:c>
      <x:c r="E759" s="14" t="n">
        <x:v>69675</x:v>
      </x:c>
      <x:c r="F759" s="14" t="n">
        <x:v>5010</x:v>
      </x:c>
      <x:c r="G759" s="2" t="str">
        <x:v>WITHIN_BAND</x:v>
      </x:c>
      <x:c r="H759" s="2" t="n">
        <x:v>1</x:v>
      </x:c>
      <x:c r="I759" s="2" t="n">
        <x:f>IF(AND(COUNTIFS($B$6:$B$797,B759,$C$6:$C$797,C759)=11,COUNTIFS($B$6:$B$797,B759,$C$6:$C$797,C759,$G$6:$G$797,"REVIEW")=0,COUNTIFS($B$6:$B$797,B759,$C$6:$C$797,C759,$H$6:$H$797,1)=11,COUNTIFS($B$6:$B$797,B759,$C$6:$C$797,C759,$F$6:$F$797,"&gt;0")=11),1,0)</x:f>
        <x:v>1</x:v>
      </x:c>
    </x:row>
    <x:row r="760" ht="22" customHeight="1">
      <x:c r="A760" s="2" t="str">
        <x:v>62052000_PK_202603_IMPORT</x:v>
      </x:c>
      <x:c r="B760" s="2" t="n">
        <x:v>202603</x:v>
      </x:c>
      <x:c r="C760" s="2" t="str">
        <x:v>62052000</x:v>
      </x:c>
      <x:c r="D760" s="2" t="str">
        <x:v>Pakistan</x:v>
      </x:c>
      <x:c r="E760" s="14" t="n">
        <x:v>34937</x:v>
      </x:c>
      <x:c r="F760" s="14" t="n">
        <x:v>4289</x:v>
      </x:c>
      <x:c r="G760" s="2" t="str">
        <x:v>WITHIN_BAND</x:v>
      </x:c>
      <x:c r="H760" s="2" t="n">
        <x:v>1</x:v>
      </x:c>
      <x:c r="I760" s="2" t="n">
        <x:f>IF(AND(COUNTIFS($B$6:$B$797,B760,$C$6:$C$797,C760)=11,COUNTIFS($B$6:$B$797,B760,$C$6:$C$797,C760,$G$6:$G$797,"REVIEW")=0,COUNTIFS($B$6:$B$797,B760,$C$6:$C$797,C760,$H$6:$H$797,1)=11,COUNTIFS($B$6:$B$797,B760,$C$6:$C$797,C760,$F$6:$F$797,"&gt;0")=11),1,0)</x:f>
        <x:v>1</x:v>
      </x:c>
    </x:row>
    <x:row r="761" ht="22" customHeight="1">
      <x:c r="A761" s="2" t="str">
        <x:v>62052000_LK_202603_IMPORT</x:v>
      </x:c>
      <x:c r="B761" s="2" t="n">
        <x:v>202603</x:v>
      </x:c>
      <x:c r="C761" s="2" t="str">
        <x:v>62052000</x:v>
      </x:c>
      <x:c r="D761" s="2" t="str">
        <x:v>Sri Lanka</x:v>
      </x:c>
      <x:c r="E761" s="14" t="n">
        <x:v>230731</x:v>
      </x:c>
      <x:c r="F761" s="14" t="n">
        <x:v>15189</x:v>
      </x:c>
      <x:c r="G761" s="2" t="str">
        <x:v>WITHIN_BAND</x:v>
      </x:c>
      <x:c r="H761" s="2" t="n">
        <x:v>1</x:v>
      </x:c>
      <x:c r="I761" s="2" t="n">
        <x:f>IF(AND(COUNTIFS($B$6:$B$797,B761,$C$6:$C$797,C761)=11,COUNTIFS($B$6:$B$797,B761,$C$6:$C$797,C761,$G$6:$G$797,"REVIEW")=0,COUNTIFS($B$6:$B$797,B761,$C$6:$C$797,C761,$H$6:$H$797,1)=11,COUNTIFS($B$6:$B$797,B761,$C$6:$C$797,C761,$F$6:$F$797,"&gt;0")=11),1,0)</x:f>
        <x:v>1</x:v>
      </x:c>
    </x:row>
    <x:row r="762" ht="22" customHeight="1">
      <x:c r="A762" s="2" t="str">
        <x:v>62052000_TR_202603_IMPORT</x:v>
      </x:c>
      <x:c r="B762" s="2" t="n">
        <x:v>202603</x:v>
      </x:c>
      <x:c r="C762" s="2" t="str">
        <x:v>62052000</x:v>
      </x:c>
      <x:c r="D762" s="2" t="str">
        <x:v>Turkey</x:v>
      </x:c>
      <x:c r="E762" s="14" t="n">
        <x:v>1104837</x:v>
      </x:c>
      <x:c r="F762" s="14" t="n">
        <x:v>26043</x:v>
      </x:c>
      <x:c r="G762" s="2" t="str">
        <x:v>WITHIN_BAND</x:v>
      </x:c>
      <x:c r="H762" s="2" t="n">
        <x:v>1</x:v>
      </x:c>
      <x:c r="I762" s="2" t="n">
        <x:f>IF(AND(COUNTIFS($B$6:$B$797,B762,$C$6:$C$797,C762)=11,COUNTIFS($B$6:$B$797,B762,$C$6:$C$797,C762,$G$6:$G$797,"REVIEW")=0,COUNTIFS($B$6:$B$797,B762,$C$6:$C$797,C762,$H$6:$H$797,1)=11,COUNTIFS($B$6:$B$797,B762,$C$6:$C$797,C762,$F$6:$F$797,"&gt;0")=11),1,0)</x:f>
        <x:v>1</x:v>
      </x:c>
    </x:row>
    <x:row r="763" ht="22" customHeight="1">
      <x:c r="A763" s="2" t="str">
        <x:v>62052000_VN_202603_IMPORT</x:v>
      </x:c>
      <x:c r="B763" s="2" t="n">
        <x:v>202603</x:v>
      </x:c>
      <x:c r="C763" s="2" t="str">
        <x:v>62052000</x:v>
      </x:c>
      <x:c r="D763" s="2" t="str">
        <x:v>Vietnam</x:v>
      </x:c>
      <x:c r="E763" s="14" t="n">
        <x:v>936993</x:v>
      </x:c>
      <x:c r="F763" s="14" t="n">
        <x:v>33912</x:v>
      </x:c>
      <x:c r="G763" s="2" t="str">
        <x:v>WITHIN_BAND</x:v>
      </x:c>
      <x:c r="H763" s="2" t="n">
        <x:v>1</x:v>
      </x:c>
      <x:c r="I763" s="2" t="n">
        <x:f>IF(AND(COUNTIFS($B$6:$B$797,B763,$C$6:$C$797,C763)=11,COUNTIFS($B$6:$B$797,B763,$C$6:$C$797,C763,$G$6:$G$797,"REVIEW")=0,COUNTIFS($B$6:$B$797,B763,$C$6:$C$797,C763,$H$6:$H$797,1)=11,COUNTIFS($B$6:$B$797,B763,$C$6:$C$797,C763,$F$6:$F$797,"&gt;0")=11),1,0)</x:f>
        <x:v>1</x:v>
      </x:c>
    </x:row>
    <x:row r="764" ht="22" customHeight="1">
      <x:c r="A764" s="2" t="str">
        <x:v>62052000_WORLD_202603_IMPORT</x:v>
      </x:c>
      <x:c r="B764" s="2" t="n">
        <x:v>202603</x:v>
      </x:c>
      <x:c r="C764" s="2" t="str">
        <x:v>62052000</x:v>
      </x:c>
      <x:c r="D764" s="2" t="str">
        <x:v>World</x:v>
      </x:c>
      <x:c r="E764" s="14" t="n">
        <x:v>20603018</x:v>
      </x:c>
      <x:c r="F764" s="14" t="n">
        <x:v>832618</x:v>
      </x:c>
      <x:c r="G764" s="2" t="str">
        <x:v>WITHIN_BAND</x:v>
      </x:c>
      <x:c r="H764" s="2" t="n">
        <x:v>1</x:v>
      </x:c>
      <x:c r="I764" s="2" t="n">
        <x:f>IF(AND(COUNTIFS($B$6:$B$797,B764,$C$6:$C$797,C764)=11,COUNTIFS($B$6:$B$797,B764,$C$6:$C$797,C764,$G$6:$G$797,"REVIEW")=0,COUNTIFS($B$6:$B$797,B764,$C$6:$C$797,C764,$H$6:$H$797,1)=11,COUNTIFS($B$6:$B$797,B764,$C$6:$C$797,C764,$F$6:$F$797,"&gt;0")=11),1,0)</x:f>
        <x:v>1</x:v>
      </x:c>
    </x:row>
    <x:row r="765" ht="22" customHeight="1">
      <x:c r="A765" s="2" t="str">
        <x:v>62052000_BD_202604_IMPORT</x:v>
      </x:c>
      <x:c r="B765" s="2" t="n">
        <x:v>202604</x:v>
      </x:c>
      <x:c r="C765" s="2" t="str">
        <x:v>62052000</x:v>
      </x:c>
      <x:c r="D765" s="2" t="str">
        <x:v>Bangladesh</x:v>
      </x:c>
      <x:c r="E765" s="14" t="n">
        <x:v>7863304</x:v>
      </x:c>
      <x:c r="F765" s="14" t="n">
        <x:v>428101</x:v>
      </x:c>
      <x:c r="G765" s="2" t="str">
        <x:v>WITHIN_BAND</x:v>
      </x:c>
      <x:c r="H765" s="2" t="n">
        <x:v>1</x:v>
      </x:c>
      <x:c r="I765" s="2" t="n">
        <x:f>IF(AND(COUNTIFS($B$6:$B$797,B765,$C$6:$C$797,C765)=11,COUNTIFS($B$6:$B$797,B765,$C$6:$C$797,C765,$G$6:$G$797,"REVIEW")=0,COUNTIFS($B$6:$B$797,B765,$C$6:$C$797,C765,$H$6:$H$797,1)=11,COUNTIFS($B$6:$B$797,B765,$C$6:$C$797,C765,$F$6:$F$797,"&gt;0")=11),1,0)</x:f>
        <x:v>1</x:v>
      </x:c>
    </x:row>
    <x:row r="766" ht="22" customHeight="1">
      <x:c r="A766" s="2" t="str">
        <x:v>62052000_KH_202604_IMPORT</x:v>
      </x:c>
      <x:c r="B766" s="2" t="n">
        <x:v>202604</x:v>
      </x:c>
      <x:c r="C766" s="2" t="str">
        <x:v>62052000</x:v>
      </x:c>
      <x:c r="D766" s="2" t="str">
        <x:v>Cambodia</x:v>
      </x:c>
      <x:c r="E766" s="14" t="n">
        <x:v>1213364</x:v>
      </x:c>
      <x:c r="F766" s="14" t="n">
        <x:v>48491</x:v>
      </x:c>
      <x:c r="G766" s="2" t="str">
        <x:v>WITHIN_BAND</x:v>
      </x:c>
      <x:c r="H766" s="2" t="n">
        <x:v>1</x:v>
      </x:c>
      <x:c r="I766" s="2" t="n">
        <x:f>IF(AND(COUNTIFS($B$6:$B$797,B766,$C$6:$C$797,C766)=11,COUNTIFS($B$6:$B$797,B766,$C$6:$C$797,C766,$G$6:$G$797,"REVIEW")=0,COUNTIFS($B$6:$B$797,B766,$C$6:$C$797,C766,$H$6:$H$797,1)=11,COUNTIFS($B$6:$B$797,B766,$C$6:$C$797,C766,$F$6:$F$797,"&gt;0")=11),1,0)</x:f>
        <x:v>1</x:v>
      </x:c>
    </x:row>
    <x:row r="767" ht="22" customHeight="1">
      <x:c r="A767" s="2" t="str">
        <x:v>62052000_CN_202604_IMPORT</x:v>
      </x:c>
      <x:c r="B767" s="2" t="n">
        <x:v>202604</x:v>
      </x:c>
      <x:c r="C767" s="2" t="str">
        <x:v>62052000</x:v>
      </x:c>
      <x:c r="D767" s="2" t="str">
        <x:v>China</x:v>
      </x:c>
      <x:c r="E767" s="14" t="n">
        <x:v>1095198</x:v>
      </x:c>
      <x:c r="F767" s="14" t="n">
        <x:v>44299</x:v>
      </x:c>
      <x:c r="G767" s="2" t="str">
        <x:v>WITHIN_BAND</x:v>
      </x:c>
      <x:c r="H767" s="2" t="n">
        <x:v>1</x:v>
      </x:c>
      <x:c r="I767" s="2" t="n">
        <x:f>IF(AND(COUNTIFS($B$6:$B$797,B767,$C$6:$C$797,C767)=11,COUNTIFS($B$6:$B$797,B767,$C$6:$C$797,C767,$G$6:$G$797,"REVIEW")=0,COUNTIFS($B$6:$B$797,B767,$C$6:$C$797,C767,$H$6:$H$797,1)=11,COUNTIFS($B$6:$B$797,B767,$C$6:$C$797,C767,$F$6:$F$797,"&gt;0")=11),1,0)</x:f>
        <x:v>1</x:v>
      </x:c>
    </x:row>
    <x:row r="768" ht="22" customHeight="1">
      <x:c r="A768" s="2" t="str">
        <x:v>62052000_IN_202604_IMPORT</x:v>
      </x:c>
      <x:c r="B768" s="2" t="n">
        <x:v>202604</x:v>
      </x:c>
      <x:c r="C768" s="2" t="str">
        <x:v>62052000</x:v>
      </x:c>
      <x:c r="D768" s="2" t="str">
        <x:v>India</x:v>
      </x:c>
      <x:c r="E768" s="14" t="n">
        <x:v>3330258</x:v>
      </x:c>
      <x:c r="F768" s="14" t="n">
        <x:v>150028</x:v>
      </x:c>
      <x:c r="G768" s="2" t="str">
        <x:v>WITHIN_BAND</x:v>
      </x:c>
      <x:c r="H768" s="2" t="n">
        <x:v>1</x:v>
      </x:c>
      <x:c r="I768" s="2" t="n">
        <x:f>IF(AND(COUNTIFS($B$6:$B$797,B768,$C$6:$C$797,C768)=11,COUNTIFS($B$6:$B$797,B768,$C$6:$C$797,C768,$G$6:$G$797,"REVIEW")=0,COUNTIFS($B$6:$B$797,B768,$C$6:$C$797,C768,$H$6:$H$797,1)=11,COUNTIFS($B$6:$B$797,B768,$C$6:$C$797,C768,$F$6:$F$797,"&gt;0")=11),1,0)</x:f>
        <x:v>1</x:v>
      </x:c>
    </x:row>
    <x:row r="769" ht="22" customHeight="1">
      <x:c r="A769" s="2" t="str">
        <x:v>62052000_MA_202604_IMPORT</x:v>
      </x:c>
      <x:c r="B769" s="2" t="n">
        <x:v>202604</x:v>
      </x:c>
      <x:c r="C769" s="2" t="str">
        <x:v>62052000</x:v>
      </x:c>
      <x:c r="D769" s="2" t="str">
        <x:v>Morocco</x:v>
      </x:c>
      <x:c r="E769" s="14" t="n">
        <x:v>66857</x:v>
      </x:c>
      <x:c r="F769" s="14" t="n">
        <x:v>2086</x:v>
      </x:c>
      <x:c r="G769" s="2" t="str">
        <x:v>WITHIN_BAND</x:v>
      </x:c>
      <x:c r="H769" s="2" t="n">
        <x:v>1</x:v>
      </x:c>
      <x:c r="I769" s="2" t="n">
        <x:f>IF(AND(COUNTIFS($B$6:$B$797,B769,$C$6:$C$797,C769)=11,COUNTIFS($B$6:$B$797,B769,$C$6:$C$797,C769,$G$6:$G$797,"REVIEW")=0,COUNTIFS($B$6:$B$797,B769,$C$6:$C$797,C769,$H$6:$H$797,1)=11,COUNTIFS($B$6:$B$797,B769,$C$6:$C$797,C769,$F$6:$F$797,"&gt;0")=11),1,0)</x:f>
        <x:v>1</x:v>
      </x:c>
    </x:row>
    <x:row r="770" ht="22" customHeight="1">
      <x:c r="A770" s="2" t="str">
        <x:v>62052000_MM_202604_IMPORT</x:v>
      </x:c>
      <x:c r="B770" s="2" t="n">
        <x:v>202604</x:v>
      </x:c>
      <x:c r="C770" s="2" t="str">
        <x:v>62052000</x:v>
      </x:c>
      <x:c r="D770" s="2" t="str">
        <x:v>Myanmar</x:v>
      </x:c>
      <x:c r="E770" s="14" t="n">
        <x:v>121726</x:v>
      </x:c>
      <x:c r="F770" s="14" t="n">
        <x:v>6424</x:v>
      </x:c>
      <x:c r="G770" s="2" t="str">
        <x:v>WITHIN_BAND</x:v>
      </x:c>
      <x:c r="H770" s="2" t="n">
        <x:v>1</x:v>
      </x:c>
      <x:c r="I770" s="2" t="n">
        <x:f>IF(AND(COUNTIFS($B$6:$B$797,B770,$C$6:$C$797,C770)=11,COUNTIFS($B$6:$B$797,B770,$C$6:$C$797,C770,$G$6:$G$797,"REVIEW")=0,COUNTIFS($B$6:$B$797,B770,$C$6:$C$797,C770,$H$6:$H$797,1)=11,COUNTIFS($B$6:$B$797,B770,$C$6:$C$797,C770,$F$6:$F$797,"&gt;0")=11),1,0)</x:f>
        <x:v>1</x:v>
      </x:c>
    </x:row>
    <x:row r="771" ht="22" customHeight="1">
      <x:c r="A771" s="2" t="str">
        <x:v>62052000_PK_202604_IMPORT</x:v>
      </x:c>
      <x:c r="B771" s="2" t="n">
        <x:v>202604</x:v>
      </x:c>
      <x:c r="C771" s="2" t="str">
        <x:v>62052000</x:v>
      </x:c>
      <x:c r="D771" s="2" t="str">
        <x:v>Pakistan</x:v>
      </x:c>
      <x:c r="E771" s="14" t="n">
        <x:v>42626</x:v>
      </x:c>
      <x:c r="F771" s="14" t="n">
        <x:v>2149</x:v>
      </x:c>
      <x:c r="G771" s="2" t="str">
        <x:v>WITHIN_BAND</x:v>
      </x:c>
      <x:c r="H771" s="2" t="n">
        <x:v>1</x:v>
      </x:c>
      <x:c r="I771" s="2" t="n">
        <x:f>IF(AND(COUNTIFS($B$6:$B$797,B771,$C$6:$C$797,C771)=11,COUNTIFS($B$6:$B$797,B771,$C$6:$C$797,C771,$G$6:$G$797,"REVIEW")=0,COUNTIFS($B$6:$B$797,B771,$C$6:$C$797,C771,$H$6:$H$797,1)=11,COUNTIFS($B$6:$B$797,B771,$C$6:$C$797,C771,$F$6:$F$797,"&gt;0")=11),1,0)</x:f>
        <x:v>1</x:v>
      </x:c>
    </x:row>
    <x:row r="772" ht="22" customHeight="1">
      <x:c r="A772" s="2" t="str">
        <x:v>62052000_LK_202604_IMPORT</x:v>
      </x:c>
      <x:c r="B772" s="2" t="n">
        <x:v>202604</x:v>
      </x:c>
      <x:c r="C772" s="2" t="str">
        <x:v>62052000</x:v>
      </x:c>
      <x:c r="D772" s="2" t="str">
        <x:v>Sri Lanka</x:v>
      </x:c>
      <x:c r="E772" s="14" t="n">
        <x:v>238544</x:v>
      </x:c>
      <x:c r="F772" s="14" t="n">
        <x:v>15257</x:v>
      </x:c>
      <x:c r="G772" s="2" t="str">
        <x:v>WITHIN_BAND</x:v>
      </x:c>
      <x:c r="H772" s="2" t="n">
        <x:v>1</x:v>
      </x:c>
      <x:c r="I772" s="2" t="n">
        <x:f>IF(AND(COUNTIFS($B$6:$B$797,B772,$C$6:$C$797,C772)=11,COUNTIFS($B$6:$B$797,B772,$C$6:$C$797,C772,$G$6:$G$797,"REVIEW")=0,COUNTIFS($B$6:$B$797,B772,$C$6:$C$797,C772,$H$6:$H$797,1)=11,COUNTIFS($B$6:$B$797,B772,$C$6:$C$797,C772,$F$6:$F$797,"&gt;0")=11),1,0)</x:f>
        <x:v>1</x:v>
      </x:c>
    </x:row>
    <x:row r="773" ht="22" customHeight="1">
      <x:c r="A773" s="2" t="str">
        <x:v>62052000_TR_202604_IMPORT</x:v>
      </x:c>
      <x:c r="B773" s="2" t="n">
        <x:v>202604</x:v>
      </x:c>
      <x:c r="C773" s="2" t="str">
        <x:v>62052000</x:v>
      </x:c>
      <x:c r="D773" s="2" t="str">
        <x:v>Turkey</x:v>
      </x:c>
      <x:c r="E773" s="14" t="n">
        <x:v>720011</x:v>
      </x:c>
      <x:c r="F773" s="14" t="n">
        <x:v>20462</x:v>
      </x:c>
      <x:c r="G773" s="2" t="str">
        <x:v>WITHIN_BAND</x:v>
      </x:c>
      <x:c r="H773" s="2" t="n">
        <x:v>1</x:v>
      </x:c>
      <x:c r="I773" s="2" t="n">
        <x:f>IF(AND(COUNTIFS($B$6:$B$797,B773,$C$6:$C$797,C773)=11,COUNTIFS($B$6:$B$797,B773,$C$6:$C$797,C773,$G$6:$G$797,"REVIEW")=0,COUNTIFS($B$6:$B$797,B773,$C$6:$C$797,C773,$H$6:$H$797,1)=11,COUNTIFS($B$6:$B$797,B773,$C$6:$C$797,C773,$F$6:$F$797,"&gt;0")=11),1,0)</x:f>
        <x:v>1</x:v>
      </x:c>
    </x:row>
    <x:row r="774" ht="22" customHeight="1">
      <x:c r="A774" s="2" t="str">
        <x:v>62052000_VN_202604_IMPORT</x:v>
      </x:c>
      <x:c r="B774" s="2" t="n">
        <x:v>202604</x:v>
      </x:c>
      <x:c r="C774" s="2" t="str">
        <x:v>62052000</x:v>
      </x:c>
      <x:c r="D774" s="2" t="str">
        <x:v>Vietnam</x:v>
      </x:c>
      <x:c r="E774" s="14" t="n">
        <x:v>1133444</x:v>
      </x:c>
      <x:c r="F774" s="14" t="n">
        <x:v>35210</x:v>
      </x:c>
      <x:c r="G774" s="2" t="str">
        <x:v>WITHIN_BAND</x:v>
      </x:c>
      <x:c r="H774" s="2" t="n">
        <x:v>1</x:v>
      </x:c>
      <x:c r="I774" s="2" t="n">
        <x:f>IF(AND(COUNTIFS($B$6:$B$797,B774,$C$6:$C$797,C774)=11,COUNTIFS($B$6:$B$797,B774,$C$6:$C$797,C774,$G$6:$G$797,"REVIEW")=0,COUNTIFS($B$6:$B$797,B774,$C$6:$C$797,C774,$H$6:$H$797,1)=11,COUNTIFS($B$6:$B$797,B774,$C$6:$C$797,C774,$F$6:$F$797,"&gt;0")=11),1,0)</x:f>
        <x:v>1</x:v>
      </x:c>
    </x:row>
    <x:row r="775" ht="22" customHeight="1">
      <x:c r="A775" s="2" t="str">
        <x:v>62052000_WORLD_202604_IMPORT</x:v>
      </x:c>
      <x:c r="B775" s="2" t="n">
        <x:v>202604</x:v>
      </x:c>
      <x:c r="C775" s="2" t="str">
        <x:v>62052000</x:v>
      </x:c>
      <x:c r="D775" s="2" t="str">
        <x:v>World</x:v>
      </x:c>
      <x:c r="E775" s="14" t="n">
        <x:v>22467448</x:v>
      </x:c>
      <x:c r="F775" s="14" t="n">
        <x:v>869486</x:v>
      </x:c>
      <x:c r="G775" s="2" t="str">
        <x:v>WITHIN_BAND</x:v>
      </x:c>
      <x:c r="H775" s="2" t="n">
        <x:v>1</x:v>
      </x:c>
      <x:c r="I775" s="2" t="n">
        <x:f>IF(AND(COUNTIFS($B$6:$B$797,B775,$C$6:$C$797,C775)=11,COUNTIFS($B$6:$B$797,B775,$C$6:$C$797,C775,$G$6:$G$797,"REVIEW")=0,COUNTIFS($B$6:$B$797,B775,$C$6:$C$797,C775,$H$6:$H$797,1)=11,COUNTIFS($B$6:$B$797,B775,$C$6:$C$797,C775,$F$6:$F$797,"&gt;0")=11),1,0)</x:f>
        <x:v>1</x:v>
      </x:c>
    </x:row>
    <x:row r="776" ht="22" customHeight="1">
      <x:c r="A776" s="2" t="str">
        <x:v>62052000_BD_202605_IMPORT</x:v>
      </x:c>
      <x:c r="B776" s="2" t="n">
        <x:v>202605</x:v>
      </x:c>
      <x:c r="C776" s="2" t="str">
        <x:v>62052000</x:v>
      </x:c>
      <x:c r="D776" s="2" t="str">
        <x:v>Bangladesh</x:v>
      </x:c>
      <x:c r="E776" s="14" t="n">
        <x:v>5310848</x:v>
      </x:c>
      <x:c r="F776" s="14" t="n">
        <x:v>301517</x:v>
      </x:c>
      <x:c r="G776" s="2" t="str">
        <x:v>WITHIN_BAND</x:v>
      </x:c>
      <x:c r="H776" s="2" t="n">
        <x:v>1</x:v>
      </x:c>
      <x:c r="I776" s="2" t="n">
        <x:f>IF(AND(COUNTIFS($B$6:$B$797,B776,$C$6:$C$797,C776)=11,COUNTIFS($B$6:$B$797,B776,$C$6:$C$797,C776,$G$6:$G$797,"REVIEW")=0,COUNTIFS($B$6:$B$797,B776,$C$6:$C$797,C776,$H$6:$H$797,1)=11,COUNTIFS($B$6:$B$797,B776,$C$6:$C$797,C776,$F$6:$F$797,"&gt;0")=11),1,0)</x:f>
        <x:v>1</x:v>
      </x:c>
    </x:row>
    <x:row r="777" ht="22" customHeight="1">
      <x:c r="A777" s="2" t="str">
        <x:v>62052000_KH_202605_IMPORT</x:v>
      </x:c>
      <x:c r="B777" s="2" t="n">
        <x:v>202605</x:v>
      </x:c>
      <x:c r="C777" s="2" t="str">
        <x:v>62052000</x:v>
      </x:c>
      <x:c r="D777" s="2" t="str">
        <x:v>Cambodia</x:v>
      </x:c>
      <x:c r="E777" s="14" t="n">
        <x:v>1315054</x:v>
      </x:c>
      <x:c r="F777" s="14" t="n">
        <x:v>62661</x:v>
      </x:c>
      <x:c r="G777" s="2" t="str">
        <x:v>WITHIN_BAND</x:v>
      </x:c>
      <x:c r="H777" s="2" t="n">
        <x:v>1</x:v>
      </x:c>
      <x:c r="I777" s="2" t="n">
        <x:f>IF(AND(COUNTIFS($B$6:$B$797,B777,$C$6:$C$797,C777)=11,COUNTIFS($B$6:$B$797,B777,$C$6:$C$797,C777,$G$6:$G$797,"REVIEW")=0,COUNTIFS($B$6:$B$797,B777,$C$6:$C$797,C777,$H$6:$H$797,1)=11,COUNTIFS($B$6:$B$797,B777,$C$6:$C$797,C777,$F$6:$F$797,"&gt;0")=11),1,0)</x:f>
        <x:v>1</x:v>
      </x:c>
    </x:row>
    <x:row r="778" ht="22" customHeight="1">
      <x:c r="A778" s="2" t="str">
        <x:v>62052000_CN_202605_IMPORT</x:v>
      </x:c>
      <x:c r="B778" s="2" t="n">
        <x:v>202605</x:v>
      </x:c>
      <x:c r="C778" s="2" t="str">
        <x:v>62052000</x:v>
      </x:c>
      <x:c r="D778" s="2" t="str">
        <x:v>China</x:v>
      </x:c>
      <x:c r="E778" s="14" t="n">
        <x:v>725226</x:v>
      </x:c>
      <x:c r="F778" s="14" t="n">
        <x:v>34193</x:v>
      </x:c>
      <x:c r="G778" s="2" t="str">
        <x:v>WITHIN_BAND</x:v>
      </x:c>
      <x:c r="H778" s="2" t="n">
        <x:v>1</x:v>
      </x:c>
      <x:c r="I778" s="2" t="n">
        <x:f>IF(AND(COUNTIFS($B$6:$B$797,B778,$C$6:$C$797,C778)=11,COUNTIFS($B$6:$B$797,B778,$C$6:$C$797,C778,$G$6:$G$797,"REVIEW")=0,COUNTIFS($B$6:$B$797,B778,$C$6:$C$797,C778,$H$6:$H$797,1)=11,COUNTIFS($B$6:$B$797,B778,$C$6:$C$797,C778,$F$6:$F$797,"&gt;0")=11),1,0)</x:f>
        <x:v>1</x:v>
      </x:c>
    </x:row>
    <x:row r="779" ht="22" customHeight="1">
      <x:c r="A779" s="2" t="str">
        <x:v>62052000_IN_202605_IMPORT</x:v>
      </x:c>
      <x:c r="B779" s="2" t="n">
        <x:v>202605</x:v>
      </x:c>
      <x:c r="C779" s="2" t="str">
        <x:v>62052000</x:v>
      </x:c>
      <x:c r="D779" s="2" t="str">
        <x:v>India</x:v>
      </x:c>
      <x:c r="E779" s="14" t="n">
        <x:v>2790481</x:v>
      </x:c>
      <x:c r="F779" s="14" t="n">
        <x:v>139763</x:v>
      </x:c>
      <x:c r="G779" s="2" t="str">
        <x:v>WITHIN_BAND</x:v>
      </x:c>
      <x:c r="H779" s="2" t="n">
        <x:v>1</x:v>
      </x:c>
      <x:c r="I779" s="2" t="n">
        <x:f>IF(AND(COUNTIFS($B$6:$B$797,B779,$C$6:$C$797,C779)=11,COUNTIFS($B$6:$B$797,B779,$C$6:$C$797,C779,$G$6:$G$797,"REVIEW")=0,COUNTIFS($B$6:$B$797,B779,$C$6:$C$797,C779,$H$6:$H$797,1)=11,COUNTIFS($B$6:$B$797,B779,$C$6:$C$797,C779,$F$6:$F$797,"&gt;0")=11),1,0)</x:f>
        <x:v>1</x:v>
      </x:c>
    </x:row>
    <x:row r="780" ht="22" customHeight="1">
      <x:c r="A780" s="2" t="str">
        <x:v>62052000_MA_202605_IMPORT</x:v>
      </x:c>
      <x:c r="B780" s="2" t="n">
        <x:v>202605</x:v>
      </x:c>
      <x:c r="C780" s="2" t="str">
        <x:v>62052000</x:v>
      </x:c>
      <x:c r="D780" s="2" t="str">
        <x:v>Morocco</x:v>
      </x:c>
      <x:c r="E780" s="14" t="n">
        <x:v>70203</x:v>
      </x:c>
      <x:c r="F780" s="14" t="n">
        <x:v>1304</x:v>
      </x:c>
      <x:c r="G780" s="2" t="str">
        <x:v>WITHIN_BAND</x:v>
      </x:c>
      <x:c r="H780" s="2" t="n">
        <x:v>1</x:v>
      </x:c>
      <x:c r="I780" s="2" t="n">
        <x:f>IF(AND(COUNTIFS($B$6:$B$797,B780,$C$6:$C$797,C780)=11,COUNTIFS($B$6:$B$797,B780,$C$6:$C$797,C780,$G$6:$G$797,"REVIEW")=0,COUNTIFS($B$6:$B$797,B780,$C$6:$C$797,C780,$H$6:$H$797,1)=11,COUNTIFS($B$6:$B$797,B780,$C$6:$C$797,C780,$F$6:$F$797,"&gt;0")=11),1,0)</x:f>
        <x:v>1</x:v>
      </x:c>
    </x:row>
    <x:row r="781" ht="22" customHeight="1">
      <x:c r="A781" s="2" t="str">
        <x:v>62052000_MM_202605_IMPORT</x:v>
      </x:c>
      <x:c r="B781" s="2" t="n">
        <x:v>202605</x:v>
      </x:c>
      <x:c r="C781" s="2" t="str">
        <x:v>62052000</x:v>
      </x:c>
      <x:c r="D781" s="2" t="str">
        <x:v>Myanmar</x:v>
      </x:c>
      <x:c r="E781" s="14" t="n">
        <x:v>59472</x:v>
      </x:c>
      <x:c r="F781" s="14" t="n">
        <x:v>4997</x:v>
      </x:c>
      <x:c r="G781" s="2" t="str">
        <x:v>WITHIN_BAND</x:v>
      </x:c>
      <x:c r="H781" s="2" t="n">
        <x:v>1</x:v>
      </x:c>
      <x:c r="I781" s="2" t="n">
        <x:f>IF(AND(COUNTIFS($B$6:$B$797,B781,$C$6:$C$797,C781)=11,COUNTIFS($B$6:$B$797,B781,$C$6:$C$797,C781,$G$6:$G$797,"REVIEW")=0,COUNTIFS($B$6:$B$797,B781,$C$6:$C$797,C781,$H$6:$H$797,1)=11,COUNTIFS($B$6:$B$797,B781,$C$6:$C$797,C781,$F$6:$F$797,"&gt;0")=11),1,0)</x:f>
        <x:v>1</x:v>
      </x:c>
    </x:row>
    <x:row r="782" ht="22" customHeight="1">
      <x:c r="A782" s="2" t="str">
        <x:v>62052000_PK_202605_IMPORT</x:v>
      </x:c>
      <x:c r="B782" s="2" t="n">
        <x:v>202605</x:v>
      </x:c>
      <x:c r="C782" s="2" t="str">
        <x:v>62052000</x:v>
      </x:c>
      <x:c r="D782" s="2" t="str">
        <x:v>Pakistan</x:v>
      </x:c>
      <x:c r="E782" s="14" t="n">
        <x:v>32727</x:v>
      </x:c>
      <x:c r="F782" s="14" t="n">
        <x:v>1760</x:v>
      </x:c>
      <x:c r="G782" s="2" t="str">
        <x:v>WITHIN_BAND</x:v>
      </x:c>
      <x:c r="H782" s="2" t="n">
        <x:v>1</x:v>
      </x:c>
      <x:c r="I782" s="2" t="n">
        <x:f>IF(AND(COUNTIFS($B$6:$B$797,B782,$C$6:$C$797,C782)=11,COUNTIFS($B$6:$B$797,B782,$C$6:$C$797,C782,$G$6:$G$797,"REVIEW")=0,COUNTIFS($B$6:$B$797,B782,$C$6:$C$797,C782,$H$6:$H$797,1)=11,COUNTIFS($B$6:$B$797,B782,$C$6:$C$797,C782,$F$6:$F$797,"&gt;0")=11),1,0)</x:f>
        <x:v>1</x:v>
      </x:c>
    </x:row>
    <x:row r="783" ht="22" customHeight="1">
      <x:c r="A783" s="2" t="str">
        <x:v>62052000_LK_202605_IMPORT</x:v>
      </x:c>
      <x:c r="B783" s="2" t="n">
        <x:v>202605</x:v>
      </x:c>
      <x:c r="C783" s="2" t="str">
        <x:v>62052000</x:v>
      </x:c>
      <x:c r="D783" s="2" t="str">
        <x:v>Sri Lanka</x:v>
      </x:c>
      <x:c r="E783" s="14" t="n">
        <x:v>193786</x:v>
      </x:c>
      <x:c r="F783" s="14" t="n">
        <x:v>11334</x:v>
      </x:c>
      <x:c r="G783" s="2" t="str">
        <x:v>WITHIN_BAND</x:v>
      </x:c>
      <x:c r="H783" s="2" t="n">
        <x:v>1</x:v>
      </x:c>
      <x:c r="I783" s="2" t="n">
        <x:f>IF(AND(COUNTIFS($B$6:$B$797,B783,$C$6:$C$797,C783)=11,COUNTIFS($B$6:$B$797,B783,$C$6:$C$797,C783,$G$6:$G$797,"REVIEW")=0,COUNTIFS($B$6:$B$797,B783,$C$6:$C$797,C783,$H$6:$H$797,1)=11,COUNTIFS($B$6:$B$797,B783,$C$6:$C$797,C783,$F$6:$F$797,"&gt;0")=11),1,0)</x:f>
        <x:v>1</x:v>
      </x:c>
    </x:row>
    <x:row r="784" ht="22" customHeight="1">
      <x:c r="A784" s="2" t="str">
        <x:v>62052000_TR_202605_IMPORT</x:v>
      </x:c>
      <x:c r="B784" s="2" t="n">
        <x:v>202605</x:v>
      </x:c>
      <x:c r="C784" s="2" t="str">
        <x:v>62052000</x:v>
      </x:c>
      <x:c r="D784" s="2" t="str">
        <x:v>Turkey</x:v>
      </x:c>
      <x:c r="E784" s="14" t="n">
        <x:v>835184</x:v>
      </x:c>
      <x:c r="F784" s="14" t="n">
        <x:v>20585</x:v>
      </x:c>
      <x:c r="G784" s="2" t="str">
        <x:v>WITHIN_BAND</x:v>
      </x:c>
      <x:c r="H784" s="2" t="n">
        <x:v>1</x:v>
      </x:c>
      <x:c r="I784" s="2" t="n">
        <x:f>IF(AND(COUNTIFS($B$6:$B$797,B784,$C$6:$C$797,C784)=11,COUNTIFS($B$6:$B$797,B784,$C$6:$C$797,C784,$G$6:$G$797,"REVIEW")=0,COUNTIFS($B$6:$B$797,B784,$C$6:$C$797,C784,$H$6:$H$797,1)=11,COUNTIFS($B$6:$B$797,B784,$C$6:$C$797,C784,$F$6:$F$797,"&gt;0")=11),1,0)</x:f>
        <x:v>1</x:v>
      </x:c>
    </x:row>
    <x:row r="785" ht="22" customHeight="1">
      <x:c r="A785" s="2" t="str">
        <x:v>62052000_VN_202605_IMPORT</x:v>
      </x:c>
      <x:c r="B785" s="2" t="n">
        <x:v>202605</x:v>
      </x:c>
      <x:c r="C785" s="2" t="str">
        <x:v>62052000</x:v>
      </x:c>
      <x:c r="D785" s="2" t="str">
        <x:v>Vietnam</x:v>
      </x:c>
      <x:c r="E785" s="14" t="n">
        <x:v>832588</x:v>
      </x:c>
      <x:c r="F785" s="14" t="n">
        <x:v>26374</x:v>
      </x:c>
      <x:c r="G785" s="2" t="str">
        <x:v>WITHIN_BAND</x:v>
      </x:c>
      <x:c r="H785" s="2" t="n">
        <x:v>1</x:v>
      </x:c>
      <x:c r="I785" s="2" t="n">
        <x:f>IF(AND(COUNTIFS($B$6:$B$797,B785,$C$6:$C$797,C785)=11,COUNTIFS($B$6:$B$797,B785,$C$6:$C$797,C785,$G$6:$G$797,"REVIEW")=0,COUNTIFS($B$6:$B$797,B785,$C$6:$C$797,C785,$H$6:$H$797,1)=11,COUNTIFS($B$6:$B$797,B785,$C$6:$C$797,C785,$F$6:$F$797,"&gt;0")=11),1,0)</x:f>
        <x:v>1</x:v>
      </x:c>
    </x:row>
    <x:row r="786" ht="22" customHeight="1">
      <x:c r="A786" s="2" t="str">
        <x:v>62052000_WORLD_202605_IMPORT</x:v>
      </x:c>
      <x:c r="B786" s="2" t="n">
        <x:v>202605</x:v>
      </x:c>
      <x:c r="C786" s="2" t="str">
        <x:v>62052000</x:v>
      </x:c>
      <x:c r="D786" s="2" t="str">
        <x:v>World</x:v>
      </x:c>
      <x:c r="E786" s="14" t="n">
        <x:v>19070349</x:v>
      </x:c>
      <x:c r="F786" s="14" t="n">
        <x:v>745612</x:v>
      </x:c>
      <x:c r="G786" s="2" t="str">
        <x:v>WITHIN_BAND</x:v>
      </x:c>
      <x:c r="H786" s="2" t="n">
        <x:v>1</x:v>
      </x:c>
      <x:c r="I786" s="2" t="n">
        <x:f>IF(AND(COUNTIFS($B$6:$B$797,B786,$C$6:$C$797,C786)=11,COUNTIFS($B$6:$B$797,B786,$C$6:$C$797,C786,$G$6:$G$797,"REVIEW")=0,COUNTIFS($B$6:$B$797,B786,$C$6:$C$797,C786,$H$6:$H$797,1)=11,COUNTIFS($B$6:$B$797,B786,$C$6:$C$797,C786,$F$6:$F$797,"&gt;0")=11),1,0)</x:f>
        <x:v>1</x:v>
      </x:c>
    </x:row>
    <x:row r="787" ht="22" customHeight="1">
      <x:c r="A787" s="2" t="str">
        <x:v>62052000_BD_202606_IMPORT</x:v>
      </x:c>
      <x:c r="B787" s="2" t="n">
        <x:v>202606</x:v>
      </x:c>
      <x:c r="C787" s="2" t="str">
        <x:v>62052000</x:v>
      </x:c>
      <x:c r="D787" s="2" t="str">
        <x:v>Bangladesh</x:v>
      </x:c>
      <x:c r="E787" s="14" t="n">
        <x:v>5310423</x:v>
      </x:c>
      <x:c r="F787" s="14" t="n">
        <x:v>330689</x:v>
      </x:c>
      <x:c r="G787" s="2" t="str">
        <x:v>WITHIN_BAND</x:v>
      </x:c>
      <x:c r="H787" s="2" t="n">
        <x:v>1</x:v>
      </x:c>
      <x:c r="I787" s="2" t="n">
        <x:f>IF(AND(COUNTIFS($B$6:$B$797,B787,$C$6:$C$797,C787)=11,COUNTIFS($B$6:$B$797,B787,$C$6:$C$797,C787,$G$6:$G$797,"REVIEW")=0,COUNTIFS($B$6:$B$797,B787,$C$6:$C$797,C787,$H$6:$H$797,1)=11,COUNTIFS($B$6:$B$797,B787,$C$6:$C$797,C787,$F$6:$F$797,"&gt;0")=11),1,0)</x:f>
        <x:v>1</x:v>
      </x:c>
    </x:row>
    <x:row r="788" ht="22" customHeight="1">
      <x:c r="A788" s="2" t="str">
        <x:v>62052000_KH_202606_IMPORT</x:v>
      </x:c>
      <x:c r="B788" s="2" t="n">
        <x:v>202606</x:v>
      </x:c>
      <x:c r="C788" s="2" t="str">
        <x:v>62052000</x:v>
      </x:c>
      <x:c r="D788" s="2" t="str">
        <x:v>Cambodia</x:v>
      </x:c>
      <x:c r="E788" s="14" t="n">
        <x:v>1005912</x:v>
      </x:c>
      <x:c r="F788" s="14" t="n">
        <x:v>39334</x:v>
      </x:c>
      <x:c r="G788" s="2" t="str">
        <x:v>WITHIN_BAND</x:v>
      </x:c>
      <x:c r="H788" s="2" t="n">
        <x:v>1</x:v>
      </x:c>
      <x:c r="I788" s="2" t="n">
        <x:f>IF(AND(COUNTIFS($B$6:$B$797,B788,$C$6:$C$797,C788)=11,COUNTIFS($B$6:$B$797,B788,$C$6:$C$797,C788,$G$6:$G$797,"REVIEW")=0,COUNTIFS($B$6:$B$797,B788,$C$6:$C$797,C788,$H$6:$H$797,1)=11,COUNTIFS($B$6:$B$797,B788,$C$6:$C$797,C788,$F$6:$F$797,"&gt;0")=11),1,0)</x:f>
        <x:v>1</x:v>
      </x:c>
    </x:row>
    <x:row r="789" ht="22" customHeight="1">
      <x:c r="A789" s="2" t="str">
        <x:v>62052000_CN_202606_IMPORT</x:v>
      </x:c>
      <x:c r="B789" s="2" t="n">
        <x:v>202606</x:v>
      </x:c>
      <x:c r="C789" s="2" t="str">
        <x:v>62052000</x:v>
      </x:c>
      <x:c r="D789" s="2" t="str">
        <x:v>China</x:v>
      </x:c>
      <x:c r="E789" s="14" t="n">
        <x:v>824050</x:v>
      </x:c>
      <x:c r="F789" s="14" t="n">
        <x:v>44185</x:v>
      </x:c>
      <x:c r="G789" s="2" t="str">
        <x:v>WITHIN_BAND</x:v>
      </x:c>
      <x:c r="H789" s="2" t="n">
        <x:v>1</x:v>
      </x:c>
      <x:c r="I789" s="2" t="n">
        <x:f>IF(AND(COUNTIFS($B$6:$B$797,B789,$C$6:$C$797,C789)=11,COUNTIFS($B$6:$B$797,B789,$C$6:$C$797,C789,$G$6:$G$797,"REVIEW")=0,COUNTIFS($B$6:$B$797,B789,$C$6:$C$797,C789,$H$6:$H$797,1)=11,COUNTIFS($B$6:$B$797,B789,$C$6:$C$797,C789,$F$6:$F$797,"&gt;0")=11),1,0)</x:f>
        <x:v>1</x:v>
      </x:c>
    </x:row>
    <x:row r="790" ht="22" customHeight="1">
      <x:c r="A790" s="2" t="str">
        <x:v>62052000_IN_202606_IMPORT</x:v>
      </x:c>
      <x:c r="B790" s="2" t="n">
        <x:v>202606</x:v>
      </x:c>
      <x:c r="C790" s="2" t="str">
        <x:v>62052000</x:v>
      </x:c>
      <x:c r="D790" s="2" t="str">
        <x:v>India</x:v>
      </x:c>
      <x:c r="E790" s="14" t="n">
        <x:v>1593150</x:v>
      </x:c>
      <x:c r="F790" s="14" t="n">
        <x:v>75336</x:v>
      </x:c>
      <x:c r="G790" s="2" t="str">
        <x:v>WITHIN_BAND</x:v>
      </x:c>
      <x:c r="H790" s="2" t="n">
        <x:v>1</x:v>
      </x:c>
      <x:c r="I790" s="2" t="n">
        <x:f>IF(AND(COUNTIFS($B$6:$B$797,B790,$C$6:$C$797,C790)=11,COUNTIFS($B$6:$B$797,B790,$C$6:$C$797,C790,$G$6:$G$797,"REVIEW")=0,COUNTIFS($B$6:$B$797,B790,$C$6:$C$797,C790,$H$6:$H$797,1)=11,COUNTIFS($B$6:$B$797,B790,$C$6:$C$797,C790,$F$6:$F$797,"&gt;0")=11),1,0)</x:f>
        <x:v>1</x:v>
      </x:c>
    </x:row>
    <x:row r="791" ht="22" customHeight="1">
      <x:c r="A791" s="2" t="str">
        <x:v>62052000_MA_202606_IMPORT</x:v>
      </x:c>
      <x:c r="B791" s="2" t="n">
        <x:v>202606</x:v>
      </x:c>
      <x:c r="C791" s="2" t="str">
        <x:v>62052000</x:v>
      </x:c>
      <x:c r="D791" s="2" t="str">
        <x:v>Morocco</x:v>
      </x:c>
      <x:c r="E791" s="14" t="n">
        <x:v>216390</x:v>
      </x:c>
      <x:c r="F791" s="14" t="n">
        <x:v>7093</x:v>
      </x:c>
      <x:c r="G791" s="2" t="str">
        <x:v>WITHIN_BAND</x:v>
      </x:c>
      <x:c r="H791" s="2" t="n">
        <x:v>1</x:v>
      </x:c>
      <x:c r="I791" s="2" t="n">
        <x:f>IF(AND(COUNTIFS($B$6:$B$797,B791,$C$6:$C$797,C791)=11,COUNTIFS($B$6:$B$797,B791,$C$6:$C$797,C791,$G$6:$G$797,"REVIEW")=0,COUNTIFS($B$6:$B$797,B791,$C$6:$C$797,C791,$H$6:$H$797,1)=11,COUNTIFS($B$6:$B$797,B791,$C$6:$C$797,C791,$F$6:$F$797,"&gt;0")=11),1,0)</x:f>
        <x:v>1</x:v>
      </x:c>
    </x:row>
    <x:row r="792" ht="22" customHeight="1">
      <x:c r="A792" s="2" t="str">
        <x:v>62052000_MM_202606_IMPORT</x:v>
      </x:c>
      <x:c r="B792" s="2" t="n">
        <x:v>202606</x:v>
      </x:c>
      <x:c r="C792" s="2" t="str">
        <x:v>62052000</x:v>
      </x:c>
      <x:c r="D792" s="2" t="str">
        <x:v>Myanmar</x:v>
      </x:c>
      <x:c r="E792" s="14" t="n">
        <x:v>105980</x:v>
      </x:c>
      <x:c r="F792" s="14" t="n">
        <x:v>9031</x:v>
      </x:c>
      <x:c r="G792" s="2" t="str">
        <x:v>WITHIN_BAND</x:v>
      </x:c>
      <x:c r="H792" s="2" t="n">
        <x:v>1</x:v>
      </x:c>
      <x:c r="I792" s="2" t="n">
        <x:f>IF(AND(COUNTIFS($B$6:$B$797,B792,$C$6:$C$797,C792)=11,COUNTIFS($B$6:$B$797,B792,$C$6:$C$797,C792,$G$6:$G$797,"REVIEW")=0,COUNTIFS($B$6:$B$797,B792,$C$6:$C$797,C792,$H$6:$H$797,1)=11,COUNTIFS($B$6:$B$797,B792,$C$6:$C$797,C792,$F$6:$F$797,"&gt;0")=11),1,0)</x:f>
        <x:v>1</x:v>
      </x:c>
    </x:row>
    <x:row r="793" ht="22" customHeight="1">
      <x:c r="A793" s="2" t="str">
        <x:v>62052000_PK_202606_IMPORT</x:v>
      </x:c>
      <x:c r="B793" s="2" t="n">
        <x:v>202606</x:v>
      </x:c>
      <x:c r="C793" s="2" t="str">
        <x:v>62052000</x:v>
      </x:c>
      <x:c r="D793" s="2" t="str">
        <x:v>Pakistan</x:v>
      </x:c>
      <x:c r="E793" s="14" t="n">
        <x:v>74075</x:v>
      </x:c>
      <x:c r="F793" s="14" t="n">
        <x:v>4559</x:v>
      </x:c>
      <x:c r="G793" s="2" t="str">
        <x:v>WITHIN_BAND</x:v>
      </x:c>
      <x:c r="H793" s="2" t="n">
        <x:v>1</x:v>
      </x:c>
      <x:c r="I793" s="2" t="n">
        <x:f>IF(AND(COUNTIFS($B$6:$B$797,B793,$C$6:$C$797,C793)=11,COUNTIFS($B$6:$B$797,B793,$C$6:$C$797,C793,$G$6:$G$797,"REVIEW")=0,COUNTIFS($B$6:$B$797,B793,$C$6:$C$797,C793,$H$6:$H$797,1)=11,COUNTIFS($B$6:$B$797,B793,$C$6:$C$797,C793,$F$6:$F$797,"&gt;0")=11),1,0)</x:f>
        <x:v>1</x:v>
      </x:c>
    </x:row>
    <x:row r="794" ht="22" customHeight="1">
      <x:c r="A794" s="2" t="str">
        <x:v>62052000_LK_202606_IMPORT</x:v>
      </x:c>
      <x:c r="B794" s="2" t="n">
        <x:v>202606</x:v>
      </x:c>
      <x:c r="C794" s="2" t="str">
        <x:v>62052000</x:v>
      </x:c>
      <x:c r="D794" s="2" t="str">
        <x:v>Sri Lanka</x:v>
      </x:c>
      <x:c r="E794" s="14" t="n">
        <x:v>257200</x:v>
      </x:c>
      <x:c r="F794" s="14" t="n">
        <x:v>8243</x:v>
      </x:c>
      <x:c r="G794" s="2" t="str">
        <x:v>WITHIN_BAND</x:v>
      </x:c>
      <x:c r="H794" s="2" t="n">
        <x:v>1</x:v>
      </x:c>
      <x:c r="I794" s="2" t="n">
        <x:f>IF(AND(COUNTIFS($B$6:$B$797,B794,$C$6:$C$797,C794)=11,COUNTIFS($B$6:$B$797,B794,$C$6:$C$797,C794,$G$6:$G$797,"REVIEW")=0,COUNTIFS($B$6:$B$797,B794,$C$6:$C$797,C794,$H$6:$H$797,1)=11,COUNTIFS($B$6:$B$797,B794,$C$6:$C$797,C794,$F$6:$F$797,"&gt;0")=11),1,0)</x:f>
        <x:v>1</x:v>
      </x:c>
    </x:row>
    <x:row r="795" ht="22" customHeight="1">
      <x:c r="A795" s="2" t="str">
        <x:v>62052000_TR_202606_IMPORT</x:v>
      </x:c>
      <x:c r="B795" s="2" t="n">
        <x:v>202606</x:v>
      </x:c>
      <x:c r="C795" s="2" t="str">
        <x:v>62052000</x:v>
      </x:c>
      <x:c r="D795" s="2" t="str">
        <x:v>Turkey</x:v>
      </x:c>
      <x:c r="E795" s="14" t="n">
        <x:v>1140177</x:v>
      </x:c>
      <x:c r="F795" s="14" t="n">
        <x:v>29237</x:v>
      </x:c>
      <x:c r="G795" s="2" t="str">
        <x:v>WITHIN_BAND</x:v>
      </x:c>
      <x:c r="H795" s="2" t="n">
        <x:v>1</x:v>
      </x:c>
      <x:c r="I795" s="2" t="n">
        <x:f>IF(AND(COUNTIFS($B$6:$B$797,B795,$C$6:$C$797,C795)=11,COUNTIFS($B$6:$B$797,B795,$C$6:$C$797,C795,$G$6:$G$797,"REVIEW")=0,COUNTIFS($B$6:$B$797,B795,$C$6:$C$797,C795,$H$6:$H$797,1)=11,COUNTIFS($B$6:$B$797,B795,$C$6:$C$797,C795,$F$6:$F$797,"&gt;0")=11),1,0)</x:f>
        <x:v>1</x:v>
      </x:c>
    </x:row>
    <x:row r="796" ht="22" customHeight="1">
      <x:c r="A796" s="2" t="str">
        <x:v>62052000_VN_202606_IMPORT</x:v>
      </x:c>
      <x:c r="B796" s="2" t="n">
        <x:v>202606</x:v>
      </x:c>
      <x:c r="C796" s="2" t="str">
        <x:v>62052000</x:v>
      </x:c>
      <x:c r="D796" s="2" t="str">
        <x:v>Vietnam</x:v>
      </x:c>
      <x:c r="E796" s="14" t="n">
        <x:v>451350</x:v>
      </x:c>
      <x:c r="F796" s="14" t="n">
        <x:v>14231</x:v>
      </x:c>
      <x:c r="G796" s="2" t="str">
        <x:v>WITHIN_BAND</x:v>
      </x:c>
      <x:c r="H796" s="2" t="n">
        <x:v>1</x:v>
      </x:c>
      <x:c r="I796" s="2" t="n">
        <x:f>IF(AND(COUNTIFS($B$6:$B$797,B796,$C$6:$C$797,C796)=11,COUNTIFS($B$6:$B$797,B796,$C$6:$C$797,C796,$G$6:$G$797,"REVIEW")=0,COUNTIFS($B$6:$B$797,B796,$C$6:$C$797,C796,$H$6:$H$797,1)=11,COUNTIFS($B$6:$B$797,B796,$C$6:$C$797,C796,$F$6:$F$797,"&gt;0")=11),1,0)</x:f>
        <x:v>1</x:v>
      </x:c>
    </x:row>
    <x:row r="797" ht="22" customHeight="1">
      <x:c r="A797" s="2" t="str">
        <x:v>62052000_WORLD_202606_IMPORT</x:v>
      </x:c>
      <x:c r="B797" s="2" t="n">
        <x:v>202606</x:v>
      </x:c>
      <x:c r="C797" s="2" t="str">
        <x:v>62052000</x:v>
      </x:c>
      <x:c r="D797" s="2" t="str">
        <x:v>World</x:v>
      </x:c>
      <x:c r="E797" s="14" t="n">
        <x:v>18430383</x:v>
      </x:c>
      <x:c r="F797" s="14" t="n">
        <x:v>704182</x:v>
      </x:c>
      <x:c r="G797" s="2" t="str">
        <x:v>WITHIN_BAND</x:v>
      </x:c>
      <x:c r="H797" s="2" t="n">
        <x:v>1</x:v>
      </x:c>
      <x:c r="I797" s="2" t="n">
        <x:f>IF(AND(COUNTIFS($B$6:$B$797,B797,$C$6:$C$797,C797)=11,COUNTIFS($B$6:$B$797,B797,$C$6:$C$797,C797,$G$6:$G$797,"REVIEW")=0,COUNTIFS($B$6:$B$797,B797,$C$6:$C$797,C797,$H$6:$H$797,1)=11,COUNTIFS($B$6:$B$797,B797,$C$6:$C$797,C797,$F$6:$F$797,"&gt;0")=11),1,0)</x:f>
        <x:v>1</x:v>
      </x:c>
    </x:row>
  </x:sheetData>
  <x:mergeCells>
    <x:mergeCell ref="A4:I4"/>
  </x:mergeCells>
  <x:pageMargins left="0.7" right="0.7" top="0.75" bottom="0.75" header="0.3" footer="0.3"/>
  <x:tableParts count="1">
    <x:tablePart xmlns:r="http://schemas.openxmlformats.org/officeDocument/2006/relationships" r:id="Ra3abb5c132df446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7"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9" hidden="0" customWidth="1"/>
    <x:col min="10" max="10" width="39" hidden="0" customWidth="1"/>
    <x:col min="11" max="11" width="39" hidden="0" customWidth="1"/>
  </x:cols>
  <x:sheetData>
    <x:row r="1" ht="22" customHeight="1">
      <x:c r="A1" s="2"/>
      <x:c r="B1" s="2"/>
      <x:c r="C1" s="2"/>
      <x:c r="D1" s="2"/>
      <x:c r="E1" s="2"/>
      <x:c r="F1" s="2"/>
      <x:c r="G1" s="2"/>
      <x:c r="H1" s="2"/>
      <x:c r="I1" s="2"/>
      <x:c r="J1" s="2"/>
      <x:c r="K1" s="2"/>
    </x:row>
    <x:row r="2" ht="29" customHeight="1">
      <x:c r="A2" s="3" t="str">
        <x:v>Locked tariff assumptions</x:v>
      </x:c>
      <x:c r="B2" s="3"/>
      <x:c r="C2" s="3"/>
      <x:c r="D2" s="3"/>
      <x:c r="E2" s="3"/>
      <x:c r="F2" s="3"/>
      <x:c r="G2" s="3"/>
      <x:c r="H2" s="3"/>
      <x:c r="I2" s="3"/>
      <x:c r="J2" s="3"/>
      <x:c r="K2" s="3"/>
    </x:row>
    <x:row r="3" ht="22" customHeight="1">
      <x:c r="A3" s="4"/>
      <x:c r="B3" s="4"/>
      <x:c r="C3" s="4"/>
      <x:c r="D3" s="4"/>
      <x:c r="E3" s="4"/>
      <x:c r="F3" s="4"/>
      <x:c r="G3" s="4"/>
      <x:c r="H3" s="4"/>
      <x:c r="I3" s="4"/>
      <x:c r="J3" s="4"/>
      <x:c r="K3" s="4"/>
    </x:row>
    <x:row r="4" ht="32" customHeight="1">
      <x:c r="A4" s="13" t="str">
        <x:v>Source: NEXT_WP004_Category_Tariff_Lock(3).xlsx, Tariff_Matrix and Origin_Rules. Frozen project snapshot. Fallback is the 12% UKGT rate recorded in WP004.</x:v>
      </x:c>
      <x:c r="B4" s="13"/>
      <x:c r="C4" s="13"/>
      <x:c r="D4" s="13"/>
      <x:c r="E4" s="13"/>
      <x:c r="F4" s="13"/>
      <x:c r="G4" s="13"/>
      <x:c r="H4" s="13"/>
      <x:c r="I4" s="13"/>
      <x:c r="J4" s="13"/>
      <x:c r="K4" s="13"/>
    </x:row>
    <x:row r="5" ht="34" customHeight="1">
      <x:c r="A5" s="12" t="str">
        <x:v>Join key</x:v>
      </x:c>
      <x:c r="B5" s="12" t="str">
        <x:v>Country</x:v>
      </x:c>
      <x:c r="C5" s="12" t="str">
        <x:v>CN8</x:v>
      </x:c>
      <x:c r="D5" s="12" t="str">
        <x:v>2025 eligible</x:v>
      </x:c>
      <x:c r="E5" s="12" t="str">
        <x:v>Pre-15 Jul 2026</x:v>
      </x:c>
      <x:c r="F5" s="12" t="str">
        <x:v>From 15 Jul 2026</x:v>
      </x:c>
      <x:c r="G5" s="12" t="str">
        <x:v>MFN fallback</x:v>
      </x:c>
      <x:c r="H5" s="12" t="str">
        <x:v>Preference conditional</x:v>
      </x:c>
      <x:c r="I5" s="12" t="str">
        <x:v>Source IDs</x:v>
      </x:c>
      <x:c r="J5" s="12" t="str">
        <x:v>Evidence queries</x:v>
      </x:c>
      <x:c r="K5" s="12" t="str">
        <x:v>WP004 location</x:v>
      </x:c>
    </x:row>
    <x:row r="6" ht="44" customHeight="1">
      <x:c r="A6" s="2" t="str">
        <x:v>Bangladesh|61091000</x:v>
      </x:c>
      <x:c r="B6" s="2" t="str">
        <x:v>Bangladesh</x:v>
      </x:c>
      <x:c r="C6" s="2" t="str">
        <x:v>61091000</x:v>
      </x:c>
      <x:c r="D6" s="8" t="n">
        <x:v>0</x:v>
      </x:c>
      <x:c r="E6" s="8" t="n">
        <x:v>0</x:v>
      </x:c>
      <x:c r="F6" s="8" t="n">
        <x:v>0</x:v>
      </x:c>
      <x:c r="G6" s="8" t="n">
        <x:v>0.12</x:v>
      </x:c>
      <x:c r="H6" s="2" t="str">
        <x:v>Yes</x:v>
      </x:c>
      <x:c r="I6" s="13" t="str">
        <x:v>EXT_UKGT; EXT_DCTS_2026; EXT_DCTS_ROO; EXT_UN_LDC_BGD</x:v>
      </x:c>
      <x:c r="J6" s="13" t="str">
        <x:v>T01; T02</x:v>
      </x:c>
      <x:c r="K6" s="13" t="str">
        <x:v>Tariff_Matrix!A2:N2</x:v>
      </x:c>
    </x:row>
    <x:row r="7" ht="44" customHeight="1">
      <x:c r="A7" s="2" t="str">
        <x:v>Cambodia|61091000</x:v>
      </x:c>
      <x:c r="B7" s="2" t="str">
        <x:v>Cambodia</x:v>
      </x:c>
      <x:c r="C7" s="2" t="str">
        <x:v>61091000</x:v>
      </x:c>
      <x:c r="D7" s="8" t="n">
        <x:v>0</x:v>
      </x:c>
      <x:c r="E7" s="8" t="n">
        <x:v>0</x:v>
      </x:c>
      <x:c r="F7" s="8" t="n">
        <x:v>0</x:v>
      </x:c>
      <x:c r="G7" s="8" t="n">
        <x:v>0.12</x:v>
      </x:c>
      <x:c r="H7" s="2" t="str">
        <x:v>Yes</x:v>
      </x:c>
      <x:c r="I7" s="13" t="str">
        <x:v>EXT_UKGT; EXT_DCTS_2026</x:v>
      </x:c>
      <x:c r="J7" s="13" t="str">
        <x:v>T01; T02</x:v>
      </x:c>
      <x:c r="K7" s="13" t="str">
        <x:v>Tariff_Matrix!A6:N6</x:v>
      </x:c>
    </x:row>
    <x:row r="8" ht="44" customHeight="1">
      <x:c r="A8" s="2" t="str">
        <x:v>China|61091000</x:v>
      </x:c>
      <x:c r="B8" s="2" t="str">
        <x:v>China</x:v>
      </x:c>
      <x:c r="C8" s="2" t="str">
        <x:v>61091000</x:v>
      </x:c>
      <x:c r="D8" s="8" t="n">
        <x:v>0.12</x:v>
      </x:c>
      <x:c r="E8" s="8" t="n">
        <x:v>0.12</x:v>
      </x:c>
      <x:c r="F8" s="8" t="n">
        <x:v>0.12</x:v>
      </x:c>
      <x:c r="G8" s="8" t="n">
        <x:v>0.12</x:v>
      </x:c>
      <x:c r="H8" s="2" t="str">
        <x:v>No</x:v>
      </x:c>
      <x:c r="I8" s="13" t="str">
        <x:v>EXT_UKGT</x:v>
      </x:c>
      <x:c r="J8" s="13" t="str">
        <x:v>T01; T02</x:v>
      </x:c>
      <x:c r="K8" s="13" t="str">
        <x:v>Tariff_Matrix!A10:N10</x:v>
      </x:c>
    </x:row>
    <x:row r="9" ht="44" customHeight="1">
      <x:c r="A9" s="2" t="str">
        <x:v>India|61091000</x:v>
      </x:c>
      <x:c r="B9" s="2" t="str">
        <x:v>India</x:v>
      </x:c>
      <x:c r="C9" s="2" t="str">
        <x:v>61091000</x:v>
      </x:c>
      <x:c r="D9" s="8" t="n">
        <x:v>0.096</x:v>
      </x:c>
      <x:c r="E9" s="8" t="n">
        <x:v>0.096</x:v>
      </x:c>
      <x:c r="F9" s="8" t="n">
        <x:v>0</x:v>
      </x:c>
      <x:c r="G9" s="8" t="n">
        <x:v>0.12</x:v>
      </x:c>
      <x:c r="H9" s="2" t="str">
        <x:v>Yes</x:v>
      </x:c>
      <x:c r="I9" s="13" t="str">
        <x:v>EXT_UKGT; EXT_DCTS_GRAD; EXT_CETA_ANNEX2A; EXT_CETA_TARIFF; EXT_CETA_PSR</x:v>
      </x:c>
      <x:c r="J9" s="13" t="str">
        <x:v>T01; T02</x:v>
      </x:c>
      <x:c r="K9" s="13" t="str">
        <x:v>Tariff_Matrix!A14:N14</x:v>
      </x:c>
    </x:row>
    <x:row r="10" ht="44" customHeight="1">
      <x:c r="A10" s="2" t="str">
        <x:v>Morocco|61091000</x:v>
      </x:c>
      <x:c r="B10" s="2" t="str">
        <x:v>Morocco</x:v>
      </x:c>
      <x:c r="C10" s="2" t="str">
        <x:v>61091000</x:v>
      </x:c>
      <x:c r="D10" s="8" t="n">
        <x:v>0</x:v>
      </x:c>
      <x:c r="E10" s="8" t="n">
        <x:v>0</x:v>
      </x:c>
      <x:c r="F10" s="8" t="n">
        <x:v>0</x:v>
      </x:c>
      <x:c r="G10" s="8" t="n">
        <x:v>0.12</x:v>
      </x:c>
      <x:c r="H10" s="2" t="str">
        <x:v>Yes</x:v>
      </x:c>
      <x:c r="I10" s="13" t="str">
        <x:v>EXT_UKGT; EXT_UK_MOROCCO</x:v>
      </x:c>
      <x:c r="J10" s="13" t="str">
        <x:v>T01; T02</x:v>
      </x:c>
      <x:c r="K10" s="13" t="str">
        <x:v>Tariff_Matrix!A18:N18</x:v>
      </x:c>
    </x:row>
    <x:row r="11" ht="44" customHeight="1">
      <x:c r="A11" s="2" t="str">
        <x:v>Myanmar|61091000</x:v>
      </x:c>
      <x:c r="B11" s="2" t="str">
        <x:v>Myanmar</x:v>
      </x:c>
      <x:c r="C11" s="2" t="str">
        <x:v>61091000</x:v>
      </x:c>
      <x:c r="D11" s="8" t="n">
        <x:v>0</x:v>
      </x:c>
      <x:c r="E11" s="8" t="n">
        <x:v>0</x:v>
      </x:c>
      <x:c r="F11" s="8" t="n">
        <x:v>0</x:v>
      </x:c>
      <x:c r="G11" s="8" t="n">
        <x:v>0.12</x:v>
      </x:c>
      <x:c r="H11" s="2" t="str">
        <x:v>Yes</x:v>
      </x:c>
      <x:c r="I11" s="13" t="str">
        <x:v>EXT_UKGT; EXT_DCTS_2026</x:v>
      </x:c>
      <x:c r="J11" s="13" t="str">
        <x:v>T01; T02</x:v>
      </x:c>
      <x:c r="K11" s="13" t="str">
        <x:v>Tariff_Matrix!A22:N22</x:v>
      </x:c>
    </x:row>
    <x:row r="12" ht="44" customHeight="1">
      <x:c r="A12" s="2" t="str">
        <x:v>Pakistan|61091000</x:v>
      </x:c>
      <x:c r="B12" s="2" t="str">
        <x:v>Pakistan</x:v>
      </x:c>
      <x:c r="C12" s="2" t="str">
        <x:v>61091000</x:v>
      </x:c>
      <x:c r="D12" s="8" t="n">
        <x:v>0</x:v>
      </x:c>
      <x:c r="E12" s="8" t="n">
        <x:v>0</x:v>
      </x:c>
      <x:c r="F12" s="8" t="n">
        <x:v>0</x:v>
      </x:c>
      <x:c r="G12" s="8" t="n">
        <x:v>0.12</x:v>
      </x:c>
      <x:c r="H12" s="2" t="str">
        <x:v>Yes</x:v>
      </x:c>
      <x:c r="I12" s="13" t="str">
        <x:v>EXT_UKGT; EXT_DCTS_2026</x:v>
      </x:c>
      <x:c r="J12" s="13" t="str">
        <x:v>T01; T02</x:v>
      </x:c>
      <x:c r="K12" s="13" t="str">
        <x:v>Tariff_Matrix!A26:N26</x:v>
      </x:c>
    </x:row>
    <x:row r="13" ht="44" customHeight="1">
      <x:c r="A13" s="2" t="str">
        <x:v>Sri Lanka|61091000</x:v>
      </x:c>
      <x:c r="B13" s="2" t="str">
        <x:v>Sri Lanka</x:v>
      </x:c>
      <x:c r="C13" s="2" t="str">
        <x:v>61091000</x:v>
      </x:c>
      <x:c r="D13" s="8" t="n">
        <x:v>0</x:v>
      </x:c>
      <x:c r="E13" s="8" t="n">
        <x:v>0</x:v>
      </x:c>
      <x:c r="F13" s="8" t="n">
        <x:v>0</x:v>
      </x:c>
      <x:c r="G13" s="8" t="n">
        <x:v>0.12</x:v>
      </x:c>
      <x:c r="H13" s="2" t="str">
        <x:v>Yes</x:v>
      </x:c>
      <x:c r="I13" s="13" t="str">
        <x:v>EXT_UKGT; EXT_DCTS_2026</x:v>
      </x:c>
      <x:c r="J13" s="13" t="str">
        <x:v>T01; T02</x:v>
      </x:c>
      <x:c r="K13" s="13" t="str">
        <x:v>Tariff_Matrix!A30:N30</x:v>
      </x:c>
    </x:row>
    <x:row r="14" ht="44" customHeight="1">
      <x:c r="A14" s="2" t="str">
        <x:v>Turkey|61091000</x:v>
      </x:c>
      <x:c r="B14" s="2" t="str">
        <x:v>Turkey</x:v>
      </x:c>
      <x:c r="C14" s="2" t="str">
        <x:v>61091000</x:v>
      </x:c>
      <x:c r="D14" s="8" t="n">
        <x:v>0</x:v>
      </x:c>
      <x:c r="E14" s="8" t="n">
        <x:v>0</x:v>
      </x:c>
      <x:c r="F14" s="8" t="n">
        <x:v>0</x:v>
      </x:c>
      <x:c r="G14" s="8" t="n">
        <x:v>0.12</x:v>
      </x:c>
      <x:c r="H14" s="2" t="str">
        <x:v>Yes</x:v>
      </x:c>
      <x:c r="I14" s="13" t="str">
        <x:v>EXT_UKGT; EXT_UK_TURKEY</x:v>
      </x:c>
      <x:c r="J14" s="13" t="str">
        <x:v>T01; T02</x:v>
      </x:c>
      <x:c r="K14" s="13" t="str">
        <x:v>Tariff_Matrix!A34:N34</x:v>
      </x:c>
    </x:row>
    <x:row r="15" ht="44" customHeight="1">
      <x:c r="A15" s="2" t="str">
        <x:v>Vietnam|61091000</x:v>
      </x:c>
      <x:c r="B15" s="2" t="str">
        <x:v>Vietnam</x:v>
      </x:c>
      <x:c r="C15" s="2" t="str">
        <x:v>61091000</x:v>
      </x:c>
      <x:c r="D15" s="8" t="n">
        <x:v>0</x:v>
      </x:c>
      <x:c r="E15" s="8" t="n">
        <x:v>0</x:v>
      </x:c>
      <x:c r="F15" s="8" t="n">
        <x:v>0</x:v>
      </x:c>
      <x:c r="G15" s="8" t="n">
        <x:v>0.12</x:v>
      </x:c>
      <x:c r="H15" s="2" t="str">
        <x:v>Yes</x:v>
      </x:c>
      <x:c r="I15" s="13" t="str">
        <x:v>EXT_UKGT; EXT_UK_VIETNAM</x:v>
      </x:c>
      <x:c r="J15" s="13" t="str">
        <x:v>T01; T02</x:v>
      </x:c>
      <x:c r="K15" s="13" t="str">
        <x:v>Tariff_Matrix!A38:N38</x:v>
      </x:c>
    </x:row>
    <x:row r="16" ht="44" customHeight="1">
      <x:c r="A16" s="2" t="str">
        <x:v>Bangladesh|61103099</x:v>
      </x:c>
      <x:c r="B16" s="2" t="str">
        <x:v>Bangladesh</x:v>
      </x:c>
      <x:c r="C16" s="2" t="str">
        <x:v>61103099</x:v>
      </x:c>
      <x:c r="D16" s="8" t="n">
        <x:v>0</x:v>
      </x:c>
      <x:c r="E16" s="8" t="n">
        <x:v>0</x:v>
      </x:c>
      <x:c r="F16" s="8" t="n">
        <x:v>0</x:v>
      </x:c>
      <x:c r="G16" s="8" t="n">
        <x:v>0.12</x:v>
      </x:c>
      <x:c r="H16" s="2" t="str">
        <x:v>Yes</x:v>
      </x:c>
      <x:c r="I16" s="13" t="str">
        <x:v>EXT_UKGT; EXT_DCTS_2026; EXT_DCTS_ROO; EXT_UN_LDC_BGD</x:v>
      </x:c>
      <x:c r="J16" s="13" t="str">
        <x:v>T03</x:v>
      </x:c>
      <x:c r="K16" s="13" t="str">
        <x:v>Tariff_Matrix!A3:N3</x:v>
      </x:c>
    </x:row>
    <x:row r="17" ht="44" customHeight="1">
      <x:c r="A17" s="2" t="str">
        <x:v>Cambodia|61103099</x:v>
      </x:c>
      <x:c r="B17" s="2" t="str">
        <x:v>Cambodia</x:v>
      </x:c>
      <x:c r="C17" s="2" t="str">
        <x:v>61103099</x:v>
      </x:c>
      <x:c r="D17" s="8" t="n">
        <x:v>0</x:v>
      </x:c>
      <x:c r="E17" s="8" t="n">
        <x:v>0</x:v>
      </x:c>
      <x:c r="F17" s="8" t="n">
        <x:v>0</x:v>
      </x:c>
      <x:c r="G17" s="8" t="n">
        <x:v>0.12</x:v>
      </x:c>
      <x:c r="H17" s="2" t="str">
        <x:v>Yes</x:v>
      </x:c>
      <x:c r="I17" s="13" t="str">
        <x:v>EXT_UKGT; EXT_DCTS_2026</x:v>
      </x:c>
      <x:c r="J17" s="13" t="str">
        <x:v>T03</x:v>
      </x:c>
      <x:c r="K17" s="13" t="str">
        <x:v>Tariff_Matrix!A7:N7</x:v>
      </x:c>
    </x:row>
    <x:row r="18" ht="44" customHeight="1">
      <x:c r="A18" s="2" t="str">
        <x:v>China|61103099</x:v>
      </x:c>
      <x:c r="B18" s="2" t="str">
        <x:v>China</x:v>
      </x:c>
      <x:c r="C18" s="2" t="str">
        <x:v>61103099</x:v>
      </x:c>
      <x:c r="D18" s="8" t="n">
        <x:v>0.12</x:v>
      </x:c>
      <x:c r="E18" s="8" t="n">
        <x:v>0.12</x:v>
      </x:c>
      <x:c r="F18" s="8" t="n">
        <x:v>0.12</x:v>
      </x:c>
      <x:c r="G18" s="8" t="n">
        <x:v>0.12</x:v>
      </x:c>
      <x:c r="H18" s="2" t="str">
        <x:v>No</x:v>
      </x:c>
      <x:c r="I18" s="13" t="str">
        <x:v>EXT_UKGT</x:v>
      </x:c>
      <x:c r="J18" s="13" t="str">
        <x:v>T03</x:v>
      </x:c>
      <x:c r="K18" s="13" t="str">
        <x:v>Tariff_Matrix!A11:N11</x:v>
      </x:c>
    </x:row>
    <x:row r="19" ht="44" customHeight="1">
      <x:c r="A19" s="2" t="str">
        <x:v>India|61103099</x:v>
      </x:c>
      <x:c r="B19" s="2" t="str">
        <x:v>India</x:v>
      </x:c>
      <x:c r="C19" s="2" t="str">
        <x:v>61103099</x:v>
      </x:c>
      <x:c r="D19" s="8" t="n">
        <x:v>0.096</x:v>
      </x:c>
      <x:c r="E19" s="8" t="n">
        <x:v>0.096</x:v>
      </x:c>
      <x:c r="F19" s="8" t="n">
        <x:v>0</x:v>
      </x:c>
      <x:c r="G19" s="8" t="n">
        <x:v>0.12</x:v>
      </x:c>
      <x:c r="H19" s="2" t="str">
        <x:v>Yes</x:v>
      </x:c>
      <x:c r="I19" s="13" t="str">
        <x:v>EXT_UKGT; EXT_DCTS_GRAD; EXT_CETA_ANNEX2A; EXT_CETA_TARIFF; EXT_CETA_PSR</x:v>
      </x:c>
      <x:c r="J19" s="13" t="str">
        <x:v>T03</x:v>
      </x:c>
      <x:c r="K19" s="13" t="str">
        <x:v>Tariff_Matrix!A15:N15</x:v>
      </x:c>
    </x:row>
    <x:row r="20" ht="44" customHeight="1">
      <x:c r="A20" s="2" t="str">
        <x:v>Morocco|61103099</x:v>
      </x:c>
      <x:c r="B20" s="2" t="str">
        <x:v>Morocco</x:v>
      </x:c>
      <x:c r="C20" s="2" t="str">
        <x:v>61103099</x:v>
      </x:c>
      <x:c r="D20" s="8" t="n">
        <x:v>0</x:v>
      </x:c>
      <x:c r="E20" s="8" t="n">
        <x:v>0</x:v>
      </x:c>
      <x:c r="F20" s="8" t="n">
        <x:v>0</x:v>
      </x:c>
      <x:c r="G20" s="8" t="n">
        <x:v>0.12</x:v>
      </x:c>
      <x:c r="H20" s="2" t="str">
        <x:v>Yes</x:v>
      </x:c>
      <x:c r="I20" s="13" t="str">
        <x:v>EXT_UKGT; EXT_UK_MOROCCO</x:v>
      </x:c>
      <x:c r="J20" s="13" t="str">
        <x:v>T03</x:v>
      </x:c>
      <x:c r="K20" s="13" t="str">
        <x:v>Tariff_Matrix!A19:N19</x:v>
      </x:c>
    </x:row>
    <x:row r="21" ht="44" customHeight="1">
      <x:c r="A21" s="2" t="str">
        <x:v>Myanmar|61103099</x:v>
      </x:c>
      <x:c r="B21" s="2" t="str">
        <x:v>Myanmar</x:v>
      </x:c>
      <x:c r="C21" s="2" t="str">
        <x:v>61103099</x:v>
      </x:c>
      <x:c r="D21" s="8" t="n">
        <x:v>0</x:v>
      </x:c>
      <x:c r="E21" s="8" t="n">
        <x:v>0</x:v>
      </x:c>
      <x:c r="F21" s="8" t="n">
        <x:v>0</x:v>
      </x:c>
      <x:c r="G21" s="8" t="n">
        <x:v>0.12</x:v>
      </x:c>
      <x:c r="H21" s="2" t="str">
        <x:v>Yes</x:v>
      </x:c>
      <x:c r="I21" s="13" t="str">
        <x:v>EXT_UKGT; EXT_DCTS_2026</x:v>
      </x:c>
      <x:c r="J21" s="13" t="str">
        <x:v>T03</x:v>
      </x:c>
      <x:c r="K21" s="13" t="str">
        <x:v>Tariff_Matrix!A23:N23</x:v>
      </x:c>
    </x:row>
    <x:row r="22" ht="44" customHeight="1">
      <x:c r="A22" s="2" t="str">
        <x:v>Pakistan|61103099</x:v>
      </x:c>
      <x:c r="B22" s="2" t="str">
        <x:v>Pakistan</x:v>
      </x:c>
      <x:c r="C22" s="2" t="str">
        <x:v>61103099</x:v>
      </x:c>
      <x:c r="D22" s="8" t="n">
        <x:v>0</x:v>
      </x:c>
      <x:c r="E22" s="8" t="n">
        <x:v>0</x:v>
      </x:c>
      <x:c r="F22" s="8" t="n">
        <x:v>0</x:v>
      </x:c>
      <x:c r="G22" s="8" t="n">
        <x:v>0.12</x:v>
      </x:c>
      <x:c r="H22" s="2" t="str">
        <x:v>Yes</x:v>
      </x:c>
      <x:c r="I22" s="13" t="str">
        <x:v>EXT_UKGT; EXT_DCTS_2026</x:v>
      </x:c>
      <x:c r="J22" s="13" t="str">
        <x:v>T03</x:v>
      </x:c>
      <x:c r="K22" s="13" t="str">
        <x:v>Tariff_Matrix!A27:N27</x:v>
      </x:c>
    </x:row>
    <x:row r="23" ht="44" customHeight="1">
      <x:c r="A23" s="2" t="str">
        <x:v>Sri Lanka|61103099</x:v>
      </x:c>
      <x:c r="B23" s="2" t="str">
        <x:v>Sri Lanka</x:v>
      </x:c>
      <x:c r="C23" s="2" t="str">
        <x:v>61103099</x:v>
      </x:c>
      <x:c r="D23" s="8" t="n">
        <x:v>0</x:v>
      </x:c>
      <x:c r="E23" s="8" t="n">
        <x:v>0</x:v>
      </x:c>
      <x:c r="F23" s="8" t="n">
        <x:v>0</x:v>
      </x:c>
      <x:c r="G23" s="8" t="n">
        <x:v>0.12</x:v>
      </x:c>
      <x:c r="H23" s="2" t="str">
        <x:v>Yes</x:v>
      </x:c>
      <x:c r="I23" s="13" t="str">
        <x:v>EXT_UKGT; EXT_DCTS_2026</x:v>
      </x:c>
      <x:c r="J23" s="13" t="str">
        <x:v>T03</x:v>
      </x:c>
      <x:c r="K23" s="13" t="str">
        <x:v>Tariff_Matrix!A31:N31</x:v>
      </x:c>
    </x:row>
    <x:row r="24" ht="44" customHeight="1">
      <x:c r="A24" s="2" t="str">
        <x:v>Turkey|61103099</x:v>
      </x:c>
      <x:c r="B24" s="2" t="str">
        <x:v>Turkey</x:v>
      </x:c>
      <x:c r="C24" s="2" t="str">
        <x:v>61103099</x:v>
      </x:c>
      <x:c r="D24" s="8" t="n">
        <x:v>0</x:v>
      </x:c>
      <x:c r="E24" s="8" t="n">
        <x:v>0</x:v>
      </x:c>
      <x:c r="F24" s="8" t="n">
        <x:v>0</x:v>
      </x:c>
      <x:c r="G24" s="8" t="n">
        <x:v>0.12</x:v>
      </x:c>
      <x:c r="H24" s="2" t="str">
        <x:v>Yes</x:v>
      </x:c>
      <x:c r="I24" s="13" t="str">
        <x:v>EXT_UKGT; EXT_UK_TURKEY</x:v>
      </x:c>
      <x:c r="J24" s="13" t="str">
        <x:v>T03</x:v>
      </x:c>
      <x:c r="K24" s="13" t="str">
        <x:v>Tariff_Matrix!A35:N35</x:v>
      </x:c>
    </x:row>
    <x:row r="25" ht="44" customHeight="1">
      <x:c r="A25" s="2" t="str">
        <x:v>Vietnam|61103099</x:v>
      </x:c>
      <x:c r="B25" s="2" t="str">
        <x:v>Vietnam</x:v>
      </x:c>
      <x:c r="C25" s="2" t="str">
        <x:v>61103099</x:v>
      </x:c>
      <x:c r="D25" s="8" t="n">
        <x:v>0</x:v>
      </x:c>
      <x:c r="E25" s="8" t="n">
        <x:v>0</x:v>
      </x:c>
      <x:c r="F25" s="8" t="n">
        <x:v>0</x:v>
      </x:c>
      <x:c r="G25" s="8" t="n">
        <x:v>0.12</x:v>
      </x:c>
      <x:c r="H25" s="2" t="str">
        <x:v>Yes</x:v>
      </x:c>
      <x:c r="I25" s="13" t="str">
        <x:v>EXT_UKGT; EXT_UK_VIETNAM</x:v>
      </x:c>
      <x:c r="J25" s="13" t="str">
        <x:v>T03</x:v>
      </x:c>
      <x:c r="K25" s="13" t="str">
        <x:v>Tariff_Matrix!A39:N39</x:v>
      </x:c>
    </x:row>
    <x:row r="26" ht="44" customHeight="1">
      <x:c r="A26" s="2" t="str">
        <x:v>Bangladesh|62044300</x:v>
      </x:c>
      <x:c r="B26" s="2" t="str">
        <x:v>Bangladesh</x:v>
      </x:c>
      <x:c r="C26" s="2" t="str">
        <x:v>62044300</x:v>
      </x:c>
      <x:c r="D26" s="8" t="n">
        <x:v>0</x:v>
      </x:c>
      <x:c r="E26" s="8" t="n">
        <x:v>0</x:v>
      </x:c>
      <x:c r="F26" s="8" t="n">
        <x:v>0</x:v>
      </x:c>
      <x:c r="G26" s="8" t="n">
        <x:v>0.12</x:v>
      </x:c>
      <x:c r="H26" s="2" t="str">
        <x:v>Yes</x:v>
      </x:c>
      <x:c r="I26" s="13" t="str">
        <x:v>EXT_UKGT; EXT_DCTS_2026; EXT_DCTS_ROO; EXT_UN_LDC_BGD</x:v>
      </x:c>
      <x:c r="J26" s="13" t="str">
        <x:v>T04; T09; T11</x:v>
      </x:c>
      <x:c r="K26" s="13" t="str">
        <x:v>Tariff_Matrix!A4:N4</x:v>
      </x:c>
    </x:row>
    <x:row r="27" ht="44" customHeight="1">
      <x:c r="A27" s="2" t="str">
        <x:v>Cambodia|62044300</x:v>
      </x:c>
      <x:c r="B27" s="2" t="str">
        <x:v>Cambodia</x:v>
      </x:c>
      <x:c r="C27" s="2" t="str">
        <x:v>62044300</x:v>
      </x:c>
      <x:c r="D27" s="8" t="n">
        <x:v>0</x:v>
      </x:c>
      <x:c r="E27" s="8" t="n">
        <x:v>0</x:v>
      </x:c>
      <x:c r="F27" s="8" t="n">
        <x:v>0</x:v>
      </x:c>
      <x:c r="G27" s="8" t="n">
        <x:v>0.12</x:v>
      </x:c>
      <x:c r="H27" s="2" t="str">
        <x:v>Yes</x:v>
      </x:c>
      <x:c r="I27" s="13" t="str">
        <x:v>EXT_UKGT; EXT_DCTS_2026</x:v>
      </x:c>
      <x:c r="J27" s="13" t="str">
        <x:v>T04; T09; T11</x:v>
      </x:c>
      <x:c r="K27" s="13" t="str">
        <x:v>Tariff_Matrix!A8:N8</x:v>
      </x:c>
    </x:row>
    <x:row r="28" ht="44" customHeight="1">
      <x:c r="A28" s="2" t="str">
        <x:v>China|62044300</x:v>
      </x:c>
      <x:c r="B28" s="2" t="str">
        <x:v>China</x:v>
      </x:c>
      <x:c r="C28" s="2" t="str">
        <x:v>62044300</x:v>
      </x:c>
      <x:c r="D28" s="8" t="n">
        <x:v>0.12</x:v>
      </x:c>
      <x:c r="E28" s="8" t="n">
        <x:v>0.12</x:v>
      </x:c>
      <x:c r="F28" s="8" t="n">
        <x:v>0.12</x:v>
      </x:c>
      <x:c r="G28" s="8" t="n">
        <x:v>0.12</x:v>
      </x:c>
      <x:c r="H28" s="2" t="str">
        <x:v>No</x:v>
      </x:c>
      <x:c r="I28" s="13" t="str">
        <x:v>EXT_UKGT</x:v>
      </x:c>
      <x:c r="J28" s="13" t="str">
        <x:v>T04; T09; T11</x:v>
      </x:c>
      <x:c r="K28" s="13" t="str">
        <x:v>Tariff_Matrix!A12:N12</x:v>
      </x:c>
    </x:row>
    <x:row r="29" ht="44" customHeight="1">
      <x:c r="A29" s="2" t="str">
        <x:v>India|62044300</x:v>
      </x:c>
      <x:c r="B29" s="2" t="str">
        <x:v>India</x:v>
      </x:c>
      <x:c r="C29" s="2" t="str">
        <x:v>62044300</x:v>
      </x:c>
      <x:c r="D29" s="8" t="n">
        <x:v>0.096</x:v>
      </x:c>
      <x:c r="E29" s="8" t="n">
        <x:v>0.12</x:v>
      </x:c>
      <x:c r="F29" s="8" t="n">
        <x:v>0</x:v>
      </x:c>
      <x:c r="G29" s="8" t="n">
        <x:v>0.12</x:v>
      </x:c>
      <x:c r="H29" s="2" t="str">
        <x:v>Yes</x:v>
      </x:c>
      <x:c r="I29" s="13" t="str">
        <x:v>EXT_UKGT; EXT_DCTS_GRAD; EXT_CETA_ANNEX2A; EXT_CETA_TARIFF; EXT_CETA_PSR</x:v>
      </x:c>
      <x:c r="J29" s="13" t="str">
        <x:v>T04; T09; T11</x:v>
      </x:c>
      <x:c r="K29" s="13" t="str">
        <x:v>Tariff_Matrix!A16:N16</x:v>
      </x:c>
    </x:row>
    <x:row r="30" ht="44" customHeight="1">
      <x:c r="A30" s="2" t="str">
        <x:v>Morocco|62044300</x:v>
      </x:c>
      <x:c r="B30" s="2" t="str">
        <x:v>Morocco</x:v>
      </x:c>
      <x:c r="C30" s="2" t="str">
        <x:v>62044300</x:v>
      </x:c>
      <x:c r="D30" s="8" t="n">
        <x:v>0</x:v>
      </x:c>
      <x:c r="E30" s="8" t="n">
        <x:v>0</x:v>
      </x:c>
      <x:c r="F30" s="8" t="n">
        <x:v>0</x:v>
      </x:c>
      <x:c r="G30" s="8" t="n">
        <x:v>0.12</x:v>
      </x:c>
      <x:c r="H30" s="2" t="str">
        <x:v>Yes</x:v>
      </x:c>
      <x:c r="I30" s="13" t="str">
        <x:v>EXT_UKGT; EXT_UK_MOROCCO</x:v>
      </x:c>
      <x:c r="J30" s="13" t="str">
        <x:v>T04; T09; T11</x:v>
      </x:c>
      <x:c r="K30" s="13" t="str">
        <x:v>Tariff_Matrix!A20:N20</x:v>
      </x:c>
    </x:row>
    <x:row r="31" ht="44" customHeight="1">
      <x:c r="A31" s="2" t="str">
        <x:v>Myanmar|62044300</x:v>
      </x:c>
      <x:c r="B31" s="2" t="str">
        <x:v>Myanmar</x:v>
      </x:c>
      <x:c r="C31" s="2" t="str">
        <x:v>62044300</x:v>
      </x:c>
      <x:c r="D31" s="8" t="n">
        <x:v>0</x:v>
      </x:c>
      <x:c r="E31" s="8" t="n">
        <x:v>0</x:v>
      </x:c>
      <x:c r="F31" s="8" t="n">
        <x:v>0</x:v>
      </x:c>
      <x:c r="G31" s="8" t="n">
        <x:v>0.12</x:v>
      </x:c>
      <x:c r="H31" s="2" t="str">
        <x:v>Yes</x:v>
      </x:c>
      <x:c r="I31" s="13" t="str">
        <x:v>EXT_UKGT; EXT_DCTS_2026</x:v>
      </x:c>
      <x:c r="J31" s="13" t="str">
        <x:v>T04; T09; T11</x:v>
      </x:c>
      <x:c r="K31" s="13" t="str">
        <x:v>Tariff_Matrix!A24:N24</x:v>
      </x:c>
    </x:row>
    <x:row r="32" ht="44" customHeight="1">
      <x:c r="A32" s="2" t="str">
        <x:v>Pakistan|62044300</x:v>
      </x:c>
      <x:c r="B32" s="2" t="str">
        <x:v>Pakistan</x:v>
      </x:c>
      <x:c r="C32" s="2" t="str">
        <x:v>62044300</x:v>
      </x:c>
      <x:c r="D32" s="8" t="n">
        <x:v>0</x:v>
      </x:c>
      <x:c r="E32" s="8" t="n">
        <x:v>0</x:v>
      </x:c>
      <x:c r="F32" s="8" t="n">
        <x:v>0</x:v>
      </x:c>
      <x:c r="G32" s="8" t="n">
        <x:v>0.12</x:v>
      </x:c>
      <x:c r="H32" s="2" t="str">
        <x:v>Yes</x:v>
      </x:c>
      <x:c r="I32" s="13" t="str">
        <x:v>EXT_UKGT; EXT_DCTS_2026</x:v>
      </x:c>
      <x:c r="J32" s="13" t="str">
        <x:v>T04; T09; T11</x:v>
      </x:c>
      <x:c r="K32" s="13" t="str">
        <x:v>Tariff_Matrix!A28:N28</x:v>
      </x:c>
    </x:row>
    <x:row r="33" ht="44" customHeight="1">
      <x:c r="A33" s="2" t="str">
        <x:v>Sri Lanka|62044300</x:v>
      </x:c>
      <x:c r="B33" s="2" t="str">
        <x:v>Sri Lanka</x:v>
      </x:c>
      <x:c r="C33" s="2" t="str">
        <x:v>62044300</x:v>
      </x:c>
      <x:c r="D33" s="8" t="n">
        <x:v>0</x:v>
      </x:c>
      <x:c r="E33" s="8" t="n">
        <x:v>0</x:v>
      </x:c>
      <x:c r="F33" s="8" t="n">
        <x:v>0</x:v>
      </x:c>
      <x:c r="G33" s="8" t="n">
        <x:v>0.12</x:v>
      </x:c>
      <x:c r="H33" s="2" t="str">
        <x:v>Yes</x:v>
      </x:c>
      <x:c r="I33" s="13" t="str">
        <x:v>EXT_UKGT; EXT_DCTS_2026</x:v>
      </x:c>
      <x:c r="J33" s="13" t="str">
        <x:v>T04; T09; T11</x:v>
      </x:c>
      <x:c r="K33" s="13" t="str">
        <x:v>Tariff_Matrix!A32:N32</x:v>
      </x:c>
    </x:row>
    <x:row r="34" ht="44" customHeight="1">
      <x:c r="A34" s="2" t="str">
        <x:v>Turkey|62044300</x:v>
      </x:c>
      <x:c r="B34" s="2" t="str">
        <x:v>Turkey</x:v>
      </x:c>
      <x:c r="C34" s="2" t="str">
        <x:v>62044300</x:v>
      </x:c>
      <x:c r="D34" s="8" t="n">
        <x:v>0</x:v>
      </x:c>
      <x:c r="E34" s="8" t="n">
        <x:v>0</x:v>
      </x:c>
      <x:c r="F34" s="8" t="n">
        <x:v>0</x:v>
      </x:c>
      <x:c r="G34" s="8" t="n">
        <x:v>0.12</x:v>
      </x:c>
      <x:c r="H34" s="2" t="str">
        <x:v>Yes</x:v>
      </x:c>
      <x:c r="I34" s="13" t="str">
        <x:v>EXT_UKGT; EXT_UK_TURKEY</x:v>
      </x:c>
      <x:c r="J34" s="13" t="str">
        <x:v>T04; T09; T11</x:v>
      </x:c>
      <x:c r="K34" s="13" t="str">
        <x:v>Tariff_Matrix!A36:N36</x:v>
      </x:c>
    </x:row>
    <x:row r="35" ht="44" customHeight="1">
      <x:c r="A35" s="2" t="str">
        <x:v>Vietnam|62044300</x:v>
      </x:c>
      <x:c r="B35" s="2" t="str">
        <x:v>Vietnam</x:v>
      </x:c>
      <x:c r="C35" s="2" t="str">
        <x:v>62044300</x:v>
      </x:c>
      <x:c r="D35" s="8" t="n">
        <x:v>0.03</x:v>
      </x:c>
      <x:c r="E35" s="8" t="n">
        <x:v>0.015</x:v>
      </x:c>
      <x:c r="F35" s="8" t="n">
        <x:v>0.015</x:v>
      </x:c>
      <x:c r="G35" s="8" t="n">
        <x:v>0.12</x:v>
      </x:c>
      <x:c r="H35" s="2" t="str">
        <x:v>Yes</x:v>
      </x:c>
      <x:c r="I35" s="13" t="str">
        <x:v>EXT_UKGT; EXT_UK_VIETNAM</x:v>
      </x:c>
      <x:c r="J35" s="13" t="str">
        <x:v>T04; T09; T11</x:v>
      </x:c>
      <x:c r="K35" s="13" t="str">
        <x:v>Tariff_Matrix!A40:N40</x:v>
      </x:c>
    </x:row>
    <x:row r="36" ht="44" customHeight="1">
      <x:c r="A36" s="2" t="str">
        <x:v>Bangladesh|62052000</x:v>
      </x:c>
      <x:c r="B36" s="2" t="str">
        <x:v>Bangladesh</x:v>
      </x:c>
      <x:c r="C36" s="2" t="str">
        <x:v>62052000</x:v>
      </x:c>
      <x:c r="D36" s="8" t="n">
        <x:v>0</x:v>
      </x:c>
      <x:c r="E36" s="8" t="n">
        <x:v>0</x:v>
      </x:c>
      <x:c r="F36" s="8" t="n">
        <x:v>0</x:v>
      </x:c>
      <x:c r="G36" s="8" t="n">
        <x:v>0.12</x:v>
      </x:c>
      <x:c r="H36" s="2" t="str">
        <x:v>Yes</x:v>
      </x:c>
      <x:c r="I36" s="13" t="str">
        <x:v>EXT_UKGT; EXT_DCTS_2026; EXT_DCTS_ROO; EXT_UN_LDC_BGD</x:v>
      </x:c>
      <x:c r="J36" s="13" t="str">
        <x:v>T05; T06</x:v>
      </x:c>
      <x:c r="K36" s="13" t="str">
        <x:v>Tariff_Matrix!A5:N5</x:v>
      </x:c>
    </x:row>
    <x:row r="37" ht="44" customHeight="1">
      <x:c r="A37" s="2" t="str">
        <x:v>Cambodia|62052000</x:v>
      </x:c>
      <x:c r="B37" s="2" t="str">
        <x:v>Cambodia</x:v>
      </x:c>
      <x:c r="C37" s="2" t="str">
        <x:v>62052000</x:v>
      </x:c>
      <x:c r="D37" s="8" t="n">
        <x:v>0</x:v>
      </x:c>
      <x:c r="E37" s="8" t="n">
        <x:v>0</x:v>
      </x:c>
      <x:c r="F37" s="8" t="n">
        <x:v>0</x:v>
      </x:c>
      <x:c r="G37" s="8" t="n">
        <x:v>0.12</x:v>
      </x:c>
      <x:c r="H37" s="2" t="str">
        <x:v>Yes</x:v>
      </x:c>
      <x:c r="I37" s="13" t="str">
        <x:v>EXT_UKGT; EXT_DCTS_2026</x:v>
      </x:c>
      <x:c r="J37" s="13" t="str">
        <x:v>T05; T06</x:v>
      </x:c>
      <x:c r="K37" s="13" t="str">
        <x:v>Tariff_Matrix!A9:N9</x:v>
      </x:c>
    </x:row>
    <x:row r="38" ht="44" customHeight="1">
      <x:c r="A38" s="2" t="str">
        <x:v>China|62052000</x:v>
      </x:c>
      <x:c r="B38" s="2" t="str">
        <x:v>China</x:v>
      </x:c>
      <x:c r="C38" s="2" t="str">
        <x:v>62052000</x:v>
      </x:c>
      <x:c r="D38" s="8" t="n">
        <x:v>0.12</x:v>
      </x:c>
      <x:c r="E38" s="8" t="n">
        <x:v>0.12</x:v>
      </x:c>
      <x:c r="F38" s="8" t="n">
        <x:v>0.12</x:v>
      </x:c>
      <x:c r="G38" s="8" t="n">
        <x:v>0.12</x:v>
      </x:c>
      <x:c r="H38" s="2" t="str">
        <x:v>No</x:v>
      </x:c>
      <x:c r="I38" s="13" t="str">
        <x:v>EXT_UKGT</x:v>
      </x:c>
      <x:c r="J38" s="13" t="str">
        <x:v>T05; T06</x:v>
      </x:c>
      <x:c r="K38" s="13" t="str">
        <x:v>Tariff_Matrix!A13:N13</x:v>
      </x:c>
    </x:row>
    <x:row r="39" ht="44" customHeight="1">
      <x:c r="A39" s="2" t="str">
        <x:v>India|62052000</x:v>
      </x:c>
      <x:c r="B39" s="2" t="str">
        <x:v>India</x:v>
      </x:c>
      <x:c r="C39" s="2" t="str">
        <x:v>62052000</x:v>
      </x:c>
      <x:c r="D39" s="8" t="n">
        <x:v>0.096</x:v>
      </x:c>
      <x:c r="E39" s="8" t="n">
        <x:v>0.12</x:v>
      </x:c>
      <x:c r="F39" s="8" t="n">
        <x:v>0</x:v>
      </x:c>
      <x:c r="G39" s="8" t="n">
        <x:v>0.12</x:v>
      </x:c>
      <x:c r="H39" s="2" t="str">
        <x:v>Yes</x:v>
      </x:c>
      <x:c r="I39" s="13" t="str">
        <x:v>EXT_UKGT; EXT_DCTS_GRAD; EXT_CETA_ANNEX2A; EXT_CETA_TARIFF; EXT_CETA_PSR</x:v>
      </x:c>
      <x:c r="J39" s="13" t="str">
        <x:v>T05; T06</x:v>
      </x:c>
      <x:c r="K39" s="13" t="str">
        <x:v>Tariff_Matrix!A17:N17</x:v>
      </x:c>
    </x:row>
    <x:row r="40" ht="44" customHeight="1">
      <x:c r="A40" s="2" t="str">
        <x:v>Morocco|62052000</x:v>
      </x:c>
      <x:c r="B40" s="2" t="str">
        <x:v>Morocco</x:v>
      </x:c>
      <x:c r="C40" s="2" t="str">
        <x:v>62052000</x:v>
      </x:c>
      <x:c r="D40" s="8" t="n">
        <x:v>0</x:v>
      </x:c>
      <x:c r="E40" s="8" t="n">
        <x:v>0</x:v>
      </x:c>
      <x:c r="F40" s="8" t="n">
        <x:v>0</x:v>
      </x:c>
      <x:c r="G40" s="8" t="n">
        <x:v>0.12</x:v>
      </x:c>
      <x:c r="H40" s="2" t="str">
        <x:v>Yes</x:v>
      </x:c>
      <x:c r="I40" s="13" t="str">
        <x:v>EXT_UKGT; EXT_UK_MOROCCO</x:v>
      </x:c>
      <x:c r="J40" s="13" t="str">
        <x:v>T05; T06</x:v>
      </x:c>
      <x:c r="K40" s="13" t="str">
        <x:v>Tariff_Matrix!A21:N21</x:v>
      </x:c>
    </x:row>
    <x:row r="41" ht="44" customHeight="1">
      <x:c r="A41" s="2" t="str">
        <x:v>Myanmar|62052000</x:v>
      </x:c>
      <x:c r="B41" s="2" t="str">
        <x:v>Myanmar</x:v>
      </x:c>
      <x:c r="C41" s="2" t="str">
        <x:v>62052000</x:v>
      </x:c>
      <x:c r="D41" s="8" t="n">
        <x:v>0</x:v>
      </x:c>
      <x:c r="E41" s="8" t="n">
        <x:v>0</x:v>
      </x:c>
      <x:c r="F41" s="8" t="n">
        <x:v>0</x:v>
      </x:c>
      <x:c r="G41" s="8" t="n">
        <x:v>0.12</x:v>
      </x:c>
      <x:c r="H41" s="2" t="str">
        <x:v>Yes</x:v>
      </x:c>
      <x:c r="I41" s="13" t="str">
        <x:v>EXT_UKGT; EXT_DCTS_2026</x:v>
      </x:c>
      <x:c r="J41" s="13" t="str">
        <x:v>T05; T06</x:v>
      </x:c>
      <x:c r="K41" s="13" t="str">
        <x:v>Tariff_Matrix!A25:N25</x:v>
      </x:c>
    </x:row>
    <x:row r="42" ht="44" customHeight="1">
      <x:c r="A42" s="2" t="str">
        <x:v>Pakistan|62052000</x:v>
      </x:c>
      <x:c r="B42" s="2" t="str">
        <x:v>Pakistan</x:v>
      </x:c>
      <x:c r="C42" s="2" t="str">
        <x:v>62052000</x:v>
      </x:c>
      <x:c r="D42" s="8" t="n">
        <x:v>0</x:v>
      </x:c>
      <x:c r="E42" s="8" t="n">
        <x:v>0</x:v>
      </x:c>
      <x:c r="F42" s="8" t="n">
        <x:v>0</x:v>
      </x:c>
      <x:c r="G42" s="8" t="n">
        <x:v>0.12</x:v>
      </x:c>
      <x:c r="H42" s="2" t="str">
        <x:v>Yes</x:v>
      </x:c>
      <x:c r="I42" s="13" t="str">
        <x:v>EXT_UKGT; EXT_DCTS_2026</x:v>
      </x:c>
      <x:c r="J42" s="13" t="str">
        <x:v>T05; T06</x:v>
      </x:c>
      <x:c r="K42" s="13" t="str">
        <x:v>Tariff_Matrix!A29:N29</x:v>
      </x:c>
    </x:row>
    <x:row r="43" ht="44" customHeight="1">
      <x:c r="A43" s="2" t="str">
        <x:v>Sri Lanka|62052000</x:v>
      </x:c>
      <x:c r="B43" s="2" t="str">
        <x:v>Sri Lanka</x:v>
      </x:c>
      <x:c r="C43" s="2" t="str">
        <x:v>62052000</x:v>
      </x:c>
      <x:c r="D43" s="8" t="n">
        <x:v>0</x:v>
      </x:c>
      <x:c r="E43" s="8" t="n">
        <x:v>0</x:v>
      </x:c>
      <x:c r="F43" s="8" t="n">
        <x:v>0</x:v>
      </x:c>
      <x:c r="G43" s="8" t="n">
        <x:v>0.12</x:v>
      </x:c>
      <x:c r="H43" s="2" t="str">
        <x:v>Yes</x:v>
      </x:c>
      <x:c r="I43" s="13" t="str">
        <x:v>EXT_UKGT; EXT_DCTS_2026</x:v>
      </x:c>
      <x:c r="J43" s="13" t="str">
        <x:v>T05; T06</x:v>
      </x:c>
      <x:c r="K43" s="13" t="str">
        <x:v>Tariff_Matrix!A33:N33</x:v>
      </x:c>
    </x:row>
    <x:row r="44" ht="44" customHeight="1">
      <x:c r="A44" s="2" t="str">
        <x:v>Turkey|62052000</x:v>
      </x:c>
      <x:c r="B44" s="2" t="str">
        <x:v>Turkey</x:v>
      </x:c>
      <x:c r="C44" s="2" t="str">
        <x:v>62052000</x:v>
      </x:c>
      <x:c r="D44" s="8" t="n">
        <x:v>0</x:v>
      </x:c>
      <x:c r="E44" s="8" t="n">
        <x:v>0</x:v>
      </x:c>
      <x:c r="F44" s="8" t="n">
        <x:v>0</x:v>
      </x:c>
      <x:c r="G44" s="8" t="n">
        <x:v>0.12</x:v>
      </x:c>
      <x:c r="H44" s="2" t="str">
        <x:v>Yes</x:v>
      </x:c>
      <x:c r="I44" s="13" t="str">
        <x:v>EXT_UKGT; EXT_UK_TURKEY</x:v>
      </x:c>
      <x:c r="J44" s="13" t="str">
        <x:v>T05; T06</x:v>
      </x:c>
      <x:c r="K44" s="13" t="str">
        <x:v>Tariff_Matrix!A37:N37</x:v>
      </x:c>
    </x:row>
    <x:row r="45" ht="44" customHeight="1">
      <x:c r="A45" s="2" t="str">
        <x:v>Vietnam|62052000</x:v>
      </x:c>
      <x:c r="B45" s="2" t="str">
        <x:v>Vietnam</x:v>
      </x:c>
      <x:c r="C45" s="2" t="str">
        <x:v>62052000</x:v>
      </x:c>
      <x:c r="D45" s="8" t="n">
        <x:v>0</x:v>
      </x:c>
      <x:c r="E45" s="8" t="n">
        <x:v>0</x:v>
      </x:c>
      <x:c r="F45" s="8" t="n">
        <x:v>0</x:v>
      </x:c>
      <x:c r="G45" s="8" t="n">
        <x:v>0.12</x:v>
      </x:c>
      <x:c r="H45" s="2" t="str">
        <x:v>Yes</x:v>
      </x:c>
      <x:c r="I45" s="13" t="str">
        <x:v>EXT_UKGT; EXT_UK_VIETNAM</x:v>
      </x:c>
      <x:c r="J45" s="13" t="str">
        <x:v>T05; T06</x:v>
      </x:c>
      <x:c r="K45" s="13" t="str">
        <x:v>Tariff_Matrix!A41:N41</x:v>
      </x:c>
    </x:row>
    <x:row r="46" ht="22" customHeight="1">
      <x:c r="A46" s="2"/>
      <x:c r="B46" s="2"/>
      <x:c r="C46" s="2"/>
      <x:c r="D46" s="2"/>
      <x:c r="E46" s="2"/>
      <x:c r="F46" s="2"/>
      <x:c r="G46" s="2"/>
      <x:c r="H46" s="2"/>
      <x:c r="I46" s="2"/>
      <x:c r="J46" s="2"/>
      <x:c r="K46" s="2"/>
    </x:row>
    <x:row r="47" ht="22" customHeight="1">
      <x:c r="A47" s="2"/>
      <x:c r="B47" s="2"/>
      <x:c r="C47" s="2"/>
      <x:c r="D47" s="2"/>
      <x:c r="E47" s="2"/>
      <x:c r="F47" s="2"/>
      <x:c r="G47" s="2"/>
      <x:c r="H47" s="2"/>
      <x:c r="I47" s="2"/>
      <x:c r="J47" s="2"/>
      <x:c r="K47" s="2"/>
    </x:row>
    <x:row r="48" ht="22" customHeight="1">
      <x:c r="A48" s="2"/>
      <x:c r="B48" s="2"/>
      <x:c r="C48" s="2"/>
      <x:c r="D48" s="2"/>
      <x:c r="E48" s="2"/>
      <x:c r="F48" s="2"/>
      <x:c r="G48" s="2"/>
      <x:c r="H48" s="2"/>
      <x:c r="I48" s="2"/>
      <x:c r="J48" s="2"/>
      <x:c r="K48" s="2"/>
    </x:row>
    <x:row r="49" ht="34" customHeight="1">
      <x:c r="A49" s="12" t="str">
        <x:v>Country</x:v>
      </x:c>
      <x:c r="B49" s="12" t="str">
        <x:v>APPAREL sites</x:v>
      </x:c>
      <x:c r="C49" s="12" t="str">
        <x:v>Source suppliers</x:v>
      </x:c>
      <x:c r="D49" s="12" t="str">
        <x:v>Resolved groups</x:v>
      </x:c>
      <x:c r="E49" s="2"/>
      <x:c r="F49" s="2"/>
      <x:c r="G49" s="2"/>
      <x:c r="H49" s="2"/>
      <x:c r="I49" s="2"/>
      <x:c r="J49" s="2"/>
      <x:c r="K49" s="2"/>
    </x:row>
    <x:row r="50" ht="22" customHeight="1">
      <x:c r="A50" s="2" t="str">
        <x:v>Bangladesh</x:v>
      </x:c>
      <x:c r="B50" s="2" t="n">
        <x:v>192</x:v>
      </x:c>
      <x:c r="C50" s="2" t="n">
        <x:v>83</x:v>
      </x:c>
      <x:c r="D50" s="2" t="n">
        <x:v>83</x:v>
      </x:c>
      <x:c r="E50" s="2"/>
      <x:c r="F50" s="2"/>
      <x:c r="G50" s="2"/>
      <x:c r="H50" s="2"/>
      <x:c r="I50" s="2"/>
      <x:c r="J50" s="2"/>
      <x:c r="K50" s="2"/>
    </x:row>
    <x:row r="51" ht="22" customHeight="1">
      <x:c r="A51" s="2" t="str">
        <x:v>Cambodia</x:v>
      </x:c>
      <x:c r="B51" s="2" t="n">
        <x:v>62</x:v>
      </x:c>
      <x:c r="C51" s="2" t="n">
        <x:v>29</x:v>
      </x:c>
      <x:c r="D51" s="2" t="n">
        <x:v>29</x:v>
      </x:c>
      <x:c r="E51" s="2"/>
      <x:c r="F51" s="2"/>
      <x:c r="G51" s="2"/>
      <x:c r="H51" s="2"/>
      <x:c r="I51" s="2"/>
      <x:c r="J51" s="2"/>
      <x:c r="K51" s="2"/>
    </x:row>
    <x:row r="52" ht="22" customHeight="1">
      <x:c r="A52" s="2" t="str">
        <x:v>China</x:v>
      </x:c>
      <x:c r="B52" s="2" t="n">
        <x:v>507</x:v>
      </x:c>
      <x:c r="C52" s="2" t="n">
        <x:v>260</x:v>
      </x:c>
      <x:c r="D52" s="2" t="n">
        <x:v>256</x:v>
      </x:c>
      <x:c r="E52" s="2"/>
      <x:c r="F52" s="2"/>
      <x:c r="G52" s="2"/>
      <x:c r="H52" s="2"/>
      <x:c r="I52" s="2"/>
      <x:c r="J52" s="2"/>
      <x:c r="K52" s="2"/>
    </x:row>
    <x:row r="53" ht="22" customHeight="1">
      <x:c r="A53" s="2" t="str">
        <x:v>India</x:v>
      </x:c>
      <x:c r="B53" s="2" t="n">
        <x:v>212</x:v>
      </x:c>
      <x:c r="C53" s="2" t="n">
        <x:v>127</x:v>
      </x:c>
      <x:c r="D53" s="2" t="n">
        <x:v>124</x:v>
      </x:c>
      <x:c r="E53" s="2"/>
      <x:c r="F53" s="2"/>
      <x:c r="G53" s="2"/>
      <x:c r="H53" s="2"/>
      <x:c r="I53" s="2"/>
      <x:c r="J53" s="2"/>
      <x:c r="K53" s="2"/>
    </x:row>
    <x:row r="54" ht="22" customHeight="1">
      <x:c r="A54" s="2" t="str">
        <x:v>Morocco</x:v>
      </x:c>
      <x:c r="B54" s="2" t="n">
        <x:v>17</x:v>
      </x:c>
      <x:c r="C54" s="2" t="n">
        <x:v>16</x:v>
      </x:c>
      <x:c r="D54" s="2" t="n">
        <x:v>16</x:v>
      </x:c>
      <x:c r="E54" s="2"/>
      <x:c r="F54" s="2"/>
      <x:c r="G54" s="2"/>
      <x:c r="H54" s="2"/>
      <x:c r="I54" s="2"/>
      <x:c r="J54" s="2"/>
      <x:c r="K54" s="2"/>
    </x:row>
    <x:row r="55" ht="22" customHeight="1">
      <x:c r="A55" s="2" t="str">
        <x:v>Myanmar</x:v>
      </x:c>
      <x:c r="B55" s="2" t="n">
        <x:v>13</x:v>
      </x:c>
      <x:c r="C55" s="2" t="n">
        <x:v>3</x:v>
      </x:c>
      <x:c r="D55" s="2" t="n">
        <x:v>3</x:v>
      </x:c>
      <x:c r="E55" s="2"/>
      <x:c r="F55" s="2"/>
      <x:c r="G55" s="2"/>
      <x:c r="H55" s="2"/>
      <x:c r="I55" s="2"/>
      <x:c r="J55" s="2"/>
      <x:c r="K55" s="2"/>
    </x:row>
    <x:row r="56" ht="22" customHeight="1">
      <x:c r="A56" s="2" t="str">
        <x:v>Pakistan</x:v>
      </x:c>
      <x:c r="B56" s="2" t="n">
        <x:v>44</x:v>
      </x:c>
      <x:c r="C56" s="2" t="n">
        <x:v>37</x:v>
      </x:c>
      <x:c r="D56" s="2" t="n">
        <x:v>36</x:v>
      </x:c>
      <x:c r="E56" s="2"/>
      <x:c r="F56" s="2"/>
      <x:c r="G56" s="2"/>
      <x:c r="H56" s="2"/>
      <x:c r="I56" s="2"/>
      <x:c r="J56" s="2"/>
      <x:c r="K56" s="2"/>
    </x:row>
    <x:row r="57" ht="22" customHeight="1">
      <x:c r="A57" s="2" t="str">
        <x:v>Sri Lanka</x:v>
      </x:c>
      <x:c r="B57" s="2" t="n">
        <x:v>66</x:v>
      </x:c>
      <x:c r="C57" s="2" t="n">
        <x:v>29</x:v>
      </x:c>
      <x:c r="D57" s="2" t="n">
        <x:v>29</x:v>
      </x:c>
      <x:c r="E57" s="2"/>
      <x:c r="F57" s="2"/>
      <x:c r="G57" s="2"/>
      <x:c r="H57" s="2"/>
      <x:c r="I57" s="2"/>
      <x:c r="J57" s="2"/>
      <x:c r="K57" s="2"/>
    </x:row>
    <x:row r="58" ht="22" customHeight="1">
      <x:c r="A58" s="2" t="str">
        <x:v>Turkey</x:v>
      </x:c>
      <x:c r="B58" s="2" t="n">
        <x:v>70</x:v>
      </x:c>
      <x:c r="C58" s="2" t="n">
        <x:v>55</x:v>
      </x:c>
      <x:c r="D58" s="2" t="n">
        <x:v>55</x:v>
      </x:c>
      <x:c r="E58" s="2"/>
      <x:c r="F58" s="2"/>
      <x:c r="G58" s="2"/>
      <x:c r="H58" s="2"/>
      <x:c r="I58" s="2"/>
      <x:c r="J58" s="2"/>
      <x:c r="K58" s="2"/>
    </x:row>
    <x:row r="59" ht="22" customHeight="1">
      <x:c r="A59" s="2" t="str">
        <x:v>Vietnam</x:v>
      </x:c>
      <x:c r="B59" s="2" t="n">
        <x:v>34</x:v>
      </x:c>
      <x:c r="C59" s="2" t="n">
        <x:v>25</x:v>
      </x:c>
      <x:c r="D59" s="2" t="n">
        <x:v>25</x:v>
      </x:c>
      <x:c r="E59" s="2"/>
      <x:c r="F59" s="2"/>
      <x:c r="G59" s="2"/>
      <x:c r="H59" s="2"/>
      <x:c r="I59" s="2"/>
      <x:c r="J59" s="2"/>
      <x:c r="K59" s="2"/>
    </x:row>
    <x:row r="60" ht="22" customHeight="1">
      <x:c r="A60" s="2"/>
      <x:c r="B60" s="2"/>
      <x:c r="C60" s="2"/>
      <x:c r="D60" s="2"/>
      <x:c r="E60" s="2"/>
      <x:c r="F60" s="2"/>
      <x:c r="G60" s="2"/>
      <x:c r="H60" s="2"/>
      <x:c r="I60" s="2"/>
      <x:c r="J60" s="2"/>
      <x:c r="K60" s="2"/>
    </x:row>
    <x:row r="61" ht="36" customHeight="1">
      <x:c r="A61" s="13" t="str">
        <x:v>Footprint source: NEXT_WP006_supplier_country_product_footprint.csv, APPAREL rows. These counts establish disclosed presence only. They do not establish locked-CN8 capability, spare capacity or sourcing clearance.</x:v>
      </x:c>
      <x:c r="B61" s="13"/>
      <x:c r="C61" s="13"/>
      <x:c r="D61" s="13"/>
      <x:c r="E61" s="13"/>
      <x:c r="F61" s="13"/>
      <x:c r="G61" s="13"/>
      <x:c r="H61" s="13"/>
      <x:c r="I61" s="13"/>
      <x:c r="J61" s="13"/>
      <x:c r="K61" s="13"/>
    </x:row>
    <x:row r="62" ht="36" customHeight="1">
      <x:c r="A62" s="13" t="str">
        <x:v>India: preference is conditional on CETA origin evidence. Vietnam 62044300: 3% in 2025 and 1.5% in the 2026 snapshot. Bangladesh: recheck preference tier/rates in 2029; no automatic tariff cliff is modelled.</x:v>
      </x:c>
      <x:c r="B62" s="13"/>
      <x:c r="C62" s="13"/>
      <x:c r="D62" s="13"/>
      <x:c r="E62" s="13"/>
      <x:c r="F62" s="13"/>
      <x:c r="G62" s="13"/>
      <x:c r="H62" s="13"/>
      <x:c r="I62" s="13"/>
      <x:c r="J62" s="13"/>
      <x:c r="K62" s="13"/>
    </x:row>
    <x:row r="63" ht="36" customHeight="1">
      <x:c r="A63" s="13" t="str">
        <x:v>Dispatch geography does not prove manufacturing origin. Eligible rates assume a candidate would satisfy the relevant origin rules; MFN is the fallback where preference cannot be claimed.</x:v>
      </x:c>
      <x:c r="B63" s="13"/>
      <x:c r="C63" s="13"/>
      <x:c r="D63" s="13"/>
      <x:c r="E63" s="13"/>
      <x:c r="F63" s="13"/>
      <x:c r="G63" s="13"/>
      <x:c r="H63" s="13"/>
      <x:c r="I63" s="13"/>
      <x:c r="J63" s="13"/>
      <x:c r="K63" s="13"/>
    </x:row>
    <x:row r="64" ht="22" customHeight="1">
      <x:c r="A64" s="2"/>
      <x:c r="B64" s="2"/>
      <x:c r="C64" s="2"/>
      <x:c r="D64" s="2"/>
      <x:c r="E64" s="2"/>
      <x:c r="F64" s="2"/>
      <x:c r="G64" s="2"/>
      <x:c r="H64" s="2"/>
      <x:c r="I64" s="2"/>
      <x:c r="J64" s="2"/>
      <x:c r="K64" s="2"/>
    </x:row>
    <x:row r="65" ht="22" customHeight="1">
      <x:c r="A65" s="2"/>
      <x:c r="B65" s="2"/>
      <x:c r="C65" s="2"/>
      <x:c r="D65" s="2"/>
      <x:c r="E65" s="2"/>
      <x:c r="F65" s="2"/>
      <x:c r="G65" s="2"/>
      <x:c r="H65" s="2"/>
      <x:c r="I65" s="2"/>
      <x:c r="J65" s="2"/>
      <x:c r="K65" s="2"/>
    </x:row>
    <x:row r="66" ht="22" customHeight="1">
      <x:c r="A66" s="2"/>
      <x:c r="B66" s="2"/>
      <x:c r="C66" s="2"/>
      <x:c r="D66" s="2"/>
      <x:c r="E66" s="2"/>
      <x:c r="F66" s="2"/>
      <x:c r="G66" s="2"/>
      <x:c r="H66" s="2"/>
      <x:c r="I66" s="2"/>
      <x:c r="J66" s="2"/>
      <x:c r="K66" s="2"/>
    </x:row>
    <x:row r="67" ht="22" customHeight="1">
      <x:c r="A67" s="2"/>
      <x:c r="B67" s="2"/>
      <x:c r="C67" s="2"/>
      <x:c r="D67" s="2"/>
      <x:c r="E67" s="2"/>
      <x:c r="F67" s="2"/>
      <x:c r="G67" s="2"/>
      <x:c r="H67" s="2"/>
      <x:c r="I67" s="2"/>
      <x:c r="J67" s="2"/>
      <x:c r="K67" s="2"/>
    </x:row>
    <x:row r="68" ht="22" customHeight="1">
      <x:c r="A68" s="2"/>
      <x:c r="B68" s="2"/>
      <x:c r="C68" s="2"/>
      <x:c r="D68" s="2"/>
      <x:c r="E68" s="2"/>
      <x:c r="F68" s="2"/>
      <x:c r="G68" s="2"/>
      <x:c r="H68" s="2"/>
      <x:c r="I68" s="2"/>
      <x:c r="J68" s="2"/>
      <x:c r="K68" s="2"/>
    </x:row>
    <x:row r="69" ht="22" customHeight="1">
      <x:c r="A69" s="2"/>
      <x:c r="B69" s="2"/>
      <x:c r="C69" s="2"/>
      <x:c r="D69" s="2"/>
      <x:c r="E69" s="2"/>
      <x:c r="F69" s="2"/>
      <x:c r="G69" s="2"/>
      <x:c r="H69" s="2"/>
      <x:c r="I69" s="2"/>
      <x:c r="J69" s="2"/>
      <x:c r="K69" s="2"/>
    </x:row>
    <x:row r="70" ht="22" customHeight="1">
      <x:c r="A70" s="2"/>
      <x:c r="B70" s="2"/>
      <x:c r="C70" s="2"/>
      <x:c r="D70" s="2"/>
      <x:c r="E70" s="2"/>
      <x:c r="F70" s="2"/>
      <x:c r="G70" s="2"/>
      <x:c r="H70" s="2"/>
      <x:c r="I70" s="2"/>
      <x:c r="J70" s="2"/>
      <x:c r="K70" s="2"/>
    </x:row>
  </x:sheetData>
  <x:mergeCells>
    <x:mergeCell ref="A4:K4"/>
    <x:mergeCell ref="A61:K61"/>
    <x:mergeCell ref="A62:K62"/>
    <x:mergeCell ref="A63:K63"/>
  </x:mergeCells>
  <x:pageMargins left="0.7" right="0.7" top="0.75" bottom="0.75" header="0.3" footer="0.3"/>
  <x:tableParts count="1">
    <x:tablePart xmlns:r="http://schemas.openxmlformats.org/officeDocument/2006/relationships" r:id="Rbe556f5dab684dc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15" hidden="0" customWidth="1"/>
    <x:col min="3" max="3" width="15" hidden="0" customWidth="1"/>
    <x:col min="4" max="4" width="15" hidden="0" customWidth="1"/>
    <x:col min="5" max="5" width="62" hidden="0" customWidth="1"/>
    <x:col min="6" max="6" width="15" hidden="0" customWidth="1"/>
  </x:cols>
  <x:sheetData>
    <x:row r="1" ht="22" customHeight="1">
      <x:c r="A1" s="2"/>
      <x:c r="B1" s="2"/>
      <x:c r="C1" s="2"/>
      <x:c r="D1" s="2"/>
      <x:c r="E1" s="2"/>
      <x:c r="F1" s="2"/>
    </x:row>
    <x:row r="2" ht="29" customHeight="1">
      <x:c r="A2" s="3" t="str">
        <x:v>WP008 model controls</x:v>
      </x:c>
      <x:c r="B2" s="3"/>
      <x:c r="C2" s="3"/>
      <x:c r="D2" s="3"/>
      <x:c r="E2" s="3"/>
      <x:c r="F2" s="3"/>
    </x:row>
    <x:row r="3" ht="22" customHeight="1">
      <x:c r="A3" s="4"/>
      <x:c r="B3" s="4"/>
      <x:c r="C3" s="4"/>
      <x:c r="D3" s="4"/>
      <x:c r="E3" s="4"/>
      <x:c r="F3" s="4"/>
    </x:row>
    <x:row r="4" ht="22" customHeight="1">
      <x:c r="A4" s="2"/>
      <x:c r="B4" s="2"/>
      <x:c r="C4" s="2"/>
      <x:c r="D4" s="2"/>
      <x:c r="E4" s="2"/>
      <x:c r="F4" s="2"/>
    </x:row>
    <x:row r="5" ht="34" customHeight="1">
      <x:c r="A5" s="12" t="str">
        <x:v>Check</x:v>
      </x:c>
      <x:c r="B5" s="12" t="str">
        <x:v>Actual</x:v>
      </x:c>
      <x:c r="C5" s="12" t="str">
        <x:v>Expected</x:v>
      </x:c>
      <x:c r="D5" s="12" t="str">
        <x:v>Result</x:v>
      </x:c>
      <x:c r="E5" s="12" t="str">
        <x:v>Coverage</x:v>
      </x:c>
      <x:c r="F5" s="2"/>
    </x:row>
    <x:row r="6" ht="22" customHeight="1">
      <x:c r="A6" s="2" t="str">
        <x:v>Reported period records</x:v>
      </x:c>
      <x:c r="B6" s="20" t="n">
        <x:f>COUNTA(Trade_Periods!A6:A125)</x:f>
        <x:v>120</x:v>
      </x:c>
      <x:c r="C6" s="20" t="n">
        <x:v>120</x:v>
      </x:c>
      <x:c r="D6" s="2" t="str">
        <x:f>IF(ABS(B6-C6)&lt;=0,"PASS","FAIL")</x:f>
        <x:v>PASS</x:v>
      </x:c>
      <x:c r="E6" s="2" t="str">
        <x:v>3 periods × 4 codes × 10 countries</x:v>
      </x:c>
      <x:c r="F6" s="2"/>
    </x:row>
    <x:row r="7" ht="22" customHeight="1">
      <x:c r="A7" s="2" t="str">
        <x:v>Monthly observations</x:v>
      </x:c>
      <x:c r="B7" s="20" t="n">
        <x:f>COUNTA(Monthly_Data!A6:A797)</x:f>
        <x:v>792</x:v>
      </x:c>
      <x:c r="C7" s="20" t="n">
        <x:v>792</x:v>
      </x:c>
      <x:c r="D7" s="2" t="str">
        <x:f>IF(ABS(B7-C7)&lt;=0,"PASS","FAIL")</x:f>
        <x:v>PASS</x:v>
      </x:c>
      <x:c r="E7" s="2" t="str">
        <x:v>18 months × 4 codes × 11 geographies</x:v>
      </x:c>
      <x:c r="F7" s="2"/>
    </x:row>
    <x:row r="8" ht="22" customHeight="1">
      <x:c r="A8" s="2" t="str">
        <x:v>Tariff records</x:v>
      </x:c>
      <x:c r="B8" s="20" t="n">
        <x:f>COUNTA(Tariffs!A6:A45)</x:f>
        <x:v>40</x:v>
      </x:c>
      <x:c r="C8" s="20" t="n">
        <x:v>40</x:v>
      </x:c>
      <x:c r="D8" s="2" t="str">
        <x:f>IF(ABS(B8-C8)&lt;=0,"PASS","FAIL")</x:f>
        <x:v>PASS</x:v>
      </x:c>
      <x:c r="E8" s="2" t="str">
        <x:v>Four codes × ten countries</x:v>
      </x:c>
      <x:c r="F8" s="2"/>
    </x:row>
    <x:row r="9" ht="22" customHeight="1">
      <x:c r="A9" s="2" t="str">
        <x:v>Unique period keys</x:v>
      </x:c>
      <x:c r="B9" s="20" t="n">
        <x:f>COUNTIF(Trade_Periods!Q6:Q125,1)</x:f>
        <x:v>120</x:v>
      </x:c>
      <x:c r="C9" s="20" t="n">
        <x:v>120</x:v>
      </x:c>
      <x:c r="D9" s="2" t="str">
        <x:f>IF(ABS(B9-C9)&lt;=0,"PASS","FAIL")</x:f>
        <x:v>PASS</x:v>
      </x:c>
      <x:c r="E9" s="2" t="str">
        <x:v>Stable period/country/code keys</x:v>
      </x:c>
      <x:c r="F9" s="2"/>
    </x:row>
    <x:row r="10" ht="22" customHeight="1">
      <x:c r="A10" s="2" t="str">
        <x:v>Export UV reconciliation</x:v>
      </x:c>
      <x:c r="B10" s="20" t="n">
        <x:f>SUM(Trade_Periods!R6:R125)</x:f>
        <x:v>0</x:v>
      </x:c>
      <x:c r="C10" s="20" t="n">
        <x:v>0</x:v>
      </x:c>
      <x:c r="D10" s="2" t="str">
        <x:f>IF(ABS(B10-C10)&lt;=1e-8,"PASS","FAIL")</x:f>
        <x:v>PASS</x:v>
      </x:c>
      <x:c r="E10" s="2" t="str">
        <x:v>Recomputed value / mass versus WP006 weighted UV</x:v>
      </x:c>
      <x:c r="F10" s="2"/>
    </x:row>
    <x:row r="11" ht="22" customHeight="1">
      <x:c r="A11" s="2" t="str">
        <x:v>Input assumptions</x:v>
      </x:c>
      <x:c r="B11" s="20" t="str">
        <x:f>Assumptions!C13</x:f>
        <x:v>Valid</x:v>
      </x:c>
      <x:c r="C11" s="20" t="str">
        <x:v>Valid</x:v>
      </x:c>
      <x:c r="D11" s="2" t="str">
        <x:f>IF(B11=C11,"PASS","FAIL")</x:f>
        <x:v>PASS</x:v>
      </x:c>
      <x:c r="E11" s="2" t="str">
        <x:v>Weights, ranges and Myanmar/donor exclusions</x:v>
      </x:c>
      <x:c r="F11" s="2"/>
    </x:row>
    <x:row r="12" ht="22" customHeight="1">
      <x:c r="A12" s="2" t="str">
        <x:v>61091000: baseline shares</x:v>
      </x:c>
      <x:c r="B12" s="20" t="n">
        <x:f>SUM(Cost_Model!D6:D15)</x:f>
        <x:v>1</x:v>
      </x:c>
      <x:c r="C12" s="20" t="n">
        <x:v>1</x:v>
      </x:c>
      <x:c r="D12" s="2" t="str">
        <x:f>IF(ABS(B12-C12)&lt;=1e-9,"PASS","FAIL")</x:f>
        <x:v>PASS</x:v>
      </x:c>
      <x:c r="E12" s="2" t="str">
        <x:v>Each product baseline sums to 100%</x:v>
      </x:c>
      <x:c r="F12" s="2"/>
    </x:row>
    <x:row r="13" ht="22" customHeight="1">
      <x:c r="A13" s="2" t="str">
        <x:v>61091000: scenario shares</x:v>
      </x:c>
      <x:c r="B13" s="20" t="n">
        <x:f>SUM(Cost_Model!R6:R15)</x:f>
        <x:v>0.9999999999999999</x:v>
      </x:c>
      <x:c r="C13" s="20" t="n">
        <x:v>1</x:v>
      </x:c>
      <x:c r="D13" s="2" t="str">
        <x:f>IF(ABS(B13-C13)&lt;=1e-9,"PASS","FAIL")</x:f>
        <x:v>PASS</x:v>
      </x:c>
      <x:c r="E13" s="2" t="str">
        <x:v>Each product scenario sums to 100%</x:v>
      </x:c>
      <x:c r="F13" s="2"/>
    </x:row>
    <x:row r="14" ht="22" customHeight="1">
      <x:c r="A14" s="2" t="str">
        <x:v>61091000: negative shares</x:v>
      </x:c>
      <x:c r="B14" s="20" t="n">
        <x:f>COUNTIF(Cost_Model!R6:R15,"&lt;0")</x:f>
        <x:v>0</x:v>
      </x:c>
      <x:c r="C14" s="20" t="n">
        <x:v>0</x:v>
      </x:c>
      <x:c r="D14" s="2" t="str">
        <x:f>IF(ABS(B14-C14)&lt;=0,"PASS","FAIL")</x:f>
        <x:v>PASS</x:v>
      </x:c>
      <x:c r="E14" s="2" t="str">
        <x:v>No negative country allocations</x:v>
      </x:c>
      <x:c r="F14" s="2"/>
    </x:row>
    <x:row r="15" ht="22" customHeight="1">
      <x:c r="A15" s="2" t="str">
        <x:v>61091000: cost bridge</x:v>
      </x:c>
      <x:c r="B15" s="20" t="n">
        <x:f>SUM(Cost_Model!T6:T15)-Cost_Model!F51</x:f>
        <x:v>0</x:v>
      </x:c>
      <x:c r="C15" s="20" t="n">
        <x:v>0</x:v>
      </x:c>
      <x:c r="D15" s="2" t="str">
        <x:f>IF(ABS(B15-C15)&lt;=1e-9,"PASS","FAIL")</x:f>
        <x:v>PASS</x:v>
      </x:c>
      <x:c r="E15" s="2" t="str">
        <x:v>Country contributions versus linear bridge</x:v>
      </x:c>
      <x:c r="F15" s="2"/>
    </x:row>
    <x:row r="16" ht="22" customHeight="1">
      <x:c r="A16" s="2" t="str">
        <x:v>61091000: HHI bridge</x:v>
      </x:c>
      <x:c r="B16" s="20" t="n">
        <x:f>SUMPRODUCT(Cost_Model!R6:R15,Cost_Model!R6:R15)-Cost_Model!J51</x:f>
        <x:v>5.551115123125783e-17</x:v>
      </x:c>
      <x:c r="C16" s="20" t="n">
        <x:v>0</x:v>
      </x:c>
      <x:c r="D16" s="2" t="str">
        <x:f>IF(ABS(B16-C16)&lt;=1e-9,"PASS","FAIL")</x:f>
        <x:v>PASS</x:v>
      </x:c>
      <x:c r="E16" s="2" t="str">
        <x:v>Direct sum of squared shares versus quadratic bridge</x:v>
      </x:c>
      <x:c r="F16" s="2"/>
    </x:row>
    <x:row r="17" ht="22" customHeight="1">
      <x:c r="A17" s="2" t="str">
        <x:v>61091000: Myanmar increment</x:v>
      </x:c>
      <x:c r="B17" s="20" t="n">
        <x:f>Cost_Model!Q11</x:f>
        <x:v>0</x:v>
      </x:c>
      <x:c r="C17" s="20" t="n">
        <x:v>0</x:v>
      </x:c>
      <x:c r="D17" s="2" t="str">
        <x:f>IF(ABS(B17-C17)&lt;=0,"PASS","FAIL")</x:f>
        <x:v>PASS</x:v>
      </x:c>
      <x:c r="E17" s="2" t="str">
        <x:v>D020: no additional allocation</x:v>
      </x:c>
      <x:c r="F17" s="2"/>
    </x:row>
    <x:row r="18" ht="22" customHeight="1">
      <x:c r="A18" s="2" t="str">
        <x:v>61091000: model data</x:v>
      </x:c>
      <x:c r="B18" s="20" t="str">
        <x:f>Cost_Model!P51</x:f>
        <x:v>Ready</x:v>
      </x:c>
      <x:c r="C18" s="20" t="str">
        <x:v>Ready</x:v>
      </x:c>
      <x:c r="D18" s="2" t="str">
        <x:f>IF(B18=C18,"PASS","FAIL")</x:f>
        <x:v>PASS</x:v>
      </x:c>
      <x:c r="E18" s="2" t="str">
        <x:v>All ten country input records present</x:v>
      </x:c>
      <x:c r="F18" s="2"/>
    </x:row>
    <x:row r="19" ht="22" customHeight="1">
      <x:c r="A19" s="2" t="str">
        <x:v>61103099: baseline shares</x:v>
      </x:c>
      <x:c r="B19" s="20" t="n">
        <x:f>SUM(Cost_Model!D16:D25)</x:f>
        <x:v>0.9999999999999998</x:v>
      </x:c>
      <x:c r="C19" s="20" t="n">
        <x:v>1</x:v>
      </x:c>
      <x:c r="D19" s="2" t="str">
        <x:f>IF(ABS(B19-C19)&lt;=1e-9,"PASS","FAIL")</x:f>
        <x:v>PASS</x:v>
      </x:c>
      <x:c r="E19" s="2" t="str">
        <x:v>Each product baseline sums to 100%</x:v>
      </x:c>
      <x:c r="F19" s="2"/>
    </x:row>
    <x:row r="20" ht="22" customHeight="1">
      <x:c r="A20" s="2" t="str">
        <x:v>61103099: scenario shares</x:v>
      </x:c>
      <x:c r="B20" s="20" t="n">
        <x:f>SUM(Cost_Model!R16:R25)</x:f>
        <x:v>0.9999999999999999</x:v>
      </x:c>
      <x:c r="C20" s="20" t="n">
        <x:v>1</x:v>
      </x:c>
      <x:c r="D20" s="2" t="str">
        <x:f>IF(ABS(B20-C20)&lt;=1e-9,"PASS","FAIL")</x:f>
        <x:v>PASS</x:v>
      </x:c>
      <x:c r="E20" s="2" t="str">
        <x:v>Each product scenario sums to 100%</x:v>
      </x:c>
      <x:c r="F20" s="2"/>
    </x:row>
    <x:row r="21" ht="22" customHeight="1">
      <x:c r="A21" s="2" t="str">
        <x:v>61103099: negative shares</x:v>
      </x:c>
      <x:c r="B21" s="20" t="n">
        <x:f>COUNTIF(Cost_Model!R16:R25,"&lt;0")</x:f>
        <x:v>0</x:v>
      </x:c>
      <x:c r="C21" s="20" t="n">
        <x:v>0</x:v>
      </x:c>
      <x:c r="D21" s="2" t="str">
        <x:f>IF(ABS(B21-C21)&lt;=0,"PASS","FAIL")</x:f>
        <x:v>PASS</x:v>
      </x:c>
      <x:c r="E21" s="2" t="str">
        <x:v>No negative country allocations</x:v>
      </x:c>
      <x:c r="F21" s="2"/>
    </x:row>
    <x:row r="22" ht="22" customHeight="1">
      <x:c r="A22" s="2" t="str">
        <x:v>61103099: cost bridge</x:v>
      </x:c>
      <x:c r="B22" s="20" t="n">
        <x:f>SUM(Cost_Model!T16:T25)-Cost_Model!F52</x:f>
        <x:v>1.7763568394002505e-15</x:v>
      </x:c>
      <x:c r="C22" s="20" t="n">
        <x:v>0</x:v>
      </x:c>
      <x:c r="D22" s="2" t="str">
        <x:f>IF(ABS(B22-C22)&lt;=1e-9,"PASS","FAIL")</x:f>
        <x:v>PASS</x:v>
      </x:c>
      <x:c r="E22" s="2" t="str">
        <x:v>Country contributions versus linear bridge</x:v>
      </x:c>
      <x:c r="F22" s="2"/>
    </x:row>
    <x:row r="23" ht="22" customHeight="1">
      <x:c r="A23" s="2" t="str">
        <x:v>61103099: HHI bridge</x:v>
      </x:c>
      <x:c r="B23" s="20" t="n">
        <x:f>SUMPRODUCT(Cost_Model!R16:R25,Cost_Model!R16:R25)-Cost_Model!J52</x:f>
        <x:v>0</x:v>
      </x:c>
      <x:c r="C23" s="20" t="n">
        <x:v>0</x:v>
      </x:c>
      <x:c r="D23" s="2" t="str">
        <x:f>IF(ABS(B23-C23)&lt;=1e-9,"PASS","FAIL")</x:f>
        <x:v>PASS</x:v>
      </x:c>
      <x:c r="E23" s="2" t="str">
        <x:v>Direct sum of squared shares versus quadratic bridge</x:v>
      </x:c>
      <x:c r="F23" s="2"/>
    </x:row>
    <x:row r="24" ht="22" customHeight="1">
      <x:c r="A24" s="2" t="str">
        <x:v>61103099: Myanmar increment</x:v>
      </x:c>
      <x:c r="B24" s="20" t="n">
        <x:f>Cost_Model!Q21</x:f>
        <x:v>0</x:v>
      </x:c>
      <x:c r="C24" s="20" t="n">
        <x:v>0</x:v>
      </x:c>
      <x:c r="D24" s="2" t="str">
        <x:f>IF(ABS(B24-C24)&lt;=0,"PASS","FAIL")</x:f>
        <x:v>PASS</x:v>
      </x:c>
      <x:c r="E24" s="2" t="str">
        <x:v>D020: no additional allocation</x:v>
      </x:c>
      <x:c r="F24" s="2"/>
    </x:row>
    <x:row r="25" ht="22" customHeight="1">
      <x:c r="A25" s="2" t="str">
        <x:v>61103099: model data</x:v>
      </x:c>
      <x:c r="B25" s="20" t="str">
        <x:f>Cost_Model!P52</x:f>
        <x:v>Ready</x:v>
      </x:c>
      <x:c r="C25" s="20" t="str">
        <x:v>Ready</x:v>
      </x:c>
      <x:c r="D25" s="2" t="str">
        <x:f>IF(B25=C25,"PASS","FAIL")</x:f>
        <x:v>PASS</x:v>
      </x:c>
      <x:c r="E25" s="2" t="str">
        <x:v>All ten country input records present</x:v>
      </x:c>
      <x:c r="F25" s="2"/>
    </x:row>
    <x:row r="26" ht="22" customHeight="1">
      <x:c r="A26" s="2" t="str">
        <x:v>62044300: baseline shares</x:v>
      </x:c>
      <x:c r="B26" s="20" t="n">
        <x:f>SUM(Cost_Model!D26:D35)</x:f>
        <x:v>1</x:v>
      </x:c>
      <x:c r="C26" s="20" t="n">
        <x:v>1</x:v>
      </x:c>
      <x:c r="D26" s="2" t="str">
        <x:f>IF(ABS(B26-C26)&lt;=1e-9,"PASS","FAIL")</x:f>
        <x:v>PASS</x:v>
      </x:c>
      <x:c r="E26" s="2" t="str">
        <x:v>Each product baseline sums to 100%</x:v>
      </x:c>
      <x:c r="F26" s="2"/>
    </x:row>
    <x:row r="27" ht="22" customHeight="1">
      <x:c r="A27" s="2" t="str">
        <x:v>62044300: scenario shares</x:v>
      </x:c>
      <x:c r="B27" s="20" t="n">
        <x:f>SUM(Cost_Model!R26:R35)</x:f>
        <x:v>1.0000000000000002</x:v>
      </x:c>
      <x:c r="C27" s="20" t="n">
        <x:v>1</x:v>
      </x:c>
      <x:c r="D27" s="2" t="str">
        <x:f>IF(ABS(B27-C27)&lt;=1e-9,"PASS","FAIL")</x:f>
        <x:v>PASS</x:v>
      </x:c>
      <x:c r="E27" s="2" t="str">
        <x:v>Each product scenario sums to 100%</x:v>
      </x:c>
      <x:c r="F27" s="2"/>
    </x:row>
    <x:row r="28" ht="22" customHeight="1">
      <x:c r="A28" s="2" t="str">
        <x:v>62044300: negative shares</x:v>
      </x:c>
      <x:c r="B28" s="20" t="n">
        <x:f>COUNTIF(Cost_Model!R26:R35,"&lt;0")</x:f>
        <x:v>0</x:v>
      </x:c>
      <x:c r="C28" s="20" t="n">
        <x:v>0</x:v>
      </x:c>
      <x:c r="D28" s="2" t="str">
        <x:f>IF(ABS(B28-C28)&lt;=0,"PASS","FAIL")</x:f>
        <x:v>PASS</x:v>
      </x:c>
      <x:c r="E28" s="2" t="str">
        <x:v>No negative country allocations</x:v>
      </x:c>
      <x:c r="F28" s="2"/>
    </x:row>
    <x:row r="29" ht="22" customHeight="1">
      <x:c r="A29" s="2" t="str">
        <x:v>62044300: cost bridge</x:v>
      </x:c>
      <x:c r="B29" s="20" t="n">
        <x:f>SUM(Cost_Model!T26:T35)-Cost_Model!F53</x:f>
        <x:v>-7.105427357601002e-15</x:v>
      </x:c>
      <x:c r="C29" s="20" t="n">
        <x:v>0</x:v>
      </x:c>
      <x:c r="D29" s="2" t="str">
        <x:f>IF(ABS(B29-C29)&lt;=1e-9,"PASS","FAIL")</x:f>
        <x:v>PASS</x:v>
      </x:c>
      <x:c r="E29" s="2" t="str">
        <x:v>Country contributions versus linear bridge</x:v>
      </x:c>
      <x:c r="F29" s="2"/>
    </x:row>
    <x:row r="30" ht="22" customHeight="1">
      <x:c r="A30" s="2" t="str">
        <x:v>62044300: HHI bridge</x:v>
      </x:c>
      <x:c r="B30" s="20" t="n">
        <x:f>SUMPRODUCT(Cost_Model!R26:R35,Cost_Model!R26:R35)-Cost_Model!J53</x:f>
        <x:v>-1.3877787807814457e-16</x:v>
      </x:c>
      <x:c r="C30" s="20" t="n">
        <x:v>0</x:v>
      </x:c>
      <x:c r="D30" s="2" t="str">
        <x:f>IF(ABS(B30-C30)&lt;=1e-9,"PASS","FAIL")</x:f>
        <x:v>PASS</x:v>
      </x:c>
      <x:c r="E30" s="2" t="str">
        <x:v>Direct sum of squared shares versus quadratic bridge</x:v>
      </x:c>
      <x:c r="F30" s="2"/>
    </x:row>
    <x:row r="31" ht="22" customHeight="1">
      <x:c r="A31" s="2" t="str">
        <x:v>62044300: Myanmar increment</x:v>
      </x:c>
      <x:c r="B31" s="20" t="n">
        <x:f>Cost_Model!Q31</x:f>
        <x:v>0</x:v>
      </x:c>
      <x:c r="C31" s="20" t="n">
        <x:v>0</x:v>
      </x:c>
      <x:c r="D31" s="2" t="str">
        <x:f>IF(ABS(B31-C31)&lt;=0,"PASS","FAIL")</x:f>
        <x:v>PASS</x:v>
      </x:c>
      <x:c r="E31" s="2" t="str">
        <x:v>D020: no additional allocation</x:v>
      </x:c>
      <x:c r="F31" s="2"/>
    </x:row>
    <x:row r="32" ht="22" customHeight="1">
      <x:c r="A32" s="2" t="str">
        <x:v>62044300: model data</x:v>
      </x:c>
      <x:c r="B32" s="20" t="str">
        <x:f>Cost_Model!P53</x:f>
        <x:v>Ready</x:v>
      </x:c>
      <x:c r="C32" s="20" t="str">
        <x:v>Ready</x:v>
      </x:c>
      <x:c r="D32" s="2" t="str">
        <x:f>IF(B32=C32,"PASS","FAIL")</x:f>
        <x:v>PASS</x:v>
      </x:c>
      <x:c r="E32" s="2" t="str">
        <x:v>All ten country input records present</x:v>
      </x:c>
      <x:c r="F32" s="2"/>
    </x:row>
    <x:row r="33" ht="22" customHeight="1">
      <x:c r="A33" s="2" t="str">
        <x:v>62052000: baseline shares</x:v>
      </x:c>
      <x:c r="B33" s="20" t="n">
        <x:f>SUM(Cost_Model!D36:D45)</x:f>
        <x:v>1.0000000000000002</x:v>
      </x:c>
      <x:c r="C33" s="20" t="n">
        <x:v>1</x:v>
      </x:c>
      <x:c r="D33" s="2" t="str">
        <x:f>IF(ABS(B33-C33)&lt;=1e-9,"PASS","FAIL")</x:f>
        <x:v>PASS</x:v>
      </x:c>
      <x:c r="E33" s="2" t="str">
        <x:v>Each product baseline sums to 100%</x:v>
      </x:c>
      <x:c r="F33" s="2"/>
    </x:row>
    <x:row r="34" ht="22" customHeight="1">
      <x:c r="A34" s="2" t="str">
        <x:v>62052000: scenario shares</x:v>
      </x:c>
      <x:c r="B34" s="20" t="n">
        <x:f>SUM(Cost_Model!R36:R45)</x:f>
        <x:v>1.0000000000000002</x:v>
      </x:c>
      <x:c r="C34" s="20" t="n">
        <x:v>1</x:v>
      </x:c>
      <x:c r="D34" s="2" t="str">
        <x:f>IF(ABS(B34-C34)&lt;=1e-9,"PASS","FAIL")</x:f>
        <x:v>PASS</x:v>
      </x:c>
      <x:c r="E34" s="2" t="str">
        <x:v>Each product scenario sums to 100%</x:v>
      </x:c>
      <x:c r="F34" s="2"/>
    </x:row>
    <x:row r="35" ht="22" customHeight="1">
      <x:c r="A35" s="2" t="str">
        <x:v>62052000: negative shares</x:v>
      </x:c>
      <x:c r="B35" s="20" t="n">
        <x:f>COUNTIF(Cost_Model!R36:R45,"&lt;0")</x:f>
        <x:v>0</x:v>
      </x:c>
      <x:c r="C35" s="20" t="n">
        <x:v>0</x:v>
      </x:c>
      <x:c r="D35" s="2" t="str">
        <x:f>IF(ABS(B35-C35)&lt;=0,"PASS","FAIL")</x:f>
        <x:v>PASS</x:v>
      </x:c>
      <x:c r="E35" s="2" t="str">
        <x:v>No negative country allocations</x:v>
      </x:c>
      <x:c r="F35" s="2"/>
    </x:row>
    <x:row r="36" ht="22" customHeight="1">
      <x:c r="A36" s="2" t="str">
        <x:v>62052000: cost bridge</x:v>
      </x:c>
      <x:c r="B36" s="20" t="n">
        <x:f>SUM(Cost_Model!T36:T45)-Cost_Model!F54</x:f>
        <x:v>-3.552713678800501e-15</x:v>
      </x:c>
      <x:c r="C36" s="20" t="n">
        <x:v>0</x:v>
      </x:c>
      <x:c r="D36" s="2" t="str">
        <x:f>IF(ABS(B36-C36)&lt;=1e-9,"PASS","FAIL")</x:f>
        <x:v>PASS</x:v>
      </x:c>
      <x:c r="E36" s="2" t="str">
        <x:v>Country contributions versus linear bridge</x:v>
      </x:c>
      <x:c r="F36" s="2"/>
    </x:row>
    <x:row r="37" ht="22" customHeight="1">
      <x:c r="A37" s="2" t="str">
        <x:v>62052000: HHI bridge</x:v>
      </x:c>
      <x:c r="B37" s="20" t="n">
        <x:f>SUMPRODUCT(Cost_Model!R36:R45,Cost_Model!R36:R45)-Cost_Model!J54</x:f>
        <x:v>0</x:v>
      </x:c>
      <x:c r="C37" s="20" t="n">
        <x:v>0</x:v>
      </x:c>
      <x:c r="D37" s="2" t="str">
        <x:f>IF(ABS(B37-C37)&lt;=1e-9,"PASS","FAIL")</x:f>
        <x:v>PASS</x:v>
      </x:c>
      <x:c r="E37" s="2" t="str">
        <x:v>Direct sum of squared shares versus quadratic bridge</x:v>
      </x:c>
      <x:c r="F37" s="2"/>
    </x:row>
    <x:row r="38" ht="22" customHeight="1">
      <x:c r="A38" s="2" t="str">
        <x:v>62052000: Myanmar increment</x:v>
      </x:c>
      <x:c r="B38" s="20" t="n">
        <x:f>Cost_Model!Q41</x:f>
        <x:v>0</x:v>
      </x:c>
      <x:c r="C38" s="20" t="n">
        <x:v>0</x:v>
      </x:c>
      <x:c r="D38" s="2" t="str">
        <x:f>IF(ABS(B38-C38)&lt;=0,"PASS","FAIL")</x:f>
        <x:v>PASS</x:v>
      </x:c>
      <x:c r="E38" s="2" t="str">
        <x:v>D020: no additional allocation</x:v>
      </x:c>
      <x:c r="F38" s="2"/>
    </x:row>
    <x:row r="39" ht="22" customHeight="1">
      <x:c r="A39" s="2" t="str">
        <x:v>62052000: model data</x:v>
      </x:c>
      <x:c r="B39" s="20" t="str">
        <x:f>Cost_Model!P54</x:f>
        <x:v>Ready</x:v>
      </x:c>
      <x:c r="C39" s="20" t="str">
        <x:v>Ready</x:v>
      </x:c>
      <x:c r="D39" s="2" t="str">
        <x:f>IF(B39=C39,"PASS","FAIL")</x:f>
        <x:v>PASS</x:v>
      </x:c>
      <x:c r="E39" s="2" t="str">
        <x:v>All ten country input records present</x:v>
      </x:c>
      <x:c r="F39" s="2"/>
    </x:row>
    <x:row r="40" ht="22" customHeight="1">
      <x:c r="A40" s="2" t="str">
        <x:v>All candidate gates represented</x:v>
      </x:c>
      <x:c r="B40" s="20" t="n">
        <x:f>COUNTA(Candidate_Gates!F5:M5)</x:f>
        <x:v>8</x:v>
      </x:c>
      <x:c r="C40" s="20" t="n">
        <x:v>8</x:v>
      </x:c>
      <x:c r="D40" s="2" t="str">
        <x:f>IF(ABS(B40-C40)&lt;=0,"PASS","FAIL")</x:f>
        <x:v>PASS</x:v>
      </x:c>
      <x:c r="E40" s="2" t="str">
        <x:v>RS01–RS08 explicit for every candidate placeholder</x:v>
      </x:c>
      <x:c r="F40" s="2"/>
    </x:row>
    <x:row r="41" ht="22" customHeight="1">
      <x:c r="A41" s="2" t="str">
        <x:v>Complete pending evidence matrix</x:v>
      </x:c>
      <x:c r="B41" s="20" t="n">
        <x:f>COUNTIF(Candidate_Gates!D6:M45,"Pending")</x:f>
        <x:v>400</x:v>
      </x:c>
      <x:c r="C41" s="20" t="n">
        <x:v>400</x:v>
      </x:c>
      <x:c r="D41" s="2" t="str">
        <x:f>IF(ABS(B41-C41)&lt;=0,"PASS","FAIL")</x:f>
        <x:v>PASS</x:v>
      </x:c>
      <x:c r="E41" s="2" t="str">
        <x:v>Initial snapshot: 40 × 10 pending evidence fields</x:v>
      </x:c>
      <x:c r="F41" s="2"/>
    </x:row>
    <x:row r="42" ht="22" customHeight="1">
      <x:c r="A42" s="2"/>
      <x:c r="B42" s="2"/>
      <x:c r="C42" s="2"/>
      <x:c r="D42" s="2"/>
      <x:c r="E42" s="2"/>
      <x:c r="F42" s="2"/>
    </x:row>
    <x:row r="43" ht="24" customHeight="1">
      <x:c r="A43" s="2" t="str">
        <x:v>Receiver multiple-cap excess</x:v>
      </x:c>
      <x:c r="B43" s="20" t="n">
        <x:f>SUM(Cost_Model!AG6:AG45)</x:f>
        <x:v>0</x:v>
      </x:c>
      <x:c r="C43" s="20" t="n">
        <x:v>0</x:v>
      </x:c>
      <x:c r="D43" s="2" t="str">
        <x:f>IF(ABS(B43-C43)&lt;0.000000001,"PASS","FAIL")</x:f>
        <x:v>PASS</x:v>
      </x:c>
      <x:c r="E43" s="2" t="str">
        <x:v>Sum of excess receiver shares over the enabled cap.</x:v>
      </x:c>
      <x:c r="F43" s="2"/>
    </x:row>
    <x:row r="44" ht="22" customHeight="1">
      <x:c r="A44" s="2"/>
      <x:c r="B44" s="2"/>
      <x:c r="C44" s="2"/>
      <x:c r="D44" s="2"/>
      <x:c r="E44" s="2"/>
      <x:c r="F44" s="2"/>
    </x:row>
    <x:row r="45" ht="22" customHeight="1">
      <x:c r="A45" s="2"/>
      <x:c r="B45" s="2"/>
      <x:c r="C45" s="2"/>
      <x:c r="D45" s="2"/>
      <x:c r="E45" s="2"/>
      <x:c r="F45" s="2"/>
    </x:row>
    <x:row r="46" ht="22" customHeight="1">
      <x:c r="A46" s="2"/>
      <x:c r="B46" s="2"/>
      <x:c r="C46" s="2"/>
      <x:c r="D46" s="2"/>
      <x:c r="E46" s="2"/>
      <x:c r="F46" s="2"/>
    </x:row>
    <x:row r="47" ht="44" customHeight="1">
      <x:c r="A47" s="13" t="str">
        <x:v>Controls review the model independently and do not feed the outputs. Pending evidence is an expected limitation, not a compliance failure. Candidate-evidence counts document this initial public-evidence snapshot.</x:v>
      </x:c>
      <x:c r="B47" s="13"/>
      <x:c r="C47" s="13"/>
      <x:c r="D47" s="13"/>
      <x:c r="E47" s="13"/>
      <x:c r="F47" s="13"/>
    </x:row>
    <x:row r="48" ht="22" customHeight="1">
      <x:c r="A48" s="2"/>
      <x:c r="B48" s="2"/>
      <x:c r="C48" s="2"/>
      <x:c r="D48" s="2"/>
      <x:c r="E48" s="2"/>
      <x:c r="F48" s="2"/>
    </x:row>
    <x:row r="49" ht="22" customHeight="1">
      <x:c r="A49" s="2"/>
      <x:c r="B49" s="2"/>
      <x:c r="C49" s="2"/>
      <x:c r="D49" s="2"/>
      <x:c r="E49" s="2"/>
      <x:c r="F49" s="2"/>
    </x:row>
    <x:row r="50" ht="22" customHeight="1">
      <x:c r="A50" s="2"/>
      <x:c r="B50" s="2"/>
      <x:c r="C50" s="2"/>
      <x:c r="D50" s="2"/>
      <x:c r="E50" s="2"/>
      <x:c r="F50" s="2"/>
    </x:row>
    <x:row r="51" ht="22" customHeight="1">
      <x:c r="A51" s="2"/>
      <x:c r="B51" s="2"/>
      <x:c r="C51" s="2"/>
      <x:c r="D51" s="2"/>
      <x:c r="E51" s="2"/>
      <x:c r="F51" s="2"/>
    </x:row>
    <x:row r="52" ht="22" customHeight="1">
      <x:c r="A52" s="2"/>
      <x:c r="B52" s="2"/>
      <x:c r="C52" s="2"/>
      <x:c r="D52" s="2"/>
      <x:c r="E52" s="2"/>
      <x:c r="F52" s="2"/>
    </x:row>
    <x:row r="53" ht="22" customHeight="1">
      <x:c r="A53" s="2"/>
      <x:c r="B53" s="2"/>
      <x:c r="C53" s="2"/>
      <x:c r="D53" s="2"/>
      <x:c r="E53" s="2"/>
      <x:c r="F53" s="2"/>
    </x:row>
    <x:row r="54" ht="22" customHeight="1">
      <x:c r="A54" s="2"/>
      <x:c r="B54" s="2"/>
      <x:c r="C54" s="2"/>
      <x:c r="D54" s="2"/>
      <x:c r="E54" s="2"/>
      <x:c r="F54" s="2"/>
    </x:row>
    <x:row r="55" ht="22" customHeight="1">
      <x:c r="A55" s="2"/>
      <x:c r="B55" s="2"/>
      <x:c r="C55" s="2"/>
      <x:c r="D55" s="2"/>
      <x:c r="E55" s="2"/>
      <x:c r="F55" s="2"/>
    </x:row>
    <x:row r="56" ht="22" customHeight="1">
      <x:c r="A56" s="2"/>
      <x:c r="B56" s="2"/>
      <x:c r="C56" s="2"/>
      <x:c r="D56" s="2"/>
      <x:c r="E56" s="2"/>
      <x:c r="F56" s="2"/>
    </x:row>
    <x:row r="57" ht="22" customHeight="1">
      <x:c r="A57" s="2"/>
      <x:c r="B57" s="2"/>
      <x:c r="C57" s="2"/>
      <x:c r="D57" s="2"/>
      <x:c r="E57" s="2"/>
      <x:c r="F57" s="2"/>
    </x:row>
    <x:row r="58" ht="22" customHeight="1">
      <x:c r="A58" s="2"/>
      <x:c r="B58" s="2"/>
      <x:c r="C58" s="2"/>
      <x:c r="D58" s="2"/>
      <x:c r="E58" s="2"/>
      <x:c r="F58" s="2"/>
    </x:row>
    <x:row r="59" ht="22" customHeight="1">
      <x:c r="A59" s="2"/>
      <x:c r="B59" s="2"/>
      <x:c r="C59" s="2"/>
      <x:c r="D59" s="2"/>
      <x:c r="E59" s="2"/>
      <x:c r="F59" s="2"/>
    </x:row>
    <x:row r="60" ht="22" customHeight="1">
      <x:c r="A60" s="2"/>
      <x:c r="B60" s="2"/>
      <x:c r="C60" s="2"/>
      <x:c r="D60" s="2"/>
      <x:c r="E60" s="2"/>
      <x:c r="F60" s="2"/>
    </x:row>
    <x:row r="61" ht="22" customHeight="1">
      <x:c r="A61" s="2"/>
      <x:c r="B61" s="2"/>
      <x:c r="C61" s="2"/>
      <x:c r="D61" s="2"/>
      <x:c r="E61" s="2"/>
      <x:c r="F61" s="2"/>
    </x:row>
    <x:row r="62" ht="22" customHeight="1">
      <x:c r="A62" s="2"/>
      <x:c r="B62" s="2"/>
      <x:c r="C62" s="2"/>
      <x:c r="D62" s="2"/>
      <x:c r="E62" s="2"/>
      <x:c r="F62" s="2"/>
    </x:row>
    <x:row r="63" ht="22" customHeight="1">
      <x:c r="A63" s="2"/>
      <x:c r="B63" s="2"/>
      <x:c r="C63" s="2"/>
      <x:c r="D63" s="2"/>
      <x:c r="E63" s="2"/>
      <x:c r="F63" s="2"/>
    </x:row>
    <x:row r="64" ht="22" customHeight="1">
      <x:c r="A64" s="2"/>
      <x:c r="B64" s="2"/>
      <x:c r="C64" s="2"/>
      <x:c r="D64" s="2"/>
      <x:c r="E64" s="2"/>
      <x:c r="F64" s="2"/>
    </x:row>
    <x:row r="65" ht="22" customHeight="1">
      <x:c r="A65" s="2"/>
      <x:c r="B65" s="2"/>
      <x:c r="C65" s="2"/>
      <x:c r="D65" s="2"/>
      <x:c r="E65" s="2"/>
      <x:c r="F65" s="2"/>
    </x:row>
  </x:sheetData>
  <x:mergeCells>
    <x:mergeCell ref="A47:F47"/>
  </x:mergeCells>
  <x:conditionalFormatting sqref="D6:D41">
    <x:cfRule type="containsText" dxfId="10" priority="1" operator="containsText" text="FAIL"/>
    <x:cfRule type="containsText" dxfId="11" priority="2" operator="containsText" text="Hold"/>
  </x:conditionalFormatting>
  <x:conditionalFormatting sqref="D43:D43">
    <x:cfRule type="containsText" dxfId="12" priority="3" operator="containsText" text="FAIL"/>
  </x:conditionalFormatting>
  <x:pageMargins left="0.7" right="0.7" top="0.75" bottom="0.75" header="0.3" footer="0.3"/>
</x:worksheet>
</file>

<file path=xl/worksheets/sheet10.xml><?xml version="1.0" encoding="utf-8"?>
<x:worksheet xmlns:x="http://schemas.openxmlformats.org/spreadsheetml/2006/main">
  <x:sheetPr>
    <x:tabColor rgb="FF81909B"/>
  </x:sheetPr>
  <x:sheetViews>
    <x:sheetView showGridLines="0" workbookViewId="0"/>
  </x:sheetViews>
  <x:sheetFormatPr defaultRowHeight="15"/>
  <x:cols>
    <x:col min="1" max="1" width="28" hidden="0" customWidth="1"/>
    <x:col min="2" max="2" width="132" hidden="0" customWidth="1"/>
    <x:col min="3" max="3" width="15" hidden="0" customWidth="1"/>
    <x:col min="4" max="4" width="15" hidden="0" customWidth="1"/>
  </x:cols>
  <x:sheetData>
    <x:row r="1" ht="22" customHeight="1">
      <x:c r="A1" s="2"/>
      <x:c r="B1" s="2"/>
      <x:c r="C1" s="2"/>
      <x:c r="D1" s="2"/>
    </x:row>
    <x:row r="2" ht="29" customHeight="1">
      <x:c r="A2" s="3" t="str">
        <x:v>WP008 method and source record</x:v>
      </x:c>
      <x:c r="B2" s="3"/>
      <x:c r="C2" s="3"/>
      <x:c r="D2" s="3"/>
    </x:row>
    <x:row r="3" ht="22" customHeight="1">
      <x:c r="A3" s="4"/>
      <x:c r="B3" s="4"/>
      <x:c r="C3" s="4"/>
      <x:c r="D3" s="4"/>
    </x:row>
    <x:row r="4" ht="22" customHeight="1">
      <x:c r="A4" s="2"/>
      <x:c r="B4" s="2"/>
      <x:c r="C4" s="2"/>
      <x:c r="D4" s="2"/>
    </x:row>
    <x:row r="5" ht="34" customHeight="1">
      <x:c r="A5" s="12" t="str">
        <x:v>Topic</x:v>
      </x:c>
      <x:c r="B5" s="12" t="str">
        <x:v>Definition</x:v>
      </x:c>
      <x:c r="C5" s="2"/>
      <x:c r="D5" s="2"/>
    </x:row>
    <x:row r="6" ht="49" customHeight="1">
      <x:c r="A6" s="13" t="str">
        <x:v>Version</x:v>
      </x:c>
      <x:c r="B6" s="13" t="str">
        <x:v>1.1. Revised 18 September 2026. Adds receiver growth safeguard, HHI interpretation and corrected Q2.6/Q5.2 handover.</x:v>
      </x:c>
      <x:c r="C6" s="2"/>
      <x:c r="D6" s="2"/>
    </x:row>
    <x:row r="7" ht="49" customHeight="1">
      <x:c r="A7" s="13" t="str">
        <x:v>Question</x:v>
      </x:c>
      <x:c r="B7" s="13" t="str">
        <x:v>What do 5/10/15 percentage-point reductions in China’s category share imply for benchmark cost and concentration, subject to explicit limits and sourcing gates?</x:v>
      </x:c>
      <x:c r="C7" s="2"/>
      <x:c r="D7" s="2"/>
    </x:row>
    <x:row r="8" ht="49" customHeight="1">
      <x:c r="A8" s="13" t="str">
        <x:v>Baseline</x:v>
      </x:c>
      <x:c r="B8" s="13" t="str">
        <x:v>Within each locked CN8, FY2025 import mass for a country divided by the ten-country total. This is a UK trade proxy. World is used for diagnostic month screening, not as an eleventh allocation destination.</x:v>
      </x:c>
      <x:c r="C8" s="2"/>
      <x:c r="D8" s="2"/>
    </x:row>
    <x:row r="9" ht="49" customHeight="1">
      <x:c r="A9" s="13" t="str">
        <x:v>Price periods</x:v>
      </x:c>
      <x:c r="B9" s="13" t="str">
        <x:v>FY2025, H1 2025 and H1 2026 are separate selectable observations. Overlapping periods are never summed. FY2025 allocation weights stay fixed when the price period or sensitivity changes.</x:v>
      </x:c>
      <x:c r="C9" s="2"/>
      <x:c r="D9" s="2"/>
    </x:row>
    <x:row r="10" ht="49" customHeight="1">
      <x:c r="A10" s="13" t="str">
        <x:v>Unit value</x:v>
      </x:c>
      <x:c r="B10" s="13" t="str">
        <x:v>Period import value divided by period net mass. No average of monthly unit values. HMRC trade is not NEXT procurement, and dispatch country is not verified manufacturing origin.</x:v>
      </x:c>
      <x:c r="C10" s="2"/>
      <x:c r="D10" s="2"/>
    </x:row>
    <x:row r="11" ht="49" customHeight="1">
      <x:c r="A11" s="13" t="str">
        <x:v>Tariff comparison</x:v>
      </x:c>
      <x:c r="B11" s="13" t="str">
        <x:v>The locked WP004 2025/pre-15 July 2026/post-15 July 2026 rates can be applied to any selected price period. These are constant-price policy comparisons, not estimates of historical paid duties or a fresh legal-rate verification.</x:v>
      </x:c>
      <x:c r="C11" s="2"/>
      <x:c r="D11" s="2"/>
    </x:row>
    <x:row r="12" ht="49" customHeight="1">
      <x:c r="A12" s="13" t="str">
        <x:v>Origin</x:v>
      </x:c>
      <x:c r="B12" s="13" t="str">
        <x:v>Eligible preference assumes all applicable origin requirements are met. MFN fallback is 12% for the selected codes. Responsible-sourcing clearance does not establish customs origin.</x:v>
      </x:c>
      <x:c r="C12" s="2"/>
      <x:c r="D12" s="2"/>
    </x:row>
    <x:row r="13" ht="49" customHeight="1">
      <x:c r="A13" s="13" t="str">
        <x:v>Cost scope</x:v>
      </x:c>
      <x:c r="B13" s="13" t="str">
        <x:v>Border unit value × (1 + tariff). International freight must not be added again. A premium can be applied to incremental receiver volume. VAT, inland logistics, lead-time effects, working capital, FX and transition costs require further evidence.</x:v>
      </x:c>
      <x:c r="C13" s="2"/>
      <x:c r="D13" s="2"/>
    </x:row>
    <x:row r="14" ht="49" customHeight="1">
      <x:c r="A14" s="13" t="str">
        <x:v>Allocation direction</x:v>
      </x:c>
      <x:c r="B14" s="13" t="str">
        <x:v>China decreases by s; India increases by 0.5s, Turkey by 0.25s, Vietnam by 0.25s under default receiver weights. Other countries are unchanged. This mix tests policy exposure and diversification; no optimality or capability claim is made.</x:v>
      </x:c>
      <x:c r="C14" s="2"/>
      <x:c r="D14" s="2"/>
    </x:row>
    <x:row r="15" ht="62" customHeight="1">
      <x:c r="A15" s="13" t="str">
        <x:v>Feasible shift</x:v>
      </x:c>
      <x:c r="B15" s="13" t="str">
        <x:v>Minimum of requested shift, China baseline share, and receiver headroom / receiver weight. Headroom is limited by the 35% ceiling, 10pp addition cap and, when enabled, (maximum multiple − 1) × baseline share. The default 3× safeguard is an assumption, not verified capacity. Zero-baseline receivers cannot grow while it is enabled.</x:v>
      </x:c>
      <x:c r="C15" s="2"/>
      <x:c r="D15" s="2"/>
    </x:row>
    <x:row r="16" ht="49" customHeight="1">
      <x:c r="A16" s="13" t="str">
        <x:v>Scenario comparison</x:v>
      </x:c>
      <x:c r="B16" s="13" t="str">
        <x:v>One cost/constraint build calculates baseline cost and unit-shift cost. The three comparison cases apply their feasible shift to those same coefficients. HHI uses the equivalent quadratic formula. All comparisons recalculate with the inputs.</x:v>
      </x:c>
      <x:c r="C16" s="2"/>
      <x:c r="D16" s="2"/>
    </x:row>
    <x:row r="17" ht="49" customHeight="1">
      <x:c r="A17" s="13" t="str">
        <x:v>Cost index</x:v>
      </x:c>
      <x:c r="B17" s="13" t="str">
        <x:v>Each product’s unchanged mix equals 100 under the same price/tariff basis. The basket is a weighted mean of category cost indices using explicit category spend weights, initially 25% each. It is not an average GBP/kg across unlike products.</x:v>
      </x:c>
      <x:c r="C17" s="2"/>
      <x:c r="D17" s="2"/>
    </x:row>
    <x:row r="18" ht="49" customHeight="1">
      <x:c r="A18" s="13" t="str">
        <x:v>Concentration</x:v>
      </x:c>
      <x:c r="B18" s="13" t="str">
        <x:v>HHI is the sum of squared country mass shares within each product, multiplied by 10,000 for point changes. This is distinct from WP006 supplier relationship HHI. Lower China share need not lower HHI for every mix.</x:v>
      </x:c>
      <x:c r="C18" s="2"/>
      <x:c r="D18" s="2"/>
    </x:row>
    <x:row r="19" ht="49" customHeight="1">
      <x:c r="A19" s="13" t="str">
        <x:v>REVIEW sensitivity</x:v>
      </x:c>
      <x:c r="B19" s="13" t="str">
        <x:v>A common retained product-month requires all ten partners plus World, usable positive mass, available API observations and no REVIEW flag. All partners retain identical months within a product/period. Flags remain diagnostics, not corrected errors.</x:v>
      </x:c>
      <x:c r="C19" s="2"/>
      <x:c r="D19" s="2"/>
    </x:row>
    <x:row r="20" ht="49" customHeight="1">
      <x:c r="A20" s="13" t="str">
        <x:v>Sensitivity limitation</x:v>
      </x:c>
      <x:c r="B20" s="13" t="str">
        <x:v>Common-month screening may remove valid observations because of one country’s flag and alter seasonality. It is a robustness test, not a replacement dataset. H1 comparisons across years require paired calendar-month treatment in WP009 if growth is analysed.</x:v>
      </x:c>
      <x:c r="C20" s="2"/>
      <x:c r="D20" s="2"/>
    </x:row>
    <x:row r="21" ht="49" customHeight="1">
      <x:c r="A21" s="13" t="str">
        <x:v>Gate treatment</x:v>
      </x:c>
      <x:c r="B21" s="13" t="str">
        <x:v>WP007 RS01–RS08, origin and CN8 capability are explicit candidate checks. All remain Pending initially. No new site allocation is released. Myanmar is excluded under D020 even if input cells are changed. Historical annotations are not automatic failures.</x:v>
      </x:c>
      <x:c r="C21" s="2"/>
      <x:c r="D21" s="2"/>
    </x:row>
    <x:row r="22" ht="49" customHeight="1">
      <x:c r="A22" s="13" t="str">
        <x:v>Publication</x:v>
      </x:c>
      <x:c r="B22" s="13" t="inlineStr">
        <x:is>
          <x:t>Source references, assumptions, evidence limitations and QC are retained.</x:t>
        </x:is>
      </x:c>
      <x:c r="C22" s="2"/>
      <x:c r="D22" s="2"/>
    </x:row>
    <x:row r="23" ht="49" customHeight="1">
      <x:c r="A23" s="13" t="str">
        <x:v>Refresh</x:v>
      </x:c>
      <x:c r="B23" s="13" t="str">
        <x:v>Update the governed source tables and tariff snapshot together; preserve unique keys and units. Recalculate and run QC before using results. Dated site evidence and a recorded decision are required before changing candidate gate outcomes.</x:v>
      </x:c>
      <x:c r="C23" s="2"/>
      <x:c r="D23" s="2"/>
    </x:row>
    <x:row r="24" ht="62" customHeight="1">
      <x:c r="A24" s="13" t="str">
        <x:v>WP009 handover</x:v>
      </x:c>
      <x:c r="B24" s="13" t="str">
        <x:v>WP009: test code-specific receiver mixes, baseline-share multiples, tariffs, supplier premiums and equal versus FY2025 UK market-value weights. Complete Q2.6’s separately identified operational additions or break-even thresholds. H5 remains partially tested; Q5.2 closes through D010’s illustrative-scenario pivot.</x:v>
      </x:c>
      <x:c r="C24" s="2"/>
      <x:c r="D24" s="2"/>
    </x:row>
    <x:row r="25" ht="22" customHeight="1">
      <x:c r="A25" s="2"/>
      <x:c r="B25" s="2"/>
      <x:c r="C25" s="2"/>
      <x:c r="D25" s="2"/>
    </x:row>
    <x:row r="26" ht="22" customHeight="1">
      <x:c r="A26" s="2"/>
      <x:c r="B26" s="2"/>
      <x:c r="C26" s="2"/>
      <x:c r="D26" s="2"/>
    </x:row>
    <x:row r="27" ht="34" customHeight="1">
      <x:c r="A27" s="12" t="inlineStr">
        <x:is>
          <x:t>Original analytical input file</x:t>
        </x:is>
      </x:c>
      <x:c r="B27" s="12" t="str">
        <x:v>SHA-256</x:v>
      </x:c>
      <x:c r="C27" s="2"/>
      <x:c r="D27" s="2"/>
    </x:row>
    <x:row r="28" ht="45" customHeight="1">
      <x:c r="A28" s="13" t="str">
        <x:v>NEXT_WP006_SQL_Core_Delivery.zip</x:v>
      </x:c>
      <x:c r="B28" s="13" t="str">
        <x:v>c3dcae6e8f6edf0e1bad5d51918bddcfa9d8a4e13a833c44b9f3393aae6daa75</x:v>
      </x:c>
      <x:c r="C28" s="2"/>
      <x:c r="D28" s="2"/>
    </x:row>
    <x:row r="29" ht="45" customHeight="1">
      <x:c r="A29" s="13" t="str">
        <x:v>NEXT_WP004_Category_Tariff_Lock(3).xlsx</x:v>
      </x:c>
      <x:c r="B29" s="13" t="str">
        <x:v>aa28f52502238423abb51b02c7eb1fcb256964ed4256231d5fe9ba1342c6b24d</x:v>
      </x:c>
      <x:c r="C29" s="2"/>
      <x:c r="D29" s="2"/>
    </x:row>
    <x:row r="30" ht="45" customHeight="1">
      <x:c r="A30" s="13" t="str">
        <x:v>NEXT_WP007_Responsible_Sourcing_Gates_v1.0(1).xlsx</x:v>
      </x:c>
      <x:c r="B30" s="13" t="str">
        <x:v>4df2f2a706f61877f7c95f710dd267499cdc3ff1825d3887b2489491849542ef</x:v>
      </x:c>
      <x:c r="C30" s="2"/>
      <x:c r="D30" s="2"/>
    </x:row>
    <x:row r="31" ht="45" customHeight="1">
      <x:c r="A31" s="13"/>
      <x:c r="B31" s="13"/>
      <x:c r="C31" s="2"/>
      <x:c r="D31" s="2"/>
    </x:row>
    <x:row r="32" ht="22" customHeight="1">
      <x:c r="A32" s="2"/>
      <x:c r="B32" s="2"/>
      <x:c r="C32" s="2"/>
      <x:c r="D32" s="2"/>
    </x:row>
    <x:row r="33" ht="22" customHeight="1">
      <x:c r="A33" s="2"/>
      <x:c r="B33" s="2"/>
      <x:c r="C33" s="2"/>
      <x:c r="D33" s="2"/>
    </x:row>
    <x:row r="34" ht="44" customHeight="1">
      <x:c r="A34" s="13" t="str">
        <x:v>Trade_Periods preserves 120 reported rows from NEXT_WP006_partner_trade_period_reported.csv. Monthly_Data preserves the 792 relevant partner/World observations from the governed WP005 monthly inputs packaged with WP006.</x:v>
      </x:c>
      <x:c r="B34" s="13"/>
      <x:c r="C34" s="13"/>
      <x:c r="D34" s="13"/>
    </x:row>
    <x:row r="35" ht="44" customHeight="1">
      <x:c r="A35" s="13" t="str">
        <x:v>Tariffs preserves 40 country/CN8 rows from WP004 Tariff_Matrix, with the 12% fallback from Origin_Rules. APPAREL footprint counts come from NEXT_WP006_supplier_country_product_footprint.csv.</x:v>
      </x:c>
      <x:c r="B35" s="13"/>
      <x:c r="C35" s="13"/>
      <x:c r="D35" s="13"/>
    </x:row>
    <x:row r="36" ht="32" customHeight="1">
      <x:c r="A36" s="13" t="inlineStr">
        <x:is>
          <x:t>Candidate_Gates implements WP007 mandatory gates and D008/D020 (docs/Research_Question_and_Scope.md). Dated candidate evidence is required before clearance.</x:t>
        </x:is>
      </x:c>
      <x:c r="B36" s="13"/>
      <x:c r="C36" s="13"/>
      <x:c r="D36" s="13"/>
    </x:row>
    <x:row r="37" ht="45" customHeight="1">
      <x:c r="A37" s="13" t="inlineStr">
        <x:is>
          <x:t>Additional references: WP004 Basket_Representativeness, China row (337,824,810 / 394,606,825 = 85.61% synthetic-pair value); Commodity_Shortlist!G2:G5. D010, H5 and Q2.6/Q5.2: docs/Research_Question_and_Scope.md.</x:t>
        </x:is>
      </x:c>
      <x:c r="B37" s="13"/>
      <x:c r="C37" s="13"/>
      <x:c r="D37" s="13"/>
    </x:row>
    <x:row r="38" ht="22" customHeight="1">
      <x:c r="A38" s="2"/>
      <x:c r="B38" s="2"/>
      <x:c r="C38" s="2"/>
      <x:c r="D38" s="2"/>
    </x:row>
    <x:row r="39" ht="22" customHeight="1">
      <x:c r="A39" s="2"/>
      <x:c r="B39" s="2"/>
      <x:c r="C39" s="2"/>
      <x:c r="D39" s="2"/>
    </x:row>
    <x:row r="40" ht="22" customHeight="1">
      <x:c r="A40" s="2"/>
      <x:c r="B40" s="2"/>
      <x:c r="C40" s="2"/>
      <x:c r="D40" s="2"/>
    </x:row>
    <x:row r="41" ht="22" customHeight="1">
      <x:c r="A41" s="2"/>
      <x:c r="B41" s="2"/>
      <x:c r="C41" s="2"/>
      <x:c r="D41" s="2"/>
    </x:row>
    <x:row r="42" ht="22" customHeight="1">
      <x:c r="A42" s="2"/>
      <x:c r="B42" s="2"/>
      <x:c r="C42" s="2"/>
      <x:c r="D42" s="2"/>
    </x:row>
    <x:row r="43" ht="22" customHeight="1">
      <x:c r="A43" s="2"/>
      <x:c r="B43" s="2"/>
      <x:c r="C43" s="2"/>
      <x:c r="D43" s="2"/>
    </x:row>
    <x:row r="44" ht="22" customHeight="1">
      <x:c r="A44" s="2"/>
      <x:c r="B44" s="2"/>
      <x:c r="C44" s="2"/>
      <x:c r="D44" s="2"/>
    </x:row>
    <x:row r="45" ht="22" customHeight="1">
      <x:c r="A45" s="2"/>
      <x:c r="B45" s="2"/>
      <x:c r="C45" s="2"/>
      <x:c r="D45" s="2"/>
    </x:row>
  </x:sheetData>
  <x:mergeCells>
    <x:mergeCell ref="A34:D34"/>
    <x:mergeCell ref="A35:D35"/>
    <x:mergeCell ref="A36:D36"/>
    <x:mergeCell ref="A37:D37"/>
  </x:mergeCells>
  <x:pageMargins left="0.7" right="0.7" top="0.75" bottom="0.75" header="0.3" footer="0.3"/>
</x:worksheet>
</file>