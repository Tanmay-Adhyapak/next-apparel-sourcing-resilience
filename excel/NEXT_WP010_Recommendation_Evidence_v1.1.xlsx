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00dcf0f28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" sheetId="1" r:id="R575315f029e346a9"/>
    <x:sheet xmlns:r="http://schemas.openxmlformats.org/officeDocument/2006/relationships" name="Category_Decisions" sheetId="2" r:id="R2298fda0c2394acb"/>
    <x:sheet xmlns:r="http://schemas.openxmlformats.org/officeDocument/2006/relationships" name="Country_Options" sheetId="3" r:id="R683b7214cbdb4f4d"/>
    <x:sheet xmlns:r="http://schemas.openxmlformats.org/officeDocument/2006/relationships" name="Implementation" sheetId="4" r:id="R9c29a39049264333"/>
    <x:sheet xmlns:r="http://schemas.openxmlformats.org/officeDocument/2006/relationships" name="Hypotheses" sheetId="5" r:id="R35b616e0e54a4104"/>
    <x:sheet xmlns:r="http://schemas.openxmlformats.org/officeDocument/2006/relationships" name="Question_Map" sheetId="6" r:id="R89e140e5e1ca40f1"/>
    <x:sheet xmlns:r="http://schemas.openxmlformats.org/officeDocument/2006/relationships" name="Evidence" sheetId="7" r:id="R6ed95755c1a94991"/>
    <x:sheet xmlns:r="http://schemas.openxmlformats.org/officeDocument/2006/relationships" name="QC_Checks" sheetId="8" r:id="R5f1462251e29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%;-0.00%;0.00%"/>
    <x:numFmt numFmtId="201" formatCode="0.00"/>
    <x:numFmt numFmtId="202" formatCode="#,##0"/>
    <x:numFmt numFmtId="203" formatCode="0.000"/>
    <x:numFmt numFmtId="204" formatCode="0.000%;-0.000%;0.000%"/>
    <x:numFmt numFmtId="205" formatCode="0.0"/>
    <x:numFmt numFmtId="206" formatCode="0.00;-0.00;0.00"/>
    <x:numFmt numFmtId="207" formatCode="0.0000000000"/>
    <x:numFmt numFmtId="208" formatCode="0"/>
  </x:numFmts>
  <x:fonts count="8">
    <x:font>
      <x:sz val="11"/>
      <x:name val="Carlito"/>
    </x:font>
    <x:font>
      <x:sz val="11"/>
      <x:color rgb="FF202D38"/>
      <x:name val="Arial"/>
    </x:font>
    <x:font>
      <x:b/>
      <x:sz val="16"/>
      <x:color rgb="FF24384B"/>
      <x:name val="Arial"/>
    </x:font>
    <x:font>
      <x:b/>
      <x:sz val="11"/>
      <x:color rgb="FFFFFFFF"/>
      <x:name val="Arial"/>
    </x:font>
    <x:font>
      <x:b/>
      <x:sz val="11"/>
      <x:color rgb="FF24384B"/>
      <x:name val="Arial"/>
    </x:font>
    <x:font>
      <x:b/>
      <x:sz val="11"/>
      <x:color rgb="FF202D38"/>
      <x:name val="Arial"/>
    </x:font>
    <x:font>
      <x:sz val="10"/>
      <x:color rgb="FF203343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84B"/>
      </x:patternFill>
    </x:fill>
    <x:fill>
      <x:patternFill patternType="solid">
        <x:fgColor rgb="FFF0F4F7"/>
      </x:patternFill>
    </x:fill>
    <x:fill>
      <x:patternFill patternType="solid">
        <x:fgColor rgb="FF23394D"/>
      </x:patternFill>
    </x:fill>
    <x:fill>
      <x:patternFill patternType="solid">
        <x:fgColor rgb="FFFFFFFF"/>
      </x:patternFill>
    </x:fill>
    <x:fill>
      <x:patternFill patternType="solid">
        <x:fgColor rgb="FFEFF4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204" fontId="1" fillId="0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7" fillId="4" borderId="2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6" fontId="6" fillId="5" borderId="0" xfId="0" applyNumberFormat="1" applyFont="1" applyFill="1" applyBorder="1" applyAlignment="1">
      <x:alignment vertical="top" wrapText="1"/>
    </x:xf>
    <x:xf numFmtId="206" fontId="6" fillId="6" borderId="0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6" fontId="6" fillId="5" borderId="0" xfId="0" applyNumberFormat="1" applyFont="1" applyFill="1" applyBorder="1" applyAlignment="1">
      <x:alignment horizontal="right" vertical="top" wrapText="1"/>
    </x:xf>
    <x:xf numFmtId="200" fontId="6" fillId="5" borderId="0" xfId="0" applyNumberFormat="1" applyFont="1" applyFill="1" applyBorder="1" applyAlignment="1">
      <x:alignment horizontal="right" vertical="top" wrapText="1"/>
    </x:xf>
    <x:xf numFmtId="206" fontId="6" fillId="6" borderId="0" xfId="0" applyNumberFormat="1" applyFont="1" applyFill="1" applyBorder="1" applyAlignment="1">
      <x:alignment horizontal="right" vertical="top" wrapText="1"/>
    </x:xf>
    <x:xf numFmtId="200" fontId="6" fillId="6" borderId="0" xfId="0" applyNumberFormat="1" applyFont="1" applyFill="1" applyBorder="1" applyAlignment="1">
      <x:alignment horizontal="right" vertical="top" wrapText="1"/>
    </x:xf>
    <x:xf numFmtId="0" fontId="6" fillId="6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207" fontId="6" fillId="5" borderId="0" xfId="0" applyNumberFormat="1" applyFont="1" applyFill="1" applyBorder="1" applyAlignment="1">
      <x:alignment vertical="top" wrapText="1"/>
    </x:xf>
    <x:xf numFmtId="207" fontId="6" fillId="6" borderId="0" xfId="0" applyNumberFormat="1" applyFont="1" applyFill="1" applyBorder="1" applyAlignment="1">
      <x:alignment vertical="top" wrapText="1"/>
    </x:xf>
    <x:xf numFmtId="208" fontId="6" fillId="6" borderId="0" xfId="0" applyNumberFormat="1" applyFont="1" applyFill="1" applyBorder="1" applyAlignment="1">
      <x:alignment vertical="top" wrapText="1"/>
    </x:xf>
    <x:xf numFmtId="208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9C2020"/>
      </x:font>
      <x:fill>
        <x:patternFill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e3f7e924c4435" /><Relationship Type="http://schemas.openxmlformats.org/officeDocument/2006/relationships/theme" Target="/xl/theme/theme1.xml" Id="R603c33fa0a684a8f" /><Relationship Type="http://schemas.openxmlformats.org/officeDocument/2006/relationships/sharedStrings" Target="/xl/sharedStrings.xml" Id="R9e85963a7c6b470d" /><Relationship Type="http://schemas.openxmlformats.org/officeDocument/2006/relationships/worksheet" Target="/xl/worksheets/sheet1.xml" Id="R575315f029e346a9" /><Relationship Type="http://schemas.openxmlformats.org/officeDocument/2006/relationships/worksheet" Target="/xl/worksheets/sheet2.xml" Id="R2298fda0c2394acb" /><Relationship Type="http://schemas.openxmlformats.org/officeDocument/2006/relationships/worksheet" Target="/xl/worksheets/sheet3.xml" Id="R683b7214cbdb4f4d" /><Relationship Type="http://schemas.openxmlformats.org/officeDocument/2006/relationships/worksheet" Target="/xl/worksheets/sheet4.xml" Id="R9c29a39049264333" /><Relationship Type="http://schemas.openxmlformats.org/officeDocument/2006/relationships/worksheet" Target="/xl/worksheets/sheet5.xml" Id="R35b616e0e54a4104" /><Relationship Type="http://schemas.openxmlformats.org/officeDocument/2006/relationships/worksheet" Target="/xl/worksheets/sheet6.xml" Id="R89e140e5e1ca40f1" /><Relationship Type="http://schemas.openxmlformats.org/officeDocument/2006/relationships/worksheet" Target="/xl/worksheets/sheet7.xml" Id="R6ed95755c1a94991" /><Relationship Type="http://schemas.openxmlformats.org/officeDocument/2006/relationships/worksheet" Target="/xl/worksheets/sheet8.xml" Id="R5f1462251e2949fe" /></Relationships>
</file>

<file path=xl/theme/theme1.xml><?xml version="1.0" encoding="utf-8"?>
<a:theme xmlns:a="http://schemas.openxmlformats.org/drawingml/2006/main" name="NEXT Sourcing">
  <a:themeElements>
    <a:clrScheme name="NEXT Sourc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EXT Sourcing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84B"/>
  </x:sheetPr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3.890000343322754" hidden="0" customWidth="1"/>
    <x:col min="5" max="5" width="14.4399995803833" hidden="0" customWidth="1"/>
    <x:col min="6" max="6" width="16.110000610351562" hidden="0" customWidth="1"/>
    <x:col min="7" max="7" width="16.670000076293945" hidden="0" customWidth="1"/>
    <x:col min="8" max="8" width="17.78000068664550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NEXT sourcing recommendation</x:v>
      </x:c>
      <x:c r="B2" s="2"/>
      <x:c r="C2" s="2"/>
      <x:c r="D2" s="2"/>
      <x:c r="E2" s="2"/>
      <x:c r="F2" s="2"/>
      <x:c r="G2" s="2"/>
      <x:c r="H2" s="2"/>
    </x:row>
    <x:row r="3" ht="20" customHeight="1">
      <x:c r="A3" s="37" t="str">
        <x:v>WP010 version 1.1. September 2026. Four selected apparel categories.</x:v>
      </x:c>
      <x:c r="B3" s="37"/>
      <x:c r="C3" s="37"/>
      <x:c r="D3" s="37"/>
      <x:c r="E3" s="37"/>
      <x:c r="F3" s="37"/>
      <x:c r="G3" s="37"/>
      <x:c r="H3" s="37"/>
    </x:row>
    <x:row r="4" ht="62" customHeight="1">
      <x:c r="A4" s="37" t="str">
        <x:f>"Research question: "&amp;'Evidence'!A379</x:f>
        <x:v>Research question: Should NEXT rebalance its disclosed sourcing footprint following the 2026 changes in relative UK trade treatment-and, for the selected apparel category, which country alternatives are most attractive, by how much, and under what conditions?</x:v>
      </x:c>
      <x:c r="B4" s="37"/>
      <x:c r="C4" s="37"/>
      <x:c r="D4" s="37"/>
      <x:c r="E4" s="37"/>
      <x:c r="F4" s="37"/>
      <x:c r="G4" s="37"/>
      <x:c r="H4" s="37"/>
    </x:row>
    <x:row r="5" ht="32" customHeight="1">
      <x:c r="A5" s="37" t="str">
        <x:v>The 73% disclosure describes a mixed sourcing-map boundary. UK trade scenarios do not reconstruct NEXT apparel purchasing shares.</x:v>
      </x:c>
      <x:c r="B5" s="37"/>
      <x:c r="C5" s="37"/>
      <x:c r="D5" s="37"/>
      <x:c r="E5" s="37"/>
      <x:c r="F5" s="37"/>
      <x:c r="G5" s="37"/>
      <x:c r="H5" s="37"/>
    </x:row>
    <x:row r="6" ht="36" customHeight="1">
      <x:c r="A6" s="37" t="str">
        <x:v>Advance Turkey-led knitwear and India/Vietnam dresses to commercial validation.</x:v>
      </x:c>
      <x:c r="B6" s="37"/>
      <x:c r="C6" s="37"/>
      <x:c r="D6" s="37"/>
      <x:c r="E6" s="37"/>
      <x:c r="F6" s="37"/>
      <x:c r="G6" s="37"/>
      <x:c r="H6" s="37"/>
    </x:row>
    <x:row r="7" ht="36" customHeight="1">
      <x:c r="A7" s="37" t="str">
        <x:v>Do not proceed with the tested cotton proposals as diversification. No general basket saving survives all tested cases.</x:v>
      </x:c>
      <x:c r="B7" s="37"/>
      <x:c r="C7" s="37"/>
      <x:c r="D7" s="37"/>
      <x:c r="E7" s="37"/>
      <x:c r="F7" s="37"/>
      <x:c r="G7" s="37"/>
      <x:c r="H7" s="37"/>
    </x:row>
    <x:row r="8" ht="36" customHeight="1">
      <x:c r="A8" s="37" t="str">
        <x:v>These decisions concern the tested options. Supplier clearance and actual NEXT allocation quantities remain unestablished.</x:v>
      </x:c>
      <x:c r="B8" s="37"/>
      <x:c r="C8" s="37"/>
      <x:c r="D8" s="37"/>
      <x:c r="E8" s="37"/>
      <x:c r="F8" s="37"/>
      <x:c r="G8" s="37"/>
      <x:c r="H8" s="37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 ht="42" customHeight="1">
      <x:c r="A11" s="15" t="str">
        <x:v>Category</x:v>
      </x:c>
      <x:c r="B11" s="16" t="str">
        <x:v>Cost lower</x:v>
      </x:c>
      <x:c r="C11" s="16" t="str">
        <x:v>Cost higher</x:v>
      </x:c>
      <x:c r="D11" s="16" t="str">
        <x:v>Unchanged</x:v>
      </x:c>
      <x:c r="E11" s="16" t="str">
        <x:v>Min cost change</x:v>
      </x:c>
      <x:c r="F11" s="16" t="str">
        <x:v>Max cost change</x:v>
      </x:c>
      <x:c r="G11" s="16" t="str">
        <x:v>HHI lower</x:v>
      </x:c>
      <x:c r="H11" s="17" t="str">
        <x:v>HHI higher</x:v>
      </x:c>
    </x:row>
    <x:row r="12" ht="30" customHeight="1">
      <x:c r="A12" s="18" t="str">
        <x:v>MMF knitwear</x:v>
      </x:c>
      <x:c r="B12" s="18" t="n">
        <x:f>COUNTIF('Evidence'!D22:D47,"&lt;0")</x:f>
        <x:v>24</x:v>
      </x:c>
      <x:c r="C12" s="18" t="n">
        <x:f>COUNTIF('Evidence'!D22:D47,"&gt;0")</x:f>
        <x:v>2</x:v>
      </x:c>
      <x:c r="D12" s="18" t="n">
        <x:f>COUNTIF('Evidence'!D22:D47,0)</x:f>
        <x:v>0</x:v>
      </x:c>
      <x:c r="E12" s="20" t="n">
        <x:f>MIN('Evidence'!D22:D47)</x:f>
        <x:v>-0.08350185310997105</x:v>
      </x:c>
      <x:c r="F12" s="20" t="n">
        <x:f>MAX('Evidence'!D22:D47)</x:f>
        <x:v>0.0017413618658577157</x:v>
      </x:c>
      <x:c r="G12" s="18" t="n">
        <x:f>COUNTIF('Evidence'!E22:E47,"&lt;0")</x:f>
        <x:v>26</x:v>
      </x:c>
      <x:c r="H12" s="18" t="n">
        <x:f>COUNTIF('Evidence'!E22:E47,"&gt;0")</x:f>
        <x:v>0</x:v>
      </x:c>
    </x:row>
    <x:row r="13" ht="30" customHeight="1">
      <x:c r="A13" s="19" t="str">
        <x:v>Synthetic dresses</x:v>
      </x:c>
      <x:c r="B13" s="19" t="n">
        <x:f>COUNTIF('Evidence'!D48:D73,"&lt;0")</x:f>
        <x:v>21</x:v>
      </x:c>
      <x:c r="C13" s="19" t="n">
        <x:f>COUNTIF('Evidence'!D48:D73,"&gt;0")</x:f>
        <x:v>5</x:v>
      </x:c>
      <x:c r="D13" s="19" t="n">
        <x:f>COUNTIF('Evidence'!D48:D73,0)</x:f>
        <x:v>0</x:v>
      </x:c>
      <x:c r="E13" s="21" t="n">
        <x:f>MIN('Evidence'!D48:D73)</x:f>
        <x:v>-0.008203307112604197</x:v>
      </x:c>
      <x:c r="F13" s="21" t="n">
        <x:f>MAX('Evidence'!D48:D73)</x:f>
        <x:v>0.007645205710227421</x:v>
      </x:c>
      <x:c r="G13" s="19" t="n">
        <x:f>COUNTIF('Evidence'!E48:E73,"&lt;0")</x:f>
        <x:v>26</x:v>
      </x:c>
      <x:c r="H13" s="19" t="n">
        <x:f>COUNTIF('Evidence'!E48:E73,"&gt;0")</x:f>
        <x:v>0</x:v>
      </x:c>
    </x:row>
    <x:row r="14" ht="30" customHeight="1">
      <x:c r="A14" s="18" t="str">
        <x:v>Cotton T-shirts</x:v>
      </x:c>
      <x:c r="B14" s="18" t="n">
        <x:f>COUNTIF('Evidence'!D74:D99,"&lt;0")</x:f>
        <x:v>14</x:v>
      </x:c>
      <x:c r="C14" s="18" t="n">
        <x:f>COUNTIF('Evidence'!D74:D99,"&gt;0")</x:f>
        <x:v>8</x:v>
      </x:c>
      <x:c r="D14" s="18" t="n">
        <x:f>COUNTIF('Evidence'!D74:D99,0)</x:f>
        <x:v>4</x:v>
      </x:c>
      <x:c r="E14" s="20" t="n">
        <x:f>MIN('Evidence'!D74:D99)</x:f>
        <x:v>-0.01055059946821213</x:v>
      </x:c>
      <x:c r="F14" s="20" t="n">
        <x:f>MAX('Evidence'!D74:D99)</x:f>
        <x:v>0.006534432618102715</x:v>
      </x:c>
      <x:c r="G14" s="18" t="n">
        <x:f>COUNTIF('Evidence'!E74:E99,"&lt;0")</x:f>
        <x:v>0</x:v>
      </x:c>
      <x:c r="H14" s="18" t="n">
        <x:f>COUNTIF('Evidence'!E74:E99,"&gt;0")</x:f>
        <x:v>22</x:v>
      </x:c>
    </x:row>
    <x:row r="15" ht="30" customHeight="1">
      <x:c r="A15" s="19" t="str">
        <x:v>Cotton shirts</x:v>
      </x:c>
      <x:c r="B15" s="19" t="n">
        <x:f>COUNTIF('Evidence'!D100:D125,"&lt;0")</x:f>
        <x:v>0</x:v>
      </x:c>
      <x:c r="C15" s="19" t="n">
        <x:f>COUNTIF('Evidence'!D100:D125,"&gt;0")</x:f>
        <x:v>22</x:v>
      </x:c>
      <x:c r="D15" s="19" t="n">
        <x:f>COUNTIF('Evidence'!D100:D125,0)</x:f>
        <x:v>4</x:v>
      </x:c>
      <x:c r="E15" s="21" t="n">
        <x:f>MIN('Evidence'!D100:D125)</x:f>
        <x:v>0</x:v>
      </x:c>
      <x:c r="F15" s="21" t="n">
        <x:f>MAX('Evidence'!D100:D125)</x:f>
        <x:v>0.028213251470262213</x:v>
      </x:c>
      <x:c r="G15" s="19" t="n">
        <x:f>COUNTIF('Evidence'!E100:E125,"&lt;0")</x:f>
        <x:v>0</x:v>
      </x:c>
      <x:c r="H15" s="19" t="n">
        <x:f>COUNTIF('Evidence'!E100:E125,"&gt;0")</x:f>
        <x:v>22</x:v>
      </x:c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 t="str">
        <x:v>S08. Each category has 26 cases. Cotton has four cases with no transfer; all other cases are active.</x:v>
      </x:c>
      <x:c r="B17" s="2"/>
      <x:c r="C17" s="2"/>
      <x:c r="D17" s="2"/>
      <x:c r="E17" s="2"/>
      <x:c r="F17" s="2"/>
      <x:c r="G17" s="2"/>
      <x:c r="H17" s="2"/>
    </x:row>
    <x:row r="18" ht="22" customHeight="1">
      <x:c r="A18" s="2" t="str">
        <x:v>HHI describes ten-country mass concentration, not quantified disruption risk. Case frequencies are not probabilities.</x:v>
      </x:c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42" customHeight="1">
      <x:c r="A21" s="15" t="str">
        <x:v>Basket weights</x:v>
      </x:c>
      <x:c r="B21" s="16" t="str">
        <x:v>Cost lower</x:v>
      </x:c>
      <x:c r="C21" s="16" t="str">
        <x:v>Cost higher</x:v>
      </x:c>
      <x:c r="D21" s="16" t="str">
        <x:v>Default change</x:v>
      </x:c>
      <x:c r="E21" s="16" t="str">
        <x:v>Minimum</x:v>
      </x:c>
      <x:c r="F21" s="17" t="str">
        <x:v>Maximum</x:v>
      </x:c>
      <x:c r="G21" s="2"/>
      <x:c r="H21" s="2"/>
    </x:row>
    <x:row r="22" ht="30" customHeight="1">
      <x:c r="A22" s="18" t="str">
        <x:v>Equal 25%</x:v>
      </x:c>
      <x:c r="B22" s="18" t="n">
        <x:f>COUNTIF('Evidence'!C132:C157,"&lt;0")</x:f>
        <x:v>10</x:v>
      </x:c>
      <x:c r="C22" s="18" t="n">
        <x:f>COUNTIF('Evidence'!C132:C157,"&gt;0")</x:f>
        <x:v>16</x:v>
      </x:c>
      <x:c r="D22" s="31" t="n">
        <x:f>'Evidence'!C132</x:f>
        <x:v>0.0007667252992001883</x:v>
      </x:c>
      <x:c r="E22" s="20" t="n">
        <x:f>MIN('Evidence'!C132:C157)</x:f>
        <x:v>-0.021848727625710856</x:v>
      </x:c>
      <x:c r="F22" s="20" t="n">
        <x:f>MAX('Evidence'!C132:C157)</x:f>
        <x:v>0.0086763612458787</x:v>
      </x:c>
      <x:c r="G22" s="2"/>
      <x:c r="H22" s="2"/>
    </x:row>
    <x:row r="23" ht="30" customHeight="1">
      <x:c r="A23" s="19" t="str">
        <x:v>FY2025 UK value</x:v>
      </x:c>
      <x:c r="B23" s="19" t="n">
        <x:f>COUNTIF('Evidence'!D132:D157,"&lt;0")</x:f>
        <x:v>17</x:v>
      </x:c>
      <x:c r="C23" s="19" t="n">
        <x:f>COUNTIF('Evidence'!D132:D157,"&gt;0")</x:f>
        <x:v>9</x:v>
      </x:c>
      <x:c r="D23" s="32" t="n">
        <x:f>'Evidence'!D132</x:f>
        <x:v>-0.0009929236664520365</x:v>
      </x:c>
      <x:c r="E23" s="21" t="n">
        <x:f>MIN('Evidence'!D132:D157)</x:f>
        <x:v>-0.0254176195653385</x:v>
      </x:c>
      <x:c r="F23" s="21" t="n">
        <x:f>MAX('Evidence'!D132:D157)</x:f>
        <x:v>0.005198440283236936</x:v>
      </x:c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 t="str">
        <x:v>The weightings disagree in sign in 7 of 26 cases. Neither weighting represents NEXT spend.</x:v>
      </x:c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8" t="str">
        <x:v>What determines whether to proceed</x:v>
      </x:c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36" customHeight="1">
      <x:c r="A30" s="37" t="str">
        <x:v>Knitwear common-month headroom: presence-weighted GBP 6.47/kg; Turkey-75 GBP 1.69/kg; default minus GBP 0.25/kg.</x:v>
      </x:c>
      <x:c r="B30" s="37"/>
      <x:c r="C30" s="37"/>
      <x:c r="D30" s="37"/>
      <x:c r="E30" s="37"/>
      <x:c r="F30" s="37"/>
      <x:c r="G30" s="37"/>
      <x:c r="H30" s="37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 ht="36" customHeight="1">
      <x:c r="A32" s="37" t="str">
        <x:v>Presence weighting moves Turkey from 16.35% to 25.64% and China from 36.61% to 26.61% in the trade-share illustration.</x:v>
      </x:c>
      <x:c r="B32" s="37"/>
      <x:c r="C32" s="37"/>
      <x:c r="D32" s="37"/>
      <x:c r="E32" s="37"/>
      <x:c r="F32" s="37"/>
      <x:c r="G32" s="37"/>
      <x:c r="H32" s="37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 ht="36" customHeight="1">
      <x:c r="A34" s="37" t="str">
        <x:v>Dresses offer the larger tested HHI reduction. Default headroom remains GBP 1.35/kg and 4.56% under both price screens.</x:v>
      </x:c>
      <x:c r="B34" s="37"/>
      <x:c r="C34" s="37"/>
      <x:c r="D34" s="37"/>
      <x:c r="E34" s="37"/>
      <x:c r="F34" s="37"/>
      <x:c r="G34" s="37"/>
      <x:c r="H34" s="37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36" customHeight="1">
      <x:c r="A36" s="37" t="str">
        <x:v>Close the tested cotton-shirt blend: default headroom is minus GBP 3.98/kg, and all 22 active cases raise cost and HHI.</x:v>
      </x:c>
      <x:c r="B36" s="37"/>
      <x:c r="C36" s="37"/>
      <x:c r="D36" s="37"/>
      <x:c r="E36" s="37"/>
      <x:c r="F36" s="37"/>
      <x:c r="G36" s="37"/>
      <x:c r="H36" s="37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 ht="36" customHeight="1">
      <x:c r="A38" s="37" t="str">
        <x:v>Close the tested cotton T-shirt transfers as concentration measures. Bangladesh-donor alternatives remain a bounded future question.</x:v>
      </x:c>
      <x:c r="B38" s="37"/>
      <x:c r="C38" s="37"/>
      <x:c r="D38" s="37"/>
      <x:c r="E38" s="37"/>
      <x:c r="F38" s="37"/>
      <x:c r="G38" s="37"/>
      <x:c r="H38" s="37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 ht="36" customHeight="1">
      <x:c r="A40" s="37" t="str">
        <x:v>Myanmar remains excluded from actionable additional allocation under D008/D020. Historical annotations require evidence review.</x:v>
      </x:c>
      <x:c r="B40" s="37"/>
      <x:c r="C40" s="37"/>
      <x:c r="D40" s="37"/>
      <x:c r="E40" s="37"/>
      <x:c r="F40" s="37"/>
      <x:c r="G40" s="37"/>
      <x:c r="H40" s="37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 ht="36" customHeight="1">
      <x:c r="A42" s="37" t="str">
        <x:v>Set a review date and acceptance criteria. Close a proposed reallocation if no acceptable candidate case remains; reopen on material evidence.</x:v>
      </x:c>
      <x:c r="B42" s="37"/>
      <x:c r="C42" s="37"/>
      <x:c r="D42" s="37"/>
      <x:c r="E42" s="37"/>
      <x:c r="F42" s="37"/>
      <x:c r="G42" s="37"/>
      <x:c r="H42" s="37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 ht="22" customHeight="1">
      <x:c r="A46" s="28" t="str">
        <x:v>Evidence boundaries</x:v>
      </x:c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 ht="22" customHeight="1">
      <x:c r="A48" s="2" t="str">
        <x:v>The 73% sourcing-map disclosure is broader than NEXT own-brand apparel. It cannot supply a category allocation baseline.</x:v>
      </x:c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 ht="22" customHeight="1">
      <x:c r="A50" s="2" t="str">
        <x:v>Company supplier/site counts, UK trade shares and scenario basket weights describe different populations.</x:v>
      </x:c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 ht="22" customHeight="1">
      <x:c r="A52" s="2" t="str">
        <x:v>Trade observations end in June 2026. They do not establish outcomes after the modelled 15 July policy date.</x:v>
      </x:c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 ht="36" customHeight="1">
      <x:c r="A54" s="37" t="str">
        <x:v>The model changes China share only. It does not optimise the sourcing network, quantify disruption losses or identify a causal tariff effect.</x:v>
      </x:c>
      <x:c r="B54" s="37"/>
      <x:c r="C54" s="37"/>
      <x:c r="D54" s="37"/>
      <x:c r="E54" s="37"/>
      <x:c r="F54" s="37"/>
      <x:c r="G54" s="37"/>
      <x:c r="H54" s="37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 ht="36" customHeight="1">
      <x:c r="A56" s="37" t="str">
        <x:v>Category_Decisions shows mix economics; Country_Options records bounded cotton comparators; Implementation defines advance, hold and stop rules.</x:v>
      </x:c>
      <x:c r="B56" s="37"/>
      <x:c r="C56" s="37"/>
      <x:c r="D56" s="37"/>
      <x:c r="E56" s="37"/>
      <x:c r="F56" s="37"/>
      <x:c r="G56" s="37"/>
      <x:c r="H56" s="37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 ht="22" customHeight="1">
      <x:c r="A61" s="28" t="str">
        <x:v>Use and refresh</x:v>
      </x:c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 ht="36" customHeight="1">
      <x:c r="A63" s="37" t="str">
        <x:v>This is a fixed evidence snapshot. Model changes require refreshed comparisons and narrative. The tested proposals can close without another public-data study.</x:v>
      </x:c>
      <x:c r="B63" s="37"/>
      <x:c r="C63" s="37"/>
      <x:c r="D63" s="37"/>
      <x:c r="E63" s="37"/>
      <x:c r="F63" s="37"/>
      <x:c r="G63" s="37"/>
      <x:c r="H63" s="37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 ht="22" customHeight="1">
      <x:c r="A65" s="2" t="str">
        <x:v>Source references, dated inputs and file fingerprints are retained in Evidence.</x:v>
      </x:c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</x:sheetData>
  <x:mergeCells>
    <x:mergeCell ref="A3:H3"/>
    <x:mergeCell ref="A4:H4"/>
    <x:mergeCell ref="A5:H5"/>
    <x:mergeCell ref="A6:H6"/>
    <x:mergeCell ref="A7:H7"/>
    <x:mergeCell ref="A8:H8"/>
    <x:mergeCell ref="A30:H30"/>
    <x:mergeCell ref="A32:H32"/>
    <x:mergeCell ref="A34:H34"/>
    <x:mergeCell ref="A36:H36"/>
    <x:mergeCell ref="A38:H38"/>
    <x:mergeCell ref="A40:H40"/>
    <x:mergeCell ref="A42:H42"/>
    <x:mergeCell ref="A54:H54"/>
    <x:mergeCell ref="A56:H56"/>
    <x:mergeCell ref="A63:H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18.329999923706055" hidden="0" customWidth="1"/>
    <x:col min="4" max="4" width="22.219999313354492" hidden="0" customWidth="1"/>
    <x:col min="5" max="5" width="47.779998779296875" hidden="0" customWidth="1"/>
    <x:col min="6" max="6" width="41.11000061035156" hidden="0" customWidth="1"/>
    <x:col min="7" max="7" width="45.560001373291016" hidden="0" customWidth="1"/>
    <x:col min="8" max="8" width="17.78000068664550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Category decisions and tested scale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Recommendations apply to the tested options. Model share shifts are not NEXT procurement targets.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15" t="str">
        <x:v>Decision</x:v>
      </x:c>
      <x:c r="B6" s="16" t="str">
        <x:v>CN8</x:v>
      </x:c>
      <x:c r="C6" s="16" t="str">
        <x:v>Category</x:v>
      </x:c>
      <x:c r="D6" s="16" t="str">
        <x:v>Action</x:v>
      </x:c>
      <x:c r="E6" s="16" t="str">
        <x:v>Country focus</x:v>
      </x:c>
      <x:c r="F6" s="16" t="str">
        <x:v>Scale interpretation</x:v>
      </x:c>
      <x:c r="G6" s="16" t="str">
        <x:v>Condition or reason</x:v>
      </x:c>
      <x:c r="H6" s="17" t="str">
        <x:v>Sources</x:v>
      </x:c>
    </x:row>
    <x:row r="7" ht="112" customHeight="1">
      <x:c r="A7" s="18" t="str">
        <x:v>R01</x:v>
      </x:c>
      <x:c r="B7" s="18" t="str">
        <x:v>61103099</x:v>
      </x:c>
      <x:c r="C7" s="18" t="str">
        <x:v>MMF knitwear</x:v>
      </x:c>
      <x:c r="D7" s="18" t="str">
        <x:v>Advance to commercial validation</x:v>
      </x:c>
      <x:c r="E7" s="18" t="str">
        <x:v>Prioritise Turkey-led, code-specific options. Compare presence weighting with Turkey 75% / Vietnam 25%.</x:v>
      </x:c>
      <x:c r="F7" s="18" t="str">
        <x:v>Presence mix shifts 10pp; Turkey-75 shifts 7.06pp. Neither is a NEXT target.</x:v>
      </x:c>
      <x:c r="G7" s="18" t="str">
        <x:v>Presence mix retains GBP 6.47/kg common-month headroom but directs about 93% of the transfer to Turkey. Verify product match and capacity.</x:v>
      </x:c>
      <x:c r="H7" s="18" t="str">
        <x:v>S02; S05; S07; S08</x:v>
      </x:c>
    </x:row>
    <x:row r="8" ht="112" customHeight="1">
      <x:c r="A8" s="19" t="str">
        <x:v>R02</x:v>
      </x:c>
      <x:c r="B8" s="19" t="str">
        <x:v>62044300</x:v>
      </x:c>
      <x:c r="C8" s="19" t="str">
        <x:v>Synthetic dresses</x:v>
      </x:c>
      <x:c r="D8" s="19" t="str">
        <x:v>Advance to commercial validation</x:v>
      </x:c>
      <x:c r="E8" s="19" t="str">
        <x:v>Start matched-product quotes in India and Vietnam. Require a commercial reason for Turkey in any proposed mix.</x:v>
      </x:c>
      <x:c r="F8" s="19" t="str">
        <x:v>Default 10pp gives -635.8 HHI. Illustrative requests of 5pp and 15pp were also tested.</x:v>
      </x:c>
      <x:c r="G8" s="19" t="str">
        <x:v>Default margin is GBP 1.35/kg and 4.56% under both price screens. Larger concentration benefit, thin margin. Origin and added costs can reverse it.</x:v>
      </x:c>
      <x:c r="H8" s="19" t="str">
        <x:v>S03; S05; S07; S08</x:v>
      </x:c>
    </x:row>
    <x:row r="9" ht="112" customHeight="1">
      <x:c r="A9" s="18" t="str">
        <x:v>R03</x:v>
      </x:c>
      <x:c r="B9" s="18" t="str">
        <x:v>61091000</x:v>
      </x:c>
      <x:c r="C9" s="18" t="str">
        <x:v>Cotton T-shirts</x:v>
      </x:c>
      <x:c r="D9" s="18" t="str">
        <x:v>Do not proceed as diversification</x:v>
      </x:c>
      <x:c r="E9" s="18" t="str">
        <x:v>Close the tested China transfers as concentration measures. Any separate cost proposal needs its own appraisal.</x:v>
      </x:c>
      <x:c r="F9" s="18" t="str">
        <x:v>No company allocation target. The tested transfer uses up to China's 3.22% baseline share.</x:v>
      </x:c>
      <x:c r="G9" s="18" t="str">
        <x:v>All 22 active cases increase HHI while Bangladesh remains dominant. Morocco is an untested comparator for a different donor question.</x:v>
      </x:c>
      <x:c r="H9" s="18" t="str">
        <x:v>S05; S07; S08</x:v>
      </x:c>
    </x:row>
    <x:row r="10" ht="112" customHeight="1">
      <x:c r="A10" s="19" t="str">
        <x:v>R04</x:v>
      </x:c>
      <x:c r="B10" s="19" t="str">
        <x:v>62052000</x:v>
      </x:c>
      <x:c r="C10" s="19" t="str">
        <x:v>Cotton shirts</x:v>
      </x:c>
      <x:c r="D10" s="19" t="str">
        <x:v>Do not proceed with tested blend</x:v>
      </x:c>
      <x:c r="E10" s="19" t="str">
        <x:v>Close the tested receiver blend. Reopen only on materially different comparable evidence.</x:v>
      </x:c>
      <x:c r="F10" s="19" t="str">
        <x:v>Closure applies to the tested proposals, not every cotton-shirt supplier or sourcing strategy.</x:v>
      </x:c>
      <x:c r="G10" s="19" t="str">
        <x:v>All 22 active cases raise cost and HHI. Default headroom is minus GBP 3.98/kg. Pakistan is an untested Bangladesh-donor comparator.</x:v>
      </x:c>
      <x:c r="H10" s="19" t="str">
        <x:v>S05; S07; S08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28" t="str">
        <x:v>Default case economics</x:v>
      </x:c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42" customHeight="1">
      <x:c r="A15" s="15" t="str">
        <x:v>CN8</x:v>
      </x:c>
      <x:c r="B15" s="16" t="str">
        <x:v>Category</x:v>
      </x:c>
      <x:c r="C15" s="16" t="str">
        <x:v>China duty GBP/kg</x:v>
      </x:c>
      <x:c r="D15" s="16" t="str">
        <x:v>Receiver GBP/kg</x:v>
      </x:c>
      <x:c r="E15" s="16" t="str">
        <x:v>Headroom GBP/kg</x:v>
      </x:c>
      <x:c r="F15" s="16" t="str">
        <x:v>Max receiver premium</x:v>
      </x:c>
      <x:c r="G15" s="16" t="str">
        <x:v>Default shift pp</x:v>
      </x:c>
      <x:c r="H15" s="17" t="str">
        <x:v>HHI change</x:v>
      </x:c>
    </x:row>
    <x:row r="16" ht="30" customHeight="1">
      <x:c r="A16" s="18" t="str">
        <x:v>61103099</x:v>
      </x:c>
      <x:c r="B16" s="18" t="str">
        <x:v>MMF knitwear</x:v>
      </x:c>
      <x:c r="C16" s="22" t="n">
        <x:f>'Evidence'!I10</x:f>
        <x:v>19.111045868633756</x:v>
      </x:c>
      <x:c r="D16" s="22" t="n">
        <x:f>'Evidence'!J10</x:f>
        <x:v>14.574085580773765</x:v>
      </x:c>
      <x:c r="E16" s="22" t="n">
        <x:f>'Evidence'!G10</x:f>
        <x:v>4.536960287859991</x:v>
      </x:c>
      <x:c r="F16" s="20" t="n">
        <x:f>'Evidence'!H10</x:f>
        <x:v>0.3113032555431938</x:v>
      </x:c>
      <x:c r="G16" s="22" t="n">
        <x:f>'Evidence'!D10*100</x:f>
        <x:v>1.415329825765332</x:v>
      </x:c>
      <x:c r="H16" s="22" t="n">
        <x:f>'Evidence'!F10</x:f>
        <x:v>-88.19322957670738</x:v>
      </x:c>
    </x:row>
    <x:row r="17" ht="42" customHeight="1">
      <x:c r="A17" s="19" t="str">
        <x:v>62044300</x:v>
      </x:c>
      <x:c r="B17" s="19" t="str">
        <x:v>Synthetic dresses</x:v>
      </x:c>
      <x:c r="C17" s="23" t="n">
        <x:f>'Evidence'!I11</x:f>
        <x:v>30.96503096038202</x:v>
      </x:c>
      <x:c r="D17" s="23" t="n">
        <x:f>'Evidence'!J11</x:f>
        <x:v>29.614011294000512</x:v>
      </x:c>
      <x:c r="E17" s="23" t="n">
        <x:f>'Evidence'!G11</x:f>
        <x:v>1.3510196663815073</x:v>
      </x:c>
      <x:c r="F17" s="21" t="n">
        <x:f>'Evidence'!H11</x:f>
        <x:v>0.04562096140806182</x:v>
      </x:c>
      <x:c r="G17" s="23" t="n">
        <x:f>'Evidence'!D11*100</x:f>
        <x:v>10</x:v>
      </x:c>
      <x:c r="H17" s="23" t="n">
        <x:f>'Evidence'!F11</x:f>
        <x:v>-635.801651328959</x:v>
      </x:c>
    </x:row>
    <x:row r="18" ht="42" customHeight="1">
      <x:c r="A18" s="18" t="str">
        <x:v>61091000</x:v>
      </x:c>
      <x:c r="B18" s="18" t="str">
        <x:v>Cotton T-shirts</x:v>
      </x:c>
      <x:c r="C18" s="22" t="n">
        <x:f>'Evidence'!I12</x:f>
        <x:v>18.949537501993287</x:v>
      </x:c>
      <x:c r="D18" s="22" t="n">
        <x:f>'Evidence'!J12</x:f>
        <x:v>18.62523201506167</x:v>
      </x:c>
      <x:c r="E18" s="22" t="n">
        <x:f>'Evidence'!G12</x:f>
        <x:v>0.32430548693161754</x:v>
      </x:c>
      <x:c r="F18" s="20" t="n">
        <x:f>'Evidence'!H12</x:f>
        <x:v>0.0174121582308</x:v>
      </x:c>
      <x:c r="G18" s="22" t="n">
        <x:f>'Evidence'!D12*100</x:f>
        <x:v>3.2221226763006934</x:v>
      </x:c>
      <x:c r="H18" s="22" t="n">
        <x:f>'Evidence'!F12</x:f>
        <x:v>39.567478091494195</x:v>
      </x:c>
    </x:row>
    <x:row r="19" ht="42" customHeight="1">
      <x:c r="A19" s="19" t="str">
        <x:v>62052000</x:v>
      </x:c>
      <x:c r="B19" s="19" t="str">
        <x:v>Cotton shirts</x:v>
      </x:c>
      <x:c r="C19" s="23" t="n">
        <x:f>'Evidence'!I13</x:f>
        <x:v>24.28741095968617</x:v>
      </x:c>
      <x:c r="D19" s="23" t="n">
        <x:f>'Evidence'!J13</x:f>
        <x:v>28.264737999419182</x:v>
      </x:c>
      <x:c r="E19" s="23" t="n">
        <x:f>'Evidence'!G13</x:f>
        <x:v>-3.9773270397330123</x:v>
      </x:c>
      <x:c r="F19" s="21" t="n">
        <x:f>'Evidence'!H13</x:f>
        <x:v>-0.14071692579689732</x:v>
      </x:c>
      <x:c r="G19" s="23" t="n">
        <x:f>'Evidence'!D13*100</x:f>
        <x:v>6.915990057015509</x:v>
      </x:c>
      <x:c r="H19" s="23" t="n">
        <x:f>'Evidence'!F13</x:f>
        <x:v>117.77113668368929</x:v>
      </x:c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2" t="str">
        <x:v>S08. Default: H1 2026 reported prices; eligible duties; 50/25/25 India/Turkey/Vietnam receiver mix; 3x growth cap.</x:v>
      </x:c>
      <x:c r="B21" s="2"/>
      <x:c r="C21" s="2"/>
      <x:c r="D21" s="2"/>
      <x:c r="E21" s="2"/>
      <x:c r="F21" s="2"/>
      <x:c r="G21" s="2"/>
      <x:c r="H21" s="2"/>
    </x:row>
    <x:row r="22" ht="22" customHeight="1">
      <x:c r="A22" s="2" t="str">
        <x:v>Thresholds hold other assumptions constant. Headroom cannot simultaneously fund the full premium, extra duty and operating allowances.</x:v>
      </x:c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8" t="str">
        <x:v>Selected knitwear comparisons from the 26-case ensemble</x:v>
      </x:c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 ht="42" customHeight="1">
      <x:c r="A27" s="15" t="str">
        <x:v>Case</x:v>
      </x:c>
      <x:c r="B27" s="16" t="str">
        <x:v>Label</x:v>
      </x:c>
      <x:c r="C27" s="16" t="str">
        <x:v>Knit shift pp</x:v>
      </x:c>
      <x:c r="D27" s="16" t="str">
        <x:v>Cost change</x:v>
      </x:c>
      <x:c r="E27" s="16" t="str">
        <x:v>HHI change</x:v>
      </x:c>
      <x:c r="F27" s="16" t="str">
        <x:v>Max multiple</x:v>
      </x:c>
      <x:c r="G27" s="16" t="str">
        <x:v>Interpretation</x:v>
      </x:c>
      <x:c r="H27" s="17" t="str">
        <x:v>Source</x:v>
      </x:c>
    </x:row>
    <x:row r="28" ht="60" customHeight="1">
      <x:c r="A28" s="18" t="n">
        <x:v>8</x:v>
      </x:c>
      <x:c r="B28" s="18" t="str">
        <x:v>Presence weighted</x:v>
      </x:c>
      <x:c r="C28" s="22" t="n">
        <x:f>'Evidence'!C29*100</x:f>
        <x:v>10</x:v>
      </x:c>
      <x:c r="D28" s="20" t="n">
        <x:f>'Evidence'!D29</x:f>
        <x:v>-0.08350185310997105</x:v>
      </x:c>
      <x:c r="E28" s="22" t="n">
        <x:f>'Evidence'!E29</x:f>
        <x:v>-240.5921031335697</x:v>
      </x:c>
      <x:c r="F28" s="22" t="n">
        <x:f>'Evidence'!F29</x:f>
        <x:v>1.5687822805303502</x:v>
      </x:c>
      <x:c r="G28" s="18" t="str">
        <x:v>About 93% of transfer to Turkey; 3x cap does not bind at 10pp request</x:v>
      </x:c>
      <x:c r="H28" s="18" t="str">
        <x:v>S08</x:v>
      </x:c>
    </x:row>
    <x:row r="29" ht="60" customHeight="1">
      <x:c r="A29" s="19" t="n">
        <x:v>25</x:v>
      </x:c>
      <x:c r="B29" s="19" t="str">
        <x:v>Presence weighted common</x:v>
      </x:c>
      <x:c r="C29" s="23" t="n">
        <x:f>'Evidence'!C46*100</x:f>
        <x:v>10</x:v>
      </x:c>
      <x:c r="D29" s="21" t="n">
        <x:f>'Evidence'!D46</x:f>
        <x:v>-0.044879993597411794</x:v>
      </x:c>
      <x:c r="E29" s="23" t="n">
        <x:f>'Evidence'!E46</x:f>
        <x:v>-240.5921031335697</x:v>
      </x:c>
      <x:c r="F29" s="23" t="n">
        <x:f>'Evidence'!F46</x:f>
        <x:v>1.5687822805303502</x:v>
      </x:c>
      <x:c r="G29" s="19" t="str">
        <x:v>Same mix and share change; retains GBP 6.47/kg headroom under the screen</x:v>
      </x:c>
      <x:c r="H29" s="19" t="str">
        <x:v>S08</x:v>
      </x:c>
    </x:row>
    <x:row r="30" ht="60" customHeight="1">
      <x:c r="A30" s="18" t="n">
        <x:v>11</x:v>
      </x:c>
      <x:c r="B30" s="18" t="str">
        <x:v>Turkey 75 Vietnam 25</x:v>
      </x:c>
      <x:c r="C30" s="22" t="n">
        <x:f>'Evidence'!C32*100</x:f>
        <x:v>7.058533305676154</x:v>
      </x:c>
      <x:c r="D30" s="20" t="n">
        <x:f>'Evidence'!D32</x:f>
        <x:v>-0.04475742061977073</x:v>
      </x:c>
      <x:c r="E30" s="22" t="n">
        <x:f>'Evidence'!E32</x:f>
        <x:v>-259.735460467497</x:v>
      </x:c>
      <x:c r="F30" s="22" t="n">
        <x:f>'Evidence'!F32</x:f>
        <x:v>3</x:v>
      </x:c>
      <x:c r="G30" s="18" t="str">
        <x:v>More HHI reduction than presence mix; Vietnam growth cap binds</x:v>
      </x:c>
      <x:c r="H30" s="18" t="str">
        <x:v>S08</x:v>
      </x:c>
    </x:row>
    <x:row r="31" ht="60" customHeight="1">
      <x:c r="A31" s="19" t="n">
        <x:v>26</x:v>
      </x:c>
      <x:c r="B31" s="19" t="str">
        <x:v>Turkey 75 common</x:v>
      </x:c>
      <x:c r="C31" s="23" t="n">
        <x:f>'Evidence'!C47*100</x:f>
        <x:v>7.058533305676154</x:v>
      </x:c>
      <x:c r="D31" s="21" t="n">
        <x:f>'Evidence'!D47</x:f>
        <x:v>-0.008281202091309114</x:v>
      </x:c>
      <x:c r="E31" s="23" t="n">
        <x:f>'Evidence'!E47</x:f>
        <x:v>-259.735460467497</x:v>
      </x:c>
      <x:c r="F31" s="23" t="n">
        <x:f>'Evidence'!F47</x:f>
        <x:v>3</x:v>
      </x:c>
      <x:c r="G31" s="19" t="str">
        <x:v>Same mix; retains GBP 1.69/kg headroom under the screen</x:v>
      </x:c>
      <x:c r="H31" s="19" t="str">
        <x:v>S08</x:v>
      </x:c>
    </x:row>
    <x:row r="32" ht="60" customHeight="1">
      <x:c r="A32" s="18" t="n">
        <x:v>24</x:v>
      </x:c>
      <x:c r="B32" s="18" t="str">
        <x:v>Turkey 75 increment MFN</x:v>
      </x:c>
      <x:c r="C32" s="22" t="n">
        <x:f>'Evidence'!C45*100</x:f>
        <x:v>7.058533305676154</x:v>
      </x:c>
      <x:c r="D32" s="20" t="n">
        <x:f>'Evidence'!D45</x:f>
        <x:v>-0.03846404655211588</x:v>
      </x:c>
      <x:c r="E32" s="22" t="n">
        <x:f>'Evidence'!E45</x:f>
        <x:v>-259.735460467497</x:v>
      </x:c>
      <x:c r="F32" s="22" t="n">
        <x:f>'Evidence'!F45</x:f>
        <x:v>3</x:v>
      </x:c>
      <x:c r="G32" s="18" t="str">
        <x:v>Separate incremental-MFN sensitivity; not a joint adverse test</x:v>
      </x:c>
      <x:c r="H32" s="18" t="str">
        <x:v>S08</x:v>
      </x:c>
    </x:row>
    <x:row r="33" ht="60" customHeight="1">
      <x:c r="A33" s="19" t="n">
        <x:v>1</x:v>
      </x:c>
      <x:c r="B33" s="19" t="str">
        <x:v>Default mix</x:v>
      </x:c>
      <x:c r="C33" s="23" t="n">
        <x:f>'Evidence'!C22*100</x:f>
        <x:v>1.415329825765332</x:v>
      </x:c>
      <x:c r="D33" s="21" t="n">
        <x:f>'Evidence'!D22</x:f>
        <x:v>-0.004627003502947313</x:v>
      </x:c>
      <x:c r="E33" s="23" t="n">
        <x:f>'Evidence'!E22</x:f>
        <x:v>-88.19322957670738</x:v>
      </x:c>
      <x:c r="F33" s="23" t="n">
        <x:f>'Evidence'!F22</x:f>
        <x:v>3</x:v>
      </x:c>
      <x:c r="G33" s="19" t="str">
        <x:v>India's small baseline and 50% receiver weight limit this scenario</x:v>
      </x:c>
      <x:c r="H33" s="19" t="str">
        <x:v>S08</x:v>
      </x:c>
    </x:row>
    <x:row r="34" ht="60" customHeight="1">
      <x:c r="A34" s="18" t="n">
        <x:v>16</x:v>
      </x:c>
      <x:c r="B34" s="18" t="str">
        <x:v>Default common</x:v>
      </x:c>
      <x:c r="C34" s="22" t="n">
        <x:f>'Evidence'!C37*100</x:f>
        <x:v>1.415329825765332</x:v>
      </x:c>
      <x:c r="D34" s="31" t="n">
        <x:f>'Evidence'!D37</x:f>
        <x:v>0.0002448876564151714</x:v>
      </x:c>
      <x:c r="E34" s="22" t="n">
        <x:f>'Evidence'!E37</x:f>
        <x:v>-88.19322957670738</x:v>
      </x:c>
      <x:c r="F34" s="22" t="n">
        <x:f>'Evidence'!F37</x:f>
        <x:v>3</x:v>
      </x:c>
      <x:c r="G34" s="18" t="str">
        <x:v>Default receiver blend exceeds China; no positive headroom</x:v>
      </x:c>
      <x:c r="H34" s="18" t="str">
        <x:v>S08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42" customHeight="1">
      <x:c r="A36" s="2" t="str">
        <x:v>Cases 8/25 and 1/16 also transfer cotton; these rows present their knitwear results only. Cases 11/26/24 hold cotton unchanged. No whole-scenario endorsement is implied.</x:v>
      </x:c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22" customHeight="1">
      <x:c r="A39" s="28" t="str">
        <x:v>How to set a real trial volume</x:v>
      </x:c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 ht="22" customHeight="1">
      <x:c r="A41" s="2" t="str">
        <x:v>Use actual SKU demand and matched incumbent/candidate quantities. A share of the ten-country trade proxy is not a purchase order.</x:v>
      </x:c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2" t="str">
        <x:v>Trial volume must fit confirmed available capacity, planned demand, delivery tolerance and an approved transition budget.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 ht="22" customHeight="1">
      <x:c r="A45" s="2" t="str">
        <x:v>Choose quality and service acceptance criteria before ordering. Expand only after the agreed trial evidence supports the next increment.</x:v>
      </x:c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 ht="22" customHeight="1">
      <x:c r="A47" s="2" t="str">
        <x:v>Do not convert the 35% ceiling, 10pp addition limit or 3x baseline cap into claims about physical capacity.</x:v>
      </x:c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 ht="26" customHeight="1">
      <x:c r="A49" s="37" t="str">
        <x:v>Cost headroom by receiver mix and price screen</x:v>
      </x:c>
      <x:c r="B49" s="37"/>
      <x:c r="C49" s="37"/>
      <x:c r="D49" s="37"/>
      <x:c r="E49" s="37"/>
      <x:c r="F49" s="37"/>
      <x:c r="G49" s="37"/>
      <x:c r="H49" s="37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 ht="42" customHeight="1">
      <x:c r="A51" s="50" t="str">
        <x:v>Case</x:v>
      </x:c>
      <x:c r="B51" s="51" t="str">
        <x:v>Comparison</x:v>
      </x:c>
      <x:c r="C51" s="51" t="str">
        <x:v>Price basis</x:v>
      </x:c>
      <x:c r="D51" s="51" t="str">
        <x:v>Receiver duty-paid GBP/kg</x:v>
      </x:c>
      <x:c r="E51" s="51" t="str">
        <x:v>China duty-paid GBP/kg</x:v>
      </x:c>
      <x:c r="F51" s="51" t="str">
        <x:v>Headroom GBP/kg</x:v>
      </x:c>
      <x:c r="G51" s="51" t="str">
        <x:v>Max premium</x:v>
      </x:c>
      <x:c r="H51" s="52" t="str">
        <x:v>Cotton moves</x:v>
      </x:c>
    </x:row>
    <x:row r="52" ht="54" customHeight="1">
      <x:c r="A52" s="53" t="n">
        <x:v>8</x:v>
      </x:c>
      <x:c r="B52" s="53" t="str">
        <x:v>Presence weighted</x:v>
      </x:c>
      <x:c r="C52" s="53" t="str">
        <x:v>H1 2026 reported</x:v>
      </x:c>
      <x:c r="D52" s="59" t="n">
        <x:f>'Evidence'!C273*('Evidence'!D173/'Evidence'!E173)*(1+'Evidence'!L173)+'Evidence'!D273*('Evidence'!D178/'Evidence'!E178)*(1+'Evidence'!L178)+'Evidence'!E273*('Evidence'!D179/'Evidence'!E179)*(1+'Evidence'!L179)</x:f>
        <x:v>7.522767420814377</x:v>
      </x:c>
      <x:c r="E52" s="59" t="n">
        <x:f>('Evidence'!D172/'Evidence'!E172)*(1+'Evidence'!L172)</x:f>
        <x:v>19.111045868633756</x:v>
      </x:c>
      <x:c r="F52" s="59" t="n">
        <x:f>E52-D52</x:f>
        <x:v>11.588278447819379</x:v>
      </x:c>
      <x:c r="G52" s="60" t="n">
        <x:f>F52/D52</x:f>
        <x:v>1.5404275846354545</x:v>
      </x:c>
      <x:c r="H52" s="53" t="str">
        <x:f>IF(SUMIFS('Evidence'!$C$22:$C$125,'Evidence'!$A$22:$A$125,A52,'Evidence'!$B$22:$B$125,"61091000")+SUMIFS('Evidence'!$C$22:$C$125,'Evidence'!$A$22:$A$125,A52,'Evidence'!$B$22:$B$125,"62052000")&gt;0,"Yes","No")</x:f>
        <x:v>Yes</x:v>
      </x:c>
    </x:row>
    <x:row r="53" ht="54" customHeight="1">
      <x:c r="A53" s="54" t="n">
        <x:v>25</x:v>
      </x:c>
      <x:c r="B53" s="54" t="str">
        <x:v>Presence weighted common</x:v>
      </x:c>
      <x:c r="C53" s="54" t="str">
        <x:v>H1 2026 common</x:v>
      </x:c>
      <x:c r="D53" s="61" t="n">
        <x:f>'Evidence'!C273*('Evidence'!H173/'Evidence'!I173)*(1+'Evidence'!L173)+'Evidence'!D273*('Evidence'!H178/'Evidence'!I178)*(1+'Evidence'!L178)+'Evidence'!E273*('Evidence'!H179/'Evidence'!I179)*(1+'Evidence'!L179)</x:f>
        <x:v>12.066887427201054</x:v>
      </x:c>
      <x:c r="E53" s="61" t="n">
        <x:f>('Evidence'!H172/'Evidence'!I172)*(1+'Evidence'!L172)</x:f>
        <x:v>18.535201217375537</x:v>
      </x:c>
      <x:c r="F53" s="61" t="n">
        <x:f>E53-D53</x:f>
        <x:v>6.4683137901744825</x:v>
      </x:c>
      <x:c r="G53" s="62" t="n">
        <x:f>F53/D53</x:f>
        <x:v>0.5360382972989104</x:v>
      </x:c>
      <x:c r="H53" s="54" t="str">
        <x:f>IF(SUMIFS('Evidence'!$C$22:$C$125,'Evidence'!$A$22:$A$125,A53,'Evidence'!$B$22:$B$125,"61091000")+SUMIFS('Evidence'!$C$22:$C$125,'Evidence'!$A$22:$A$125,A53,'Evidence'!$B$22:$B$125,"62052000")&gt;0,"Yes","No")</x:f>
        <x:v>Yes</x:v>
      </x:c>
    </x:row>
    <x:row r="54" ht="54" customHeight="1">
      <x:c r="A54" s="53" t="n">
        <x:v>11</x:v>
      </x:c>
      <x:c r="B54" s="53" t="str">
        <x:v>Turkey 75 Vietnam 25</x:v>
      </x:c>
      <x:c r="C54" s="53" t="str">
        <x:v>H1 2026 reported</x:v>
      </x:c>
      <x:c r="D54" s="59" t="n">
        <x:f>'Evidence'!C285*('Evidence'!D173/'Evidence'!E173)*(1+'Evidence'!L173)+'Evidence'!D285*('Evidence'!D178/'Evidence'!E178)*(1+'Evidence'!L178)+'Evidence'!E285*('Evidence'!D179/'Evidence'!E179)*(1+'Evidence'!L179)</x:f>
        <x:v>10.31123394381778</x:v>
      </x:c>
      <x:c r="E54" s="59" t="n">
        <x:f>('Evidence'!D172/'Evidence'!E172)*(1+'Evidence'!L172)</x:f>
        <x:v>19.111045868633756</x:v>
      </x:c>
      <x:c r="F54" s="59" t="n">
        <x:f>E54-D54</x:f>
        <x:v>8.799811924815977</x:v>
      </x:c>
      <x:c r="G54" s="60" t="n">
        <x:f>F54/D54</x:f>
        <x:v>0.8534198693156416</x:v>
      </x:c>
      <x:c r="H54" s="53" t="str">
        <x:f>IF(SUMIFS('Evidence'!$C$22:$C$125,'Evidence'!$A$22:$A$125,A54,'Evidence'!$B$22:$B$125,"61091000")+SUMIFS('Evidence'!$C$22:$C$125,'Evidence'!$A$22:$A$125,A54,'Evidence'!$B$22:$B$125,"62052000")&gt;0,"Yes","No")</x:f>
        <x:v>No</x:v>
      </x:c>
    </x:row>
    <x:row r="55" ht="54" customHeight="1">
      <x:c r="A55" s="54" t="n">
        <x:v>26</x:v>
      </x:c>
      <x:c r="B55" s="54" t="str">
        <x:v>Turkey 75 common</x:v>
      </x:c>
      <x:c r="C55" s="54" t="str">
        <x:v>H1 2026 common</x:v>
      </x:c>
      <x:c r="D55" s="61" t="n">
        <x:f>'Evidence'!C285*('Evidence'!H173/'Evidence'!I173)*(1+'Evidence'!L173)+'Evidence'!D285*('Evidence'!H178/'Evidence'!I178)*(1+'Evidence'!L178)+'Evidence'!E285*('Evidence'!H179/'Evidence'!I179)*(1+'Evidence'!L179)</x:f>
        <x:v>16.84430400265</x:v>
      </x:c>
      <x:c r="E55" s="61" t="n">
        <x:f>('Evidence'!H172/'Evidence'!I172)*(1+'Evidence'!L172)</x:f>
        <x:v>18.535201217375537</x:v>
      </x:c>
      <x:c r="F55" s="61" t="n">
        <x:f>E55-D55</x:f>
        <x:v>1.6908972147255383</x:v>
      </x:c>
      <x:c r="G55" s="62" t="n">
        <x:f>F55/D55</x:f>
        <x:v>0.10038391698817126</x:v>
      </x:c>
      <x:c r="H55" s="54" t="str">
        <x:f>IF(SUMIFS('Evidence'!$C$22:$C$125,'Evidence'!$A$22:$A$125,A55,'Evidence'!$B$22:$B$125,"61091000")+SUMIFS('Evidence'!$C$22:$C$125,'Evidence'!$A$22:$A$125,A55,'Evidence'!$B$22:$B$125,"62052000")&gt;0,"Yes","No")</x:f>
        <x:v>No</x:v>
      </x:c>
    </x:row>
    <x:row r="56" ht="54" customHeight="1">
      <x:c r="A56" s="53" t="n">
        <x:v>24</x:v>
      </x:c>
      <x:c r="B56" s="53" t="str">
        <x:v>Turkey 75 increment MFN</x:v>
      </x:c>
      <x:c r="C56" s="53" t="str">
        <x:v>H1 2026 reported</x:v>
      </x:c>
      <x:c r="D56" s="59" t="n">
        <x:f>'Evidence'!C285*('Evidence'!D173/'Evidence'!E173)*(1+'Evidence'!L172)+'Evidence'!D285*('Evidence'!D178/'Evidence'!E178)*(1+'Evidence'!L172)+'Evidence'!E285*('Evidence'!D179/'Evidence'!E179)*(1+'Evidence'!L172)</x:f>
        <x:v>11.548582017075912</x:v>
      </x:c>
      <x:c r="E56" s="59" t="n">
        <x:f>('Evidence'!D172/'Evidence'!E172)*(1+'Evidence'!L172)</x:f>
        <x:v>19.111045868633756</x:v>
      </x:c>
      <x:c r="F56" s="59" t="n">
        <x:f>E56-D56</x:f>
        <x:v>7.562463851557844</x:v>
      </x:c>
      <x:c r="G56" s="60" t="n">
        <x:f>F56/D56</x:f>
        <x:v>0.6548391690318229</x:v>
      </x:c>
      <x:c r="H56" s="53" t="str">
        <x:f>IF(SUMIFS('Evidence'!$C$22:$C$125,'Evidence'!$A$22:$A$125,A56,'Evidence'!$B$22:$B$125,"61091000")+SUMIFS('Evidence'!$C$22:$C$125,'Evidence'!$A$22:$A$125,A56,'Evidence'!$B$22:$B$125,"62052000")&gt;0,"Yes","No")</x:f>
        <x:v>No</x:v>
      </x:c>
    </x:row>
    <x:row r="57" ht="54" customHeight="1">
      <x:c r="A57" s="54" t="n">
        <x:v>1</x:v>
      </x:c>
      <x:c r="B57" s="54" t="str">
        <x:v>Default mix</x:v>
      </x:c>
      <x:c r="C57" s="54" t="str">
        <x:v>H1 2026 reported</x:v>
      </x:c>
      <x:c r="D57" s="61" t="n">
        <x:f>'Evidence'!C265*('Evidence'!D173/'Evidence'!E173)*(1+'Evidence'!L173)+'Evidence'!D265*('Evidence'!D178/'Evidence'!E178)*(1+'Evidence'!L178)+'Evidence'!E265*('Evidence'!D179/'Evidence'!E179)*(1+'Evidence'!L179)</x:f>
        <x:v>14.574085580773765</x:v>
      </x:c>
      <x:c r="E57" s="61" t="n">
        <x:f>('Evidence'!D172/'Evidence'!E172)*(1+'Evidence'!L172)</x:f>
        <x:v>19.111045868633756</x:v>
      </x:c>
      <x:c r="F57" s="61" t="n">
        <x:f>E57-D57</x:f>
        <x:v>4.536960287859991</x:v>
      </x:c>
      <x:c r="G57" s="62" t="n">
        <x:f>F57/D57</x:f>
        <x:v>0.31130325554319377</x:v>
      </x:c>
      <x:c r="H57" s="54" t="str">
        <x:f>IF(SUMIFS('Evidence'!$C$22:$C$125,'Evidence'!$A$22:$A$125,A57,'Evidence'!$B$22:$B$125,"61091000")+SUMIFS('Evidence'!$C$22:$C$125,'Evidence'!$A$22:$A$125,A57,'Evidence'!$B$22:$B$125,"62052000")&gt;0,"Yes","No")</x:f>
        <x:v>Yes</x:v>
      </x:c>
    </x:row>
    <x:row r="58" ht="54" customHeight="1">
      <x:c r="A58" s="53" t="n">
        <x:v>16</x:v>
      </x:c>
      <x:c r="B58" s="53" t="str">
        <x:v>Default common</x:v>
      </x:c>
      <x:c r="C58" s="53" t="str">
        <x:v>H1 2026 common</x:v>
      </x:c>
      <x:c r="D58" s="59" t="n">
        <x:f>'Evidence'!C265*('Evidence'!H173/'Evidence'!I173)*(1+'Evidence'!L173)+'Evidence'!D265*('Evidence'!H178/'Evidence'!I178)*(1+'Evidence'!L178)+'Evidence'!E265*('Evidence'!H179/'Evidence'!I179)*(1+'Evidence'!L179)</x:f>
        <x:v>18.78457312648473</x:v>
      </x:c>
      <x:c r="E58" s="59" t="n">
        <x:f>('Evidence'!H172/'Evidence'!I172)*(1+'Evidence'!L172)</x:f>
        <x:v>18.535201217375537</x:v>
      </x:c>
      <x:c r="F58" s="59" t="n">
        <x:f>E58-D58</x:f>
        <x:v>-0.24937190910919327</x:v>
      </x:c>
      <x:c r="G58" s="60" t="n">
        <x:f>F58/D58</x:f>
        <x:v>-0.013275356721180905</x:v>
      </x:c>
      <x:c r="H58" s="53" t="str">
        <x:f>IF(SUMIFS('Evidence'!$C$22:$C$125,'Evidence'!$A$22:$A$125,A58,'Evidence'!$B$22:$B$125,"61091000")+SUMIFS('Evidence'!$C$22:$C$125,'Evidence'!$A$22:$A$125,A58,'Evidence'!$B$22:$B$125,"62052000")&gt;0,"Yes","No")</x:f>
        <x:v>Yes</x:v>
      </x:c>
    </x:row>
    <x:row r="59" ht="54" customHeight="1">
      <x:c r="A59" s="54" t="n">
        <x:v>1</x:v>
      </x:c>
      <x:c r="B59" s="54" t="str">
        <x:v>Dresses default</x:v>
      </x:c>
      <x:c r="C59" s="54" t="str">
        <x:v>H1 2026 reported</x:v>
      </x:c>
      <x:c r="D59" s="61" t="n">
        <x:f>'Evidence'!C266*('Evidence'!D183/'Evidence'!E183)*(1+'Evidence'!L183)+'Evidence'!D266*('Evidence'!D188/'Evidence'!E188)*(1+'Evidence'!L188)+'Evidence'!E266*('Evidence'!D189/'Evidence'!E189)*(1+'Evidence'!L189)</x:f>
        <x:v>29.614011294000512</x:v>
      </x:c>
      <x:c r="E59" s="61" t="n">
        <x:f>('Evidence'!D182/'Evidence'!E182)*(1+'Evidence'!L182)</x:f>
        <x:v>30.96503096038202</x:v>
      </x:c>
      <x:c r="F59" s="61" t="n">
        <x:f>E59-D59</x:f>
        <x:v>1.3510196663815073</x:v>
      </x:c>
      <x:c r="G59" s="62" t="n">
        <x:f>F59/D59</x:f>
        <x:v>0.04562096140806192</x:v>
      </x:c>
      <x:c r="H59" s="54" t="str">
        <x:f>IF(SUMIFS('Evidence'!$C$22:$C$125,'Evidence'!$A$22:$A$125,A59,'Evidence'!$B$22:$B$125,"61091000")+SUMIFS('Evidence'!$C$22:$C$125,'Evidence'!$A$22:$A$125,A59,'Evidence'!$B$22:$B$125,"62052000")&gt;0,"Yes","No")</x:f>
        <x:v>Yes</x:v>
      </x:c>
    </x:row>
    <x:row r="60" ht="54" customHeight="1">
      <x:c r="A60" s="53" t="n">
        <x:v>16</x:v>
      </x:c>
      <x:c r="B60" s="53" t="str">
        <x:v>Dresses common</x:v>
      </x:c>
      <x:c r="C60" s="53" t="str">
        <x:v>H1 2026 common</x:v>
      </x:c>
      <x:c r="D60" s="59" t="n">
        <x:f>'Evidence'!C266*('Evidence'!H183/'Evidence'!I183)*(1+'Evidence'!L183)+'Evidence'!D266*('Evidence'!H188/'Evidence'!I188)*(1+'Evidence'!L188)+'Evidence'!E266*('Evidence'!H189/'Evidence'!I189)*(1+'Evidence'!L189)</x:f>
        <x:v>29.614011294000512</x:v>
      </x:c>
      <x:c r="E60" s="59" t="n">
        <x:f>('Evidence'!H182/'Evidence'!I182)*(1+'Evidence'!L182)</x:f>
        <x:v>30.96503096038202</x:v>
      </x:c>
      <x:c r="F60" s="59" t="n">
        <x:f>E60-D60</x:f>
        <x:v>1.3510196663815073</x:v>
      </x:c>
      <x:c r="G60" s="60" t="n">
        <x:f>F60/D60</x:f>
        <x:v>0.04562096140806192</x:v>
      </x:c>
      <x:c r="H60" s="53" t="str">
        <x:f>IF(SUMIFS('Evidence'!$C$22:$C$125,'Evidence'!$A$22:$A$125,A60,'Evidence'!$B$22:$B$125,"61091000")+SUMIFS('Evidence'!$C$22:$C$125,'Evidence'!$A$22:$A$125,A60,'Evidence'!$B$22:$B$125,"62052000")&gt;0,"Yes","No")</x:f>
        <x:v>Yes</x:v>
      </x:c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 ht="42" customHeight="1">
      <x:c r="A62" s="37" t="str">
        <x:v>S08. Headroom = China duty-paid price minus weighted receiver duty-paid price. Premium = headroom divided by receiver price. These are per-transferred-kg limits before added operating costs.</x:v>
      </x:c>
      <x:c r="B62" s="37"/>
      <x:c r="C62" s="37"/>
      <x:c r="D62" s="37"/>
      <x:c r="E62" s="37"/>
      <x:c r="F62" s="37"/>
      <x:c r="G62" s="37"/>
      <x:c r="H62" s="37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 ht="40" customHeight="1">
      <x:c r="A64" s="37" t="str">
        <x:v>The screen retains three H1 2026 months for knitwear and all six for dresses. It can change seasonality and remove valid observations; it is not a guaranteed conservative estimate.</x:v>
      </x:c>
      <x:c r="B64" s="37"/>
      <x:c r="C64" s="37"/>
      <x:c r="D64" s="37"/>
      <x:c r="E64" s="37"/>
      <x:c r="F64" s="37"/>
      <x:c r="G64" s="37"/>
      <x:c r="H64" s="37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 ht="40" customHeight="1">
      <x:c r="A66" s="37" t="str">
        <x:v>Presence weighting retains more cost headroom in the tested price comparison, but improves HHI less than Turkey-75. Large price gaps may reflect product mix; comparable quotes are required.</x:v>
      </x:c>
      <x:c r="B66" s="37"/>
      <x:c r="C66" s="37"/>
      <x:c r="D66" s="37"/>
      <x:c r="E66" s="37"/>
      <x:c r="F66" s="37"/>
      <x:c r="G66" s="37"/>
      <x:c r="H66" s="37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 ht="42" customHeight="1">
      <x:c r="A69" s="50" t="str">
        <x:v>Partner</x:v>
      </x:c>
      <x:c r="B69" s="51" t="str">
        <x:v>FY25 share</x:v>
      </x:c>
      <x:c r="C69" s="51" t="str">
        <x:v>Share change pp</x:v>
      </x:c>
      <x:c r="D69" s="51" t="str">
        <x:v>Illustrative share after</x:v>
      </x:c>
      <x:c r="E69" s="51" t="str">
        <x:v>Meaning</x:v>
      </x:c>
      <x:c r="F69" s="52" t="str">
        <x:v>Source</x:v>
      </x:c>
      <x:c r="G69" s="2"/>
      <x:c r="H69" s="2"/>
    </x:row>
    <x:row r="70" ht="48" customHeight="1">
      <x:c r="A70" s="53" t="str">
        <x:v>Turkey</x:v>
      </x:c>
      <x:c r="B70" s="57" t="n">
        <x:f>'Country_Options'!C17</x:f>
        <x:v>0.1634527059454223</x:v>
      </x:c>
      <x:c r="C70" s="55" t="n">
        <x:f>'Evidence'!D273*C28</x:f>
        <x:v>9.296900284649404</x:v>
      </x:c>
      <x:c r="D70" s="57" t="n">
        <x:f>B70+C70/100</x:f>
        <x:v>0.25642170879191634</x:v>
      </x:c>
      <x:c r="E70" s="53" t="str">
        <x:v>About 93% of the 10pp transfer is concentrated in Turkey.</x:v>
      </x:c>
      <x:c r="F70" s="53" t="str">
        <x:v>S08</x:v>
      </x:c>
      <x:c r="G70" s="2"/>
      <x:c r="H70" s="2"/>
    </x:row>
    <x:row r="71" ht="48" customHeight="1">
      <x:c r="A71" s="54" t="str">
        <x:v>China</x:v>
      </x:c>
      <x:c r="B71" s="58" t="n">
        <x:f>'Country_Options'!C11</x:f>
        <x:v>0.3661327533481963</x:v>
      </x:c>
      <x:c r="C71" s="56" t="n">
        <x:f>-C28</x:f>
        <x:v>-10</x:v>
      </x:c>
      <x:c r="D71" s="58" t="n">
        <x:f>B71+C71/100</x:f>
        <x:v>0.2661327533481963</x:v>
      </x:c>
      <x:c r="E71" s="54" t="str">
        <x:v>China and Turkey become nearly equal in this trade-share illustration.</x:v>
      </x:c>
      <x:c r="F71" s="54" t="str">
        <x:v>S08</x:v>
      </x:c>
    </x:row>
    <x:row r="73" ht="40" customHeight="1">
      <x:c r="A73" s="37" t="str">
        <x:v>S08 case 8/25. Share changes are model illustrations. The 3x cap is non-binding at the requested 10pp; Turkey's 10pp addition limit would allow about 10.76pp total transfer at this mix.</x:v>
      </x:c>
      <x:c r="B73" s="37"/>
      <x:c r="C73" s="37"/>
      <x:c r="D73" s="37"/>
      <x:c r="E73" s="37"/>
      <x:c r="F73" s="37"/>
      <x:c r="G73" s="37"/>
      <x:c r="H73" s="37"/>
    </x:row>
  </x:sheetData>
  <x:mergeCells>
    <x:mergeCell ref="A49:H49"/>
    <x:mergeCell ref="A62:H62"/>
    <x:mergeCell ref="A64:H64"/>
    <x:mergeCell ref="A66:H66"/>
    <x:mergeCell ref="A73:H7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2.779999732971191" hidden="0" customWidth="1"/>
    <x:col min="3" max="3" width="12.779999732971191" hidden="0" customWidth="1"/>
    <x:col min="4" max="4" width="13.329999923706055" hidden="0" customWidth="1"/>
    <x:col min="5" max="5" width="12.220000267028809" hidden="0" customWidth="1"/>
    <x:col min="6" max="6" width="12.779999732971191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12.779999732971191" hidden="0" customWidth="1"/>
    <x:col min="11" max="11" width="9.4399995803833" hidden="0" customWidth="1"/>
    <x:col min="12" max="12" width="11.670000076293945" hidden="0" customWidth="1"/>
    <x:col min="13" max="13" width="14.4399995803833" hidden="0" customWidth="1"/>
    <x:col min="14" max="14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Country evidence and investigation scope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 t="str">
        <x:v>FY2025 mass share uses ten countries. H1 2026 World value share uses all UK imports. Partner means dispatch.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 t="str">
        <x:v>Border and duty-paid prices are market benchmarks. All candidate evidence remains Pending; Myanmar is excluded.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2" customHeight="1">
      <x:c r="A8" s="15" t="str">
        <x:v>CN8</x:v>
      </x:c>
      <x:c r="B8" s="16" t="str">
        <x:v>Partner</x:v>
      </x:c>
      <x:c r="C8" s="16" t="str">
        <x:v>FY25 mass share</x:v>
      </x:c>
      <x:c r="D8" s="16" t="str">
        <x:v>H126 value GBP</x:v>
      </x:c>
      <x:c r="E8" s="16" t="str">
        <x:v>World value share</x:v>
      </x:c>
      <x:c r="F8" s="16" t="str">
        <x:v>H1 value YoY</x:v>
      </x:c>
      <x:c r="G8" s="16" t="str">
        <x:v>Sites all products</x:v>
      </x:c>
      <x:c r="H8" s="16" t="str">
        <x:v>Reported UV GBP/kg</x:v>
      </x:c>
      <x:c r="I8" s="16" t="str">
        <x:v>Common UV GBP/kg</x:v>
      </x:c>
      <x:c r="J8" s="16" t="str">
        <x:v>Duty-paid GBP/kg</x:v>
      </x:c>
      <x:c r="K8" s="16" t="str">
        <x:v>REVIEW months</x:v>
      </x:c>
      <x:c r="L8" s="16" t="str">
        <x:v>Common months</x:v>
      </x:c>
      <x:c r="M8" s="16" t="str">
        <x:v>Model role</x:v>
      </x:c>
      <x:c r="N8" s="17" t="str">
        <x:v>Interpretation</x:v>
      </x:c>
    </x:row>
    <x:row r="9" ht="57" customHeight="1">
      <x:c r="A9" s="18" t="str">
        <x:v>61103099</x:v>
      </x:c>
      <x:c r="B9" s="18" t="str">
        <x:v>Bangladesh</x:v>
      </x:c>
      <x:c r="C9" s="20" t="n">
        <x:f>'Evidence'!C170/SUMIF('Evidence'!$A$170:$A$209,A9,'Evidence'!$C$170:$C$209)</x:f>
        <x:v>0.2946644518678884</x:v>
      </x:c>
      <x:c r="D9" s="24" t="n">
        <x:f>'Evidence'!D170</x:f>
        <x:v>41106466</x:v>
      </x:c>
      <x:c r="E9" s="20" t="n">
        <x:f>'Evidence'!D170/'Evidence'!F170</x:f>
        <x:v>0.2158704058299242</x:v>
      </x:c>
      <x:c r="F9" s="20" t="n">
        <x:f>'Evidence'!D170/'Evidence'!G170-1</x:f>
        <x:v>-0.049166922514644384</x:v>
      </x:c>
      <x:c r="G9" s="18" t="n">
        <x:f>SUMIF('Evidence'!$A$216:$A$225,B9,'Evidence'!$B$216:$B$225)</x:f>
        <x:v>194</x:v>
      </x:c>
      <x:c r="H9" s="22" t="n">
        <x:f>'Evidence'!D170/'Evidence'!E170</x:f>
        <x:v>12.305947178369847</x:v>
      </x:c>
      <x:c r="I9" s="22" t="n">
        <x:f>'Evidence'!H170/'Evidence'!I170</x:f>
        <x:v>12.323527225925844</x:v>
      </x:c>
      <x:c r="J9" s="22" t="n">
        <x:f>H9*(1+'Evidence'!L170)</x:f>
        <x:v>12.305947178369847</x:v>
      </x:c>
      <x:c r="K9" s="18" t="n">
        <x:f>'Evidence'!K170</x:f>
        <x:v>0</x:v>
      </x:c>
      <x:c r="L9" s="18" t="n">
        <x:f>'Evidence'!J170</x:f>
        <x:v>3</x:v>
      </x:c>
      <x:c r="M9" s="18" t="str">
        <x:v>Benchmark only</x:v>
      </x:c>
      <x:c r="N9" s="18" t="str">
        <x:v>Not tested as a receiver in WP009. Retain as a comparator; no claim that it is inferior or infeasible.</x:v>
      </x:c>
    </x:row>
    <x:row r="10" ht="57" customHeight="1">
      <x:c r="A10" s="19" t="str">
        <x:v>61103099</x:v>
      </x:c>
      <x:c r="B10" s="19" t="str">
        <x:v>Cambodia</x:v>
      </x:c>
      <x:c r="C10" s="21" t="n">
        <x:f>'Evidence'!C171/SUMIF('Evidence'!$A$170:$A$209,A10,'Evidence'!$C$170:$C$209)</x:f>
        <x:v>0.13988523012089266</x:v>
      </x:c>
      <x:c r="D10" s="25" t="n">
        <x:f>'Evidence'!D171</x:f>
        <x:v>20275618</x:v>
      </x:c>
      <x:c r="E10" s="21" t="n">
        <x:f>'Evidence'!D171/'Evidence'!F171</x:f>
        <x:v>0.10647730909566676</x:v>
      </x:c>
      <x:c r="F10" s="21" t="n">
        <x:f>'Evidence'!D171/'Evidence'!G171-1</x:f>
        <x:v>-0.22458008132195606</x:v>
      </x:c>
      <x:c r="G10" s="19" t="n">
        <x:f>SUMIF('Evidence'!$A$216:$A$225,B10,'Evidence'!$B$216:$B$225)</x:f>
        <x:v>63</x:v>
      </x:c>
      <x:c r="H10" s="23" t="n">
        <x:f>'Evidence'!D171/'Evidence'!E171</x:f>
        <x:v>11.235905256636325</x:v>
      </x:c>
      <x:c r="I10" s="23" t="n">
        <x:f>'Evidence'!H171/'Evidence'!I171</x:f>
        <x:v>10.76808094185469</x:v>
      </x:c>
      <x:c r="J10" s="23" t="n">
        <x:f>H10*(1+'Evidence'!L171)</x:f>
        <x:v>11.235905256636325</x:v>
      </x:c>
      <x:c r="K10" s="19" t="n">
        <x:f>'Evidence'!K171</x:f>
        <x:v>0</x:v>
      </x:c>
      <x:c r="L10" s="19" t="n">
        <x:f>'Evidence'!J171</x:f>
        <x:v>3</x:v>
      </x:c>
      <x:c r="M10" s="19" t="str">
        <x:v>Benchmark only</x:v>
      </x:c>
      <x:c r="N10" s="19" t="str">
        <x:v>Not tested as a receiver in WP009. Retain as a comparator; no claim that it is inferior or infeasible.</x:v>
      </x:c>
    </x:row>
    <x:row r="11" ht="42" customHeight="1">
      <x:c r="A11" s="18" t="str">
        <x:v>61103099</x:v>
      </x:c>
      <x:c r="B11" s="18" t="str">
        <x:v>China</x:v>
      </x:c>
      <x:c r="C11" s="20" t="n">
        <x:f>'Evidence'!C172/SUMIF('Evidence'!$A$170:$A$209,A11,'Evidence'!$C$170:$C$209)</x:f>
        <x:v>0.3661327533481963</x:v>
      </x:c>
      <x:c r="D11" s="24" t="n">
        <x:f>'Evidence'!D172</x:f>
        <x:v>44515052</x:v>
      </x:c>
      <x:c r="E11" s="20" t="n">
        <x:f>'Evidence'!D172/'Evidence'!F172</x:f>
        <x:v>0.233770578594136</x:v>
      </x:c>
      <x:c r="F11" s="20" t="n">
        <x:f>'Evidence'!D172/'Evidence'!G172-1</x:f>
        <x:v>-0.07838909102149128</x:v>
      </x:c>
      <x:c r="G11" s="18" t="n">
        <x:f>SUMIF('Evidence'!$A$216:$A$225,B11,'Evidence'!$B$216:$B$225)</x:f>
        <x:v>656</x:v>
      </x:c>
      <x:c r="H11" s="22" t="n">
        <x:f>'Evidence'!D172/'Evidence'!E172</x:f>
        <x:v>17.063433811280138</x:v>
      </x:c>
      <x:c r="I11" s="22" t="n">
        <x:f>'Evidence'!H172/'Evidence'!I172</x:f>
        <x:v>16.549286801228156</x:v>
      </x:c>
      <x:c r="J11" s="22" t="n">
        <x:f>H11*(1+'Evidence'!L172)</x:f>
        <x:v>19.111045868633756</x:v>
      </x:c>
      <x:c r="K11" s="18" t="n">
        <x:f>'Evidence'!K172</x:f>
        <x:v>0</x:v>
      </x:c>
      <x:c r="L11" s="18" t="n">
        <x:f>'Evidence'!J172</x:f>
        <x:v>3</x:v>
      </x:c>
      <x:c r="M11" s="18" t="str">
        <x:v>Donor benchmark</x:v>
      </x:c>
      <x:c r="N11" s="18" t="str">
        <x:v>Incumbent price and trade benchmark; no wholesale exit recommendation.</x:v>
      </x:c>
    </x:row>
    <x:row r="12" ht="42" customHeight="1">
      <x:c r="A12" s="19" t="str">
        <x:v>61103099</x:v>
      </x:c>
      <x:c r="B12" s="19" t="str">
        <x:v>India</x:v>
      </x:c>
      <x:c r="C12" s="21" t="n">
        <x:f>'Evidence'!C173/SUMIF('Evidence'!$A$170:$A$209,A12,'Evidence'!$C$170:$C$209)</x:f>
        <x:v>0.0035383245644133297</x:v>
      </x:c>
      <x:c r="D12" s="25" t="n">
        <x:f>'Evidence'!D173</x:f>
        <x:v>709744</x:v>
      </x:c>
      <x:c r="E12" s="21" t="n">
        <x:f>'Evidence'!D173/'Evidence'!F173</x:f>
        <x:v>0.003727217156428717</x:v>
      </x:c>
      <x:c r="F12" s="21" t="n">
        <x:f>'Evidence'!D173/'Evidence'!G173-1</x:f>
        <x:v>-0.2391260300964514</x:v>
      </x:c>
      <x:c r="G12" s="19" t="n">
        <x:f>SUMIF('Evidence'!$A$216:$A$225,B12,'Evidence'!$B$216:$B$225)</x:f>
        <x:v>234</x:v>
      </x:c>
      <x:c r="H12" s="23" t="n">
        <x:f>'Evidence'!D173/'Evidence'!E173</x:f>
        <x:v>15.133457003347619</x:v>
      </x:c>
      <x:c r="I12" s="23" t="n">
        <x:f>'Evidence'!H173/'Evidence'!I173</x:f>
        <x:v>14.649842499728448</x:v>
      </x:c>
      <x:c r="J12" s="23" t="n">
        <x:f>H12*(1+'Evidence'!L173)</x:f>
        <x:v>15.133457003347619</x:v>
      </x:c>
      <x:c r="K12" s="19" t="n">
        <x:f>'Evidence'!K173</x:f>
        <x:v>0</x:v>
      </x:c>
      <x:c r="L12" s="19" t="n">
        <x:f>'Evidence'!J173</x:f>
        <x:v>3</x:v>
      </x:c>
      <x:c r="M12" s="19" t="str">
        <x:v>Tested receiver</x:v>
      </x:c>
      <x:c r="N12" s="19" t="str">
        <x:v>Included in WP009 receiver mixes. Read category decisions before considering an allocation.</x:v>
      </x:c>
    </x:row>
    <x:row r="13" ht="57" customHeight="1">
      <x:c r="A13" s="18" t="str">
        <x:v>61103099</x:v>
      </x:c>
      <x:c r="B13" s="18" t="str">
        <x:v>Morocco</x:v>
      </x:c>
      <x:c r="C13" s="20" t="n">
        <x:f>'Evidence'!C174/SUMIF('Evidence'!$A$170:$A$209,A13,'Evidence'!$C$170:$C$209)</x:f>
        <x:v>0.0004383032654193872</x:v>
      </x:c>
      <x:c r="D13" s="24" t="n">
        <x:f>'Evidence'!D174</x:f>
        <x:v>94543</x:v>
      </x:c>
      <x:c r="E13" s="20" t="n">
        <x:f>'Evidence'!D174/'Evidence'!F174</x:f>
        <x:v>0.0004964921036602496</x:v>
      </x:c>
      <x:c r="F13" s="20" t="n">
        <x:f>'Evidence'!D174/'Evidence'!G174-1</x:f>
        <x:v>-0.46632007360868855</x:v>
      </x:c>
      <x:c r="G13" s="18" t="n">
        <x:f>SUMIF('Evidence'!$A$216:$A$225,B13,'Evidence'!$B$216:$B$225)</x:f>
        <x:v>17</x:v>
      </x:c>
      <x:c r="H13" s="22" t="n">
        <x:f>'Evidence'!D174/'Evidence'!E174</x:f>
        <x:v>27.48343023255814</x:v>
      </x:c>
      <x:c r="I13" s="22" t="n">
        <x:f>'Evidence'!H174/'Evidence'!I174</x:f>
        <x:v>27.477888730385164</x:v>
      </x:c>
      <x:c r="J13" s="22" t="n">
        <x:f>H13*(1+'Evidence'!L174)</x:f>
        <x:v>27.48343023255814</x:v>
      </x:c>
      <x:c r="K13" s="18" t="n">
        <x:f>'Evidence'!K174</x:f>
        <x:v>0</x:v>
      </x:c>
      <x:c r="L13" s="18" t="n">
        <x:f>'Evidence'!J174</x:f>
        <x:v>3</x:v>
      </x:c>
      <x:c r="M13" s="18" t="str">
        <x:v>Benchmark only</x:v>
      </x:c>
      <x:c r="N13" s="18" t="str">
        <x:v>Not tested as a receiver in WP009. Retain as a comparator; no claim that it is inferior or infeasible.</x:v>
      </x:c>
    </x:row>
    <x:row r="14" ht="42" customHeight="1">
      <x:c r="A14" s="19" t="str">
        <x:v>61103099</x:v>
      </x:c>
      <x:c r="B14" s="19" t="str">
        <x:v>Myanmar</x:v>
      </x:c>
      <x:c r="C14" s="21" t="n">
        <x:f>'Evidence'!C175/SUMIF('Evidence'!$A$170:$A$209,A14,'Evidence'!$C$170:$C$209)</x:f>
        <x:v>0.011316917351561862</x:v>
      </x:c>
      <x:c r="D14" s="25" t="n">
        <x:f>'Evidence'!D175</x:f>
        <x:v>1019595</x:v>
      </x:c>
      <x:c r="E14" s="21" t="n">
        <x:f>'Evidence'!D175/'Evidence'!F175</x:f>
        <x:v>0.005354398172593129</x:v>
      </x:c>
      <x:c r="F14" s="21" t="n">
        <x:f>'Evidence'!D175/'Evidence'!G175-1</x:f>
        <x:v>-0.20217922885815454</x:v>
      </x:c>
      <x:c r="G14" s="19" t="n">
        <x:f>SUMIF('Evidence'!$A$216:$A$225,B14,'Evidence'!$B$216:$B$225)</x:f>
        <x:v>13</x:v>
      </x:c>
      <x:c r="H14" s="23" t="n">
        <x:f>'Evidence'!D175/'Evidence'!E175</x:f>
        <x:v>14.161041666666666</x:v>
      </x:c>
      <x:c r="I14" s="23" t="n">
        <x:f>'Evidence'!H175/'Evidence'!I175</x:f>
        <x:v>14.938766089176125</x:v>
      </x:c>
      <x:c r="J14" s="23" t="n">
        <x:f>H14*(1+'Evidence'!L175)</x:f>
        <x:v>14.161041666666666</x:v>
      </x:c>
      <x:c r="K14" s="19" t="n">
        <x:f>'Evidence'!K175</x:f>
        <x:v>0</x:v>
      </x:c>
      <x:c r="L14" s="19" t="n">
        <x:f>'Evidence'!J175</x:f>
        <x:v>3</x:v>
      </x:c>
      <x:c r="M14" s="19" t="str">
        <x:v>Excluded</x:v>
      </x:c>
      <x:c r="N14" s="19" t="str">
        <x:v>D008/D020: no actionable new share; no country-wide failure inference.</x:v>
      </x:c>
    </x:row>
    <x:row r="15" ht="57" customHeight="1">
      <x:c r="A15" s="18" t="str">
        <x:v>61103099</x:v>
      </x:c>
      <x:c r="B15" s="18" t="str">
        <x:v>Pakistan</x:v>
      </x:c>
      <x:c r="C15" s="20" t="n">
        <x:f>'Evidence'!C176/SUMIF('Evidence'!$A$170:$A$209,A15,'Evidence'!$C$170:$C$209)</x:f>
        <x:v>0.009503577730483754</x:v>
      </x:c>
      <x:c r="D15" s="24" t="n">
        <x:f>'Evidence'!D176</x:f>
        <x:v>2797761</x:v>
      </x:c>
      <x:c r="E15" s="20" t="n">
        <x:f>'Evidence'!D176/'Evidence'!F176</x:f>
        <x:v>0.01469242825411298</x:v>
      </x:c>
      <x:c r="F15" s="20" t="n">
        <x:f>'Evidence'!D176/'Evidence'!G176-1</x:f>
        <x:v>-0.02300260648016228</x:v>
      </x:c>
      <x:c r="G15" s="18" t="n">
        <x:f>SUMIF('Evidence'!$A$216:$A$225,B15,'Evidence'!$B$216:$B$225)</x:f>
        <x:v>45</x:v>
      </x:c>
      <x:c r="H15" s="22" t="n">
        <x:f>'Evidence'!D176/'Evidence'!E176</x:f>
        <x:v>14.79474894899659</x:v>
      </x:c>
      <x:c r="I15" s="22" t="n">
        <x:f>'Evidence'!H176/'Evidence'!I176</x:f>
        <x:v>14.077328678376043</x:v>
      </x:c>
      <x:c r="J15" s="22" t="n">
        <x:f>H15*(1+'Evidence'!L176)</x:f>
        <x:v>14.79474894899659</x:v>
      </x:c>
      <x:c r="K15" s="18" t="n">
        <x:f>'Evidence'!K176</x:f>
        <x:v>0</x:v>
      </x:c>
      <x:c r="L15" s="18" t="n">
        <x:f>'Evidence'!J176</x:f>
        <x:v>3</x:v>
      </x:c>
      <x:c r="M15" s="18" t="str">
        <x:v>Benchmark only</x:v>
      </x:c>
      <x:c r="N15" s="18" t="str">
        <x:v>Not tested as a receiver in WP009. Retain as a comparator; no claim that it is inferior or infeasible.</x:v>
      </x:c>
    </x:row>
    <x:row r="16" ht="57" customHeight="1">
      <x:c r="A16" s="19" t="str">
        <x:v>61103099</x:v>
      </x:c>
      <x:c r="B16" s="19" t="str">
        <x:v>Sri Lanka</x:v>
      </x:c>
      <x:c r="C16" s="21" t="n">
        <x:f>'Evidence'!C177/SUMIF('Evidence'!$A$170:$A$209,A16,'Evidence'!$C$170:$C$209)</x:f>
        <x:v>0.0022445691736268404</x:v>
      </x:c>
      <x:c r="D16" s="25" t="n">
        <x:f>'Evidence'!D177</x:f>
        <x:v>732589</x:v>
      </x:c>
      <x:c r="E16" s="21" t="n">
        <x:f>'Evidence'!D177/'Evidence'!F177</x:f>
        <x:v>0.0038471875625732056</x:v>
      </x:c>
      <x:c r="F16" s="21" t="n">
        <x:f>'Evidence'!D177/'Evidence'!G177-1</x:f>
        <x:v>0.03591098893795608</x:v>
      </x:c>
      <x:c r="G16" s="19" t="n">
        <x:f>SUMIF('Evidence'!$A$216:$A$225,B16,'Evidence'!$B$216:$B$225)</x:f>
        <x:v>66</x:v>
      </x:c>
      <x:c r="H16" s="23" t="n">
        <x:f>'Evidence'!D177/'Evidence'!E177</x:f>
        <x:v>21.077452024052707</x:v>
      </x:c>
      <x:c r="I16" s="23" t="n">
        <x:f>'Evidence'!H177/'Evidence'!I177</x:f>
        <x:v>23.212144886363635</x:v>
      </x:c>
      <x:c r="J16" s="23" t="n">
        <x:f>H16*(1+'Evidence'!L177)</x:f>
        <x:v>21.077452024052707</x:v>
      </x:c>
      <x:c r="K16" s="19" t="n">
        <x:f>'Evidence'!K177</x:f>
        <x:v>0</x:v>
      </x:c>
      <x:c r="L16" s="19" t="n">
        <x:f>'Evidence'!J177</x:f>
        <x:v>3</x:v>
      </x:c>
      <x:c r="M16" s="19" t="str">
        <x:v>Benchmark only</x:v>
      </x:c>
      <x:c r="N16" s="19" t="str">
        <x:v>Not tested as a receiver in WP009. Retain as a comparator; no claim that it is inferior or infeasible.</x:v>
      </x:c>
    </x:row>
    <x:row r="17" ht="42" customHeight="1">
      <x:c r="A17" s="18" t="str">
        <x:v>61103099</x:v>
      </x:c>
      <x:c r="B17" s="18" t="str">
        <x:v>Turkey</x:v>
      </x:c>
      <x:c r="C17" s="20" t="n">
        <x:f>'Evidence'!C178/SUMIF('Evidence'!$A$170:$A$209,A17,'Evidence'!$C$170:$C$209)</x:f>
        <x:v>0.1634527059454223</x:v>
      </x:c>
      <x:c r="D17" s="24" t="n">
        <x:f>'Evidence'!D178</x:f>
        <x:v>15949155</x:v>
      </x:c>
      <x:c r="E17" s="20" t="n">
        <x:f>'Evidence'!D178/'Evidence'!F178</x:f>
        <x:v>0.08375690974004832</x:v>
      </x:c>
      <x:c r="F17" s="20" t="n">
        <x:f>'Evidence'!D178/'Evidence'!G178-1</x:f>
        <x:v>-0.19778854547333868</x:v>
      </x:c>
      <x:c r="G17" s="18" t="n">
        <x:f>SUMIF('Evidence'!$A$216:$A$225,B17,'Evidence'!$B$216:$B$225)</x:f>
        <x:v>76</x:v>
      </x:c>
      <x:c r="H17" s="22" t="n">
        <x:f>'Evidence'!D178/'Evidence'!E178</x:f>
        <x:v>6.607753729435643</x:v>
      </x:c>
      <x:c r="I17" s="22" t="n">
        <x:f>'Evidence'!H178/'Evidence'!I178</x:f>
        <x:v>10.769304252058992</x:v>
      </x:c>
      <x:c r="J17" s="22" t="n">
        <x:f>H17*(1+'Evidence'!L178)</x:f>
        <x:v>6.607753729435643</x:v>
      </x:c>
      <x:c r="K17" s="18" t="n">
        <x:f>'Evidence'!K178</x:f>
        <x:v>3</x:v>
      </x:c>
      <x:c r="L17" s="18" t="n">
        <x:f>'Evidence'!J178</x:f>
        <x:v>3</x:v>
      </x:c>
      <x:c r="M17" s="18" t="str">
        <x:v>Tested receiver</x:v>
      </x:c>
      <x:c r="N17" s="18" t="str">
        <x:v>Included in WP009 receiver mixes. Read category decisions before considering an allocation.</x:v>
      </x:c>
    </x:row>
    <x:row r="18" ht="42" customHeight="1">
      <x:c r="A18" s="19" t="str">
        <x:v>61103099</x:v>
      </x:c>
      <x:c r="B18" s="19" t="str">
        <x:v>Vietnam</x:v>
      </x:c>
      <x:c r="C18" s="21" t="n">
        <x:f>'Evidence'!C179/SUMIF('Evidence'!$A$170:$A$209,A18,'Evidence'!$C$170:$C$209)</x:f>
        <x:v>0.008823166632095193</x:v>
      </x:c>
      <x:c r="D18" s="25" t="n">
        <x:f>'Evidence'!D179</x:f>
        <x:v>6261277</x:v>
      </x:c>
      <x:c r="E18" s="21" t="n">
        <x:f>'Evidence'!D179/'Evidence'!F179</x:f>
        <x:v>0.03288106564557436</x:v>
      </x:c>
      <x:c r="F18" s="21" t="n">
        <x:f>'Evidence'!D179/'Evidence'!G179-1</x:f>
        <x:v>0.4662392334772032</x:v>
      </x:c>
      <x:c r="G18" s="19" t="n">
        <x:f>SUMIF('Evidence'!$A$216:$A$225,B18,'Evidence'!$B$216:$B$225)</x:f>
        <x:v>39</x:v>
      </x:c>
      <x:c r="H18" s="23" t="n">
        <x:f>'Evidence'!D179/'Evidence'!E179</x:f>
        <x:v>21.421674586964183</x:v>
      </x:c>
      <x:c r="I18" s="23" t="n">
        <x:f>'Evidence'!H179/'Evidence'!I179</x:f>
        <x:v>35.069303254423026</x:v>
      </x:c>
      <x:c r="J18" s="23" t="n">
        <x:f>H18*(1+'Evidence'!L179)</x:f>
        <x:v>21.421674586964183</x:v>
      </x:c>
      <x:c r="K18" s="19" t="n">
        <x:f>'Evidence'!K179</x:f>
        <x:v>1</x:v>
      </x:c>
      <x:c r="L18" s="19" t="n">
        <x:f>'Evidence'!J179</x:f>
        <x:v>3</x:v>
      </x:c>
      <x:c r="M18" s="19" t="str">
        <x:v>Tested receiver</x:v>
      </x:c>
      <x:c r="N18" s="19" t="str">
        <x:v>Included in WP009 receiver mixes. Read category decisions before considering an allocation.</x:v>
      </x:c>
    </x:row>
    <x:row r="19" ht="57" customHeight="1">
      <x:c r="A19" s="18" t="str">
        <x:v>62044300</x:v>
      </x:c>
      <x:c r="B19" s="18" t="str">
        <x:v>Bangladesh</x:v>
      </x:c>
      <x:c r="C19" s="20" t="n">
        <x:f>'Evidence'!C180/SUMIF('Evidence'!$A$170:$A$209,A19,'Evidence'!$C$170:$C$209)</x:f>
        <x:v>0.10006297220426452</x:v>
      </x:c>
      <x:c r="D19" s="24" t="n">
        <x:f>'Evidence'!D180</x:f>
        <x:v>6924029</x:v>
      </x:c>
      <x:c r="E19" s="20" t="n">
        <x:f>'Evidence'!D180/'Evidence'!F180</x:f>
        <x:v>0.03838933251188046</x:v>
      </x:c>
      <x:c r="F19" s="20" t="n">
        <x:f>'Evidence'!D180/'Evidence'!G180-1</x:f>
        <x:v>0.04302144150261955</x:v>
      </x:c>
      <x:c r="G19" s="18" t="n">
        <x:f>SUMIF('Evidence'!$A$216:$A$225,B19,'Evidence'!$B$216:$B$225)</x:f>
        <x:v>194</x:v>
      </x:c>
      <x:c r="H19" s="22" t="n">
        <x:f>'Evidence'!D180/'Evidence'!E180</x:f>
        <x:v>15.378665855240364</x:v>
      </x:c>
      <x:c r="I19" s="22" t="n">
        <x:f>'Evidence'!H180/'Evidence'!I180</x:f>
        <x:v>15.378665855240364</x:v>
      </x:c>
      <x:c r="J19" s="22" t="n">
        <x:f>H19*(1+'Evidence'!L180)</x:f>
        <x:v>15.378665855240364</x:v>
      </x:c>
      <x:c r="K19" s="18" t="n">
        <x:f>'Evidence'!K180</x:f>
        <x:v>0</x:v>
      </x:c>
      <x:c r="L19" s="18" t="n">
        <x:f>'Evidence'!J180</x:f>
        <x:v>6</x:v>
      </x:c>
      <x:c r="M19" s="18" t="str">
        <x:v>Benchmark only</x:v>
      </x:c>
      <x:c r="N19" s="18" t="str">
        <x:v>Not tested as a receiver in WP009. Retain as a comparator; no claim that it is inferior or infeasible.</x:v>
      </x:c>
    </x:row>
    <x:row r="20" ht="57" customHeight="1">
      <x:c r="A20" s="19" t="str">
        <x:v>62044300</x:v>
      </x:c>
      <x:c r="B20" s="19" t="str">
        <x:v>Cambodia</x:v>
      </x:c>
      <x:c r="C20" s="21" t="n">
        <x:f>'Evidence'!C181/SUMIF('Evidence'!$A$170:$A$209,A20,'Evidence'!$C$170:$C$209)</x:f>
        <x:v>0.024602571261344294</x:v>
      </x:c>
      <x:c r="D20" s="25" t="n">
        <x:f>'Evidence'!D181</x:f>
        <x:v>2808404</x:v>
      </x:c>
      <x:c r="E20" s="21" t="n">
        <x:f>'Evidence'!D181/'Evidence'!F181</x:f>
        <x:v>0.015570812164954123</x:v>
      </x:c>
      <x:c r="F20" s="21" t="n">
        <x:f>'Evidence'!D181/'Evidence'!G181-1</x:f>
        <x:v>0.42740300850016166</x:v>
      </x:c>
      <x:c r="G20" s="19" t="n">
        <x:f>SUMIF('Evidence'!$A$216:$A$225,B20,'Evidence'!$B$216:$B$225)</x:f>
        <x:v>63</x:v>
      </x:c>
      <x:c r="H20" s="23" t="n">
        <x:f>'Evidence'!D181/'Evidence'!E181</x:f>
        <x:v>18.61472791144694</x:v>
      </x:c>
      <x:c r="I20" s="23" t="n">
        <x:f>'Evidence'!H181/'Evidence'!I181</x:f>
        <x:v>18.61472791144694</x:v>
      </x:c>
      <x:c r="J20" s="23" t="n">
        <x:f>H20*(1+'Evidence'!L181)</x:f>
        <x:v>18.61472791144694</x:v>
      </x:c>
      <x:c r="K20" s="19" t="n">
        <x:f>'Evidence'!K181</x:f>
        <x:v>0</x:v>
      </x:c>
      <x:c r="L20" s="19" t="n">
        <x:f>'Evidence'!J181</x:f>
        <x:v>6</x:v>
      </x:c>
      <x:c r="M20" s="19" t="str">
        <x:v>Benchmark only</x:v>
      </x:c>
      <x:c r="N20" s="19" t="str">
        <x:v>Not tested as a receiver in WP009. Retain as a comparator; no claim that it is inferior or infeasible.</x:v>
      </x:c>
    </x:row>
    <x:row r="21" ht="42" customHeight="1">
      <x:c r="A21" s="18" t="str">
        <x:v>62044300</x:v>
      </x:c>
      <x:c r="B21" s="18" t="str">
        <x:v>China</x:v>
      </x:c>
      <x:c r="C21" s="20" t="n">
        <x:f>'Evidence'!C182/SUMIF('Evidence'!$A$170:$A$209,A21,'Evidence'!$C$170:$C$209)</x:f>
        <x:v>0.47952184790226143</x:v>
      </x:c>
      <x:c r="D21" s="24" t="n">
        <x:f>'Evidence'!D182</x:f>
        <x:v>52333750</x:v>
      </x:c>
      <x:c r="E21" s="20" t="n">
        <x:f>'Evidence'!D182/'Evidence'!F182</x:f>
        <x:v>0.29015732463622324</x:v>
      </x:c>
      <x:c r="F21" s="20" t="n">
        <x:f>'Evidence'!D182/'Evidence'!G182-1</x:f>
        <x:v>0.056737337466341575</x:v>
      </x:c>
      <x:c r="G21" s="18" t="n">
        <x:f>SUMIF('Evidence'!$A$216:$A$225,B21,'Evidence'!$B$216:$B$225)</x:f>
        <x:v>656</x:v>
      </x:c>
      <x:c r="H21" s="22" t="n">
        <x:f>'Evidence'!D182/'Evidence'!E182</x:f>
        <x:v>27.647349071769657</x:v>
      </x:c>
      <x:c r="I21" s="22" t="n">
        <x:f>'Evidence'!H182/'Evidence'!I182</x:f>
        <x:v>27.647349071769657</x:v>
      </x:c>
      <x:c r="J21" s="22" t="n">
        <x:f>H21*(1+'Evidence'!L182)</x:f>
        <x:v>30.96503096038202</x:v>
      </x:c>
      <x:c r="K21" s="18" t="n">
        <x:f>'Evidence'!K182</x:f>
        <x:v>0</x:v>
      </x:c>
      <x:c r="L21" s="18" t="n">
        <x:f>'Evidence'!J182</x:f>
        <x:v>6</x:v>
      </x:c>
      <x:c r="M21" s="18" t="str">
        <x:v>Donor benchmark</x:v>
      </x:c>
      <x:c r="N21" s="18" t="str">
        <x:v>Incumbent price and trade benchmark; no wholesale exit recommendation.</x:v>
      </x:c>
    </x:row>
    <x:row r="22" ht="42" customHeight="1">
      <x:c r="A22" s="19" t="str">
        <x:v>62044300</x:v>
      </x:c>
      <x:c r="B22" s="19" t="str">
        <x:v>India</x:v>
      </x:c>
      <x:c r="C22" s="21" t="n">
        <x:f>'Evidence'!C183/SUMIF('Evidence'!$A$170:$A$209,A22,'Evidence'!$C$170:$C$209)</x:f>
        <x:v>0.15126885627828815</x:v>
      </x:c>
      <x:c r="D22" s="25" t="n">
        <x:f>'Evidence'!D183</x:f>
        <x:v>20258876</x:v>
      </x:c>
      <x:c r="E22" s="21" t="n">
        <x:f>'Evidence'!D183/'Evidence'!F183</x:f>
        <x:v>0.11232256928458197</x:v>
      </x:c>
      <x:c r="F22" s="21" t="n">
        <x:f>'Evidence'!D183/'Evidence'!G183-1</x:f>
        <x:v>-0.030426019793807213</x:v>
      </x:c>
      <x:c r="G22" s="19" t="n">
        <x:f>SUMIF('Evidence'!$A$216:$A$225,B22,'Evidence'!$B$216:$B$225)</x:f>
        <x:v>234</x:v>
      </x:c>
      <x:c r="H22" s="23" t="n">
        <x:f>'Evidence'!D183/'Evidence'!E183</x:f>
        <x:v>28.091678799728218</x:v>
      </x:c>
      <x:c r="I22" s="23" t="n">
        <x:f>'Evidence'!H183/'Evidence'!I183</x:f>
        <x:v>28.091678799728218</x:v>
      </x:c>
      <x:c r="J22" s="23" t="n">
        <x:f>H22*(1+'Evidence'!L183)</x:f>
        <x:v>28.091678799728218</x:v>
      </x:c>
      <x:c r="K22" s="19" t="n">
        <x:f>'Evidence'!K183</x:f>
        <x:v>0</x:v>
      </x:c>
      <x:c r="L22" s="19" t="n">
        <x:f>'Evidence'!J183</x:f>
        <x:v>6</x:v>
      </x:c>
      <x:c r="M22" s="19" t="str">
        <x:v>Tested receiver</x:v>
      </x:c>
      <x:c r="N22" s="19" t="str">
        <x:v>Included in WP009 receiver mixes. Read category decisions before considering an allocation.</x:v>
      </x:c>
    </x:row>
    <x:row r="23" ht="57" customHeight="1">
      <x:c r="A23" s="18" t="str">
        <x:v>62044300</x:v>
      </x:c>
      <x:c r="B23" s="18" t="str">
        <x:v>Morocco</x:v>
      </x:c>
      <x:c r="C23" s="20" t="n">
        <x:f>'Evidence'!C184/SUMIF('Evidence'!$A$170:$A$209,A23,'Evidence'!$C$170:$C$209)</x:f>
        <x:v>0.06134223838070169</x:v>
      </x:c>
      <x:c r="D23" s="24" t="n">
        <x:f>'Evidence'!D184</x:f>
        <x:v>5511176</x:v>
      </x:c>
      <x:c r="E23" s="20" t="n">
        <x:f>'Evidence'!D184/'Evidence'!F184</x:f>
        <x:v>0.030555962142200056</x:v>
      </x:c>
      <x:c r="F23" s="20" t="n">
        <x:f>'Evidence'!D184/'Evidence'!G184-1</x:f>
        <x:v>-0.16454902550507466</x:v>
      </x:c>
      <x:c r="G23" s="18" t="n">
        <x:f>SUMIF('Evidence'!$A$216:$A$225,B23,'Evidence'!$B$216:$B$225)</x:f>
        <x:v>17</x:v>
      </x:c>
      <x:c r="H23" s="22" t="n">
        <x:f>'Evidence'!D184/'Evidence'!E184</x:f>
        <x:v>25.21850304525092</x:v>
      </x:c>
      <x:c r="I23" s="22" t="n">
        <x:f>'Evidence'!H184/'Evidence'!I184</x:f>
        <x:v>25.21850304525092</x:v>
      </x:c>
      <x:c r="J23" s="22" t="n">
        <x:f>H23*(1+'Evidence'!L184)</x:f>
        <x:v>25.21850304525092</x:v>
      </x:c>
      <x:c r="K23" s="18" t="n">
        <x:f>'Evidence'!K184</x:f>
        <x:v>0</x:v>
      </x:c>
      <x:c r="L23" s="18" t="n">
        <x:f>'Evidence'!J184</x:f>
        <x:v>6</x:v>
      </x:c>
      <x:c r="M23" s="18" t="str">
        <x:v>Benchmark only</x:v>
      </x:c>
      <x:c r="N23" s="18" t="str">
        <x:v>Not tested as a receiver in WP009. Retain as a comparator; no claim that it is inferior or infeasible.</x:v>
      </x:c>
    </x:row>
    <x:row r="24" ht="42" customHeight="1">
      <x:c r="A24" s="19" t="str">
        <x:v>62044300</x:v>
      </x:c>
      <x:c r="B24" s="19" t="str">
        <x:v>Myanmar</x:v>
      </x:c>
      <x:c r="C24" s="21" t="n">
        <x:f>'Evidence'!C185/SUMIF('Evidence'!$A$170:$A$209,A24,'Evidence'!$C$170:$C$209)</x:f>
        <x:v>0.01755301006755581</x:v>
      </x:c>
      <x:c r="D24" s="25" t="n">
        <x:f>'Evidence'!D185</x:f>
        <x:v>2412796</x:v>
      </x:c>
      <x:c r="E24" s="21" t="n">
        <x:f>'Evidence'!D185/'Evidence'!F185</x:f>
        <x:v>0.01337741767507547</x:v>
      </x:c>
      <x:c r="F24" s="21" t="n">
        <x:f>'Evidence'!D185/'Evidence'!G185-1</x:f>
        <x:v>0.11785960664508588</x:v>
      </x:c>
      <x:c r="G24" s="19" t="n">
        <x:f>SUMIF('Evidence'!$A$216:$A$225,B24,'Evidence'!$B$216:$B$225)</x:f>
        <x:v>13</x:v>
      </x:c>
      <x:c r="H24" s="23" t="n">
        <x:f>'Evidence'!D185/'Evidence'!E185</x:f>
        <x:v>63.5180329595114</x:v>
      </x:c>
      <x:c r="I24" s="23" t="n">
        <x:f>'Evidence'!H185/'Evidence'!I185</x:f>
        <x:v>63.5180329595114</x:v>
      </x:c>
      <x:c r="J24" s="23" t="n">
        <x:f>H24*(1+'Evidence'!L185)</x:f>
        <x:v>63.5180329595114</x:v>
      </x:c>
      <x:c r="K24" s="19" t="n">
        <x:f>'Evidence'!K185</x:f>
        <x:v>0</x:v>
      </x:c>
      <x:c r="L24" s="19" t="n">
        <x:f>'Evidence'!J185</x:f>
        <x:v>6</x:v>
      </x:c>
      <x:c r="M24" s="19" t="str">
        <x:v>Excluded</x:v>
      </x:c>
      <x:c r="N24" s="19" t="str">
        <x:v>D008/D020: no actionable new share; no country-wide failure inference.</x:v>
      </x:c>
    </x:row>
    <x:row r="25" ht="57" customHeight="1">
      <x:c r="A25" s="18" t="str">
        <x:v>62044300</x:v>
      </x:c>
      <x:c r="B25" s="18" t="str">
        <x:v>Pakistan</x:v>
      </x:c>
      <x:c r="C25" s="20" t="n">
        <x:f>'Evidence'!C186/SUMIF('Evidence'!$A$170:$A$209,A25,'Evidence'!$C$170:$C$209)</x:f>
        <x:v>0.00993960583538195</x:v>
      </x:c>
      <x:c r="D25" s="24" t="n">
        <x:f>'Evidence'!D186</x:f>
        <x:v>496523</x:v>
      </x:c>
      <x:c r="E25" s="20" t="n">
        <x:f>'Evidence'!D186/'Evidence'!F186</x:f>
        <x:v>0.0027529039157398708</x:v>
      </x:c>
      <x:c r="F25" s="20" t="n">
        <x:f>'Evidence'!D186/'Evidence'!G186-1</x:f>
        <x:v>-0.5000850772491354</x:v>
      </x:c>
      <x:c r="G25" s="18" t="n">
        <x:f>SUMIF('Evidence'!$A$216:$A$225,B25,'Evidence'!$B$216:$B$225)</x:f>
        <x:v>45</x:v>
      </x:c>
      <x:c r="H25" s="22" t="n">
        <x:f>'Evidence'!D186/'Evidence'!E186</x:f>
        <x:v>18.40678405931418</x:v>
      </x:c>
      <x:c r="I25" s="22" t="n">
        <x:f>'Evidence'!H186/'Evidence'!I186</x:f>
        <x:v>18.40678405931418</x:v>
      </x:c>
      <x:c r="J25" s="22" t="n">
        <x:f>H25*(1+'Evidence'!L186)</x:f>
        <x:v>18.40678405931418</x:v>
      </x:c>
      <x:c r="K25" s="18" t="n">
        <x:f>'Evidence'!K186</x:f>
        <x:v>0</x:v>
      </x:c>
      <x:c r="L25" s="18" t="n">
        <x:f>'Evidence'!J186</x:f>
        <x:v>6</x:v>
      </x:c>
      <x:c r="M25" s="18" t="str">
        <x:v>Benchmark only</x:v>
      </x:c>
      <x:c r="N25" s="18" t="str">
        <x:v>Not tested as a receiver in WP009. Retain as a comparator; no claim that it is inferior or infeasible.</x:v>
      </x:c>
    </x:row>
    <x:row r="26" ht="57" customHeight="1">
      <x:c r="A26" s="19" t="str">
        <x:v>62044300</x:v>
      </x:c>
      <x:c r="B26" s="19" t="str">
        <x:v>Sri Lanka</x:v>
      </x:c>
      <x:c r="C26" s="21" t="n">
        <x:f>'Evidence'!C187/SUMIF('Evidence'!$A$170:$A$209,A26,'Evidence'!$C$170:$C$209)</x:f>
        <x:v>0.08676252167565215</x:v>
      </x:c>
      <x:c r="D26" s="25" t="n">
        <x:f>'Evidence'!D187</x:f>
        <x:v>7697741</x:v>
      </x:c>
      <x:c r="E26" s="21" t="n">
        <x:f>'Evidence'!D187/'Evidence'!F187</x:f>
        <x:v>0.042679072955837595</x:v>
      </x:c>
      <x:c r="F26" s="21" t="n">
        <x:f>'Evidence'!D187/'Evidence'!G187-1</x:f>
        <x:v>0.059427223929272355</x:v>
      </x:c>
      <x:c r="G26" s="19" t="n">
        <x:f>SUMIF('Evidence'!$A$216:$A$225,B26,'Evidence'!$B$216:$B$225)</x:f>
        <x:v>66</x:v>
      </x:c>
      <x:c r="H26" s="23" t="n">
        <x:f>'Evidence'!D187/'Evidence'!E187</x:f>
        <x:v>16.63121449976126</x:v>
      </x:c>
      <x:c r="I26" s="23" t="n">
        <x:f>'Evidence'!H187/'Evidence'!I187</x:f>
        <x:v>16.63121449976126</x:v>
      </x:c>
      <x:c r="J26" s="23" t="n">
        <x:f>H26*(1+'Evidence'!L187)</x:f>
        <x:v>16.63121449976126</x:v>
      </x:c>
      <x:c r="K26" s="19" t="n">
        <x:f>'Evidence'!K187</x:f>
        <x:v>0</x:v>
      </x:c>
      <x:c r="L26" s="19" t="n">
        <x:f>'Evidence'!J187</x:f>
        <x:v>6</x:v>
      </x:c>
      <x:c r="M26" s="19" t="str">
        <x:v>Benchmark only</x:v>
      </x:c>
      <x:c r="N26" s="19" t="str">
        <x:v>Not tested as a receiver in WP009. Retain as a comparator; no claim that it is inferior or infeasible.</x:v>
      </x:c>
    </x:row>
    <x:row r="27" ht="42" customHeight="1">
      <x:c r="A27" s="18" t="str">
        <x:v>62044300</x:v>
      </x:c>
      <x:c r="B27" s="18" t="str">
        <x:v>Turkey</x:v>
      </x:c>
      <x:c r="C27" s="20" t="n">
        <x:f>'Evidence'!C188/SUMIF('Evidence'!$A$170:$A$209,A27,'Evidence'!$C$170:$C$209)</x:f>
        <x:v>0.03402898092288742</x:v>
      </x:c>
      <x:c r="D27" s="24" t="n">
        <x:f>'Evidence'!D188</x:f>
        <x:v>2652697</x:v>
      </x:c>
      <x:c r="E27" s="20" t="n">
        <x:f>'Evidence'!D188/'Evidence'!F188</x:f>
        <x:v>0.01470751598329062</x:v>
      </x:c>
      <x:c r="F27" s="20" t="n">
        <x:f>'Evidence'!D188/'Evidence'!G188-1</x:f>
        <x:v>-0.5480148890985028</x:v>
      </x:c>
      <x:c r="G27" s="18" t="n">
        <x:f>SUMIF('Evidence'!$A$216:$A$225,B27,'Evidence'!$B$216:$B$225)</x:f>
        <x:v>76</x:v>
      </x:c>
      <x:c r="H27" s="22" t="n">
        <x:f>'Evidence'!D188/'Evidence'!E188</x:f>
        <x:v>38.46885740388938</x:v>
      </x:c>
      <x:c r="I27" s="22" t="n">
        <x:f>'Evidence'!H188/'Evidence'!I188</x:f>
        <x:v>38.46885740388938</x:v>
      </x:c>
      <x:c r="J27" s="22" t="n">
        <x:f>H27*(1+'Evidence'!L188)</x:f>
        <x:v>38.46885740388938</x:v>
      </x:c>
      <x:c r="K27" s="18" t="n">
        <x:f>'Evidence'!K188</x:f>
        <x:v>0</x:v>
      </x:c>
      <x:c r="L27" s="18" t="n">
        <x:f>'Evidence'!J188</x:f>
        <x:v>6</x:v>
      </x:c>
      <x:c r="M27" s="18" t="str">
        <x:v>Tested receiver</x:v>
      </x:c>
      <x:c r="N27" s="18" t="str">
        <x:v>Included in WP009 receiver mixes. Read category decisions before considering an allocation.</x:v>
      </x:c>
    </x:row>
    <x:row r="28" ht="42" customHeight="1">
      <x:c r="A28" s="19" t="str">
        <x:v>62044300</x:v>
      </x:c>
      <x:c r="B28" s="19" t="str">
        <x:v>Vietnam</x:v>
      </x:c>
      <x:c r="C28" s="21" t="n">
        <x:f>'Evidence'!C189/SUMIF('Evidence'!$A$170:$A$209,A28,'Evidence'!$C$170:$C$209)</x:f>
        <x:v>0.034917395471662574</x:v>
      </x:c>
      <x:c r="D28" s="25" t="n">
        <x:f>'Evidence'!D189</x:f>
        <x:v>4252865</x:v>
      </x:c>
      <x:c r="E28" s="21" t="n">
        <x:f>'Evidence'!D189/'Evidence'!F189</x:f>
        <x:v>0.023579428770898924</x:v>
      </x:c>
      <x:c r="F28" s="21" t="n">
        <x:f>'Evidence'!D189/'Evidence'!G189-1</x:f>
        <x:v>0.023518570484474477</x:v>
      </x:c>
      <x:c r="G28" s="19" t="n">
        <x:f>SUMIF('Evidence'!$A$216:$A$225,B28,'Evidence'!$B$216:$B$225)</x:f>
        <x:v>39</x:v>
      </x:c>
      <x:c r="H28" s="23" t="n">
        <x:f>'Evidence'!D189/'Evidence'!E189</x:f>
        <x:v>23.45204943118841</x:v>
      </x:c>
      <x:c r="I28" s="23" t="n">
        <x:f>'Evidence'!H189/'Evidence'!I189</x:f>
        <x:v>23.45204943118841</x:v>
      </x:c>
      <x:c r="J28" s="23" t="n">
        <x:f>H28*(1+'Evidence'!L189)</x:f>
        <x:v>23.803830172656234</x:v>
      </x:c>
      <x:c r="K28" s="19" t="n">
        <x:f>'Evidence'!K189</x:f>
        <x:v>0</x:v>
      </x:c>
      <x:c r="L28" s="19" t="n">
        <x:f>'Evidence'!J189</x:f>
        <x:v>6</x:v>
      </x:c>
      <x:c r="M28" s="19" t="str">
        <x:v>Tested receiver</x:v>
      </x:c>
      <x:c r="N28" s="19" t="str">
        <x:v>Included in WP009 receiver mixes. Read category decisions before considering an allocation.</x:v>
      </x:c>
    </x:row>
    <x:row r="29" ht="57" customHeight="1">
      <x:c r="A29" s="18" t="str">
        <x:v>61091000</x:v>
      </x:c>
      <x:c r="B29" s="18" t="str">
        <x:v>Bangladesh</x:v>
      </x:c>
      <x:c r="C29" s="20" t="n">
        <x:f>'Evidence'!C190/SUMIF('Evidence'!$A$170:$A$209,A29,'Evidence'!$C$170:$C$209)</x:f>
        <x:v>0.5862208686521764</x:v>
      </x:c>
      <x:c r="D29" s="24" t="n">
        <x:f>'Evidence'!D190</x:f>
        <x:v>254631302</x:v>
      </x:c>
      <x:c r="E29" s="20" t="n">
        <x:f>'Evidence'!D190/'Evidence'!F190</x:f>
        <x:v>0.3849483250296611</x:v>
      </x:c>
      <x:c r="F29" s="20" t="n">
        <x:f>'Evidence'!D190/'Evidence'!G190-1</x:f>
        <x:v>-0.01520939299562396</x:v>
      </x:c>
      <x:c r="G29" s="18" t="n">
        <x:f>SUMIF('Evidence'!$A$216:$A$225,B29,'Evidence'!$B$216:$B$225)</x:f>
        <x:v>194</x:v>
      </x:c>
      <x:c r="H29" s="22" t="n">
        <x:f>'Evidence'!D190/'Evidence'!E190</x:f>
        <x:v>10.399882356093288</x:v>
      </x:c>
      <x:c r="I29" s="22" t="n">
        <x:f>'Evidence'!H190/'Evidence'!I190</x:f>
        <x:v>10.399882356093288</x:v>
      </x:c>
      <x:c r="J29" s="22" t="n">
        <x:f>H29*(1+'Evidence'!L190)</x:f>
        <x:v>10.399882356093288</x:v>
      </x:c>
      <x:c r="K29" s="18" t="n">
        <x:f>'Evidence'!K190</x:f>
        <x:v>0</x:v>
      </x:c>
      <x:c r="L29" s="18" t="n">
        <x:f>'Evidence'!J190</x:f>
        <x:v>6</x:v>
      </x:c>
      <x:c r="M29" s="18" t="str">
        <x:v>Benchmark only</x:v>
      </x:c>
      <x:c r="N29" s="18" t="str">
        <x:v>Not tested as a receiver in WP009. Retain as a comparator; no claim that it is inferior or infeasible.</x:v>
      </x:c>
    </x:row>
    <x:row r="30" ht="57" customHeight="1">
      <x:c r="A30" s="19" t="str">
        <x:v>61091000</x:v>
      </x:c>
      <x:c r="B30" s="19" t="str">
        <x:v>Cambodia</x:v>
      </x:c>
      <x:c r="C30" s="21" t="n">
        <x:f>'Evidence'!C191/SUMIF('Evidence'!$A$170:$A$209,A30,'Evidence'!$C$170:$C$209)</x:f>
        <x:v>0.007260247098593818</x:v>
      </x:c>
      <x:c r="D30" s="25" t="n">
        <x:f>'Evidence'!D191</x:f>
        <x:v>5968533</x:v>
      </x:c>
      <x:c r="E30" s="21" t="n">
        <x:f>'Evidence'!D191/'Evidence'!F191</x:f>
        <x:v>0.009023151369010626</x:v>
      </x:c>
      <x:c r="F30" s="21" t="n">
        <x:f>'Evidence'!D191/'Evidence'!G191-1</x:f>
        <x:v>0.07368494334515097</x:v>
      </x:c>
      <x:c r="G30" s="19" t="n">
        <x:f>SUMIF('Evidence'!$A$216:$A$225,B30,'Evidence'!$B$216:$B$225)</x:f>
        <x:v>63</x:v>
      </x:c>
      <x:c r="H30" s="23" t="n">
        <x:f>'Evidence'!D191/'Evidence'!E191</x:f>
        <x:v>17.83280548799799</x:v>
      </x:c>
      <x:c r="I30" s="23" t="n">
        <x:f>'Evidence'!H191/'Evidence'!I191</x:f>
        <x:v>17.83280548799799</x:v>
      </x:c>
      <x:c r="J30" s="23" t="n">
        <x:f>H30*(1+'Evidence'!L191)</x:f>
        <x:v>17.83280548799799</x:v>
      </x:c>
      <x:c r="K30" s="19" t="n">
        <x:f>'Evidence'!K191</x:f>
        <x:v>0</x:v>
      </x:c>
      <x:c r="L30" s="19" t="n">
        <x:f>'Evidence'!J191</x:f>
        <x:v>6</x:v>
      </x:c>
      <x:c r="M30" s="19" t="str">
        <x:v>Benchmark only</x:v>
      </x:c>
      <x:c r="N30" s="19" t="str">
        <x:v>Not tested as a receiver in WP009. Retain as a comparator; no claim that it is inferior or infeasible.</x:v>
      </x:c>
    </x:row>
    <x:row r="31" ht="42" customHeight="1">
      <x:c r="A31" s="18" t="str">
        <x:v>61091000</x:v>
      </x:c>
      <x:c r="B31" s="18" t="str">
        <x:v>China</x:v>
      </x:c>
      <x:c r="C31" s="20" t="n">
        <x:f>'Evidence'!C192/SUMIF('Evidence'!$A$170:$A$209,A31,'Evidence'!$C$170:$C$209)</x:f>
        <x:v>0.032221226763006934</x:v>
      </x:c>
      <x:c r="D31" s="24" t="n">
        <x:f>'Evidence'!D192</x:f>
        <x:v>27268063</x:v>
      </x:c>
      <x:c r="E31" s="20" t="n">
        <x:f>'Evidence'!D192/'Evidence'!F192</x:f>
        <x:v>0.04122350667889715</x:v>
      </x:c>
      <x:c r="F31" s="20" t="n">
        <x:f>'Evidence'!D192/'Evidence'!G192-1</x:f>
        <x:v>0.018570490346351276</x:v>
      </x:c>
      <x:c r="G31" s="18" t="n">
        <x:f>SUMIF('Evidence'!$A$216:$A$225,B31,'Evidence'!$B$216:$B$225)</x:f>
        <x:v>656</x:v>
      </x:c>
      <x:c r="H31" s="22" t="n">
        <x:f>'Evidence'!D192/'Evidence'!E192</x:f>
        <x:v>16.919229912494004</x:v>
      </x:c>
      <x:c r="I31" s="22" t="n">
        <x:f>'Evidence'!H192/'Evidence'!I192</x:f>
        <x:v>16.919229912494004</x:v>
      </x:c>
      <x:c r="J31" s="22" t="n">
        <x:f>H31*(1+'Evidence'!L192)</x:f>
        <x:v>18.949537501993287</x:v>
      </x:c>
      <x:c r="K31" s="18" t="n">
        <x:f>'Evidence'!K192</x:f>
        <x:v>0</x:v>
      </x:c>
      <x:c r="L31" s="18" t="n">
        <x:f>'Evidence'!J192</x:f>
        <x:v>6</x:v>
      </x:c>
      <x:c r="M31" s="18" t="str">
        <x:v>Donor benchmark</x:v>
      </x:c>
      <x:c r="N31" s="18" t="str">
        <x:v>Incumbent price and trade benchmark; no wholesale exit recommendation.</x:v>
      </x:c>
    </x:row>
    <x:row r="32" ht="42" customHeight="1">
      <x:c r="A32" s="19" t="str">
        <x:v>61091000</x:v>
      </x:c>
      <x:c r="B32" s="19" t="str">
        <x:v>India</x:v>
      </x:c>
      <x:c r="C32" s="21" t="n">
        <x:f>'Evidence'!C193/SUMIF('Evidence'!$A$170:$A$209,A32,'Evidence'!$C$170:$C$209)</x:f>
        <x:v>0.10252754963532354</x:v>
      </x:c>
      <x:c r="D32" s="25" t="n">
        <x:f>'Evidence'!D193</x:f>
        <x:v>54416583</x:v>
      </x:c>
      <x:c r="E32" s="21" t="n">
        <x:f>'Evidence'!D193/'Evidence'!F193</x:f>
        <x:v>0.08226628978902024</x:v>
      </x:c>
      <x:c r="F32" s="21" t="n">
        <x:f>'Evidence'!D193/'Evidence'!G193-1</x:f>
        <x:v>-0.05529888387022763</x:v>
      </x:c>
      <x:c r="G32" s="19" t="n">
        <x:f>SUMIF('Evidence'!$A$216:$A$225,B32,'Evidence'!$B$216:$B$225)</x:f>
        <x:v>234</x:v>
      </x:c>
      <x:c r="H32" s="23" t="n">
        <x:f>'Evidence'!D193/'Evidence'!E193</x:f>
        <x:v>12.515840248106118</x:v>
      </x:c>
      <x:c r="I32" s="23" t="n">
        <x:f>'Evidence'!H193/'Evidence'!I193</x:f>
        <x:v>12.515840248106118</x:v>
      </x:c>
      <x:c r="J32" s="23" t="n">
        <x:f>H32*(1+'Evidence'!L193)</x:f>
        <x:v>12.515840248106118</x:v>
      </x:c>
      <x:c r="K32" s="19" t="n">
        <x:f>'Evidence'!K193</x:f>
        <x:v>0</x:v>
      </x:c>
      <x:c r="L32" s="19" t="n">
        <x:f>'Evidence'!J193</x:f>
        <x:v>6</x:v>
      </x:c>
      <x:c r="M32" s="19" t="str">
        <x:v>Tested receiver</x:v>
      </x:c>
      <x:c r="N32" s="19" t="str">
        <x:v>Included in WP009 receiver mixes. Read category decisions before considering an allocation.</x:v>
      </x:c>
    </x:row>
    <x:row r="33" ht="57" customHeight="1">
      <x:c r="A33" s="18" t="str">
        <x:v>61091000</x:v>
      </x:c>
      <x:c r="B33" s="18" t="str">
        <x:v>Morocco</x:v>
      </x:c>
      <x:c r="C33" s="20" t="n">
        <x:f>'Evidence'!C194/SUMIF('Evidence'!$A$170:$A$209,A33,'Evidence'!$C$170:$C$209)</x:f>
        <x:v>0.016767799376074918</x:v>
      </x:c>
      <x:c r="D33" s="24" t="n">
        <x:f>'Evidence'!D194</x:f>
        <x:v>4957179</x:v>
      </x:c>
      <x:c r="E33" s="20" t="n">
        <x:f>'Evidence'!D194/'Evidence'!F194</x:f>
        <x:v>0.007494199408846484</x:v>
      </x:c>
      <x:c r="F33" s="20" t="n">
        <x:f>'Evidence'!D194/'Evidence'!G194-1</x:f>
        <x:v>-0.302364079901127</x:v>
      </x:c>
      <x:c r="G33" s="18" t="n">
        <x:f>SUMIF('Evidence'!$A$216:$A$225,B33,'Evidence'!$B$216:$B$225)</x:f>
        <x:v>17</x:v>
      </x:c>
      <x:c r="H33" s="22" t="n">
        <x:f>'Evidence'!D194/'Evidence'!E194</x:f>
        <x:v>9.411197724839198</x:v>
      </x:c>
      <x:c r="I33" s="22" t="n">
        <x:f>'Evidence'!H194/'Evidence'!I194</x:f>
        <x:v>9.411197724839198</x:v>
      </x:c>
      <x:c r="J33" s="22" t="n">
        <x:f>H33*(1+'Evidence'!L194)</x:f>
        <x:v>9.411197724839198</x:v>
      </x:c>
      <x:c r="K33" s="18" t="n">
        <x:f>'Evidence'!K194</x:f>
        <x:v>0</x:v>
      </x:c>
      <x:c r="L33" s="18" t="n">
        <x:f>'Evidence'!J194</x:f>
        <x:v>6</x:v>
      </x:c>
      <x:c r="M33" s="18" t="str">
        <x:v>Benchmark only</x:v>
      </x:c>
      <x:c r="N33" s="18" t="str">
        <x:v>Not tested as a receiver in WP009. Retain as a comparator; no claim that it is inferior or infeasible.</x:v>
      </x:c>
    </x:row>
    <x:row r="34" ht="42" customHeight="1">
      <x:c r="A34" s="19" t="str">
        <x:v>61091000</x:v>
      </x:c>
      <x:c r="B34" s="19" t="str">
        <x:v>Myanmar</x:v>
      </x:c>
      <x:c r="C34" s="21" t="n">
        <x:f>'Evidence'!C195/SUMIF('Evidence'!$A$170:$A$209,A34,'Evidence'!$C$170:$C$209)</x:f>
        <x:v>0.00038870228060187804</x:v>
      </x:c>
      <x:c r="D34" s="25" t="n">
        <x:f>'Evidence'!D195</x:f>
        <x:v>619607</x:v>
      </x:c>
      <x:c r="E34" s="21" t="n">
        <x:f>'Evidence'!D195/'Evidence'!F195</x:f>
        <x:v>0.0009367138877004731</x:v>
      </x:c>
      <x:c r="F34" s="21" t="n">
        <x:f>'Evidence'!D195/'Evidence'!G195-1</x:f>
        <x:v>1.7984851495880907</x:v>
      </x:c>
      <x:c r="G34" s="19" t="n">
        <x:f>SUMIF('Evidence'!$A$216:$A$225,B34,'Evidence'!$B$216:$B$225)</x:f>
        <x:v>13</x:v>
      </x:c>
      <x:c r="H34" s="23" t="n">
        <x:f>'Evidence'!D195/'Evidence'!E195</x:f>
        <x:v>10.616798889669472</x:v>
      </x:c>
      <x:c r="I34" s="23" t="n">
        <x:f>'Evidence'!H195/'Evidence'!I195</x:f>
        <x:v>10.616798889669472</x:v>
      </x:c>
      <x:c r="J34" s="23" t="n">
        <x:f>H34*(1+'Evidence'!L195)</x:f>
        <x:v>10.616798889669472</x:v>
      </x:c>
      <x:c r="K34" s="19" t="n">
        <x:f>'Evidence'!K195</x:f>
        <x:v>0</x:v>
      </x:c>
      <x:c r="L34" s="19" t="n">
        <x:f>'Evidence'!J195</x:f>
        <x:v>6</x:v>
      </x:c>
      <x:c r="M34" s="19" t="str">
        <x:v>Excluded</x:v>
      </x:c>
      <x:c r="N34" s="19" t="str">
        <x:v>D008/D020: no actionable new share; no country-wide failure inference.</x:v>
      </x:c>
    </x:row>
    <x:row r="35" ht="57" customHeight="1">
      <x:c r="A35" s="18" t="str">
        <x:v>61091000</x:v>
      </x:c>
      <x:c r="B35" s="18" t="str">
        <x:v>Pakistan</x:v>
      </x:c>
      <x:c r="C35" s="20" t="n">
        <x:f>'Evidence'!C196/SUMIF('Evidence'!$A$170:$A$209,A35,'Evidence'!$C$170:$C$209)</x:f>
        <x:v>0.14443439000151592</x:v>
      </x:c>
      <x:c r="D35" s="24" t="n">
        <x:f>'Evidence'!D196</x:f>
        <x:v>20868271</x:v>
      </x:c>
      <x:c r="E35" s="20" t="n">
        <x:f>'Evidence'!D196/'Evidence'!F196</x:f>
        <x:v>0.03154838350437784</x:v>
      </x:c>
      <x:c r="F35" s="20" t="n">
        <x:f>'Evidence'!D196/'Evidence'!G196-1</x:f>
        <x:v>-0.3071919434520861</x:v>
      </x:c>
      <x:c r="G35" s="18" t="n">
        <x:f>SUMIF('Evidence'!$A$216:$A$225,B35,'Evidence'!$B$216:$B$225)</x:f>
        <x:v>45</x:v>
      </x:c>
      <x:c r="H35" s="22" t="n">
        <x:f>'Evidence'!D196/'Evidence'!E196</x:f>
        <x:v>12.17381648390817</x:v>
      </x:c>
      <x:c r="I35" s="22" t="n">
        <x:f>'Evidence'!H196/'Evidence'!I196</x:f>
        <x:v>12.17381648390817</x:v>
      </x:c>
      <x:c r="J35" s="22" t="n">
        <x:f>H35*(1+'Evidence'!L196)</x:f>
        <x:v>12.17381648390817</x:v>
      </x:c>
      <x:c r="K35" s="18" t="n">
        <x:f>'Evidence'!K196</x:f>
        <x:v>0</x:v>
      </x:c>
      <x:c r="L35" s="18" t="n">
        <x:f>'Evidence'!J196</x:f>
        <x:v>6</x:v>
      </x:c>
      <x:c r="M35" s="18" t="str">
        <x:v>Benchmark only</x:v>
      </x:c>
      <x:c r="N35" s="18" t="str">
        <x:v>Not tested as a receiver in WP009. Retain as a comparator; no claim that it is inferior or infeasible.</x:v>
      </x:c>
    </x:row>
    <x:row r="36" ht="57" customHeight="1">
      <x:c r="A36" s="19" t="str">
        <x:v>61091000</x:v>
      </x:c>
      <x:c r="B36" s="19" t="str">
        <x:v>Sri Lanka</x:v>
      </x:c>
      <x:c r="C36" s="21" t="n">
        <x:f>'Evidence'!C197/SUMIF('Evidence'!$A$170:$A$209,A36,'Evidence'!$C$170:$C$209)</x:f>
        <x:v>0.02935895126041082</x:v>
      </x:c>
      <x:c r="D36" s="25" t="n">
        <x:f>'Evidence'!D197</x:f>
        <x:v>8791535</x:v>
      </x:c>
      <x:c r="E36" s="21" t="n">
        <x:f>'Evidence'!D197/'Evidence'!F197</x:f>
        <x:v>0.01329092945803514</x:v>
      </x:c>
      <x:c r="F36" s="21" t="n">
        <x:f>'Evidence'!D197/'Evidence'!G197-1</x:f>
        <x:v>-0.3268425176870151</x:v>
      </x:c>
      <x:c r="G36" s="19" t="n">
        <x:f>SUMIF('Evidence'!$A$216:$A$225,B36,'Evidence'!$B$216:$B$225)</x:f>
        <x:v>66</x:v>
      </x:c>
      <x:c r="H36" s="23" t="n">
        <x:f>'Evidence'!D197/'Evidence'!E197</x:f>
        <x:v>12.057469388426851</x:v>
      </x:c>
      <x:c r="I36" s="23" t="n">
        <x:f>'Evidence'!H197/'Evidence'!I197</x:f>
        <x:v>12.057469388426851</x:v>
      </x:c>
      <x:c r="J36" s="23" t="n">
        <x:f>H36*(1+'Evidence'!L197)</x:f>
        <x:v>12.057469388426851</x:v>
      </x:c>
      <x:c r="K36" s="19" t="n">
        <x:f>'Evidence'!K197</x:f>
        <x:v>0</x:v>
      </x:c>
      <x:c r="L36" s="19" t="n">
        <x:f>'Evidence'!J197</x:f>
        <x:v>6</x:v>
      </x:c>
      <x:c r="M36" s="19" t="str">
        <x:v>Benchmark only</x:v>
      </x:c>
      <x:c r="N36" s="19" t="str">
        <x:v>Not tested as a receiver in WP009. Retain as a comparator; no claim that it is inferior or infeasible.</x:v>
      </x:c>
    </x:row>
    <x:row r="37" ht="42" customHeight="1">
      <x:c r="A37" s="18" t="str">
        <x:v>61091000</x:v>
      </x:c>
      <x:c r="B37" s="18" t="str">
        <x:v>Turkey</x:v>
      </x:c>
      <x:c r="C37" s="20" t="n">
        <x:f>'Evidence'!C198/SUMIF('Evidence'!$A$170:$A$209,A37,'Evidence'!$C$170:$C$209)</x:f>
        <x:v>0.06531138060128555</x:v>
      </x:c>
      <x:c r="D37" s="24" t="n">
        <x:f>'Evidence'!D198</x:f>
        <x:v>58384062</x:v>
      </x:c>
      <x:c r="E37" s="20" t="n">
        <x:f>'Evidence'!D198/'Evidence'!F198</x:f>
        <x:v>0.08826427347619613</x:v>
      </x:c>
      <x:c r="F37" s="20" t="n">
        <x:f>'Evidence'!D198/'Evidence'!G198-1</x:f>
        <x:v>-0.03215281930033498</x:v>
      </x:c>
      <x:c r="G37" s="18" t="n">
        <x:f>SUMIF('Evidence'!$A$216:$A$225,B37,'Evidence'!$B$216:$B$225)</x:f>
        <x:v>76</x:v>
      </x:c>
      <x:c r="H37" s="22" t="n">
        <x:f>'Evidence'!D198/'Evidence'!E198</x:f>
        <x:v>23.829820876540076</x:v>
      </x:c>
      <x:c r="I37" s="22" t="n">
        <x:f>'Evidence'!H198/'Evidence'!I198</x:f>
        <x:v>23.829820876540076</x:v>
      </x:c>
      <x:c r="J37" s="22" t="n">
        <x:f>H37*(1+'Evidence'!L198)</x:f>
        <x:v>23.829820876540076</x:v>
      </x:c>
      <x:c r="K37" s="18" t="n">
        <x:f>'Evidence'!K198</x:f>
        <x:v>0</x:v>
      </x:c>
      <x:c r="L37" s="18" t="n">
        <x:f>'Evidence'!J198</x:f>
        <x:v>6</x:v>
      </x:c>
      <x:c r="M37" s="18" t="str">
        <x:v>Tested receiver</x:v>
      </x:c>
      <x:c r="N37" s="18" t="str">
        <x:v>Included in WP009 receiver mixes. Read category decisions before considering an allocation.</x:v>
      </x:c>
    </x:row>
    <x:row r="38" ht="42" customHeight="1">
      <x:c r="A38" s="19" t="str">
        <x:v>61091000</x:v>
      </x:c>
      <x:c r="B38" s="19" t="str">
        <x:v>Vietnam</x:v>
      </x:c>
      <x:c r="C38" s="21" t="n">
        <x:f>'Evidence'!C199/SUMIF('Evidence'!$A$170:$A$209,A38,'Evidence'!$C$170:$C$209)</x:f>
        <x:v>0.015508884331010253</x:v>
      </x:c>
      <x:c r="D38" s="25" t="n">
        <x:f>'Evidence'!D199</x:f>
        <x:v>13656174</x:v>
      </x:c>
      <x:c r="E38" s="21" t="n">
        <x:f>'Evidence'!D199/'Evidence'!F199</x:f>
        <x:v>0.020645228085954676</x:v>
      </x:c>
      <x:c r="F38" s="21" t="n">
        <x:f>'Evidence'!D199/'Evidence'!G199-1</x:f>
        <x:v>-0.012120824995918267</x:v>
      </x:c>
      <x:c r="G38" s="19" t="n">
        <x:f>SUMIF('Evidence'!$A$216:$A$225,B38,'Evidence'!$B$216:$B$225)</x:f>
        <x:v>39</x:v>
      </x:c>
      <x:c r="H38" s="23" t="n">
        <x:f>'Evidence'!D199/'Evidence'!E199</x:f>
        <x:v>25.639426687494367</x:v>
      </x:c>
      <x:c r="I38" s="23" t="n">
        <x:f>'Evidence'!H199/'Evidence'!I199</x:f>
        <x:v>25.639426687494367</x:v>
      </x:c>
      <x:c r="J38" s="23" t="n">
        <x:f>H38*(1+'Evidence'!L199)</x:f>
        <x:v>25.639426687494367</x:v>
      </x:c>
      <x:c r="K38" s="19" t="n">
        <x:f>'Evidence'!K199</x:f>
        <x:v>0</x:v>
      </x:c>
      <x:c r="L38" s="19" t="n">
        <x:f>'Evidence'!J199</x:f>
        <x:v>6</x:v>
      </x:c>
      <x:c r="M38" s="19" t="str">
        <x:v>Tested receiver</x:v>
      </x:c>
      <x:c r="N38" s="19" t="str">
        <x:v>Included in WP009 receiver mixes. Read category decisions before considering an allocation.</x:v>
      </x:c>
    </x:row>
    <x:row r="39" ht="57" customHeight="1">
      <x:c r="A39" s="18" t="str">
        <x:v>62052000</x:v>
      </x:c>
      <x:c r="B39" s="18" t="str">
        <x:v>Bangladesh</x:v>
      </x:c>
      <x:c r="C39" s="20" t="n">
        <x:f>'Evidence'!C200/SUMIF('Evidence'!$A$170:$A$209,A39,'Evidence'!$C$170:$C$209)</x:f>
        <x:v>0.5474809431056753</x:v>
      </x:c>
      <x:c r="D39" s="24" t="n">
        <x:f>'Evidence'!D200</x:f>
        <x:v>36256449</x:v>
      </x:c>
      <x:c r="E39" s="20" t="n">
        <x:f>'Evidence'!D200/'Evidence'!F200</x:f>
        <x:v>0.2999934642017101</x:v>
      </x:c>
      <x:c r="F39" s="20" t="n">
        <x:f>'Evidence'!D200/'Evidence'!G200-1</x:f>
        <x:v>-0.11898478736707485</x:v>
      </x:c>
      <x:c r="G39" s="18" t="n">
        <x:f>SUMIF('Evidence'!$A$216:$A$225,B39,'Evidence'!$B$216:$B$225)</x:f>
        <x:v>194</x:v>
      </x:c>
      <x:c r="H39" s="22" t="n">
        <x:f>'Evidence'!D200/'Evidence'!E200</x:f>
        <x:v>17.12736953391608</x:v>
      </x:c>
      <x:c r="I39" s="22" t="n">
        <x:f>'Evidence'!H200/'Evidence'!I200</x:f>
        <x:v>17.19884302303772</x:v>
      </x:c>
      <x:c r="J39" s="22" t="n">
        <x:f>H39*(1+'Evidence'!L200)</x:f>
        <x:v>17.12736953391608</x:v>
      </x:c>
      <x:c r="K39" s="18" t="n">
        <x:f>'Evidence'!K200</x:f>
        <x:v>0</x:v>
      </x:c>
      <x:c r="L39" s="18" t="n">
        <x:f>'Evidence'!J200</x:f>
        <x:v>5</x:v>
      </x:c>
      <x:c r="M39" s="18" t="str">
        <x:v>Benchmark only</x:v>
      </x:c>
      <x:c r="N39" s="18" t="str">
        <x:v>Not tested as a receiver in WP009. Retain as a comparator; no claim that it is inferior or infeasible.</x:v>
      </x:c>
    </x:row>
    <x:row r="40" ht="57" customHeight="1">
      <x:c r="A40" s="19" t="str">
        <x:v>62052000</x:v>
      </x:c>
      <x:c r="B40" s="19" t="str">
        <x:v>Cambodia</x:v>
      </x:c>
      <x:c r="C40" s="21" t="n">
        <x:f>'Evidence'!C201/SUMIF('Evidence'!$A$170:$A$209,A40,'Evidence'!$C$170:$C$209)</x:f>
        <x:v>0.07970986820520853</x:v>
      </x:c>
      <x:c r="D40" s="25" t="n">
        <x:f>'Evidence'!D201</x:f>
        <x:v>6216726</x:v>
      </x:c>
      <x:c r="E40" s="21" t="n">
        <x:f>'Evidence'!D201/'Evidence'!F201</x:f>
        <x:v>0.05143849494838395</x:v>
      </x:c>
      <x:c r="F40" s="21" t="n">
        <x:f>'Evidence'!D201/'Evidence'!G201-1</x:f>
        <x:v>-0.07035885699793276</x:v>
      </x:c>
      <x:c r="G40" s="19" t="n">
        <x:f>SUMIF('Evidence'!$A$216:$A$225,B40,'Evidence'!$B$216:$B$225)</x:f>
        <x:v>63</x:v>
      </x:c>
      <x:c r="H40" s="23" t="n">
        <x:f>'Evidence'!D201/'Evidence'!E201</x:f>
        <x:v>21.800375921393154</x:v>
      </x:c>
      <x:c r="I40" s="23" t="n">
        <x:f>'Evidence'!H201/'Evidence'!I201</x:f>
        <x:v>22.164253165430097</x:v>
      </x:c>
      <x:c r="J40" s="23" t="n">
        <x:f>H40*(1+'Evidence'!L201)</x:f>
        <x:v>21.800375921393154</x:v>
      </x:c>
      <x:c r="K40" s="19" t="n">
        <x:f>'Evidence'!K201</x:f>
        <x:v>0</x:v>
      </x:c>
      <x:c r="L40" s="19" t="n">
        <x:f>'Evidence'!J201</x:f>
        <x:v>5</x:v>
      </x:c>
      <x:c r="M40" s="19" t="str">
        <x:v>Benchmark only</x:v>
      </x:c>
      <x:c r="N40" s="19" t="str">
        <x:v>Not tested as a receiver in WP009. Retain as a comparator; no claim that it is inferior or infeasible.</x:v>
      </x:c>
    </x:row>
    <x:row r="41" ht="42" customHeight="1">
      <x:c r="A41" s="18" t="str">
        <x:v>62052000</x:v>
      </x:c>
      <x:c r="B41" s="18" t="str">
        <x:v>China</x:v>
      </x:c>
      <x:c r="C41" s="20" t="n">
        <x:f>'Evidence'!C202/SUMIF('Evidence'!$A$170:$A$209,A41,'Evidence'!$C$170:$C$209)</x:f>
        <x:v>0.06915990057015509</x:v>
      </x:c>
      <x:c r="D41" s="24" t="n">
        <x:f>'Evidence'!D202</x:f>
        <x:v>5317772</x:v>
      </x:c>
      <x:c r="E41" s="20" t="n">
        <x:f>'Evidence'!D202/'Evidence'!F202</x:f>
        <x:v>0.04400036098722344</x:v>
      </x:c>
      <x:c r="F41" s="20" t="n">
        <x:f>'Evidence'!D202/'Evidence'!G202-1</x:f>
        <x:v>-0.21121376385682278</x:v>
      </x:c>
      <x:c r="G41" s="18" t="n">
        <x:f>SUMIF('Evidence'!$A$216:$A$225,B41,'Evidence'!$B$216:$B$225)</x:f>
        <x:v>656</x:v>
      </x:c>
      <x:c r="H41" s="22" t="n">
        <x:f>'Evidence'!D202/'Evidence'!E202</x:f>
        <x:v>21.68518835686265</x:v>
      </x:c>
      <x:c r="I41" s="22" t="n">
        <x:f>'Evidence'!H202/'Evidence'!I202</x:f>
        <x:v>21.526668527023254</x:v>
      </x:c>
      <x:c r="J41" s="22" t="n">
        <x:f>H41*(1+'Evidence'!L202)</x:f>
        <x:v>24.28741095968617</x:v>
      </x:c>
      <x:c r="K41" s="18" t="n">
        <x:f>'Evidence'!K202</x:f>
        <x:v>0</x:v>
      </x:c>
      <x:c r="L41" s="18" t="n">
        <x:f>'Evidence'!J202</x:f>
        <x:v>5</x:v>
      </x:c>
      <x:c r="M41" s="18" t="str">
        <x:v>Donor benchmark</x:v>
      </x:c>
      <x:c r="N41" s="18" t="str">
        <x:v>Incumbent price and trade benchmark; no wholesale exit recommendation.</x:v>
      </x:c>
    </x:row>
    <x:row r="42" ht="42" customHeight="1">
      <x:c r="A42" s="19" t="str">
        <x:v>62052000</x:v>
      </x:c>
      <x:c r="B42" s="19" t="str">
        <x:v>India</x:v>
      </x:c>
      <x:c r="C42" s="21" t="n">
        <x:f>'Evidence'!C203/SUMIF('Evidence'!$A$170:$A$209,A42,'Evidence'!$C$170:$C$209)</x:f>
        <x:v>0.16719110688117186</x:v>
      </x:c>
      <x:c r="D42" s="25" t="n">
        <x:f>'Evidence'!D203</x:f>
        <x:v>16147727</x:v>
      </x:c>
      <x:c r="E42" s="21" t="n">
        <x:f>'Evidence'!D203/'Evidence'!F203</x:f>
        <x:v>0.13360968035544482</x:v>
      </x:c>
      <x:c r="F42" s="21" t="n">
        <x:f>'Evidence'!D203/'Evidence'!G203-1</x:f>
        <x:v>-0.04770423132426671</x:v>
      </x:c>
      <x:c r="G42" s="19" t="n">
        <x:f>SUMIF('Evidence'!$A$216:$A$225,B42,'Evidence'!$B$216:$B$225)</x:f>
        <x:v>234</x:v>
      </x:c>
      <x:c r="H42" s="23" t="n">
        <x:f>'Evidence'!D203/'Evidence'!E203</x:f>
        <x:v>21.897390521366862</x:v>
      </x:c>
      <x:c r="I42" s="23" t="n">
        <x:f>'Evidence'!H203/'Evidence'!I203</x:f>
        <x:v>21.271152851405358</x:v>
      </x:c>
      <x:c r="J42" s="23" t="n">
        <x:f>H42*(1+'Evidence'!L203)</x:f>
        <x:v>21.897390521366862</x:v>
      </x:c>
      <x:c r="K42" s="19" t="n">
        <x:f>'Evidence'!K203</x:f>
        <x:v>0</x:v>
      </x:c>
      <x:c r="L42" s="19" t="n">
        <x:f>'Evidence'!J203</x:f>
        <x:v>5</x:v>
      </x:c>
      <x:c r="M42" s="19" t="str">
        <x:v>Tested receiver</x:v>
      </x:c>
      <x:c r="N42" s="19" t="str">
        <x:v>Included in WP009 receiver mixes. Read category decisions before considering an allocation.</x:v>
      </x:c>
    </x:row>
    <x:row r="43" ht="57" customHeight="1">
      <x:c r="A43" s="18" t="str">
        <x:v>62052000</x:v>
      </x:c>
      <x:c r="B43" s="18" t="str">
        <x:v>Morocco</x:v>
      </x:c>
      <x:c r="C43" s="20" t="n">
        <x:f>'Evidence'!C204/SUMIF('Evidence'!$A$170:$A$209,A43,'Evidence'!$C$170:$C$209)</x:f>
        <x:v>0.003929193181784594</x:v>
      </x:c>
      <x:c r="D43" s="24" t="n">
        <x:f>'Evidence'!D204</x:f>
        <x:v>561115</x:v>
      </x:c>
      <x:c r="E43" s="20" t="n">
        <x:f>'Evidence'!D204/'Evidence'!F204</x:f>
        <x:v>0.0046427832098378564</x:v>
      </x:c>
      <x:c r="F43" s="20" t="n">
        <x:f>'Evidence'!D204/'Evidence'!G204-1</x:f>
        <x:v>-0.1963244751398624</x:v>
      </x:c>
      <x:c r="G43" s="18" t="n">
        <x:f>SUMIF('Evidence'!$A$216:$A$225,B43,'Evidence'!$B$216:$B$225)</x:f>
        <x:v>17</x:v>
      </x:c>
      <x:c r="H43" s="22" t="n">
        <x:f>'Evidence'!D204/'Evidence'!E204</x:f>
        <x:v>35.626349206349204</x:v>
      </x:c>
      <x:c r="I43" s="22" t="n">
        <x:f>'Evidence'!H204/'Evidence'!I204</x:f>
        <x:v>35.41775103422339</x:v>
      </x:c>
      <x:c r="J43" s="22" t="n">
        <x:f>H43*(1+'Evidence'!L204)</x:f>
        <x:v>35.626349206349204</x:v>
      </x:c>
      <x:c r="K43" s="18" t="n">
        <x:f>'Evidence'!K204</x:f>
        <x:v>0</x:v>
      </x:c>
      <x:c r="L43" s="18" t="n">
        <x:f>'Evidence'!J204</x:f>
        <x:v>5</x:v>
      </x:c>
      <x:c r="M43" s="18" t="str">
        <x:v>Benchmark only</x:v>
      </x:c>
      <x:c r="N43" s="18" t="str">
        <x:v>Not tested as a receiver in WP009. Retain as a comparator; no claim that it is inferior or infeasible.</x:v>
      </x:c>
    </x:row>
    <x:row r="44" ht="42" customHeight="1">
      <x:c r="A44" s="19" t="str">
        <x:v>62052000</x:v>
      </x:c>
      <x:c r="B44" s="19" t="str">
        <x:v>Myanmar</x:v>
      </x:c>
      <x:c r="C44" s="21" t="n">
        <x:f>'Evidence'!C205/SUMIF('Evidence'!$A$170:$A$209,A44,'Evidence'!$C$170:$C$209)</x:f>
        <x:v>0.006437047962190649</x:v>
      </x:c>
      <x:c r="D44" s="25" t="n">
        <x:f>'Evidence'!D205</x:f>
        <x:v>438060</x:v>
      </x:c>
      <x:c r="E44" s="21" t="n">
        <x:f>'Evidence'!D205/'Evidence'!F205</x:f>
        <x:v>0.0036246003277431034</x:v>
      </x:c>
      <x:c r="F44" s="21" t="n">
        <x:f>'Evidence'!D205/'Evidence'!G205-1</x:f>
        <x:v>-0.20334041984392703</x:v>
      </x:c>
      <x:c r="G44" s="19" t="n">
        <x:f>SUMIF('Evidence'!$A$216:$A$225,B44,'Evidence'!$B$216:$B$225)</x:f>
        <x:v>13</x:v>
      </x:c>
      <x:c r="H44" s="23" t="n">
        <x:f>'Evidence'!D205/'Evidence'!E205</x:f>
        <x:v>14.511063998939976</x:v>
      </x:c>
      <x:c r="I44" s="23" t="n">
        <x:f>'Evidence'!H205/'Evidence'!I205</x:f>
        <x:v>14.72597010832305</x:v>
      </x:c>
      <x:c r="J44" s="23" t="n">
        <x:f>H44*(1+'Evidence'!L205)</x:f>
        <x:v>14.511063998939976</x:v>
      </x:c>
      <x:c r="K44" s="19" t="n">
        <x:f>'Evidence'!K205</x:f>
        <x:v>1</x:v>
      </x:c>
      <x:c r="L44" s="19" t="n">
        <x:f>'Evidence'!J205</x:f>
        <x:v>5</x:v>
      </x:c>
      <x:c r="M44" s="19" t="str">
        <x:v>Excluded</x:v>
      </x:c>
      <x:c r="N44" s="19" t="str">
        <x:v>D008/D020: no actionable new share; no country-wide failure inference.</x:v>
      </x:c>
    </x:row>
    <x:row r="45" ht="57" customHeight="1">
      <x:c r="A45" s="18" t="str">
        <x:v>62052000</x:v>
      </x:c>
      <x:c r="B45" s="18" t="str">
        <x:v>Pakistan</x:v>
      </x:c>
      <x:c r="C45" s="20" t="n">
        <x:f>'Evidence'!C206/SUMIF('Evidence'!$A$170:$A$209,A45,'Evidence'!$C$170:$C$209)</x:f>
        <x:v>0.008198883335451587</x:v>
      </x:c>
      <x:c r="D45" s="24" t="n">
        <x:f>'Evidence'!D206</x:f>
        <x:v>358538</x:v>
      </x:c>
      <x:c r="E45" s="20" t="n">
        <x:f>'Evidence'!D206/'Evidence'!F206</x:f>
        <x:v>0.0029666186191580077</x:v>
      </x:c>
      <x:c r="F45" s="20" t="n">
        <x:f>'Evidence'!D206/'Evidence'!G206-1</x:f>
        <x:v>-0.2165929227710225</x:v>
      </x:c>
      <x:c r="G45" s="18" t="n">
        <x:f>SUMIF('Evidence'!$A$216:$A$225,B45,'Evidence'!$B$216:$B$225)</x:f>
        <x:v>45</x:v>
      </x:c>
      <x:c r="H45" s="22" t="n">
        <x:f>'Evidence'!D206/'Evidence'!E206</x:f>
        <x:v>13.83088377116846</x:v>
      </x:c>
      <x:c r="I45" s="22" t="n">
        <x:f>'Evidence'!H206/'Evidence'!I206</x:f>
        <x:v>13.763553870893636</x:v>
      </x:c>
      <x:c r="J45" s="22" t="n">
        <x:f>H45*(1+'Evidence'!L206)</x:f>
        <x:v>13.83088377116846</x:v>
      </x:c>
      <x:c r="K45" s="18" t="n">
        <x:f>'Evidence'!K206</x:f>
        <x:v>0</x:v>
      </x:c>
      <x:c r="L45" s="18" t="n">
        <x:f>'Evidence'!J206</x:f>
        <x:v>5</x:v>
      </x:c>
      <x:c r="M45" s="18" t="str">
        <x:v>Benchmark only</x:v>
      </x:c>
      <x:c r="N45" s="18" t="str">
        <x:v>Not tested as a receiver in WP009. Retain as a comparator; no claim that it is inferior or infeasible.</x:v>
      </x:c>
    </x:row>
    <x:row r="46" ht="57" customHeight="1">
      <x:c r="A46" s="19" t="str">
        <x:v>62052000</x:v>
      </x:c>
      <x:c r="B46" s="19" t="str">
        <x:v>Sri Lanka</x:v>
      </x:c>
      <x:c r="C46" s="21" t="n">
        <x:f>'Evidence'!C207/SUMIF('Evidence'!$A$170:$A$209,A46,'Evidence'!$C$170:$C$209)</x:f>
        <x:v>0.025249032746232216</x:v>
      </x:c>
      <x:c r="D46" s="25" t="n">
        <x:f>'Evidence'!D207</x:f>
        <x:v>1556820</x:v>
      </x:c>
      <x:c r="E46" s="21" t="n">
        <x:f>'Evidence'!D207/'Evidence'!F207</x:f>
        <x:v>0.012881455239549418</x:v>
      </x:c>
      <x:c r="F46" s="21" t="n">
        <x:f>'Evidence'!D207/'Evidence'!G207-1</x:f>
        <x:v>-0.18101158079357949</x:v>
      </x:c>
      <x:c r="G46" s="19" t="n">
        <x:f>SUMIF('Evidence'!$A$216:$A$225,B46,'Evidence'!$B$216:$B$225)</x:f>
        <x:v>66</x:v>
      </x:c>
      <x:c r="H46" s="23" t="n">
        <x:f>'Evidence'!D207/'Evidence'!E207</x:f>
        <x:v>19.67221815057242</x:v>
      </x:c>
      <x:c r="I46" s="23" t="n">
        <x:f>'Evidence'!H207/'Evidence'!I207</x:f>
        <x:v>19.718810522302707</x:v>
      </x:c>
      <x:c r="J46" s="23" t="n">
        <x:f>H46*(1+'Evidence'!L207)</x:f>
        <x:v>19.67221815057242</x:v>
      </x:c>
      <x:c r="K46" s="19" t="n">
        <x:f>'Evidence'!K207</x:f>
        <x:v>0</x:v>
      </x:c>
      <x:c r="L46" s="19" t="n">
        <x:f>'Evidence'!J207</x:f>
        <x:v>5</x:v>
      </x:c>
      <x:c r="M46" s="19" t="str">
        <x:v>Benchmark only</x:v>
      </x:c>
      <x:c r="N46" s="19" t="str">
        <x:v>Not tested as a receiver in WP009. Retain as a comparator; no claim that it is inferior or infeasible.</x:v>
      </x:c>
    </x:row>
    <x:row r="47" ht="42" customHeight="1">
      <x:c r="A47" s="18" t="str">
        <x:v>62052000</x:v>
      </x:c>
      <x:c r="B47" s="18" t="str">
        <x:v>Turkey</x:v>
      </x:c>
      <x:c r="C47" s="20" t="n">
        <x:f>'Evidence'!C208/SUMIF('Evidence'!$A$170:$A$209,A47,'Evidence'!$C$170:$C$209)</x:f>
        <x:v>0.040588894241995216</x:v>
      </x:c>
      <x:c r="D47" s="24" t="n">
        <x:f>'Evidence'!D208</x:f>
        <x:v>5825379</x:v>
      </x:c>
      <x:c r="E47" s="20" t="n">
        <x:f>'Evidence'!D208/'Evidence'!F208</x:f>
        <x:v>0.048200407781189315</x:v>
      </x:c>
      <x:c r="F47" s="20" t="n">
        <x:f>'Evidence'!D208/'Evidence'!G208-1</x:f>
        <x:v>-0.1216470586816184</x:v>
      </x:c>
      <x:c r="G47" s="18" t="n">
        <x:f>SUMIF('Evidence'!$A$216:$A$225,B47,'Evidence'!$B$216:$B$225)</x:f>
        <x:v>76</x:v>
      </x:c>
      <x:c r="H47" s="22" t="n">
        <x:f>'Evidence'!D208/'Evidence'!E208</x:f>
        <x:v>39.36279663765609</x:v>
      </x:c>
      <x:c r="I47" s="22" t="n">
        <x:f>'Evidence'!H208/'Evidence'!I208</x:f>
        <x:v>39.3294375151419</x:v>
      </x:c>
      <x:c r="J47" s="22" t="n">
        <x:f>H47*(1+'Evidence'!L208)</x:f>
        <x:v>39.36279663765609</x:v>
      </x:c>
      <x:c r="K47" s="18" t="n">
        <x:f>'Evidence'!K208</x:f>
        <x:v>0</x:v>
      </x:c>
      <x:c r="L47" s="18" t="n">
        <x:f>'Evidence'!J208</x:f>
        <x:v>5</x:v>
      </x:c>
      <x:c r="M47" s="18" t="str">
        <x:v>Tested receiver</x:v>
      </x:c>
      <x:c r="N47" s="18" t="str">
        <x:v>Included in WP009 receiver mixes. Read category decisions before considering an allocation.</x:v>
      </x:c>
    </x:row>
    <x:row r="48" ht="42" customHeight="1">
      <x:c r="A48" s="19" t="str">
        <x:v>62052000</x:v>
      </x:c>
      <x:c r="B48" s="19" t="str">
        <x:v>Vietnam</x:v>
      </x:c>
      <x:c r="C48" s="21" t="n">
        <x:f>'Evidence'!C209/SUMIF('Evidence'!$A$170:$A$209,A48,'Evidence'!$C$170:$C$209)</x:f>
        <x:v>0.05205512977013499</x:v>
      </x:c>
      <x:c r="D48" s="25" t="n">
        <x:f>'Evidence'!D209</x:f>
        <x:v>5885338</x:v>
      </x:c>
      <x:c r="E48" s="21" t="n">
        <x:f>'Evidence'!D209/'Evidence'!F209</x:f>
        <x:v>0.04869652112422714</x:v>
      </x:c>
      <x:c r="F48" s="21" t="n">
        <x:f>'Evidence'!D209/'Evidence'!G209-1</x:f>
        <x:v>0.23779896859515248</x:v>
      </x:c>
      <x:c r="G48" s="19" t="n">
        <x:f>SUMIF('Evidence'!$A$216:$A$225,B48,'Evidence'!$B$216:$B$225)</x:f>
        <x:v>39</x:v>
      </x:c>
      <x:c r="H48" s="23" t="n">
        <x:f>'Evidence'!D209/'Evidence'!E209</x:f>
        <x:v>29.90137431728693</x:v>
      </x:c>
      <x:c r="I48" s="23" t="n">
        <x:f>'Evidence'!H209/'Evidence'!I209</x:f>
        <x:v>30.010319554757537</x:v>
      </x:c>
      <x:c r="J48" s="23" t="n">
        <x:f>H48*(1+'Evidence'!L209)</x:f>
        <x:v>29.90137431728693</x:v>
      </x:c>
      <x:c r="K48" s="19" t="n">
        <x:f>'Evidence'!K209</x:f>
        <x:v>0</x:v>
      </x:c>
      <x:c r="L48" s="19" t="n">
        <x:f>'Evidence'!J209</x:f>
        <x:v>5</x:v>
      </x:c>
      <x:c r="M48" s="19" t="str">
        <x:v>Tested receiver</x:v>
      </x:c>
      <x:c r="N48" s="19" t="str">
        <x:v>Included in WP009 receiver mixes. Read category decisions before considering an allocation.</x:v>
      </x:c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2" customHeight="1">
      <x:c r="A51" s="2" t="str">
        <x:v>Sources S02, S03, S05, S08. Duty column applies the archived eligible scenario, including Vietnam dresses at 1.5%.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2" customHeight="1">
      <x:c r="A53" s="2" t="str">
        <x:v>Knitwear: compare Turkey with scaled Bangladesh/Cambodia benchmarks. Dresses: retain Sri Lanka/Morocco and others as comparators.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2" customHeight="1">
      <x:c r="A55" s="2" t="str">
        <x:v>Secondary comparators are not an approved shortlist. Product match, actual capacity, service, origin and responsible sourcing require evidence.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8" customHeight="1">
      <x:c r="A57" s="37" t="str">
        <x:v>Cotton comparators outside the tested donor and receiver combinations</x:v>
      </x:c>
      <x:c r="B57" s="37"/>
      <x:c r="C57" s="37"/>
      <x:c r="D57" s="37"/>
      <x:c r="E57" s="37"/>
      <x:c r="F57" s="37"/>
      <x:c r="G57" s="37"/>
      <x:c r="H57" s="37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42" customHeight="1">
      <x:c r="A59" s="50" t="str">
        <x:v>CN8</x:v>
      </x:c>
      <x:c r="B59" s="51" t="str">
        <x:v>Comparator</x:v>
      </x:c>
      <x:c r="C59" s="51" t="str">
        <x:v>FY25 share</x:v>
      </x:c>
      <x:c r="D59" s="51" t="str">
        <x:v>Comparator GBP/kg</x:v>
      </x:c>
      <x:c r="E59" s="51" t="str">
        <x:v>Bangladesh GBP/kg</x:v>
      </x:c>
      <x:c r="F59" s="51" t="str">
        <x:v>Bangladesh share</x:v>
      </x:c>
      <x:c r="G59" s="51" t="str">
        <x:v>Max addition pp</x:v>
      </x:c>
      <x:c r="H59" s="52" t="str">
        <x:v>Interpretation</x:v>
      </x:c>
    </x:row>
    <x:row r="60" ht="100" customHeight="1">
      <x:c r="A60" s="53" t="str">
        <x:v>62052000</x:v>
      </x:c>
      <x:c r="B60" s="53" t="str">
        <x:v>Pakistan</x:v>
      </x:c>
      <x:c r="C60" s="57" t="n">
        <x:f>C45</x:f>
        <x:v>0.008198883335451587</x:v>
      </x:c>
      <x:c r="D60" s="55" t="n">
        <x:f>J45</x:f>
        <x:v>13.83088377116846</x:v>
      </x:c>
      <x:c r="E60" s="55" t="n">
        <x:f>J39</x:f>
        <x:v>17.12736953391608</x:v>
      </x:c>
      <x:c r="F60" s="57" t="n">
        <x:f>C39</x:f>
        <x:v>0.5474809431056753</x:v>
      </x:c>
      <x:c r="G60" s="55" t="n">
        <x:f>MIN('Evidence'!$B$383-C60,'Evidence'!$D$383,('Evidence'!$F$383-1)*C60)*100</x:f>
        <x:v>1.6397766670903176</x:v>
      </x:c>
      <x:c r="H60" s="53" t="str">
        <x:v>Untested. Product match, capacity and gates unresolved.</x:v>
      </x:c>
    </x:row>
    <x:row r="61" ht="100" customHeight="1">
      <x:c r="A61" s="54" t="str">
        <x:v>61091000</x:v>
      </x:c>
      <x:c r="B61" s="54" t="str">
        <x:v>Morocco</x:v>
      </x:c>
      <x:c r="C61" s="58" t="n">
        <x:f>C33</x:f>
        <x:v>0.016767799376074918</x:v>
      </x:c>
      <x:c r="D61" s="56" t="n">
        <x:f>J33</x:f>
        <x:v>9.411197724839198</x:v>
      </x:c>
      <x:c r="E61" s="56" t="n">
        <x:f>J29</x:f>
        <x:v>10.399882356093288</x:v>
      </x:c>
      <x:c r="F61" s="58" t="n">
        <x:f>C29</x:f>
        <x:v>0.5862208686521764</x:v>
      </x:c>
      <x:c r="G61" s="56" t="n">
        <x:f>MIN('Evidence'!$B$383-C61,'Evidence'!$D$383,('Evidence'!$F$383-1)*C61)*100</x:f>
        <x:v>3.3535598752149833</x:v>
      </x:c>
      <x:c r="H61" s="54" t="str">
        <x:v>Untested. Product match, capacity and gates unresolved.</x:v>
      </x:c>
    </x:row>
    <x:row r="63" ht="40" customHeight="1">
      <x:c r="A63" s="37" t="str">
        <x:v>S05/S08. H1 2026 reported eligible-duty benchmarks. These price comparisons do not establish an all-in cost or concentration result for a Bangladesh-donor transfer.</x:v>
      </x:c>
      <x:c r="B63" s="37"/>
      <x:c r="C63" s="37"/>
      <x:c r="D63" s="37"/>
      <x:c r="E63" s="37"/>
      <x:c r="F63" s="37"/>
      <x:c r="G63" s="37"/>
      <x:c r="H63" s="37"/>
    </x:row>
    <x:row r="65" ht="40" customHeight="1">
      <x:c r="A65" s="37" t="str">
        <x:v>The 3x cap permits at most about 1.64pp extra Pakistan shirt share and 3.35pp extra Morocco T-shirt share. Limits describe the model, not physical capacity. This future question does not reopen WP010.</x:v>
      </x:c>
      <x:c r="B65" s="37"/>
      <x:c r="C65" s="37"/>
      <x:c r="D65" s="37"/>
      <x:c r="E65" s="37"/>
      <x:c r="F65" s="37"/>
      <x:c r="G65" s="37"/>
      <x:c r="H65" s="37"/>
    </x:row>
  </x:sheetData>
  <x:mergeCells>
    <x:mergeCell ref="A57:H57"/>
    <x:mergeCell ref="A63:H63"/>
    <x:mergeCell ref="A65:H6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0" hidden="0" customWidth="1"/>
    <x:col min="3" max="3" width="24.440000534057617" hidden="0" customWidth="1"/>
    <x:col min="4" max="4" width="48.88999938964844" hidden="0" customWidth="1"/>
    <x:col min="5" max="5" width="43.33000183105469" hidden="0" customWidth="1"/>
    <x:col min="6" max="6" width="48.88999938964844" hidden="0" customWidth="1"/>
    <x:col min="7" max="7" width="17.78000068664550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Implementation conditions and monitoring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2" customHeight="1">
      <x:c r="A4" s="2" t="str">
        <x:v>Proposed functions and sequence. These are recommendations, not statements of NEXT internal policy or completed approvals.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42" customHeight="1">
      <x:c r="A6" s="15" t="str">
        <x:v>ID</x:v>
      </x:c>
      <x:c r="B6" s="16" t="str">
        <x:v>Stage</x:v>
      </x:c>
      <x:c r="C6" s="16" t="str">
        <x:v>Proposed functions</x:v>
      </x:c>
      <x:c r="D6" s="16" t="str">
        <x:v>Required work</x:v>
      </x:c>
      <x:c r="E6" s="16" t="str">
        <x:v>Proceed when</x:v>
      </x:c>
      <x:c r="F6" s="16" t="str">
        <x:v>If not met</x:v>
      </x:c>
      <x:c r="G6" s="17" t="str">
        <x:v>Sources</x:v>
      </x:c>
    </x:row>
    <x:row r="7" ht="57" customHeight="1">
      <x:c r="A7" s="18" t="str">
        <x:v>I01</x:v>
      </x:c>
      <x:c r="B7" s="18" t="str">
        <x:v>Define the comparison</x:v>
      </x:c>
      <x:c r="C7" s="18" t="str">
        <x:v>Buying and finance</x:v>
      </x:c>
      <x:c r="D7" s="18" t="str">
        <x:v>Match SKU, fibre, construction, quality, order size, season, currency, Incoterm and payment terms. Map current supplier/site and manufacturing chain.</x:v>
      </x:c>
      <x:c r="E7" s="18" t="str">
        <x:v>A comparable incumbent and candidate cost basis exists, with actual NEXT quantities or spend.</x:v>
      </x:c>
      <x:c r="F7" s="18" t="str">
        <x:v>Keep the proposal at investigation stage.</x:v>
      </x:c>
      <x:c r="G7" s="18" t="str">
        <x:v>S01; S03; S08</x:v>
      </x:c>
    </x:row>
    <x:row r="8" ht="57" customHeight="1">
      <x:c r="A8" s="19" t="str">
        <x:v>I02</x:v>
      </x:c>
      <x:c r="B8" s="19" t="str">
        <x:v>Verify the candidate</x:v>
      </x:c>
      <x:c r="C8" s="19" t="str">
        <x:v>Sourcing, customs and responsible sourcing</x:v>
      </x:c>
      <x:c r="D8" s="19" t="str">
        <x:v>Obtain site/process approval, RS01-RS08 evidence, origin proof, product samples, independently evidenced available capacity and service terms.</x:v>
      </x:c>
      <x:c r="E8" s="19" t="str">
        <x:v>All applicable mandatory gates pass; classification, origin and tariff treatment are evidenced.</x:v>
      </x:c>
      <x:c r="F8" s="19" t="str">
        <x:v>Pending prevents clearance. Conditional requires the agreed preconditions to close. Fail excludes new allocation.</x:v>
      </x:c>
      <x:c r="G8" s="19" t="str">
        <x:v>S03; S06; S08</x:v>
      </x:c>
    </x:row>
    <x:row r="9" ht="72" customHeight="1">
      <x:c r="A9" s="18" t="str">
        <x:v>I03</x:v>
      </x:c>
      <x:c r="B9" s="18" t="str">
        <x:v>Approve trial economics and size</x:v>
      </x:c>
      <x:c r="C9" s="18" t="str">
        <x:v>Buying, finance and supply planning</x:v>
      </x:c>
      <x:c r="D9" s="18" t="str">
        <x:v>Use comparable all-in quotes, transition costs and actual cash-cycle assumptions. Test the relevant combined adverse inputs. Size trial from demand, confirmed capacity, service risk and budget.</x:v>
      </x:c>
      <x:c r="E9" s="18" t="str">
        <x:v>Candidate cost fits the approved budget in the agreed downside. Pilot volume, quality and delivery thresholds are documented before ordering.</x:v>
      </x:c>
      <x:c r="F9" s="18" t="str">
        <x:v>Renegotiate, reduce scope or stop. Any resilience premium needs its own evidenced and approved business case.</x:v>
      </x:c>
      <x:c r="G9" s="18" t="str">
        <x:v>S07; S08</x:v>
      </x:c>
    </x:row>
    <x:row r="10" ht="57" customHeight="1">
      <x:c r="A10" s="19" t="str">
        <x:v>I04</x:v>
      </x:c>
      <x:c r="B10" s="19" t="str">
        <x:v>Run a controlled trial</x:v>
      </x:c>
      <x:c r="C10" s="19" t="str">
        <x:v>Quality, buying and logistics</x:v>
      </x:c>
      <x:c r="D10" s="19" t="str">
        <x:v>Test representative products and record landed cost, defect/return rates, on-time/in-full delivery, origin documents and worker-related findings.</x:v>
      </x:c>
      <x:c r="E10" s="19" t="str">
        <x:v>Pre-agreed cost, quality, delivery and gate conditions pass across the agreed trial period.</x:v>
      </x:c>
      <x:c r="F10" s="19" t="str">
        <x:v>Hold expansion, investigate and remediate. Do not extrapolate from an unrepresentative sample.</x:v>
      </x:c>
      <x:c r="G10" s="19" t="str">
        <x:v>WP010 recommendation; S06; S08</x:v>
      </x:c>
    </x:row>
    <x:row r="11" ht="57" customHeight="1">
      <x:c r="A11" s="18" t="str">
        <x:v>I05</x:v>
      </x:c>
      <x:c r="B11" s="18" t="str">
        <x:v>Expand incrementally</x:v>
      </x:c>
      <x:c r="C11" s="18" t="str">
        <x:v>Buying and supply planning</x:v>
      </x:c>
      <x:c r="D11" s="18" t="str">
        <x:v>Reconfirm capacity, demand, quality, service, cost and compliance before each increment. Preserve contingency until replacement reliability is demonstrated.</x:v>
      </x:c>
      <x:c r="E11" s="18" t="str">
        <x:v>Each increment stays inside verified capacity and the approved commercial/risk limits.</x:v>
      </x:c>
      <x:c r="F11" s="18" t="str">
        <x:v>Maintain or reduce the trial allocation; reopen the business case.</x:v>
      </x:c>
      <x:c r="G11" s="18" t="str">
        <x:v>WP010 recommendation; S06; S08</x:v>
      </x:c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 ht="22" customHeight="1">
      <x:c r="A15" s="28" t="str">
        <x:v>Monitoring rules</x:v>
      </x:c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 ht="42" customHeight="1">
      <x:c r="A17" s="15" t="str">
        <x:v>ID</x:v>
      </x:c>
      <x:c r="B17" s="16" t="str">
        <x:v>Indicator</x:v>
      </x:c>
      <x:c r="C17" s="16" t="str">
        <x:v>Review event</x:v>
      </x:c>
      <x:c r="D17" s="16" t="str">
        <x:v>Trigger</x:v>
      </x:c>
      <x:c r="E17" s="16" t="str">
        <x:v>Response</x:v>
      </x:c>
      <x:c r="F17" s="16" t="str">
        <x:v>Proposed function</x:v>
      </x:c>
      <x:c r="G17" s="17" t="str">
        <x:v>Sources</x:v>
      </x:c>
    </x:row>
    <x:row r="18" ht="57" customHeight="1">
      <x:c r="A18" s="18" t="str">
        <x:v>T01</x:v>
      </x:c>
      <x:c r="B18" s="18" t="str">
        <x:v>Comparable landed cost</x:v>
      </x:c>
      <x:c r="C18" s="18" t="str">
        <x:v>At quote approval and each order revision</x:v>
      </x:c>
      <x:c r="D18" s="18" t="str">
        <x:v>Recomputed candidate headroom after all incremental costs is zero or negative, or falls below the approved risk allowance.</x:v>
      </x:c>
      <x:c r="E18" s="18" t="str">
        <x:v>Pause expansion and reprice. A separate resilience case is required to accept a cost increase.</x:v>
      </x:c>
      <x:c r="F18" s="18" t="str">
        <x:v>Finance and buying</x:v>
      </x:c>
      <x:c r="G18" s="18" t="str">
        <x:v>S08</x:v>
      </x:c>
    </x:row>
    <x:row r="19" ht="57" customHeight="1">
      <x:c r="A19" s="19" t="str">
        <x:v>T02</x:v>
      </x:c>
      <x:c r="B19" s="19" t="str">
        <x:v>Dresses premium and duty</x:v>
      </x:c>
      <x:c r="C19" s="19" t="str">
        <x:v>Before preference claim or price change</x:v>
      </x:c>
      <x:c r="D19" s="19" t="str">
        <x:v>Default mix illustration: +4.56% receiver premium exhausts headroom with other costs held constant. Incremental MFN case raises category cost by 0.765%.</x:v>
      </x:c>
      <x:c r="E19" s="19" t="str">
        <x:v>Validate origin before relying on the saving. Recompute for the actual mix; do not treat the default threshold as universal.</x:v>
      </x:c>
      <x:c r="F19" s="19" t="str">
        <x:v>Customs and buying</x:v>
      </x:c>
      <x:c r="G19" s="19" t="str">
        <x:v>S03; S08</x:v>
      </x:c>
    </x:row>
    <x:row r="20" ht="57" customHeight="1">
      <x:c r="A20" s="18" t="str">
        <x:v>T03</x:v>
      </x:c>
      <x:c r="B20" s="18" t="str">
        <x:v>Knitwear price comparability</x:v>
      </x:c>
      <x:c r="C20" s="18" t="str">
        <x:v>At candidate shortlisting and refreshed data</x:v>
      </x:c>
      <x:c r="D20" s="18" t="str">
        <x:v>Turkey's H1 2026 unit value is GBP 6.61/kg reported versus GBP 10.77/kg on three common retained months. Default-mix common-month cost rises 0.024%.</x:v>
      </x:c>
      <x:c r="E20" s="18" t="str">
        <x:v>Require matched-product quotes and a combined downside test before sizing an order.</x:v>
      </x:c>
      <x:c r="F20" s="18" t="str">
        <x:v>Buying and finance</x:v>
      </x:c>
      <x:c r="G20" s="18" t="str">
        <x:v>S05; S08</x:v>
      </x:c>
    </x:row>
    <x:row r="21" ht="57" customHeight="1">
      <x:c r="A21" s="19" t="str">
        <x:v>T04</x:v>
      </x:c>
      <x:c r="B21" s="19" t="str">
        <x:v>Available capacity and receiver expansion</x:v>
      </x:c>
      <x:c r="C21" s="19" t="str">
        <x:v>Before each trial or increment</x:v>
      </x:c>
      <x:c r="D21" s="19" t="str">
        <x:v>Required units exceed evidenced available capacity, or the delivery plan depends on unverified subcontracting.</x:v>
      </x:c>
      <x:c r="E21" s="19" t="str">
        <x:v>Cap volume to the evidenced limit or defer. The 35% ceiling, 10pp addition and 3x cap are model controls only.</x:v>
      </x:c>
      <x:c r="F21" s="19" t="str">
        <x:v>Sourcing and supply planning</x:v>
      </x:c>
      <x:c r="G21" s="19" t="str">
        <x:v>S06; S07; S08</x:v>
      </x:c>
    </x:row>
    <x:row r="22" ht="42" customHeight="1">
      <x:c r="A22" s="18" t="str">
        <x:v>T05</x:v>
      </x:c>
      <x:c r="B22" s="18" t="str">
        <x:v>Quality and delivery</x:v>
      </x:c>
      <x:c r="C22" s="18" t="str">
        <x:v>During every trial and repeat-order review</x:v>
      </x:c>
      <x:c r="D22" s="18" t="str">
        <x:v>Measured quality, returns, delivery or inventory exposure breaches the SKU-specific limits agreed before the trial.</x:v>
      </x:c>
      <x:c r="E22" s="18" t="str">
        <x:v>Hold expansion and investigate. Financial cash-day thresholds are not delivery-time allowances.</x:v>
      </x:c>
      <x:c r="F22" s="18" t="str">
        <x:v>Quality and logistics</x:v>
      </x:c>
      <x:c r="G22" s="18" t="str">
        <x:v>S08; WP010 recommendation</x:v>
      </x:c>
    </x:row>
    <x:row r="23" ht="57" customHeight="1">
      <x:c r="A23" s="19" t="str">
        <x:v>T06</x:v>
      </x:c>
      <x:c r="B23" s="19" t="str">
        <x:v>Responsible sourcing</x:v>
      </x:c>
      <x:c r="C23" s="19" t="str">
        <x:v>Before production and on a new finding</x:v>
      </x:c>
      <x:c r="D23" s="19" t="str">
        <x:v>Any applicable gate is Fail, Pending or has unresolved Conditional preconditions. SC remains undefined until authoritative clarification.</x:v>
      </x:c>
      <x:c r="E23" s="19" t="str">
        <x:v>Fail excludes new allocation; Pending/Conditional prevents clearance. Verify remedy and approval before proceeding.</x:v>
      </x:c>
      <x:c r="F23" s="19" t="str">
        <x:v>Responsible sourcing</x:v>
      </x:c>
      <x:c r="G23" s="19" t="str">
        <x:v>S06</x:v>
      </x:c>
    </x:row>
    <x:row r="24" ht="72" customHeight="1">
      <x:c r="A24" s="18" t="str">
        <x:v>T07</x:v>
      </x:c>
      <x:c r="B24" s="18" t="str">
        <x:v>Policy and origin evidence</x:v>
      </x:c>
      <x:c r="C24" s="18" t="str">
        <x:v>Before customs entry and on an official notice</x:v>
      </x:c>
      <x:c r="D24" s="18" t="str">
        <x:v>Applicable rate, classification, origin rule or preference entitlement changes or is not evidenced.</x:v>
      </x:c>
      <x:c r="E24" s="18" t="str">
        <x:v>Use the defensible fallback in the candidate business case and re-evaluate. Bangladesh preference transition is a reassessment point, not an assumed tariff cliff.</x:v>
      </x:c>
      <x:c r="F24" s="18" t="str">
        <x:v>Customs</x:v>
      </x:c>
      <x:c r="G24" s="18" t="str">
        <x:v>S03; S09; S10</x:v>
      </x:c>
    </x:row>
    <x:row r="25" ht="57" customHeight="1">
      <x:c r="A25" s="19" t="str">
        <x:v>T08</x:v>
      </x:c>
      <x:c r="B25" s="19" t="str">
        <x:v>Concentration and dependencies</x:v>
      </x:c>
      <x:c r="C25" s="19" t="str">
        <x:v>Before each proposed reallocation</x:v>
      </x:c>
      <x:c r="D25" s="19" t="str">
        <x:v>Actual procurement concentration increases, or the candidate shares an unaddressed upstream, location or logistics dependency.</x:v>
      </x:c>
      <x:c r="E25" s="19" t="str">
        <x:v>Do not label the change diversification without a demonstrated improvement in the intended exposure.</x:v>
      </x:c>
      <x:c r="F25" s="19" t="str">
        <x:v>Supply planning</x:v>
      </x:c>
      <x:c r="G25" s="19" t="str">
        <x:v>S01; S02; S08</x:v>
      </x:c>
    </x:row>
    <x:row r="26" ht="42" customHeight="1">
      <x:c r="A26" s="18" t="str">
        <x:v>T09</x:v>
      </x:c>
      <x:c r="B26" s="18" t="str">
        <x:v>Evidence refresh</x:v>
      </x:c>
      <x:c r="C26" s="18" t="str">
        <x:v>On new source data or model changes</x:v>
      </x:c>
      <x:c r="D26" s="18" t="str">
        <x:v>Inputs, mix weights, operating assumptions or model logic differ from the saved WP009 evidence.</x:v>
      </x:c>
      <x:c r="E26" s="18" t="str">
        <x:v>Refresh affected comparisons and QC, then reassess the recommendation. Preserve the archived baseline.</x:v>
      </x:c>
      <x:c r="F26" s="18" t="str">
        <x:v>Analysis owner</x:v>
      </x:c>
      <x:c r="G26" s="18" t="str">
        <x:v>S08</x:v>
      </x:c>
    </x:row>
    <x:row r="27" ht="64" customHeight="1">
      <x:c r="A27" s="2" t="str">
        <x:v>T10</x:v>
      </x:c>
      <x:c r="B27" s="2" t="str">
        <x:v>Decision closure</x:v>
      </x:c>
      <x:c r="C27" s="2" t="str">
        <x:v>At the agreed category review date</x:v>
      </x:c>
      <x:c r="D27" s="2" t="str">
        <x:v>No acceptable candidate case remains within the defined scope and evidence window.</x:v>
      </x:c>
      <x:c r="E27" s="2" t="str">
        <x:v>Close the proposed reallocation. Reopen only for a specified material change.</x:v>
      </x:c>
      <x:c r="F27" s="2" t="str">
        <x:v>Buying and analysis owner</x:v>
      </x:c>
      <x:c r="G27" s="2" t="str">
        <x:v>WP010; S06; S08</x:v>
      </x:c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 ht="22" customHeight="1">
      <x:c r="A30" s="28" t="str">
        <x:v>Mandatory responsible-sourcing evidence</x:v>
      </x:c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 ht="42" customHeight="1">
      <x:c r="A32" s="15" t="str">
        <x:v>Gate</x:v>
      </x:c>
      <x:c r="B32" s="16" t="str">
        <x:v>Requirement</x:v>
      </x:c>
      <x:c r="C32" s="17" t="str">
        <x:v>Evidence summary</x:v>
      </x:c>
      <x:c r="D32" s="2"/>
      <x:c r="E32" s="2"/>
      <x:c r="F32" s="2"/>
      <x:c r="G32" s="2"/>
    </x:row>
    <x:row r="33" ht="57" customHeight="1">
      <x:c r="A33" s="18" t="str">
        <x:v>RS01</x:v>
      </x:c>
      <x:c r="B33" s="18" t="str">
        <x:v>Declared and approved production</x:v>
      </x:c>
      <x:c r="C33" s="18" t="str">
        <x:v>Site identity, relationships, proposed processes and authorised subcontractors.</x:v>
      </x:c>
      <x:c r="D33" s="2"/>
      <x:c r="E33" s="2"/>
      <x:c r="F33" s="2"/>
      <x:c r="G33" s="2"/>
    </x:row>
    <x:row r="34" ht="57" customHeight="1">
      <x:c r="A34" s="19" t="str">
        <x:v>RS02</x:v>
      </x:c>
      <x:c r="B34" s="19" t="str">
        <x:v>Audit and production clearance</x:v>
      </x:c>
      <x:c r="C34" s="19" t="str">
        <x:v>Applicable audit, findings, corrective actions and current production clearance.</x:v>
      </x:c>
      <x:c r="D34" s="2"/>
      <x:c r="E34" s="2"/>
      <x:c r="F34" s="2"/>
      <x:c r="G34" s="2"/>
    </x:row>
    <x:row r="35" ht="72" customHeight="1">
      <x:c r="A35" s="18" t="str">
        <x:v>RS03</x:v>
      </x:c>
      <x:c r="B35" s="18" t="str">
        <x:v>Forced labour, child labour and recruitment</x:v>
      </x:c>
      <x:c r="C35" s="18" t="str">
        <x:v>Worker and recruitment evidence, age checks, fees, documents, wages and freedom of movement.</x:v>
      </x:c>
      <x:c r="D35" s="2"/>
      <x:c r="E35" s="2"/>
      <x:c r="F35" s="2"/>
      <x:c r="G35" s="2"/>
    </x:row>
    <x:row r="36" ht="57" customHeight="1">
      <x:c r="A36" s="19" t="str">
        <x:v>RS04</x:v>
      </x:c>
      <x:c r="B36" s="19" t="str">
        <x:v>Safe and fair working conditions</x:v>
      </x:c>
      <x:c r="C36" s="19" t="str">
        <x:v>Safety, pay, hours, contracts, treatment and corrective-action evidence.</x:v>
      </x:c>
      <x:c r="D36" s="2"/>
      <x:c r="E36" s="2"/>
      <x:c r="F36" s="2"/>
      <x:c r="G36" s="2"/>
    </x:row>
    <x:row r="37" ht="57" customHeight="1">
      <x:c r="A37" s="18" t="str">
        <x:v>RS05</x:v>
      </x:c>
      <x:c r="B37" s="18" t="str">
        <x:v>Worker voice and remedy</x:v>
      </x:c>
      <x:c r="C37" s="18" t="str">
        <x:v>Worker consultation, representation, grievances and remedy.</x:v>
      </x:c>
      <x:c r="D37" s="2"/>
      <x:c r="E37" s="2"/>
      <x:c r="F37" s="2"/>
      <x:c r="G37" s="2"/>
    </x:row>
    <x:row r="38" ht="72" customHeight="1">
      <x:c r="A38" s="19" t="str">
        <x:v>RS06</x:v>
      </x:c>
      <x:c r="B38" s="19" t="str">
        <x:v>Materials and forced-labour traceability</x:v>
      </x:c>
      <x:c r="C38" s="19" t="str">
        <x:v>Product material and processing chain; cotton-origin evidence where applicable.</x:v>
      </x:c>
      <x:c r="D38" s="2"/>
      <x:c r="E38" s="2"/>
      <x:c r="F38" s="2"/>
      <x:c r="G38" s="2"/>
    </x:row>
    <x:row r="39" ht="57" customHeight="1">
      <x:c r="A39" s="18" t="str">
        <x:v>RS07</x:v>
      </x:c>
      <x:c r="B39" s="18" t="str">
        <x:v>Remediation and evidence integrity</x:v>
      </x:c>
      <x:c r="C39" s="18" t="str">
        <x:v>Agreed corrective actions, owners, deadlines, verified remedy and reliable records.</x:v>
      </x:c>
      <x:c r="D39" s="2"/>
      <x:c r="E39" s="2"/>
      <x:c r="F39" s="2"/>
      <x:c r="G39" s="2"/>
    </x:row>
    <x:row r="40" ht="72" customHeight="1">
      <x:c r="A40" s="19" t="str">
        <x:v>RS08</x:v>
      </x:c>
      <x:c r="B40" s="19" t="str">
        <x:v>Risk-specific due diligence</x:v>
      </x:c>
      <x:c r="C40" s="19" t="str">
        <x:v>Country/process/worker risks and required enhanced safeguards. Myanmar exclusion remains.</x:v>
      </x:c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 ht="22" customHeight="1">
      <x:c r="A43" s="2" t="str">
        <x:v>S06: Pass requires all applicable gates to pass. Fail excludes new allocation; Pending and unresolved Conditional prevent clearance.</x:v>
      </x:c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The 11 “site not audited” and five “can’t find on SC” entries remain historical review inputs. SC is not authoritatively defined.</x:v>
      </x:c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 ht="22" customHeight="1">
      <x:c r="A47" s="2" t="str">
        <x:v>Zero published annotations do not clear a site. Myanmar remains excluded from actionable additional allocation under D008/D020.</x:v>
      </x:c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 ht="26" customHeight="1">
      <x:c r="A49" s="37" t="str">
        <x:v>Stop conditions for the proposed reallocation</x:v>
      </x:c>
      <x:c r="B49" s="37"/>
      <x:c r="C49" s="37"/>
      <x:c r="D49" s="37"/>
      <x:c r="E49" s="37"/>
      <x:c r="F49" s="37"/>
      <x:c r="G49" s="37"/>
    </x:row>
    <x:row r="50">
      <x:c r="A50" s="2"/>
      <x:c r="B50" s="2"/>
      <x:c r="C50" s="2"/>
      <x:c r="D50" s="2"/>
      <x:c r="E50" s="2"/>
      <x:c r="F50" s="2"/>
      <x:c r="G50" s="2"/>
    </x:row>
    <x:row r="51" ht="42" customHeight="1">
      <x:c r="A51" s="50" t="str">
        <x:v>ID</x:v>
      </x:c>
      <x:c r="B51" s="51" t="str">
        <x:v>Stop condition</x:v>
      </x:c>
      <x:c r="C51" s="51" t="str">
        <x:v>Evidence basis</x:v>
      </x:c>
      <x:c r="D51" s="51" t="str">
        <x:v>Recorded decision</x:v>
      </x:c>
      <x:c r="E51" s="51" t="str">
        <x:v>Exception or qualification</x:v>
      </x:c>
      <x:c r="F51" s="51" t="str">
        <x:v>Reopening event</x:v>
      </x:c>
      <x:c r="G51" s="52" t="str">
        <x:v>Sources</x:v>
      </x:c>
    </x:row>
    <x:row r="52" ht="108" customHeight="1">
      <x:c r="A52" s="53" t="str">
        <x:v>ST01</x:v>
      </x:c>
      <x:c r="B52" s="53" t="str">
        <x:v>No cleared candidate</x:v>
      </x:c>
      <x:c r="C52" s="53" t="str">
        <x:v>No candidate meets mandatory gates within the agreed evidence window, and no further candidate is identified.</x:v>
      </x:c>
      <x:c r="D52" s="53" t="str">
        <x:v>Do not proceed with the proposed allocation.</x:v>
      </x:c>
      <x:c r="E52" s="53" t="str">
        <x:v>Pending evidence is not a compliance failure. Incumbent compliance remains a separate obligation.</x:v>
      </x:c>
      <x:c r="F52" s="53" t="str">
        <x:v>New candidate or authoritative clearance evidence.</x:v>
      </x:c>
      <x:c r="G52" s="53" t="str">
        <x:v>S06; WP010</x:v>
      </x:c>
    </x:row>
    <x:row r="53" ht="108" customHeight="1">
      <x:c r="A53" s="54" t="str">
        <x:v>ST02</x:v>
      </x:c>
      <x:c r="B53" s="54" t="str">
        <x:v>No acceptable commercial case</x:v>
      </x:c>
      <x:c r="C53" s="54" t="str">
        <x:v>Comparable actual costs fail the agreed combined-downside test for the proposed mix.</x:v>
      </x:c>
      <x:c r="D53" s="54" t="str">
        <x:v>Do not proceed on the proposed terms.</x:v>
      </x:c>
      <x:c r="E53" s="54" t="str">
        <x:v>A separately evidenced and approved resilience case may justify additional cost. Default headroom is not a fixed budget.</x:v>
      </x:c>
      <x:c r="F53" s="54" t="str">
        <x:v>Material change in comparable quotes, costs, origin or policy.</x:v>
      </x:c>
      <x:c r="G53" s="54" t="str">
        <x:v>S08; WP010</x:v>
      </x:c>
    </x:row>
    <x:row r="54" ht="108" customHeight="1">
      <x:c r="A54" s="53" t="str">
        <x:v>ST03</x:v>
      </x:c>
      <x:c r="B54" s="53" t="str">
        <x:v>Insufficient verified capacity</x:v>
      </x:c>
      <x:c r="C54" s="53" t="str">
        <x:v>Available capacity cannot meet the worthwhile trial or concentration objective agreed before evaluation.</x:v>
      </x:c>
      <x:c r="D54" s="53" t="str">
        <x:v>Close this scale of proposal or assess a separately justified smaller trial.</x:v>
      </x:c>
      <x:c r="E54" s="53" t="str">
        <x:v>Do not treat the 3x proxy cap as capacity evidence or require an arbitrary minimum share.</x:v>
      </x:c>
      <x:c r="F54" s="53" t="str">
        <x:v>Verified capacity or trial requirements materially change.</x:v>
      </x:c>
      <x:c r="G54" s="53" t="str">
        <x:v>S07; S08; WP010</x:v>
      </x:c>
    </x:row>
    <x:row r="55" ht="108" customHeight="1">
      <x:c r="A55" s="54" t="str">
        <x:v>ST04</x:v>
      </x:c>
      <x:c r="B55" s="54" t="str">
        <x:v>Intended exposure does not improve</x:v>
      </x:c>
      <x:c r="C55" s="54" t="str">
        <x:v>The concentration case disappears with actual procurement weights, or a material shared dependency remains.</x:v>
      </x:c>
      <x:c r="D55" s="54" t="str">
        <x:v>Do not proceed as diversification.</x:v>
      </x:c>
      <x:c r="E55" s="54" t="str">
        <x:v>A separate cost or other business case requires its own rationale.</x:v>
      </x:c>
      <x:c r="F55" s="54" t="str">
        <x:v>New exposure mapping, alternative mix or candidate.</x:v>
      </x:c>
      <x:c r="G55" s="54" t="str">
        <x:v>S01; S02; S08; WP010</x:v>
      </x:c>
    </x:row>
    <x:row r="56">
      <x:c r="A56" s="2"/>
      <x:c r="B56" s="2"/>
      <x:c r="C56" s="2"/>
      <x:c r="D56" s="2"/>
      <x:c r="E56" s="2"/>
      <x:c r="F56" s="2"/>
      <x:c r="G56" s="2"/>
    </x:row>
    <x:row r="57" ht="42" customHeight="1">
      <x:c r="A57" s="37" t="str">
        <x:v>Agree the review date, candidate scope, evidence window and acceptance criteria before validation. Hold is temporary; closure is a recorded decision on the proposed transfer.</x:v>
      </x:c>
      <x:c r="B57" s="37"/>
      <x:c r="C57" s="37"/>
      <x:c r="D57" s="37"/>
      <x:c r="E57" s="37"/>
      <x:c r="F57" s="37"/>
      <x:c r="G57" s="37"/>
    </x:row>
    <x:row r="58">
      <x:c r="A58" s="2"/>
      <x:c r="B58" s="2"/>
      <x:c r="C58" s="2"/>
      <x:c r="D58" s="2"/>
      <x:c r="E58" s="2"/>
      <x:c r="F58" s="2"/>
      <x:c r="G58" s="2"/>
    </x:row>
    <x:row r="59" ht="46" customHeight="1">
      <x:c r="A59" s="37" t="str">
        <x:v>Close the tested cotton-shirt blend and cotton T-shirt diversification proposals. Advance the two synthetic categories conditionally. If neither clears, stand down this proposed programme; do not force a reallocation.</x:v>
      </x:c>
      <x:c r="B59" s="37"/>
      <x:c r="C59" s="37"/>
      <x:c r="D59" s="37"/>
      <x:c r="E59" s="37"/>
      <x:c r="F59" s="37"/>
      <x:c r="G59" s="37"/>
    </x:row>
    <x:row r="60">
      <x:c r="A60" s="2"/>
      <x:c r="B60" s="2"/>
      <x:c r="C60" s="2"/>
      <x:c r="D60" s="2"/>
      <x:c r="E60" s="2"/>
      <x:c r="F60" s="2"/>
      <x:c r="G60" s="2"/>
    </x:row>
    <x:row r="61" ht="40" customHeight="1">
      <x:c r="A61" s="37" t="str">
        <x:v>Not proceeding does not establish that incumbent sourcing is optimal or compliant. Reopening requires a specified material change, not the routine passage of time.</x:v>
      </x:c>
      <x:c r="B61" s="37"/>
      <x:c r="C61" s="37"/>
      <x:c r="D61" s="37"/>
      <x:c r="E61" s="37"/>
      <x:c r="F61" s="37"/>
      <x:c r="G61" s="37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</x:sheetData>
  <x:mergeCells>
    <x:mergeCell ref="A49:G49"/>
    <x:mergeCell ref="A57:G57"/>
    <x:mergeCell ref="A59:G59"/>
    <x:mergeCell ref="A61:G6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7.780000686645508" hidden="0" customWidth="1"/>
    <x:col min="3" max="3" width="46.66999816894531" hidden="0" customWidth="1"/>
    <x:col min="4" max="4" width="52.220001220703125" hidden="0" customWidth="1"/>
    <x:col min="5" max="5" width="52.220001220703125" hidden="0" customWidth="1"/>
    <x:col min="6" max="6" width="18.88999938964843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Hypothesis conclusions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2" customHeight="1">
      <x:c r="A4" s="2" t="str">
        <x:v>Assessment against the original support and rejection criteria. Partial testing is not automatic support.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2" customHeight="1">
      <x:c r="A6" s="15" t="str">
        <x:v>ID</x:v>
      </x:c>
      <x:c r="B6" s="16" t="str">
        <x:v>Assessment</x:v>
      </x:c>
      <x:c r="C6" s="16" t="str">
        <x:v>Conclusion</x:v>
      </x:c>
      <x:c r="D6" s="16" t="str">
        <x:v>Evidence</x:v>
      </x:c>
      <x:c r="E6" s="16" t="str">
        <x:v>What remains unresolved</x:v>
      </x:c>
      <x:c r="F6" s="17" t="str">
        <x:v>Sources</x:v>
      </x:c>
    </x:row>
    <x:row r="7" ht="42" customHeight="1">
      <x:c r="A7" s="18" t="str">
        <x:v>H1</x:v>
      </x:c>
      <x:c r="B7" s="18" t="str">
        <x:v>Partially tested</x:v>
      </x:c>
      <x:c r="C7" s="18" t="str">
        <x:v>Supplier/site dispersion is established; the reduction in disruption risk is not.</x:v>
      </x:c>
      <x:c r="D7" s="18" t="str">
        <x:v>1,478 official Site IDs and 661 review-resolved channel groups. Relationship HHI differs by grouping and is not spend HHI.</x:v>
      </x:c>
      <x:c r="E7" s="18" t="str">
        <x:v>Exposure weights, independent upstream dependencies and disruption channels are needed to quantify risk reduction.</x:v>
      </x:c>
      <x:c r="F7" s="18" t="str">
        <x:v>S01; S02; S05</x:v>
      </x:c>
    </x:row>
    <x:row r="8" ht="57" customHeight="1">
      <x:c r="A8" s="19" t="str">
        <x:v>H2</x:v>
      </x:c>
      <x:c r="B8" s="19" t="str">
        <x:v>Partially tested</x:v>
      </x:c>
      <x:c r="C8" s="19" t="str">
        <x:v>India's conditional tariff case is supported; the commercial and clearance conditions are unresolved.</x:v>
      </x:c>
      <x:c r="D8" s="19" t="str">
        <x:v>The archived eligible scenario removes India's selected-code tariff. Dresses have meaningful trade presence; MMF knitwear starts from 0.35% of ten-country mass.</x:v>
      </x:c>
      <x:c r="E8" s="19" t="str">
        <x:v>Confirm product match, origin entitlement, actual quote economics, capacity and all responsible-sourcing gates. No policy-induced trade effect is identified.</x:v>
      </x:c>
      <x:c r="F8" s="19" t="str">
        <x:v>S03; S05; S06; S08</x:v>
      </x:c>
    </x:row>
    <x:row r="9" ht="42" customHeight="1">
      <x:c r="A9" s="18" t="str">
        <x:v>H3</x:v>
      </x:c>
      <x:c r="B9" s="18" t="str">
        <x:v>Partially tested</x:v>
      </x:c>
      <x:c r="C9" s="18" t="str">
        <x:v>Bangladesh's cotton scale is supported; mandatory-gate and supplier economics conclusions remain conditional.</x:v>
      </x:c>
      <x:c r="D9" s="18" t="str">
        <x:v>Bangladesh accounts for 58.6% of cotton T-shirt and 54.7% of cotton-shirt baseline mass, with 194 listed Tier 1 sites.</x:v>
      </x:c>
      <x:c r="E9" s="18" t="str">
        <x:v>No site is cleared by this analysis. Concentration remains a separate concern; the model does not test Bangladesh as donor.</x:v>
      </x:c>
      <x:c r="F9" s="18" t="str">
        <x:v>S02; S03; S05; S06; S08</x:v>
      </x:c>
    </x:row>
    <x:row r="10" ht="57" customHeight="1">
      <x:c r="A10" s="19" t="str">
        <x:v>H4</x:v>
      </x:c>
      <x:c r="B10" s="19" t="str">
        <x:v>Partially tested</x:v>
      </x:c>
      <x:c r="C10" s="19" t="str">
        <x:v>Selective commercial validation is justified; optimality and dominance over wholesale withdrawal are not demonstrated.</x:v>
      </x:c>
      <x:c r="D10" s="19" t="str">
        <x:v>Synthetic shifts lower HHI; cotton shifts raise it. Receiver limits bound illustrative scale. The 3x cap is an assumption, not proof of capacity.</x:v>
      </x:c>
      <x:c r="E10" s="19" t="str">
        <x:v>No comprehensive optimisation, joint worst-case ensemble, transition study or quantified disruption benefit is available.</x:v>
      </x:c>
      <x:c r="F10" s="19" t="str">
        <x:v>S07; S08</x:v>
      </x:c>
    </x:row>
    <x:row r="11" ht="108" customHeight="1">
      <x:c r="A11" s="18" t="str">
        <x:v>H5</x:v>
      </x:c>
      <x:c r="B11" s="18" t="str">
        <x:v>Partially tested</x:v>
      </x:c>
      <x:c r="C11" s="18" t="str">
        <x:v>Observed synthetic presence is supported. The claim that China is economically hardest to displace is challenged.</x:v>
      </x:c>
      <x:c r="D11" s="18" t="str">
        <x:v>85.61% of China's selected-basket import value lies in the synthetic pair. Costs fall in 24/26 knitwear and 21/26 dress cases. The cotton-shirt blend result does not generalise to all alternatives.</x:v>
      </x:c>
      <x:c r="E11" s="18" t="str">
        <x:v>Product, quality and capability equivalence remain unproven. India's individual shirt benchmark is below China's; neither full support nor rejection criteria are established.</x:v>
      </x:c>
      <x:c r="F11" s="18" t="str">
        <x:v>S03; S05; S08</x:v>
      </x:c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 ht="22" customHeight="1">
      <x:c r="A14" s="2" t="str">
        <x:v>Assessments preserve the original support and rejection criteria. Unresolved evidence remains a condition of implementation.</x:v>
      </x:c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42.220001220703125" hidden="0" customWidth="1"/>
    <x:col min="3" max="3" width="18.889999389648438" hidden="0" customWidth="1"/>
    <x:col min="4" max="4" width="56.66999816894531" hidden="0" customWidth="1"/>
    <x:col min="5" max="5" width="51.11000061035156" hidden="0" customWidth="1"/>
    <x:col min="6" max="6" width="17.78000068664550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Coverage of the project question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2" customHeight="1">
      <x:c r="A4" s="2" t="str">
        <x:v>Answers distinguish established findings, modelling pivots and unresolved implementation evidence.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2" customHeight="1">
      <x:c r="A6" s="15" t="str">
        <x:v>ID</x:v>
      </x:c>
      <x:c r="B6" s="16" t="str">
        <x:v>Original question</x:v>
      </x:c>
      <x:c r="C6" s="16" t="str">
        <x:v>Answer type</x:v>
      </x:c>
      <x:c r="D6" s="16" t="str">
        <x:v>WP010 answer</x:v>
      </x:c>
      <x:c r="E6" s="16" t="str">
        <x:v>Practical boundary or next evidence</x:v>
      </x:c>
      <x:c r="F6" s="17" t="str">
        <x:v>Sources</x:v>
      </x:c>
    </x:row>
    <x:row r="7" ht="57" customHeight="1">
      <x:c r="A7" s="18" t="str">
        <x:v>0.1</x:v>
      </x:c>
      <x:c r="B7" s="18" t="str">
        <x:v>Can public disclosures establish a defensible NEXT-branded apparel country-allocation baseline?</x:v>
      </x:c>
      <x:c r="C7" s="18" t="str">
        <x:v>Scope pivot</x:v>
      </x:c>
      <x:c r="D7" s="18" t="str">
        <x:v>Public evidence does not establish NEXT own-brand apparel country-value allocations. Use disclosed footprint for company context and UK trade for category scenarios.</x:v>
      </x:c>
      <x:c r="E7" s="18" t="str">
        <x:v>Actual procurement mapping would permit supplier/SKU allocation advice.</x:v>
      </x:c>
      <x:c r="F7" s="18" t="str">
        <x:v>S01</x:v>
      </x:c>
    </x:row>
    <x:row r="8" ht="42" customHeight="1">
      <x:c r="A8" s="19" t="str">
        <x:v>1.1</x:v>
      </x:c>
      <x:c r="B8" s="19" t="str">
        <x:v>How concentrated is NEXT’s comparable-scope sourcing mix?</x:v>
      </x:c>
      <x:c r="C8" s="19" t="str">
        <x:v>Evidence limited</x:v>
      </x:c>
      <x:c r="D8" s="19" t="str">
        <x:v>The 73% top-three figure is broader sourcing-map context. A comparable apparel spend HHI cannot be calculated.</x:v>
      </x:c>
      <x:c r="E8" s="19" t="str">
        <x:v>Do not relabel footprint or trade HHI as NEXT procurement concentration.</x:v>
      </x:c>
      <x:c r="F8" s="19" t="str">
        <x:v>S01; S02</x:v>
      </x:c>
    </x:row>
    <x:row r="9" ht="42" customHeight="1">
      <x:c r="A9" s="18" t="str">
        <x:v>1.2</x:v>
      </x:c>
      <x:c r="B9" s="18" t="str">
        <x:v>Is concentration also present at supplier, factory, region or process level?</x:v>
      </x:c>
      <x:c r="C9" s="18" t="str">
        <x:v>Descriptive answer</x:v>
      </x:c>
      <x:c r="D9" s="18" t="str">
        <x:v>WP003/WP006 establish supplier/channel and official-site dispersion at distinct grains.</x:v>
      </x:c>
      <x:c r="E9" s="18" t="str">
        <x:v>Spend weights and shared upstream risks remain unavailable.</x:v>
      </x:c>
      <x:c r="F9" s="18" t="str">
        <x:v>S02; S05</x:v>
      </x:c>
    </x:row>
    <x:row r="10" ht="42" customHeight="1">
      <x:c r="A10" s="19" t="str">
        <x:v>1.3</x:v>
      </x:c>
      <x:c r="B10" s="19" t="str">
        <x:v>Has concentration risen, remained stable or fallen?</x:v>
      </x:c>
      <x:c r="C10" s="19" t="str">
        <x:v>Scope pivot</x:v>
      </x:c>
      <x:c r="D10" s="19" t="str">
        <x:v>2024 measurement, 2025 brand and 2026 tier changes prevent a defensible five-year like-for-like sourcing trend.</x:v>
      </x:c>
      <x:c r="E10" s="19" t="str">
        <x:v>Do not attribute reported share movements to reallocation.</x:v>
      </x:c>
      <x:c r="F10" s="19" t="str">
        <x:v>S01</x:v>
      </x:c>
    </x:row>
    <x:row r="11" ht="42" customHeight="1">
      <x:c r="A11" s="18" t="str">
        <x:v>1.4</x:v>
      </x:c>
      <x:c r="B11" s="18" t="str">
        <x:v>What exposure results from defined disruption scenarios?</x:v>
      </x:c>
      <x:c r="C11" s="18" t="str">
        <x:v>Further work</x:v>
      </x:c>
      <x:c r="D11" s="18" t="str">
        <x:v>Country HHI is a concentration proxy; disruption losses, probabilities and recovery times were not modelled.</x:v>
      </x:c>
      <x:c r="E11" s="18" t="str">
        <x:v>Quantify specific dependencies and disruption scenarios before paying a resilience premium.</x:v>
      </x:c>
      <x:c r="F11" s="18" t="str">
        <x:v>S01; S08</x:v>
      </x:c>
    </x:row>
    <x:row r="12" ht="57" customHeight="1">
      <x:c r="A12" s="19" t="str">
        <x:v>1.5</x:v>
      </x:c>
      <x:c r="B12" s="19" t="str">
        <x:v>How does NEXT’s concentration compare with the relevant UK apparel-import market?</x:v>
      </x:c>
      <x:c r="C12" s="19" t="str">
        <x:v>Evidence limited</x:v>
      </x:c>
      <x:c r="D12" s="19" t="str">
        <x:v>Company footprint and UK trade have different populations and weights. No like-for-like company-versus-market concentration ranking is established.</x:v>
      </x:c>
      <x:c r="E12" s="19" t="str">
        <x:v>Use separate labels and denominators.</x:v>
      </x:c>
      <x:c r="F12" s="19" t="str">
        <x:v>S01; S05</x:v>
      </x:c>
    </x:row>
    <x:row r="13" ht="42" customHeight="1">
      <x:c r="A13" s="18" t="str">
        <x:v>2.1</x:v>
      </x:c>
      <x:c r="B13" s="18" t="str">
        <x:v>What statutory and preferential tariffs apply by product and origin?</x:v>
      </x:c>
      <x:c r="C13" s="18" t="str">
        <x:v>Dated policy scenarios</x:v>
      </x:c>
      <x:c r="D13" s="18" t="str">
        <x:v>WP004 establishes code-specific archived eligible and fallback rates used in WP008/WP009.</x:v>
      </x:c>
      <x:c r="E13" s="18" t="str">
        <x:v>Revalidate classification, date and actual entitlement before a transaction.</x:v>
      </x:c>
      <x:c r="F13" s="18" t="str">
        <x:v>S03; S08</x:v>
      </x:c>
    </x:row>
    <x:row r="14" ht="42" customHeight="1">
      <x:c r="A14" s="19" t="str">
        <x:v>2.2</x:v>
      </x:c>
      <x:c r="B14" s="19" t="str">
        <x:v>Can suppliers satisfy the rules of origin required to claim those preferences?</x:v>
      </x:c>
      <x:c r="C14" s="19" t="str">
        <x:v>Evidence limited</x:v>
      </x:c>
      <x:c r="D14" s="19" t="str">
        <x:v>Preference is conditional on supplier/product origin evidence. No candidate is cleared.</x:v>
      </x:c>
      <x:c r="E14" s="19" t="str">
        <x:v>Use a substantiated rate or fallback; a dispatch country does not prove origin.</x:v>
      </x:c>
      <x:c r="F14" s="19" t="str">
        <x:v>S03; S06</x:v>
      </x:c>
    </x:row>
    <x:row r="15" ht="42" customHeight="1">
      <x:c r="A15" s="18" t="str">
        <x:v>2.3</x:v>
      </x:c>
      <x:c r="B15" s="18" t="str">
        <x:v>How do observed UK import unit values compare by country?</x:v>
      </x:c>
      <x:c r="C15" s="18" t="str">
        <x:v>Benchmark answer</x:v>
      </x:c>
      <x:c r="D15" s="18" t="str">
        <x:v>Reported and screened unit values support category comparisons and reveal material price sensitivity.</x:v>
      </x:c>
      <x:c r="E15" s="18" t="str">
        <x:v>They are market border benchmarks, not matched-product supplier quotes.</x:v>
      </x:c>
      <x:c r="F15" s="18" t="str">
        <x:v>S05; S08</x:v>
      </x:c>
    </x:row>
    <x:row r="16" ht="42" customHeight="1">
      <x:c r="A16" s="19" t="str">
        <x:v>2.4</x:v>
      </x:c>
      <x:c r="B16" s="19" t="str">
        <x:v>How do freight, lead time and working-capital requirements differ?</x:v>
      </x:c>
      <x:c r="C16" s="19" t="str">
        <x:v>Threshold answer</x:v>
      </x:c>
      <x:c r="D16" s="19" t="str">
        <x:v>WP009 tests named operating additions and incremental cash-cycle days. International freight is already in the border-value basis.</x:v>
      </x:c>
      <x:c r="E16" s="19" t="str">
        <x:v>Actual route lead times and service levels need candidate evidence.</x:v>
      </x:c>
      <x:c r="F16" s="19" t="str">
        <x:v>S08</x:v>
      </x:c>
    </x:row>
    <x:row r="17" ht="30" customHeight="1">
      <x:c r="A17" s="18" t="str">
        <x:v>2.5</x:v>
      </x:c>
      <x:c r="B17" s="18" t="str">
        <x:v>How are FX, wages and major input costs changing?</x:v>
      </x:c>
      <x:c r="C17" s="18" t="str">
        <x:v>Further work</x:v>
      </x:c>
      <x:c r="D17" s="18" t="str">
        <x:v>FX, wages and input-price attribution are outside the completed model.</x:v>
      </x:c>
      <x:c r="E17" s="18" t="str">
        <x:v>Refresh comparable quotes when these drivers change.</x:v>
      </x:c>
      <x:c r="F17" s="18" t="str">
        <x:v>S01; S08</x:v>
      </x:c>
    </x:row>
    <x:row r="18" ht="100" customHeight="1">
      <x:c r="A18" s="19" t="str">
        <x:v>2.6</x:v>
      </x:c>
      <x:c r="B18" s="19" t="str">
        <x:v>What are the estimated duty-paid and operational landed costs?</x:v>
      </x:c>
      <x:c r="C18" s="19" t="str">
        <x:v>Threshold answer</x:v>
      </x:c>
      <x:c r="D18" s="19" t="str">
        <x:v>Duty-paid benchmarks and mix-specific operating headroom are calculated. Knitwear thresholds vary with mix and price screen.</x:v>
      </x:c>
      <x:c r="E18" s="19" t="str">
        <x:v>Actual supplier landed costs and combined downside require comparable quotes.</x:v>
      </x:c>
      <x:c r="F18" s="19" t="str">
        <x:v>S07; S08</x:v>
      </x:c>
    </x:row>
    <x:row r="19" ht="42" customHeight="1">
      <x:c r="A19" s="18" t="str">
        <x:v>3.1</x:v>
      </x:c>
      <x:c r="B19" s="18" t="str">
        <x:v>Which countries demonstrate sufficient apparel-export scale and growth?</x:v>
      </x:c>
      <x:c r="C19" s="18" t="str">
        <x:v>Screening answer</x:v>
      </x:c>
      <x:c r="D19" s="18" t="str">
        <x:v>WP006 gives code-specific trade scale, world share and paired-period growth.</x:v>
      </x:c>
      <x:c r="E19" s="18" t="str">
        <x:v>No spare capacity is inferred. CAGR, volatility and a universal capability cutoff were not implemented.</x:v>
      </x:c>
      <x:c r="F19" s="18" t="str">
        <x:v>S05</x:v>
      </x:c>
    </x:row>
    <x:row r="20" ht="42" customHeight="1">
      <x:c r="A20" s="19" t="str">
        <x:v>3.2</x:v>
      </x:c>
      <x:c r="B20" s="19" t="str">
        <x:v>Which countries possess the required product capability?</x:v>
      </x:c>
      <x:c r="C20" s="19" t="str">
        <x:v>Evidence limited</x:v>
      </x:c>
      <x:c r="D20" s="19" t="str">
        <x:v>Trade presence supports country-level investigation; coarse APPAREL labels cannot prove CN8 or SKU capability.</x:v>
      </x:c>
      <x:c r="E20" s="19" t="str">
        <x:v>Approve samples, processes, quality and capacity at the proposed site.</x:v>
      </x:c>
      <x:c r="F20" s="19" t="str">
        <x:v>S02; S03; S05</x:v>
      </x:c>
    </x:row>
    <x:row r="21" ht="42" customHeight="1">
      <x:c r="A21" s="18" t="str">
        <x:v>3.3</x:v>
      </x:c>
      <x:c r="B21" s="18" t="str">
        <x:v>Where does NEXT already have a meaningful supplier footprint?</x:v>
      </x:c>
      <x:c r="C21" s="18" t="str">
        <x:v>Descriptive answer</x:v>
      </x:c>
      <x:c r="D21" s="18" t="str">
        <x:v>Existing listed Tier 1 sites distinguish established footprint from absence of listed presence.</x:v>
      </x:c>
      <x:c r="E21" s="18" t="str">
        <x:v>Site counts do not determine spare capacity or executable allocation.</x:v>
      </x:c>
      <x:c r="F21" s="18" t="str">
        <x:v>S02; S05</x:v>
      </x:c>
    </x:row>
    <x:row r="22" ht="42" customHeight="1">
      <x:c r="A22" s="19" t="str">
        <x:v>3.4</x:v>
      </x:c>
      <x:c r="B22" s="19" t="str">
        <x:v>What supplier and factory scale can be inferred from public information?</x:v>
      </x:c>
      <x:c r="C22" s="19" t="str">
        <x:v>Evidence limited</x:v>
      </x:c>
      <x:c r="D22" s="19" t="str">
        <x:v>Public site and whole-site worker counts are available, but NEXT-attributable production capacity is not.</x:v>
      </x:c>
      <x:c r="E22" s="19" t="str">
        <x:v>Require site-level available-capacity evidence.</x:v>
      </x:c>
      <x:c r="F22" s="19" t="str">
        <x:v>S02</x:v>
      </x:c>
    </x:row>
    <x:row r="23" ht="42" customHeight="1">
      <x:c r="A23" s="18" t="str">
        <x:v>3.5</x:v>
      </x:c>
      <x:c r="B23" s="18" t="str">
        <x:v>Which supply chains appear capable of meeting origin requirements?</x:v>
      </x:c>
      <x:c r="C23" s="18" t="str">
        <x:v>Evidence limited</x:v>
      </x:c>
      <x:c r="D23" s="18" t="str">
        <x:v>Origin rules are mapped; supplier material and processing chains are unverified.</x:v>
      </x:c>
      <x:c r="E23" s="18" t="str">
        <x:v>Customs origin assessment remains separate from responsible-sourcing traceability.</x:v>
      </x:c>
      <x:c r="F23" s="18" t="str">
        <x:v>S03; S06</x:v>
      </x:c>
    </x:row>
    <x:row r="24" ht="42" customHeight="1">
      <x:c r="A24" s="19" t="str">
        <x:v>3.6</x:v>
      </x:c>
      <x:c r="B24" s="19" t="str">
        <x:v>What allocation constraints should apply to each alternative?</x:v>
      </x:c>
      <x:c r="C24" s="19" t="str">
        <x:v>Modelled constraints</x:v>
      </x:c>
      <x:c r="D24" s="19" t="str">
        <x:v>Scenarios use 35% recipient ceiling, 10pp maximum addition and a 3x baseline-share cap, with alternatives tested.</x:v>
      </x:c>
      <x:c r="E24" s="19" t="str">
        <x:v>Replace proxy limits with evidenced operational constraints for implementation.</x:v>
      </x:c>
      <x:c r="F24" s="19" t="str">
        <x:v>S07; S08</x:v>
      </x:c>
    </x:row>
    <x:row r="25" ht="42" customHeight="1">
      <x:c r="A25" s="18" t="str">
        <x:v>4.1</x:v>
      </x:c>
      <x:c r="B25" s="18" t="str">
        <x:v>What supplier onboarding and auditing would be required?</x:v>
      </x:c>
      <x:c r="C25" s="18" t="str">
        <x:v>Implementation rule</x:v>
      </x:c>
      <x:c r="D25" s="18" t="str">
        <x:v>I01-I04 require identity, production approval, all applicable RS gates, product testing and a controlled trial.</x:v>
      </x:c>
      <x:c r="E25" s="18" t="str">
        <x:v>No candidate has completed these steps within the public-data analysis.</x:v>
      </x:c>
      <x:c r="F25" s="18" t="str">
        <x:v>S06; WP010</x:v>
      </x:c>
    </x:row>
    <x:row r="26" ht="42" customHeight="1">
      <x:c r="A26" s="19" t="str">
        <x:v>4.2</x:v>
      </x:c>
      <x:c r="B26" s="19" t="str">
        <x:v>What sampling and production-ramp costs could arise?</x:v>
      </x:c>
      <x:c r="C26" s="19" t="str">
        <x:v>Threshold answer</x:v>
      </x:c>
      <x:c r="D26" s="19" t="str">
        <x:v>Incremental transition/handling allowances are scenario assumptions; a per-volume budget is calculated.</x:v>
      </x:c>
      <x:c r="E26" s="19" t="str">
        <x:v>Obtain actual sampling, tooling and ramp quotations.</x:v>
      </x:c>
      <x:c r="F26" s="19" t="str">
        <x:v>S08</x:v>
      </x:c>
    </x:row>
    <x:row r="27" ht="42" customHeight="1">
      <x:c r="A27" s="18" t="str">
        <x:v>4.3</x:v>
      </x:c>
      <x:c r="B27" s="18" t="str">
        <x:v>What inventory and lead-time consequences would switching create?</x:v>
      </x:c>
      <x:c r="C27" s="18" t="str">
        <x:v>Threshold answer</x:v>
      </x:c>
      <x:c r="D27" s="18" t="str">
        <x:v>Incremental cash-cycle sensitivity is available; delivery and inventory implications remain unobserved.</x:v>
      </x:c>
      <x:c r="E27" s="18" t="str">
        <x:v>Set product-specific service limits before trial.</x:v>
      </x:c>
      <x:c r="F27" s="18" t="str">
        <x:v>S08; WP010</x:v>
      </x:c>
    </x:row>
    <x:row r="28" ht="42" customHeight="1">
      <x:c r="A28" s="19" t="str">
        <x:v>4.4</x:v>
      </x:c>
      <x:c r="B28" s="19" t="str">
        <x:v>What quality and returns risk could arise during transition?</x:v>
      </x:c>
      <x:c r="C28" s="19" t="str">
        <x:v>Further work</x:v>
      </x:c>
      <x:c r="D28" s="19" t="str">
        <x:v>No supplier quality or returns dataset establishes switching performance.</x:v>
      </x:c>
      <x:c r="E28" s="19" t="str">
        <x:v>Use agreed quality limits and representative trial results.</x:v>
      </x:c>
      <x:c r="F28" s="19" t="str">
        <x:v>S01; WP010</x:v>
      </x:c>
    </x:row>
    <x:row r="29" ht="42" customHeight="1">
      <x:c r="A29" s="18" t="str">
        <x:v>4.5</x:v>
      </x:c>
      <x:c r="B29" s="18" t="str">
        <x:v>What incumbent-supplier relationship costs could result?</x:v>
      </x:c>
      <x:c r="C29" s="18" t="str">
        <x:v>Further work</x:v>
      </x:c>
      <x:c r="D29" s="18" t="str">
        <x:v>Contract, minimum-order, incumbent relationship and stranded-cost effects are unquantified.</x:v>
      </x:c>
      <x:c r="E29" s="18" t="str">
        <x:v>Include them in a candidate business case before reducing incumbent commitments.</x:v>
      </x:c>
      <x:c r="F29" s="18" t="str">
        <x:v>S01; WP010</x:v>
      </x:c>
    </x:row>
    <x:row r="30" ht="42" customHeight="1">
      <x:c r="A30" s="19" t="str">
        <x:v>4.6</x:v>
      </x:c>
      <x:c r="B30" s="19" t="str">
        <x:v>Which mandatory responsible-sourcing gates must be passed?</x:v>
      </x:c>
      <x:c r="C30" s="19" t="str">
        <x:v>Framework answer</x:v>
      </x:c>
      <x:c r="D30" s="19" t="str">
        <x:v>Eight mandatory gates apply. All 16 historical annotations remain Pending; unannotated sites are not automatically cleared.</x:v>
      </x:c>
      <x:c r="E30" s="19" t="str">
        <x:v>Myanmar stays excluded from actionable additional allocation.</x:v>
      </x:c>
      <x:c r="F30" s="19" t="str">
        <x:v>S06</x:v>
      </x:c>
    </x:row>
    <x:row r="31" ht="42" customHeight="1">
      <x:c r="A31" s="18" t="str">
        <x:v>4.7</x:v>
      </x:c>
      <x:c r="B31" s="18" t="str">
        <x:v>How do comparative human-rights and environmental risks differ?</x:v>
      </x:c>
      <x:c r="C31" s="18" t="str">
        <x:v>Evidence limited</x:v>
      </x:c>
      <x:c r="D31" s="18" t="str">
        <x:v>Risk-specific due diligence is specified. Annotation rates do not support a comparative country compliance-risk ranking.</x:v>
      </x:c>
      <x:c r="E31" s="18" t="str">
        <x:v>No quantified cross-country human-rights or environmental score is claimed.</x:v>
      </x:c>
      <x:c r="F31" s="18" t="str">
        <x:v>S06</x:v>
      </x:c>
    </x:row>
    <x:row r="32" ht="42" customHeight="1">
      <x:c r="A32" s="19" t="str">
        <x:v>5.1</x:v>
      </x:c>
      <x:c r="B32" s="19" t="str">
        <x:v>What is the best available baseline allocation?</x:v>
      </x:c>
      <x:c r="C32" s="19" t="str">
        <x:v>Illustrative baseline</x:v>
      </x:c>
      <x:c r="D32" s="19" t="str">
        <x:v>FY2025 ten-country import-mass shares provide the scenario baseline.</x:v>
      </x:c>
      <x:c r="E32" s="19" t="str">
        <x:v>Neither trade shares nor equal/value basket weights represent actual NEXT allocations.</x:v>
      </x:c>
      <x:c r="F32" s="19" t="str">
        <x:v>S01; S07; S08</x:v>
      </x:c>
    </x:row>
    <x:row r="33" ht="42" customHeight="1">
      <x:c r="A33" s="18" t="str">
        <x:v>5.2</x:v>
      </x:c>
      <x:c r="B33" s="18" t="str">
        <x:v>What cautious, balanced and accelerated reallocation scenarios should be tested?</x:v>
      </x:c>
      <x:c r="C33" s="18" t="str">
        <x:v>Scenario answer</x:v>
      </x:c>
      <x:c r="D33" s="18" t="str">
        <x:v>Cautious 5pp, balanced 10pp and accelerated 15pp requests are constrained to feasible model shifts; 26 cases test assumptions.</x:v>
      </x:c>
      <x:c r="E33" s="18" t="str">
        <x:v>The scope pivot makes these illustrations, not orders.</x:v>
      </x:c>
      <x:c r="F33" s="18" t="str">
        <x:v>S07; S08</x:v>
      </x:c>
    </x:row>
    <x:row r="34" ht="100" customHeight="1">
      <x:c r="A34" s="19" t="str">
        <x:v>5.3</x:v>
      </x:c>
      <x:c r="B34" s="19" t="str">
        <x:v>What is the cost–risk–capability trade-off of each scenario?</x:v>
      </x:c>
      <x:c r="C34" s="19" t="str">
        <x:v>Conditional decision</x:v>
      </x:c>
      <x:c r="D34" s="19" t="str">
        <x:v>Advance Turkey-led knitwear and India/Vietnam dresses to commercial validation. Close the tested cotton proposals as diversification.</x:v>
      </x:c>
      <x:c r="E34" s="19" t="str">
        <x:v>Presence weighting favours cost more than HHI. Country-level trade shares do not establish disruption benefits or capacity.</x:v>
      </x:c>
      <x:c r="F34" s="19" t="str">
        <x:v>S08; WP010</x:v>
      </x:c>
    </x:row>
    <x:row r="35" ht="100" customHeight="1">
      <x:c r="A35" s="18" t="str">
        <x:v>5.4</x:v>
      </x:c>
      <x:c r="B35" s="18" t="str">
        <x:v>At what cost, tariff or lead-time threshold does the recommendation change?</x:v>
      </x:c>
      <x:c r="C35" s="18" t="str">
        <x:v>Decision thresholds</x:v>
      </x:c>
      <x:c r="D35" s="18" t="str">
        <x:v>Knitwear common-month headroom is GBP 6.47/kg for presence weighting, GBP 1.69/kg for Turkey-75 and minus GBP 0.25/kg for default. Dresses default remains GBP 1.35/kg.</x:v>
      </x:c>
      <x:c r="E35" s="18" t="str">
        <x:v>These mix-specific limits are benchmarks. Use one actual commercial test; do not add thresholds together.</x:v>
      </x:c>
      <x:c r="F35" s="18" t="str">
        <x:v>S08; WP010</x:v>
      </x:c>
    </x:row>
    <x:row r="36" ht="42" customHeight="1">
      <x:c r="A36" s="19" t="str">
        <x:v>5.5</x:v>
      </x:c>
      <x:c r="B36" s="19" t="str">
        <x:v>How sensitive is the answer to policy, freight and capacity assumptions?</x:v>
      </x:c>
      <x:c r="C36" s="19" t="str">
        <x:v>Sensitivity answer</x:v>
      </x:c>
      <x:c r="D36" s="19" t="str">
        <x:v>Results vary with weighting, growth cap, receiver mix, price period, duty and operating assumptions.</x:v>
      </x:c>
      <x:c r="E36" s="19" t="str">
        <x:v>The 26 cases are not probabilities or exhaustive joint stresses.</x:v>
      </x:c>
      <x:c r="F36" s="19" t="str">
        <x:v>S08</x:v>
      </x:c>
    </x:row>
    <x:row r="37" ht="100" customHeight="1">
      <x:c r="A37" s="18" t="str">
        <x:v>5.6</x:v>
      </x:c>
      <x:c r="B37" s="18" t="str">
        <x:v>How should a reallocation be implemented and sequenced?</x:v>
      </x:c>
      <x:c r="C37" s="18" t="str">
        <x:v>Implementation decision</x:v>
      </x:c>
      <x:c r="D37" s="18" t="str">
        <x:v>I01-I05 define validation and trials. ST01-ST04 close proposals when no acceptable case remains at the agreed review date.</x:v>
      </x:c>
      <x:c r="E37" s="18" t="str">
        <x:v>If neither synthetic proposal clears, stand down the proposed programme. Actual demand and verified evidence set volumes.</x:v>
      </x:c>
      <x:c r="F37" s="18" t="str">
        <x:v>WP010; S06; S08</x:v>
      </x:c>
    </x:row>
    <x:row r="38" ht="100" customHeight="1">
      <x:c r="A38" s="19" t="str">
        <x:v>5.7</x:v>
      </x:c>
      <x:c r="B38" s="19" t="str">
        <x:v>What indicators and thresholds should trigger future action?</x:v>
      </x:c>
      <x:c r="C38" s="19" t="str">
        <x:v>Monitoring and closure</x:v>
      </x:c>
      <x:c r="D38" s="19" t="str">
        <x:v>T01-T10 define review events, responsible functions and material triggers to reopen a closed proposal.</x:v>
      </x:c>
      <x:c r="E38" s="19" t="str">
        <x:v>Set criteria and the review date before candidate validation.</x:v>
      </x:c>
      <x:c r="F38" s="19" t="str">
        <x:v>WP010; S08</x:v>
      </x:c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 ht="50" customHeight="1">
      <x:c r="A41" s="37" t="str">
        <x:v>S03 causal interpretation: the chapter comparison cannot identify an India tariff effect. The placebo evidence undermines the simple design; Vietnam is not a clean untreated control.</x:v>
      </x:c>
      <x:c r="B41" s="37"/>
      <x:c r="C41" s="37"/>
      <x:c r="D41" s="37"/>
      <x:c r="E41" s="37"/>
      <x:c r="F41" s="37"/>
    </x:row>
    <x:row r="42">
      <x:c r="A42" s="2"/>
      <x:c r="B42" s="2"/>
      <x:c r="C42" s="2"/>
      <x:c r="D42" s="2"/>
      <x:c r="E42" s="2"/>
      <x:c r="F42" s="2"/>
    </x:row>
    <x:row r="43">
      <x:c r="A43" s="2"/>
      <x:c r="B43" s="2"/>
      <x:c r="C43" s="2"/>
      <x:c r="D43" s="2"/>
      <x:c r="E43" s="2"/>
      <x:c r="F43" s="2"/>
    </x:row>
  </x:sheetData>
  <x:mergeCells>
    <x:mergeCell ref="A41:F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329999923706055" hidden="0" customWidth="1"/>
    <x:col min="3" max="3" width="11.109999656677246" hidden="0" customWidth="1"/>
    <x:col min="4" max="4" width="13.329999923706055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3.329999923706055" hidden="0" customWidth="1"/>
    <x:col min="9" max="9" width="12.779999732971191" hidden="0" customWidth="1"/>
    <x:col min="10" max="10" width="11.670000076293945" hidden="0" customWidth="1"/>
    <x:col min="11" max="11" width="11.109999656677246" hidden="0" customWidth="1"/>
    <x:col min="12" max="12" width="12.779999732971191" hidden="0" customWidth="1"/>
    <x:col min="13" max="13" width="10" hidden="0" customWidth="1"/>
    <x:col min="14" max="14" width="11.109999656677246" hidden="0" customWidth="1"/>
    <x:col min="15" max="15" width="12.77999973297119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Evidence snapshot and source references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 t="str">
        <x:v>S08: WP009 v1.1 saved cases, default Model and Source_Data. Values below preserve the completed evidence snapshot.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 t="str">
        <x:v>Shares and shifts are fractions; cost changes are fractions; HHI is in points; prices and headroom are GBP/kg.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42" customHeight="1">
      <x:c r="A9" s="15" t="str">
        <x:v>CN8</x:v>
      </x:c>
      <x:c r="B9" s="16" t="str">
        <x:v>Category</x:v>
      </x:c>
      <x:c r="C9" s="16" t="str">
        <x:v>China share</x:v>
      </x:c>
      <x:c r="D9" s="16" t="str">
        <x:v>Default shift</x:v>
      </x:c>
      <x:c r="E9" s="16" t="str">
        <x:v>Cost change</x:v>
      </x:c>
      <x:c r="F9" s="16" t="str">
        <x:v>HHI change</x:v>
      </x:c>
      <x:c r="G9" s="16" t="str">
        <x:v>Headroom GBP/kg</x:v>
      </x:c>
      <x:c r="H9" s="16" t="str">
        <x:v>Premium limit</x:v>
      </x:c>
      <x:c r="I9" s="16" t="str">
        <x:v>China duty GBP/kg</x:v>
      </x:c>
      <x:c r="J9" s="16" t="str">
        <x:v>Receiver GBP/kg</x:v>
      </x:c>
      <x:c r="K9" s="16" t="str">
        <x:v>Baseline HHI</x:v>
      </x:c>
      <x:c r="L9" s="16" t="str">
        <x:v>World value GBP</x:v>
      </x:c>
      <x:c r="M9" s="16" t="str">
        <x:v>Value weight</x:v>
      </x:c>
      <x:c r="N9" s="16" t="str">
        <x:v>Duty limit pp</x:v>
      </x:c>
      <x:c r="O9" s="17" t="str">
        <x:v>Cash days</x:v>
      </x:c>
    </x:row>
    <x:row r="10" ht="42" customHeight="1">
      <x:c r="A10" s="18" t="str">
        <x:v>61103099</x:v>
      </x:c>
      <x:c r="B10" s="18" t="str">
        <x:v>MMF knitwear</x:v>
      </x:c>
      <x:c r="C10" s="20" t="n">
        <x:v>0.3661327533481963</x:v>
      </x:c>
      <x:c r="D10" s="20" t="n">
        <x:v>0.014153298257653319</x:v>
      </x:c>
      <x:c r="E10" s="20" t="n">
        <x:v>-0.004627003502947313</x:v>
      </x:c>
      <x:c r="F10" s="22" t="n">
        <x:v>-88.19322957670738</x:v>
      </x:c>
      <x:c r="G10" s="22" t="n">
        <x:v>4.536960287859991</x:v>
      </x:c>
      <x:c r="H10" s="20" t="n">
        <x:v>0.3113032555431938</x:v>
      </x:c>
      <x:c r="I10" s="22" t="n">
        <x:v>19.111045868633756</x:v>
      </x:c>
      <x:c r="J10" s="22" t="n">
        <x:v>14.574085580773765</x:v>
      </x:c>
      <x:c r="K10" s="22" t="n">
        <x:v>2674.7898577448</x:v>
      </x:c>
      <x:c r="L10" s="24" t="n">
        <x:v>719371758</x:v>
      </x:c>
      <x:c r="M10" s="20" t="n">
        <x:v>0.2815550412130219</x:v>
      </x:c>
      <x:c r="N10" s="22" t="n">
        <x:v>31.130325554319377</x:v>
      </x:c>
      <x:c r="O10" s="22" t="n">
        <x:v>757.5045884884382</x:v>
      </x:c>
    </x:row>
    <x:row r="11" ht="42" customHeight="1">
      <x:c r="A11" s="19" t="str">
        <x:v>62044300</x:v>
      </x:c>
      <x:c r="B11" s="19" t="str">
        <x:v>Synthetic dresses</x:v>
      </x:c>
      <x:c r="C11" s="21" t="n">
        <x:v>0.47952184790226143</x:v>
      </x:c>
      <x:c r="D11" s="21" t="n">
        <x:v>0.1</x:v>
      </x:c>
      <x:c r="E11" s="21" t="n">
        <x:v>-0.004908756055984731</x:v>
      </x:c>
      <x:c r="F11" s="23" t="n">
        <x:v>-635.801651328959</x:v>
      </x:c>
      <x:c r="G11" s="23" t="n">
        <x:v>1.3510196663815073</x:v>
      </x:c>
      <x:c r="H11" s="21" t="n">
        <x:v>0.04562096140806182</x:v>
      </x:c>
      <x:c r="I11" s="23" t="n">
        <x:v>30.96503096038202</x:v>
      </x:c>
      <x:c r="J11" s="23" t="n">
        <x:v>29.614011294000512</x:v>
      </x:c>
      <x:c r="K11" s="23" t="n">
        <x:v>2775.1605976720384</x:v>
      </x:c>
      <x:c r="L11" s="25" t="n">
        <x:v>349077816</x:v>
      </x:c>
      <x:c r="M11" s="21" t="n">
        <x:v>0.13662562892889057</x:v>
      </x:c>
      <x:c r="N11" s="23" t="n">
        <x:v>4.575684621888938</x:v>
      </x:c>
      <x:c r="O11" s="23" t="n">
        <x:v>111.01100609295067</x:v>
      </x:c>
    </x:row>
    <x:row r="12" ht="42" customHeight="1">
      <x:c r="A12" s="18" t="str">
        <x:v>61091000</x:v>
      </x:c>
      <x:c r="B12" s="18" t="str">
        <x:v>Cotton T-shirts</x:v>
      </x:c>
      <x:c r="C12" s="20" t="n">
        <x:v>0.032221226763006934</x:v>
      </x:c>
      <x:c r="D12" s="20" t="n">
        <x:v>0.032221226763006934</x:v>
      </x:c>
      <x:c r="E12" s="20" t="n">
        <x:v>-0.0008462427496100933</x:v>
      </x:c>
      <x:c r="F12" s="22" t="n">
        <x:v>39.567478091494195</x:v>
      </x:c>
      <x:c r="G12" s="22" t="n">
        <x:v>0.32430548693161754</x:v>
      </x:c>
      <x:c r="H12" s="20" t="n">
        <x:v>0.0174121582308</x:v>
      </x:c>
      <x:c r="I12" s="22" t="n">
        <x:v>18.949537501993287</x:v>
      </x:c>
      <x:c r="J12" s="22" t="n">
        <x:v>18.62523201506167</x:v>
      </x:c>
      <x:c r="K12" s="22" t="n">
        <x:v>3817.683770684208</x:v>
      </x:c>
      <x:c r="L12" s="24" t="n">
        <x:v>1223299784</x:v>
      </x:c>
      <x:c r="M12" s="20" t="n">
        <x:v>0.4787875215696204</x:v>
      </x:c>
      <x:c r="N12" s="22" t="n">
        <x:v>1.7412158230800099</x:v>
      </x:c>
      <x:c r="O12" s="22" t="n">
        <x:v>42.36958502828024</x:v>
      </x:c>
    </x:row>
    <x:row r="13" ht="42" customHeight="1">
      <x:c r="A13" s="19" t="str">
        <x:v>62052000</x:v>
      </x:c>
      <x:c r="B13" s="19" t="str">
        <x:v>Cotton shirts</x:v>
      </x:c>
      <x:c r="C13" s="21" t="n">
        <x:v>0.06915990057015509</x:v>
      </x:c>
      <x:c r="D13" s="21" t="n">
        <x:v>0.06915990057015509</x:v>
      </x:c>
      <x:c r="E13" s="21" t="n">
        <x:v>0.01344890350534289</x:v>
      </x:c>
      <x:c r="F13" s="23" t="n">
        <x:v>117.77113668368929</x:v>
      </x:c>
      <x:c r="G13" s="23" t="n">
        <x:v>-3.9773270397330123</x:v>
      </x:c>
      <x:c r="H13" s="21" t="n">
        <x:v>-0.14071692579689732</x:v>
      </x:c>
      <x:c r="I13" s="23" t="n">
        <x:v>24.28741095968617</x:v>
      </x:c>
      <x:c r="J13" s="23" t="n">
        <x:v>28.264737999419182</x:v>
      </x:c>
      <x:c r="K13" s="23" t="n">
        <x:v>3439.43808579466</x:v>
      </x:c>
      <x:c r="L13" s="25" t="n">
        <x:v>263245768</x:v>
      </x:c>
      <x:c r="M13" s="21" t="n">
        <x:v>0.10303180828846716</x:v>
      </x:c>
      <x:c r="N13" s="23" t="n">
        <x:v>-14.07169257968973</x:v>
      </x:c>
      <x:c r="O13" s="23" t="str">
        <x:v>n.a. (no budget)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 t="str">
        <x:v>Cotton-shirt cash days are unavailable because headroom is negative. Limits are default-mix illustrations, holding other costs constant.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42" customHeight="1">
      <x:c r="A21" s="15" t="str">
        <x:v>Case ID</x:v>
      </x:c>
      <x:c r="B21" s="16" t="str">
        <x:v>CN8</x:v>
      </x:c>
      <x:c r="C21" s="16" t="str">
        <x:v>Shift fraction</x:v>
      </x:c>
      <x:c r="D21" s="16" t="str">
        <x:v>Cost change</x:v>
      </x:c>
      <x:c r="E21" s="16" t="str">
        <x:v>HHI change</x:v>
      </x:c>
      <x:c r="F21" s="17" t="str">
        <x:v>Receiver multiple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42" customHeight="1">
      <x:c r="A22" s="18" t="n">
        <x:v>1</x:v>
      </x:c>
      <x:c r="B22" s="18" t="str">
        <x:v>61103099</x:v>
      </x:c>
      <x:c r="C22" s="20" t="n">
        <x:v>0.014153298257653319</x:v>
      </x:c>
      <x:c r="D22" s="20" t="n">
        <x:v>-0.004627003502947313</x:v>
      </x:c>
      <x:c r="E22" s="26" t="n">
        <x:v>-88.19322957670738</x:v>
      </x:c>
      <x:c r="F22" s="26" t="n">
        <x:v>3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42" customHeight="1">
      <x:c r="A23" s="19" t="n">
        <x:v>2</x:v>
      </x:c>
      <x:c r="B23" s="19" t="str">
        <x:v>61103099</x:v>
      </x:c>
      <x:c r="C23" s="21" t="n">
        <x:v>0.014153298257653319</x:v>
      </x:c>
      <x:c r="D23" s="21" t="n">
        <x:v>-0.004627003502947313</x:v>
      </x:c>
      <x:c r="E23" s="27" t="n">
        <x:v>-88.19322957670738</x:v>
      </x:c>
      <x:c r="F23" s="27" t="n">
        <x:v>3</x:v>
      </x:c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42" customHeight="1">
      <x:c r="A24" s="18" t="n">
        <x:v>3</x:v>
      </x:c>
      <x:c r="B24" s="18" t="str">
        <x:v>61103099</x:v>
      </x:c>
      <x:c r="C24" s="20" t="n">
        <x:v>0.014153298257653319</x:v>
      </x:c>
      <x:c r="D24" s="20" t="n">
        <x:v>-0.004627003502947313</x:v>
      </x:c>
      <x:c r="E24" s="26" t="n">
        <x:v>-88.19322957670738</x:v>
      </x:c>
      <x:c r="F24" s="26" t="n">
        <x:v>3</x:v>
      </x:c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42" customHeight="1">
      <x:c r="A25" s="19" t="n">
        <x:v>4</x:v>
      </x:c>
      <x:c r="B25" s="19" t="str">
        <x:v>61103099</x:v>
      </x:c>
      <x:c r="C25" s="21" t="n">
        <x:v>0.1</x:v>
      </x:c>
      <x:c r="D25" s="21" t="n">
        <x:v>-0.0326920511298161</x:v>
      </x:c>
      <x:c r="E25" s="27" t="n">
        <x:v>-505.0892458432204</x:v>
      </x:c>
      <x:c r="F25" s="27" t="n">
        <x:v>15.130981793720846</x:v>
      </x:c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42" customHeight="1">
      <x:c r="A26" s="18" t="n">
        <x:v>5</x:v>
      </x:c>
      <x:c r="B26" s="18" t="str">
        <x:v>61103099</x:v>
      </x:c>
      <x:c r="C26" s="20" t="n">
        <x:v>0.007076649128826659</x:v>
      </x:c>
      <x:c r="D26" s="20" t="n">
        <x:v>-0.002313501751473823</x:v>
      </x:c>
      <x:c r="E26" s="26" t="n">
        <x:v>-44.7852005281261</x:v>
      </x:c>
      <x:c r="F26" s="26" t="n">
        <x:v>2</x:v>
      </x:c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42" customHeight="1">
      <x:c r="A27" s="19" t="n">
        <x:v>6</x:v>
      </x:c>
      <x:c r="B27" s="19" t="str">
        <x:v>61103099</x:v>
      </x:c>
      <x:c r="C27" s="21" t="n">
        <x:v>0.028306596515306637</x:v>
      </x:c>
      <x:c r="D27" s="21" t="n">
        <x:v>-0.009254007005894738</x:v>
      </x:c>
      <x:c r="E27" s="27" t="n">
        <x:v>-170.87777323523687</x:v>
      </x:c>
      <x:c r="F27" s="27" t="n">
        <x:v>5</x:v>
      </x:c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42" customHeight="1">
      <x:c r="A28" s="18" t="n">
        <x:v>7</x:v>
      </x:c>
      <x:c r="B28" s="18" t="str">
        <x:v>61103099</x:v>
      </x:c>
      <x:c r="C28" s="20" t="n">
        <x:v>0.02122994738647998</x:v>
      </x:c>
      <x:c r="D28" s="20" t="n">
        <x:v>-0.007225741774853467</x:v>
      </x:c>
      <x:c r="E28" s="26" t="n">
        <x:v>-124.56659855308635</x:v>
      </x:c>
      <x:c r="F28" s="26" t="n">
        <x:v>3</x:v>
      </x:c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42" customHeight="1">
      <x:c r="A29" s="19" t="n">
        <x:v>8</x:v>
      </x:c>
      <x:c r="B29" s="19" t="str">
        <x:v>61103099</x:v>
      </x:c>
      <x:c r="C29" s="21" t="n">
        <x:v>0.1</x:v>
      </x:c>
      <x:c r="D29" s="21" t="n">
        <x:v>-0.08350185310997105</x:v>
      </x:c>
      <x:c r="E29" s="27" t="n">
        <x:v>-240.5921031335697</x:v>
      </x:c>
      <x:c r="F29" s="27" t="n">
        <x:v>1.5687822805303502</x:v>
      </x:c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42" customHeight="1">
      <x:c r="A30" s="18" t="n">
        <x:v>9</x:v>
      </x:c>
      <x:c r="B30" s="18" t="str">
        <x:v>61103099</x:v>
      </x:c>
      <x:c r="C30" s="20" t="n">
        <x:v>0.028306596515306637</x:v>
      </x:c>
      <x:c r="D30" s="20" t="n">
        <x:v>-0.013601461734453535</x:v>
      </x:c>
      <x:c r="E30" s="26" t="n">
        <x:v>-148.2446138815012</x:v>
      </x:c>
      <x:c r="F30" s="26" t="n">
        <x:v>3</x:v>
      </x:c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42" customHeight="1">
      <x:c r="A31" s="19" t="n">
        <x:v>10</x:v>
      </x:c>
      <x:c r="B31" s="19" t="str">
        <x:v>61103099</x:v>
      </x:c>
      <x:c r="C31" s="21" t="n">
        <x:v>0.014153298257653319</x:v>
      </x:c>
      <x:c r="D31" s="21" t="n">
        <x:v>-0.004627003502947313</x:v>
      </x:c>
      <x:c r="E31" s="27" t="n">
        <x:v>-88.19322957670738</x:v>
      </x:c>
      <x:c r="F31" s="27" t="n">
        <x:v>3</x:v>
      </x:c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42" customHeight="1">
      <x:c r="A32" s="18" t="n">
        <x:v>11</x:v>
      </x:c>
      <x:c r="B32" s="18" t="str">
        <x:v>61103099</x:v>
      </x:c>
      <x:c r="C32" s="20" t="n">
        <x:v>0.07058533305676154</x:v>
      </x:c>
      <x:c r="D32" s="20" t="n">
        <x:v>-0.04475742061977073</x:v>
      </x:c>
      <x:c r="E32" s="26" t="n">
        <x:v>-259.735460467497</x:v>
      </x:c>
      <x:c r="F32" s="26" t="n">
        <x:v>3</x:v>
      </x:c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42" customHeight="1">
      <x:c r="A33" s="19" t="n">
        <x:v>12</x:v>
      </x:c>
      <x:c r="B33" s="19" t="str">
        <x:v>61103099</x:v>
      </x:c>
      <x:c r="C33" s="21" t="n">
        <x:v>0.014153298257653319</x:v>
      </x:c>
      <x:c r="D33" s="21" t="n">
        <x:v>-0.002683731452138738</x:v>
      </x:c>
      <x:c r="E33" s="27" t="n">
        <x:v>-88.19322957670738</x:v>
      </x:c>
      <x:c r="F33" s="27" t="n">
        <x:v>3</x:v>
      </x:c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42" customHeight="1">
      <x:c r="A34" s="18" t="n">
        <x:v>13</x:v>
      </x:c>
      <x:c r="B34" s="18" t="str">
        <x:v>61103099</x:v>
      </x:c>
      <x:c r="C34" s="20" t="n">
        <x:v>0.014153298257653319</x:v>
      </x:c>
      <x:c r="D34" s="20" t="n">
        <x:v>-0.002843403715708237</x:v>
      </x:c>
      <x:c r="E34" s="26" t="n">
        <x:v>-88.19322957670738</x:v>
      </x:c>
      <x:c r="F34" s="26" t="n">
        <x:v>3</x:v>
      </x:c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42" customHeight="1">
      <x:c r="A35" s="19" t="n">
        <x:v>14</x:v>
      </x:c>
      <x:c r="B35" s="19" t="str">
        <x:v>61103099</x:v>
      </x:c>
      <x:c r="C35" s="21" t="n">
        <x:v>0.014153298257653319</x:v>
      </x:c>
      <x:c r="D35" s="21" t="n">
        <x:v>-0.004329736871740875</x:v>
      </x:c>
      <x:c r="E35" s="27" t="n">
        <x:v>-88.19322957670738</x:v>
      </x:c>
      <x:c r="F35" s="27" t="n">
        <x:v>3</x:v>
      </x:c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42" customHeight="1">
      <x:c r="A36" s="18" t="n">
        <x:v>15</x:v>
      </x:c>
      <x:c r="B36" s="18" t="str">
        <x:v>61103099</x:v>
      </x:c>
      <x:c r="C36" s="20" t="n">
        <x:v>0.014153298257653319</x:v>
      </x:c>
      <x:c r="D36" s="20" t="n">
        <x:v>-0.0038838369249309945</x:v>
      </x:c>
      <x:c r="E36" s="26" t="n">
        <x:v>-88.19322957670738</x:v>
      </x:c>
      <x:c r="F36" s="26" t="n">
        <x:v>3</x:v>
      </x:c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42" customHeight="1">
      <x:c r="A37" s="19" t="n">
        <x:v>16</x:v>
      </x:c>
      <x:c r="B37" s="19" t="str">
        <x:v>61103099</x:v>
      </x:c>
      <x:c r="C37" s="21" t="n">
        <x:v>0.014153298257653319</x:v>
      </x:c>
      <x:c r="D37" s="21" t="n">
        <x:v>0.0002448876564151714</x:v>
      </x:c>
      <x:c r="E37" s="27" t="n">
        <x:v>-88.19322957670738</x:v>
      </x:c>
      <x:c r="F37" s="27" t="n">
        <x:v>3</x:v>
      </x:c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42" customHeight="1">
      <x:c r="A38" s="18" t="n">
        <x:v>17</x:v>
      </x:c>
      <x:c r="B38" s="18" t="str">
        <x:v>61103099</x:v>
      </x:c>
      <x:c r="C38" s="20" t="n">
        <x:v>0.014153298257653319</x:v>
      </x:c>
      <x:c r="D38" s="20" t="n">
        <x:v>-0.00043726465497351263</x:v>
      </x:c>
      <x:c r="E38" s="26" t="n">
        <x:v>-88.19322957670738</x:v>
      </x:c>
      <x:c r="F38" s="26" t="n">
        <x:v>3</x:v>
      </x:c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42" customHeight="1">
      <x:c r="A39" s="19" t="n">
        <x:v>18</x:v>
      </x:c>
      <x:c r="B39" s="19" t="str">
        <x:v>61103099</x:v>
      </x:c>
      <x:c r="C39" s="21" t="n">
        <x:v>0.014153298257653319</x:v>
      </x:c>
      <x:c r="D39" s="21" t="n">
        <x:v>0.0017413618658577157</x:v>
      </x:c>
      <x:c r="E39" s="27" t="n">
        <x:v>-88.19322957670738</x:v>
      </x:c>
      <x:c r="F39" s="27" t="n">
        <x:v>3</x:v>
      </x:c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42" customHeight="1">
      <x:c r="A40" s="18" t="n">
        <x:v>19</x:v>
      </x:c>
      <x:c r="B40" s="18" t="str">
        <x:v>61103099</x:v>
      </x:c>
      <x:c r="C40" s="20" t="n">
        <x:v>0.014153298257653319</x:v>
      </x:c>
      <x:c r="D40" s="20" t="n">
        <x:v>-0.0002770245774997848</x:v>
      </x:c>
      <x:c r="E40" s="26" t="n">
        <x:v>-88.19322957670738</x:v>
      </x:c>
      <x:c r="F40" s="26" t="n">
        <x:v>3</x:v>
      </x:c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42" customHeight="1">
      <x:c r="A41" s="19" t="n">
        <x:v>20</x:v>
      </x:c>
      <x:c r="B41" s="19" t="str">
        <x:v>61103099</x:v>
      </x:c>
      <x:c r="C41" s="21" t="n">
        <x:v>0.014153298257653319</x:v>
      </x:c>
      <x:c r="D41" s="21" t="n">
        <x:v>-0.0002770245774997848</x:v>
      </x:c>
      <x:c r="E41" s="27" t="n">
        <x:v>-88.19322957670738</x:v>
      </x:c>
      <x:c r="F41" s="27" t="n">
        <x:v>3</x:v>
      </x:c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42" customHeight="1">
      <x:c r="A42" s="18" t="n">
        <x:v>21</x:v>
      </x:c>
      <x:c r="B42" s="18" t="str">
        <x:v>61103099</x:v>
      </x:c>
      <x:c r="C42" s="20" t="n">
        <x:v>0.014153298257653319</x:v>
      </x:c>
      <x:c r="D42" s="20" t="n">
        <x:v>-0.0044455214942096255</x:v>
      </x:c>
      <x:c r="E42" s="26" t="n">
        <x:v>-88.19322957670738</x:v>
      </x:c>
      <x:c r="F42" s="26" t="n">
        <x:v>3</x:v>
      </x:c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42" customHeight="1">
      <x:c r="A43" s="19" t="n">
        <x:v>22</x:v>
      </x:c>
      <x:c r="B43" s="19" t="str">
        <x:v>61103099</x:v>
      </x:c>
      <x:c r="C43" s="21" t="n">
        <x:v>0.014153298257653319</x:v>
      </x:c>
      <x:c r="D43" s="21" t="n">
        <x:v>-0.0041845421362721735</x:v>
      </x:c>
      <x:c r="E43" s="27" t="n">
        <x:v>-88.19322957670738</x:v>
      </x:c>
      <x:c r="F43" s="27" t="n">
        <x:v>3</x:v>
      </x:c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42" customHeight="1">
      <x:c r="A44" s="18" t="n">
        <x:v>23</x:v>
      </x:c>
      <x:c r="B44" s="18" t="str">
        <x:v>61103099</x:v>
      </x:c>
      <x:c r="C44" s="20" t="n">
        <x:v>0.014153298257653319</x:v>
      </x:c>
      <x:c r="D44" s="20" t="n">
        <x:v>-0.003634078400966523</x:v>
      </x:c>
      <x:c r="E44" s="26" t="n">
        <x:v>-88.19322957670738</x:v>
      </x:c>
      <x:c r="F44" s="26" t="n">
        <x:v>3</x:v>
      </x:c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42" customHeight="1">
      <x:c r="A45" s="19" t="n">
        <x:v>24</x:v>
      </x:c>
      <x:c r="B45" s="19" t="str">
        <x:v>61103099</x:v>
      </x:c>
      <x:c r="C45" s="21" t="n">
        <x:v>0.07058533305676154</x:v>
      </x:c>
      <x:c r="D45" s="21" t="n">
        <x:v>-0.03846404655211588</x:v>
      </x:c>
      <x:c r="E45" s="27" t="n">
        <x:v>-259.735460467497</x:v>
      </x:c>
      <x:c r="F45" s="27" t="n">
        <x:v>3</x:v>
      </x:c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42" customHeight="1">
      <x:c r="A46" s="18" t="n">
        <x:v>25</x:v>
      </x:c>
      <x:c r="B46" s="18" t="str">
        <x:v>61103099</x:v>
      </x:c>
      <x:c r="C46" s="20" t="n">
        <x:v>0.1</x:v>
      </x:c>
      <x:c r="D46" s="20" t="n">
        <x:v>-0.044879993597411794</x:v>
      </x:c>
      <x:c r="E46" s="26" t="n">
        <x:v>-240.5921031335697</x:v>
      </x:c>
      <x:c r="F46" s="26" t="n">
        <x:v>1.5687822805303502</x:v>
      </x:c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42" customHeight="1">
      <x:c r="A47" s="19" t="n">
        <x:v>26</x:v>
      </x:c>
      <x:c r="B47" s="19" t="str">
        <x:v>61103099</x:v>
      </x:c>
      <x:c r="C47" s="21" t="n">
        <x:v>0.07058533305676154</x:v>
      </x:c>
      <x:c r="D47" s="21" t="n">
        <x:v>-0.008281202091309114</x:v>
      </x:c>
      <x:c r="E47" s="27" t="n">
        <x:v>-259.735460467497</x:v>
      </x:c>
      <x:c r="F47" s="27" t="n">
        <x:v>3</x:v>
      </x:c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42" customHeight="1">
      <x:c r="A48" s="18" t="n">
        <x:v>1</x:v>
      </x:c>
      <x:c r="B48" s="18" t="str">
        <x:v>62044300</x:v>
      </x:c>
      <x:c r="C48" s="20" t="n">
        <x:v>0.1</x:v>
      </x:c>
      <x:c r="D48" s="20" t="n">
        <x:v>-0.004908756055984731</x:v>
      </x:c>
      <x:c r="E48" s="26" t="n">
        <x:v>-635.801651328959</x:v>
      </x:c>
      <x:c r="F48" s="26" t="n">
        <x:v>1.7346679013589075</x:v>
      </x:c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42" customHeight="1">
      <x:c r="A49" s="19" t="n">
        <x:v>2</x:v>
      </x:c>
      <x:c r="B49" s="19" t="str">
        <x:v>62044300</x:v>
      </x:c>
      <x:c r="C49" s="21" t="n">
        <x:v>0.05</x:v>
      </x:c>
      <x:c r="D49" s="21" t="n">
        <x:v>-0.00245437802799231</x:v>
      </x:c>
      <x:c r="E49" s="27" t="n">
        <x:v>-352.2758256644797</x:v>
      </x:c>
      <x:c r="F49" s="27" t="n">
        <x:v>1.3673339506794537</x:v>
      </x:c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42" customHeight="1">
      <x:c r="A50" s="18" t="n">
        <x:v>3</x:v>
      </x:c>
      <x:c r="B50" s="18" t="str">
        <x:v>62044300</x:v>
      </x:c>
      <x:c r="C50" s="20" t="n">
        <x:v>0.15</x:v>
      </x:c>
      <x:c r="D50" s="20" t="n">
        <x:v>-0.00736313408397693</x:v>
      </x:c>
      <x:c r="E50" s="26" t="n">
        <x:v>-850.5774769934385</x:v>
      </x:c>
      <x:c r="F50" s="26" t="n">
        <x:v>2.102001852038361</x:v>
      </x:c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42" customHeight="1">
      <x:c r="A51" s="19" t="n">
        <x:v>4</x:v>
      </x:c>
      <x:c r="B51" s="19" t="str">
        <x:v>62044300</x:v>
      </x:c>
      <x:c r="C51" s="21" t="n">
        <x:v>0.1</x:v>
      </x:c>
      <x:c r="D51" s="21" t="n">
        <x:v>-0.004908756055984731</x:v>
      </x:c>
      <x:c r="E51" s="27" t="n">
        <x:v>-635.801651328959</x:v>
      </x:c>
      <x:c r="F51" s="27" t="n">
        <x:v>1.7346679013589075</x:v>
      </x:c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42" customHeight="1">
      <x:c r="A52" s="18" t="n">
        <x:v>5</x:v>
      </x:c>
      <x:c r="B52" s="18" t="str">
        <x:v>62044300</x:v>
      </x:c>
      <x:c r="C52" s="20" t="n">
        <x:v>0.1</x:v>
      </x:c>
      <x:c r="D52" s="20" t="n">
        <x:v>-0.004908756055984731</x:v>
      </x:c>
      <x:c r="E52" s="26" t="n">
        <x:v>-635.801651328959</x:v>
      </x:c>
      <x:c r="F52" s="26" t="n">
        <x:v>1.7346679013589075</x:v>
      </x:c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42" customHeight="1">
      <x:c r="A53" s="19" t="n">
        <x:v>6</x:v>
      </x:c>
      <x:c r="B53" s="19" t="str">
        <x:v>62044300</x:v>
      </x:c>
      <x:c r="C53" s="21" t="n">
        <x:v>0.1</x:v>
      </x:c>
      <x:c r="D53" s="21" t="n">
        <x:v>-0.004908756055984731</x:v>
      </x:c>
      <x:c r="E53" s="27" t="n">
        <x:v>-635.801651328959</x:v>
      </x:c>
      <x:c r="F53" s="27" t="n">
        <x:v>1.7346679013589075</x:v>
      </x:c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42" customHeight="1">
      <x:c r="A54" s="18" t="n">
        <x:v>7</x:v>
      </x:c>
      <x:c r="B54" s="18" t="str">
        <x:v>62044300</x:v>
      </x:c>
      <x:c r="C54" s="20" t="n">
        <x:v>0.1</x:v>
      </x:c>
      <x:c r="D54" s="20" t="n">
        <x:v>-0.003065023001011191</x:v>
      </x:c>
      <x:c r="E54" s="26" t="n">
        <x:v>-678.9002073559636</x:v>
      </x:c>
      <x:c r="F54" s="26" t="n">
        <x:v>1.9795572018118766</x:v>
      </x:c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42" customHeight="1">
      <x:c r="A55" s="19" t="n">
        <x:v>8</x:v>
      </x:c>
      <x:c r="B55" s="19" t="str">
        <x:v>62044300</x:v>
      </x:c>
      <x:c r="C55" s="21" t="n">
        <x:v>0.1</x:v>
      </x:c>
      <x:c r="D55" s="21" t="n">
        <x:v>-0.0070839504759763194</x:v>
      </x:c>
      <x:c r="E55" s="27" t="n">
        <x:v>-577.5496439602734</x:v>
      </x:c>
      <x:c r="F55" s="27" t="n">
        <x:v>1.4541011935744</x:v>
      </x:c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42" customHeight="1">
      <x:c r="A56" s="18" t="n">
        <x:v>9</x:v>
      </x:c>
      <x:c r="B56" s="18" t="str">
        <x:v>62044300</x:v>
      </x:c>
      <x:c r="C56" s="20" t="n">
        <x:v>0.1</x:v>
      </x:c>
      <x:c r="D56" s="20" t="n">
        <x:v>0.004517279623725612</x:v>
      </x:c>
      <x:c r="E56" s="26" t="n">
        <x:v>-694.4215890066594</x:v>
      </x:c>
      <x:c r="F56" s="26" t="n">
        <x:v>2.469335802717815</x:v>
      </x:c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42" customHeight="1">
      <x:c r="A57" s="19" t="n">
        <x:v>10</x:v>
      </x:c>
      <x:c r="B57" s="19" t="str">
        <x:v>62044300</x:v>
      </x:c>
      <x:c r="C57" s="21" t="n">
        <x:v>0.1</x:v>
      </x:c>
      <x:c r="D57" s="21" t="n">
        <x:v>-0.004908756055984731</x:v>
      </x:c>
      <x:c r="E57" s="27" t="n">
        <x:v>-635.801651328959</x:v>
      </x:c>
      <x:c r="F57" s="27" t="n">
        <x:v>1.7346679013589075</x:v>
      </x:c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42" customHeight="1">
      <x:c r="A58" s="18" t="n">
        <x:v>11</x:v>
      </x:c>
      <x:c r="B58" s="18" t="str">
        <x:v>62044300</x:v>
      </x:c>
      <x:c r="C58" s="20" t="n">
        <x:v>0.1</x:v>
      </x:c>
      <x:c r="D58" s="20" t="n">
        <x:v>-0.004908756055984731</x:v>
      </x:c>
      <x:c r="E58" s="26" t="n">
        <x:v>-635.801651328959</x:v>
      </x:c>
      <x:c r="F58" s="26" t="n">
        <x:v>1.7346679013589075</x:v>
      </x:c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42" customHeight="1">
      <x:c r="A59" s="19" t="n">
        <x:v>12</x:v>
      </x:c>
      <x:c r="B59" s="19" t="str">
        <x:v>62044300</x:v>
      </x:c>
      <x:c r="C59" s="21" t="n">
        <x:v>0.1</x:v>
      </x:c>
      <x:c r="D59" s="21" t="n">
        <x:v>0.007248286573795504</x:v>
      </x:c>
      <x:c r="E59" s="27" t="n">
        <x:v>-635.801651328959</x:v>
      </x:c>
      <x:c r="F59" s="27" t="n">
        <x:v>1.7346679013589075</x:v>
      </x:c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42" customHeight="1">
      <x:c r="A60" s="18" t="n">
        <x:v>13</x:v>
      </x:c>
      <x:c r="B60" s="18" t="str">
        <x:v>62044300</x:v>
      </x:c>
      <x:c r="C60" s="20" t="n">
        <x:v>0.1</x:v>
      </x:c>
      <x:c r="D60" s="20" t="n">
        <x:v>0.007645205710227421</x:v>
      </x:c>
      <x:c r="E60" s="26" t="n">
        <x:v>-635.801651328959</x:v>
      </x:c>
      <x:c r="F60" s="26" t="n">
        <x:v>1.7346679013589075</x:v>
      </x:c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42" customHeight="1">
      <x:c r="A61" s="19" t="n">
        <x:v>14</x:v>
      </x:c>
      <x:c r="B61" s="19" t="str">
        <x:v>62044300</x:v>
      </x:c>
      <x:c r="C61" s="21" t="n">
        <x:v>0.1</x:v>
      </x:c>
      <x:c r="D61" s="21" t="n">
        <x:v>-0.0027567820929295106</x:v>
      </x:c>
      <x:c r="E61" s="27" t="n">
        <x:v>-635.801651328959</x:v>
      </x:c>
      <x:c r="F61" s="27" t="n">
        <x:v>1.7346679013589075</x:v>
      </x:c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42" customHeight="1">
      <x:c r="A62" s="18" t="n">
        <x:v>15</x:v>
      </x:c>
      <x:c r="B62" s="18" t="str">
        <x:v>62044300</x:v>
      </x:c>
      <x:c r="C62" s="20" t="n">
        <x:v>0.1</x:v>
      </x:c>
      <x:c r="D62" s="20" t="n">
        <x:v>0.00047117885165315343</x:v>
      </x:c>
      <x:c r="E62" s="26" t="n">
        <x:v>-635.801651328959</x:v>
      </x:c>
      <x:c r="F62" s="26" t="n">
        <x:v>1.7346679013589075</x:v>
      </x:c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42" customHeight="1">
      <x:c r="A63" s="19" t="n">
        <x:v>16</x:v>
      </x:c>
      <x:c r="B63" s="19" t="str">
        <x:v>62044300</x:v>
      </x:c>
      <x:c r="C63" s="21" t="n">
        <x:v>0.1</x:v>
      </x:c>
      <x:c r="D63" s="21" t="n">
        <x:v>-0.004908756055984731</x:v>
      </x:c>
      <x:c r="E63" s="27" t="n">
        <x:v>-635.801651328959</x:v>
      </x:c>
      <x:c r="F63" s="27" t="n">
        <x:v>1.7346679013589075</x:v>
      </x:c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42" customHeight="1">
      <x:c r="A64" s="18" t="n">
        <x:v>17</x:v>
      </x:c>
      <x:c r="B64" s="18" t="str">
        <x:v>62044300</x:v>
      </x:c>
      <x:c r="C64" s="20" t="n">
        <x:v>0.1</x:v>
      </x:c>
      <x:c r="D64" s="20" t="n">
        <x:v>-0.000321170214489519</x:v>
      </x:c>
      <x:c r="E64" s="26" t="n">
        <x:v>-635.801651328959</x:v>
      </x:c>
      <x:c r="F64" s="26" t="n">
        <x:v>1.7346679013589075</x:v>
      </x:c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42" customHeight="1">
      <x:c r="A65" s="19" t="n">
        <x:v>18</x:v>
      </x:c>
      <x:c r="B65" s="19" t="str">
        <x:v>62044300</x:v>
      </x:c>
      <x:c r="C65" s="21" t="n">
        <x:v>0.1</x:v>
      </x:c>
      <x:c r="D65" s="21" t="n">
        <x:v>-0.000321170214489519</x:v>
      </x:c>
      <x:c r="E65" s="27" t="n">
        <x:v>-635.801651328959</x:v>
      </x:c>
      <x:c r="F65" s="27" t="n">
        <x:v>1.7346679013589075</x:v>
      </x:c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42" customHeight="1">
      <x:c r="A66" s="18" t="n">
        <x:v>19</x:v>
      </x:c>
      <x:c r="B66" s="18" t="str">
        <x:v>62044300</x:v>
      </x:c>
      <x:c r="C66" s="20" t="n">
        <x:v>0.1</x:v>
      </x:c>
      <x:c r="D66" s="20" t="n">
        <x:v>-0.008203307112604197</x:v>
      </x:c>
      <x:c r="E66" s="26" t="n">
        <x:v>-635.801651328959</x:v>
      </x:c>
      <x:c r="F66" s="26" t="n">
        <x:v>1.7346679013589075</x:v>
      </x:c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42" customHeight="1">
      <x:c r="A67" s="19" t="n">
        <x:v>20</x:v>
      </x:c>
      <x:c r="B67" s="19" t="str">
        <x:v>62044300</x:v>
      </x:c>
      <x:c r="C67" s="21" t="n">
        <x:v>0.1</x:v>
      </x:c>
      <x:c r="D67" s="21" t="n">
        <x:v>-0.008203307112604197</x:v>
      </x:c>
      <x:c r="E67" s="27" t="n">
        <x:v>-635.801651328959</x:v>
      </x:c>
      <x:c r="F67" s="27" t="n">
        <x:v>1.7346679013589075</x:v>
      </x:c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42" customHeight="1">
      <x:c r="A68" s="18" t="n">
        <x:v>21</x:v>
      </x:c>
      <x:c r="B68" s="18" t="str">
        <x:v>62044300</x:v>
      </x:c>
      <x:c r="C68" s="20" t="n">
        <x:v>0.1</x:v>
      </x:c>
      <x:c r="D68" s="20" t="n">
        <x:v>-0.004157396696134685</x:v>
      </x:c>
      <x:c r="E68" s="26" t="n">
        <x:v>-635.801651328959</x:v>
      </x:c>
      <x:c r="F68" s="26" t="n">
        <x:v>1.7346679013589075</x:v>
      </x:c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42" customHeight="1">
      <x:c r="A69" s="19" t="n">
        <x:v>22</x:v>
      </x:c>
      <x:c r="B69" s="19" t="str">
        <x:v>62044300</x:v>
      </x:c>
      <x:c r="C69" s="21" t="n">
        <x:v>0.1</x:v>
      </x:c>
      <x:c r="D69" s="21" t="n">
        <x:v>-0.0030180151045413606</x:v>
      </x:c>
      <x:c r="E69" s="27" t="n">
        <x:v>-635.801651328959</x:v>
      </x:c>
      <x:c r="F69" s="27" t="n">
        <x:v>1.7346679013589075</x:v>
      </x:c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42" customHeight="1">
      <x:c r="A70" s="18" t="n">
        <x:v>23</x:v>
      </x:c>
      <x:c r="B70" s="18" t="str">
        <x:v>62044300</x:v>
      </x:c>
      <x:c r="C70" s="20" t="n">
        <x:v>0.1</x:v>
      </x:c>
      <x:c r="D70" s="20" t="n">
        <x:v>-0.0005328982536643156</x:v>
      </x:c>
      <x:c r="E70" s="26" t="n">
        <x:v>-635.801651328959</x:v>
      </x:c>
      <x:c r="F70" s="26" t="n">
        <x:v>1.7346679013589075</x:v>
      </x:c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42" customHeight="1">
      <x:c r="A71" s="19" t="n">
        <x:v>24</x:v>
      </x:c>
      <x:c r="B71" s="19" t="str">
        <x:v>62044300</x:v>
      </x:c>
      <x:c r="C71" s="21" t="n">
        <x:v>0.1</x:v>
      </x:c>
      <x:c r="D71" s="21" t="n">
        <x:v>0.007645205710227421</x:v>
      </x:c>
      <x:c r="E71" s="27" t="n">
        <x:v>-635.801651328959</x:v>
      </x:c>
      <x:c r="F71" s="27" t="n">
        <x:v>1.7346679013589075</x:v>
      </x:c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42" customHeight="1">
      <x:c r="A72" s="18" t="n">
        <x:v>25</x:v>
      </x:c>
      <x:c r="B72" s="18" t="str">
        <x:v>62044300</x:v>
      </x:c>
      <x:c r="C72" s="20" t="n">
        <x:v>0.1</x:v>
      </x:c>
      <x:c r="D72" s="20" t="n">
        <x:v>-0.0070839504759763194</x:v>
      </x:c>
      <x:c r="E72" s="26" t="n">
        <x:v>-577.5496439602734</x:v>
      </x:c>
      <x:c r="F72" s="26" t="n">
        <x:v>1.4541011935744</x:v>
      </x:c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42" customHeight="1">
      <x:c r="A73" s="19" t="n">
        <x:v>26</x:v>
      </x:c>
      <x:c r="B73" s="19" t="str">
        <x:v>62044300</x:v>
      </x:c>
      <x:c r="C73" s="21" t="n">
        <x:v>0.1</x:v>
      </x:c>
      <x:c r="D73" s="21" t="n">
        <x:v>-0.004908756055984731</x:v>
      </x:c>
      <x:c r="E73" s="27" t="n">
        <x:v>-635.801651328959</x:v>
      </x:c>
      <x:c r="F73" s="27" t="n">
        <x:v>1.7346679013589075</x:v>
      </x:c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42" customHeight="1">
      <x:c r="A74" s="18" t="n">
        <x:v>1</x:v>
      </x:c>
      <x:c r="B74" s="18" t="str">
        <x:v>61091000</x:v>
      </x:c>
      <x:c r="C74" s="20" t="n">
        <x:v>0.032221226763006934</x:v>
      </x:c>
      <x:c r="D74" s="20" t="n">
        <x:v>-0.0008462427496100933</x:v>
      </x:c>
      <x:c r="E74" s="26" t="n">
        <x:v>39.567478091494195</x:v>
      </x:c>
      <x:c r="F74" s="26" t="n">
        <x:v>1.5193994950781227</x:v>
      </x:c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42" customHeight="1">
      <x:c r="A75" s="19" t="n">
        <x:v>2</x:v>
      </x:c>
      <x:c r="B75" s="19" t="str">
        <x:v>61091000</x:v>
      </x:c>
      <x:c r="C75" s="21" t="n">
        <x:v>0.032221226763006934</x:v>
      </x:c>
      <x:c r="D75" s="21" t="n">
        <x:v>-0.0008462427496100933</x:v>
      </x:c>
      <x:c r="E75" s="27" t="n">
        <x:v>39.567478091494195</x:v>
      </x:c>
      <x:c r="F75" s="27" t="n">
        <x:v>1.5193994950781227</x:v>
      </x:c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42" customHeight="1">
      <x:c r="A76" s="18" t="n">
        <x:v>3</x:v>
      </x:c>
      <x:c r="B76" s="18" t="str">
        <x:v>61091000</x:v>
      </x:c>
      <x:c r="C76" s="20" t="n">
        <x:v>0.032221226763006934</x:v>
      </x:c>
      <x:c r="D76" s="20" t="n">
        <x:v>-0.0008462427496100933</x:v>
      </x:c>
      <x:c r="E76" s="26" t="n">
        <x:v>39.567478091494195</x:v>
      </x:c>
      <x:c r="F76" s="26" t="n">
        <x:v>1.5193994950781227</x:v>
      </x:c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42" customHeight="1">
      <x:c r="A77" s="19" t="n">
        <x:v>4</x:v>
      </x:c>
      <x:c r="B77" s="19" t="str">
        <x:v>61091000</x:v>
      </x:c>
      <x:c r="C77" s="21" t="n">
        <x:v>0.032221226763006934</x:v>
      </x:c>
      <x:c r="D77" s="21" t="n">
        <x:v>-0.0008462427496100933</x:v>
      </x:c>
      <x:c r="E77" s="27" t="n">
        <x:v>39.567478091494195</x:v>
      </x:c>
      <x:c r="F77" s="27" t="n">
        <x:v>1.5193994950781227</x:v>
      </x:c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42" customHeight="1">
      <x:c r="A78" s="18" t="n">
        <x:v>5</x:v>
      </x:c>
      <x:c r="B78" s="18" t="str">
        <x:v>61091000</x:v>
      </x:c>
      <x:c r="C78" s="20" t="n">
        <x:v>0.032221226763006934</x:v>
      </x:c>
      <x:c r="D78" s="20" t="n">
        <x:v>-0.0008462427496100933</x:v>
      </x:c>
      <x:c r="E78" s="26" t="n">
        <x:v>39.567478091494195</x:v>
      </x:c>
      <x:c r="F78" s="26" t="n">
        <x:v>1.5193994950781227</x:v>
      </x:c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42" customHeight="1">
      <x:c r="A79" s="19" t="n">
        <x:v>6</x:v>
      </x:c>
      <x:c r="B79" s="19" t="str">
        <x:v>61091000</x:v>
      </x:c>
      <x:c r="C79" s="21" t="n">
        <x:v>0.032221226763006934</x:v>
      </x:c>
      <x:c r="D79" s="21" t="n">
        <x:v>-0.0008462427496100933</x:v>
      </x:c>
      <x:c r="E79" s="27" t="n">
        <x:v>39.567478091494195</x:v>
      </x:c>
      <x:c r="F79" s="27" t="n">
        <x:v>1.5193994950781227</x:v>
      </x:c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42" customHeight="1">
      <x:c r="A80" s="18" t="n">
        <x:v>7</x:v>
      </x:c>
      <x:c r="B80" s="18" t="str">
        <x:v>61091000</x:v>
      </x:c>
      <x:c r="C80" s="20" t="n">
        <x:v>0.032221226763006934</x:v>
      </x:c>
      <x:c r="D80" s="20" t="n">
        <x:v>0.004467706284708495</x:v>
      </x:c>
      <x:c r="E80" s="26" t="n">
        <x:v>32.46322703714577</x:v>
      </x:c>
      <x:c r="F80" s="26" t="n">
        <x:v>1.6925326601041635</x:v>
      </x:c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42" customHeight="1">
      <x:c r="A81" s="19" t="n">
        <x:v>8</x:v>
      </x:c>
      <x:c r="B81" s="19" t="str">
        <x:v>61091000</x:v>
      </x:c>
      <x:c r="C81" s="21" t="n">
        <x:v>0.032221226763006934</x:v>
      </x:c>
      <x:c r="D81" s="21" t="n">
        <x:v>-0.003374975075825404</x:v>
      </x:c>
      <x:c r="E81" s="27" t="n">
        <x:v>47.040821783773936</x:v>
      </x:c>
      <x:c r="F81" s="27" t="n">
        <x:v>1.1757382646692178</x:v>
      </x:c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42" customHeight="1">
      <x:c r="A82" s="18" t="n">
        <x:v>9</x:v>
      </x:c>
      <x:c r="B82" s="18" t="str">
        <x:v>61091000</x:v>
      </x:c>
      <x:c r="C82" s="20" t="n">
        <x:v>0.032221226763006934</x:v>
      </x:c>
      <x:c r="D82" s="20" t="n">
        <x:v>0.006534432618102715</x:v>
      </x:c>
      <x:c r="E82" s="26" t="n">
        <x:v>33.57172498301361</x:v>
      </x:c>
      <x:c r="F82" s="26" t="n">
        <x:v>1.5193994950781227</x:v>
      </x:c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30" customHeight="1">
      <x:c r="A83" s="19" t="n">
        <x:v>10</x:v>
      </x:c>
      <x:c r="B83" s="19" t="str">
        <x:v>61091000</x:v>
      </x:c>
      <x:c r="C83" s="21" t="n">
        <x:v>0</x:v>
      </x:c>
      <x:c r="D83" s="21" t="n">
        <x:v>0</x:v>
      </x:c>
      <x:c r="E83" s="27" t="n">
        <x:v>0</x:v>
      </x:c>
      <x:c r="F83" s="27" t="n">
        <x:v>1</x:v>
      </x:c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30" customHeight="1">
      <x:c r="A84" s="18" t="n">
        <x:v>11</x:v>
      </x:c>
      <x:c r="B84" s="18" t="str">
        <x:v>61091000</x:v>
      </x:c>
      <x:c r="C84" s="20" t="n">
        <x:v>0</x:v>
      </x:c>
      <x:c r="D84" s="20" t="n">
        <x:v>0</x:v>
      </x:c>
      <x:c r="E84" s="26" t="n">
        <x:v>0</x:v>
      </x:c>
      <x:c r="F84" s="26" t="n">
        <x:v>1</x:v>
      </x:c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42" customHeight="1">
      <x:c r="A85" s="19" t="n">
        <x:v>12</x:v>
      </x:c>
      <x:c r="B85" s="19" t="str">
        <x:v>61091000</x:v>
      </x:c>
      <x:c r="C85" s="21" t="n">
        <x:v>0.032221226763006934</x:v>
      </x:c>
      <x:c r="D85" s="21" t="n">
        <x:v>0.004475351847699871</x:v>
      </x:c>
      <x:c r="E85" s="27" t="n">
        <x:v>39.567478091494195</x:v>
      </x:c>
      <x:c r="F85" s="27" t="n">
        <x:v>1.5193994950781227</x:v>
      </x:c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42" customHeight="1">
      <x:c r="A86" s="18" t="n">
        <x:v>13</x:v>
      </x:c>
      <x:c r="B86" s="18" t="str">
        <x:v>61091000</x:v>
      </x:c>
      <x:c r="C86" s="20" t="n">
        <x:v>0.032221226763006934</x:v>
      </x:c>
      <x:c r="D86" s="20" t="n">
        <x:v>0.004985838983576851</x:v>
      </x:c>
      <x:c r="E86" s="26" t="n">
        <x:v>39.567478091494195</x:v>
      </x:c>
      <x:c r="F86" s="26" t="n">
        <x:v>1.5193994950781227</x:v>
      </x:c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42" customHeight="1">
      <x:c r="A87" s="19" t="n">
        <x:v>14</x:v>
      </x:c>
      <x:c r="B87" s="19" t="str">
        <x:v>61091000</x:v>
      </x:c>
      <x:c r="C87" s="21" t="n">
        <x:v>0.032221226763006934</x:v>
      </x:c>
      <x:c r="D87" s="21" t="n">
        <x:v>0.00012577087258769382</x:v>
      </x:c>
      <x:c r="E87" s="27" t="n">
        <x:v>39.567478091494195</x:v>
      </x:c>
      <x:c r="F87" s="27" t="n">
        <x:v>1.5193994950781227</x:v>
      </x:c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42" customHeight="1">
      <x:c r="A88" s="18" t="n">
        <x:v>15</x:v>
      </x:c>
      <x:c r="B88" s="18" t="str">
        <x:v>61091000</x:v>
      </x:c>
      <x:c r="C88" s="20" t="n">
        <x:v>0.032221226763006934</x:v>
      </x:c>
      <x:c r="D88" s="20" t="n">
        <x:v>0.0015837913058844855</x:v>
      </x:c>
      <x:c r="E88" s="26" t="n">
        <x:v>39.567478091494195</x:v>
      </x:c>
      <x:c r="F88" s="26" t="n">
        <x:v>1.5193994950781227</x:v>
      </x:c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42" customHeight="1">
      <x:c r="A89" s="19" t="n">
        <x:v>16</x:v>
      </x:c>
      <x:c r="B89" s="19" t="str">
        <x:v>61091000</x:v>
      </x:c>
      <x:c r="C89" s="21" t="n">
        <x:v>0.032221226763006934</x:v>
      </x:c>
      <x:c r="D89" s="21" t="n">
        <x:v>-0.0008462427496100933</x:v>
      </x:c>
      <x:c r="E89" s="27" t="n">
        <x:v>39.567478091494195</x:v>
      </x:c>
      <x:c r="F89" s="27" t="n">
        <x:v>1.5193994950781227</x:v>
      </x:c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42" customHeight="1">
      <x:c r="A90" s="18" t="n">
        <x:v>17</x:v>
      </x:c>
      <x:c r="B90" s="18" t="str">
        <x:v>61091000</x:v>
      </x:c>
      <x:c r="C90" s="20" t="n">
        <x:v>0.032221226763006934</x:v>
      </x:c>
      <x:c r="D90" s="20" t="n">
        <x:v>-0.010037545206144971</x:v>
      </x:c>
      <x:c r="E90" s="26" t="n">
        <x:v>39.567478091494195</x:v>
      </x:c>
      <x:c r="F90" s="26" t="n">
        <x:v>1.5193994950781227</x:v>
      </x:c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42" customHeight="1">
      <x:c r="A91" s="19" t="n">
        <x:v>18</x:v>
      </x:c>
      <x:c r="B91" s="19" t="str">
        <x:v>61091000</x:v>
      </x:c>
      <x:c r="C91" s="21" t="n">
        <x:v>0.032221226763006934</x:v>
      </x:c>
      <x:c r="D91" s="21" t="n">
        <x:v>-0.008093957289082021</x:v>
      </x:c>
      <x:c r="E91" s="27" t="n">
        <x:v>39.567478091494195</x:v>
      </x:c>
      <x:c r="F91" s="27" t="n">
        <x:v>1.5193994950781227</x:v>
      </x:c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42" customHeight="1">
      <x:c r="A92" s="18" t="n">
        <x:v>19</x:v>
      </x:c>
      <x:c r="B92" s="18" t="str">
        <x:v>61091000</x:v>
      </x:c>
      <x:c r="C92" s="20" t="n">
        <x:v>0.032221226763006934</x:v>
      </x:c>
      <x:c r="D92" s="20" t="n">
        <x:v>-0.01055059946821213</x:v>
      </x:c>
      <x:c r="E92" s="26" t="n">
        <x:v>39.567478091494195</x:v>
      </x:c>
      <x:c r="F92" s="26" t="n">
        <x:v>1.5193994950781227</x:v>
      </x:c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42" customHeight="1">
      <x:c r="A93" s="19" t="n">
        <x:v>20</x:v>
      </x:c>
      <x:c r="B93" s="19" t="str">
        <x:v>61091000</x:v>
      </x:c>
      <x:c r="C93" s="21" t="n">
        <x:v>0.032221226763006934</x:v>
      </x:c>
      <x:c r="D93" s="21" t="n">
        <x:v>-0.007009196068656798</x:v>
      </x:c>
      <x:c r="E93" s="27" t="n">
        <x:v>39.567478091494195</x:v>
      </x:c>
      <x:c r="F93" s="27" t="n">
        <x:v>1.5193994950781227</x:v>
      </x:c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42" customHeight="1">
      <x:c r="A94" s="18" t="n">
        <x:v>21</x:v>
      </x:c>
      <x:c r="B94" s="18" t="str">
        <x:v>61091000</x:v>
      </x:c>
      <x:c r="C94" s="20" t="n">
        <x:v>0.032221226763006934</x:v>
      </x:c>
      <x:c r="D94" s="20" t="n">
        <x:v>-0.00036162595836453093</x:v>
      </x:c>
      <x:c r="E94" s="26" t="n">
        <x:v>39.567478091494195</x:v>
      </x:c>
      <x:c r="F94" s="26" t="n">
        <x:v>1.5193994950781227</x:v>
      </x:c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42" customHeight="1">
      <x:c r="A95" s="19" t="n">
        <x:v>22</x:v>
      </x:c>
      <x:c r="B95" s="19" t="str">
        <x:v>61091000</x:v>
      </x:c>
      <x:c r="C95" s="21" t="n">
        <x:v>0.032221226763006934</x:v>
      </x:c>
      <x:c r="D95" s="21" t="n">
        <x:v>0.0003466676204226804</x:v>
      </x:c>
      <x:c r="E95" s="27" t="n">
        <x:v>39.567478091494195</x:v>
      </x:c>
      <x:c r="F95" s="27" t="n">
        <x:v>1.5193994950781227</x:v>
      </x:c>
      <x:c r="G95" s="2"/>
      <x:c r="H95" s="2"/>
      <x:c r="I95" s="2"/>
      <x:c r="J95" s="2"/>
      <x:c r="K95" s="2"/>
      <x:c r="L95" s="2"/>
      <x:c r="M95" s="2"/>
      <x:c r="N95" s="2"/>
      <x:c r="O95" s="2"/>
    </x:row>
    <x:row r="96" ht="42" customHeight="1">
      <x:c r="A96" s="18" t="n">
        <x:v>23</x:v>
      </x:c>
      <x:c r="B96" s="18" t="str">
        <x:v>61091000</x:v>
      </x:c>
      <x:c r="C96" s="20" t="n">
        <x:v>0.032221226763006934</x:v>
      </x:c>
      <x:c r="D96" s="20" t="n">
        <x:v>0.0018564615636877946</x:v>
      </x:c>
      <x:c r="E96" s="26" t="n">
        <x:v>39.567478091494195</x:v>
      </x:c>
      <x:c r="F96" s="26" t="n">
        <x:v>1.5193994950781227</x:v>
      </x:c>
      <x:c r="G96" s="2"/>
      <x:c r="H96" s="2"/>
      <x:c r="I96" s="2"/>
      <x:c r="J96" s="2"/>
      <x:c r="K96" s="2"/>
      <x:c r="L96" s="2"/>
      <x:c r="M96" s="2"/>
      <x:c r="N96" s="2"/>
      <x:c r="O96" s="2"/>
    </x:row>
    <x:row r="97" ht="30" customHeight="1">
      <x:c r="A97" s="19" t="n">
        <x:v>24</x:v>
      </x:c>
      <x:c r="B97" s="19" t="str">
        <x:v>61091000</x:v>
      </x:c>
      <x:c r="C97" s="21" t="n">
        <x:v>0</x:v>
      </x:c>
      <x:c r="D97" s="21" t="n">
        <x:v>0</x:v>
      </x:c>
      <x:c r="E97" s="27" t="n">
        <x:v>0</x:v>
      </x:c>
      <x:c r="F97" s="27" t="n">
        <x:v>1</x:v>
      </x:c>
      <x:c r="G97" s="2"/>
      <x:c r="H97" s="2"/>
      <x:c r="I97" s="2"/>
      <x:c r="J97" s="2"/>
      <x:c r="K97" s="2"/>
      <x:c r="L97" s="2"/>
      <x:c r="M97" s="2"/>
      <x:c r="N97" s="2"/>
      <x:c r="O97" s="2"/>
    </x:row>
    <x:row r="98" ht="42" customHeight="1">
      <x:c r="A98" s="18" t="n">
        <x:v>25</x:v>
      </x:c>
      <x:c r="B98" s="18" t="str">
        <x:v>61091000</x:v>
      </x:c>
      <x:c r="C98" s="20" t="n">
        <x:v>0.032221226763006934</x:v>
      </x:c>
      <x:c r="D98" s="20" t="n">
        <x:v>-0.003374975075825404</x:v>
      </x:c>
      <x:c r="E98" s="26" t="n">
        <x:v>47.040821783773936</x:v>
      </x:c>
      <x:c r="F98" s="26" t="n">
        <x:v>1.1757382646692178</x:v>
      </x:c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30" customHeight="1">
      <x:c r="A99" s="19" t="n">
        <x:v>26</x:v>
      </x:c>
      <x:c r="B99" s="19" t="str">
        <x:v>61091000</x:v>
      </x:c>
      <x:c r="C99" s="21" t="n">
        <x:v>0</x:v>
      </x:c>
      <x:c r="D99" s="21" t="n">
        <x:v>0</x:v>
      </x:c>
      <x:c r="E99" s="27" t="n">
        <x:v>0</x:v>
      </x:c>
      <x:c r="F99" s="27" t="n">
        <x:v>1</x:v>
      </x:c>
      <x:c r="G99" s="2"/>
      <x:c r="H99" s="2"/>
      <x:c r="I99" s="2"/>
      <x:c r="J99" s="2"/>
      <x:c r="K99" s="2"/>
      <x:c r="L99" s="2"/>
      <x:c r="M99" s="2"/>
      <x:c r="N99" s="2"/>
      <x:c r="O99" s="2"/>
    </x:row>
    <x:row r="100" ht="42" customHeight="1">
      <x:c r="A100" s="18" t="n">
        <x:v>1</x:v>
      </x:c>
      <x:c r="B100" s="18" t="str">
        <x:v>62052000</x:v>
      </x:c>
      <x:c r="C100" s="20" t="n">
        <x:v>0.06915990057015509</x:v>
      </x:c>
      <x:c r="D100" s="20" t="n">
        <x:v>0.01344890350534289</x:v>
      </x:c>
      <x:c r="E100" s="26" t="n">
        <x:v>117.77113668368929</x:v>
      </x:c>
      <x:c r="F100" s="26" t="n">
        <x:v>1.4259779790859572</x:v>
      </x:c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 ht="42" customHeight="1">
      <x:c r="A101" s="19" t="n">
        <x:v>2</x:v>
      </x:c>
      <x:c r="B101" s="19" t="str">
        <x:v>62052000</x:v>
      </x:c>
      <x:c r="C101" s="21" t="n">
        <x:v>0.05</x:v>
      </x:c>
      <x:c r="D101" s="21" t="n">
        <x:v>0.009723050058249028</x:v>
      </x:c>
      <x:c r="E101" s="27" t="n">
        <x:v>71.97165887346364</x:v>
      </x:c>
      <x:c r="F101" s="27" t="n">
        <x:v>1.3079660146806094</x:v>
      </x:c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 ht="42" customHeight="1">
      <x:c r="A102" s="18" t="n">
        <x:v>3</x:v>
      </x:c>
      <x:c r="B102" s="18" t="str">
        <x:v>62052000</x:v>
      </x:c>
      <x:c r="C102" s="20" t="n">
        <x:v>0.06915990057015509</x:v>
      </x:c>
      <x:c r="D102" s="20" t="n">
        <x:v>0.01344890350534289</x:v>
      </x:c>
      <x:c r="E102" s="26" t="n">
        <x:v>117.77113668368929</x:v>
      </x:c>
      <x:c r="F102" s="26" t="n">
        <x:v>1.4259779790859572</x:v>
      </x:c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 ht="42" customHeight="1">
      <x:c r="A103" s="19" t="n">
        <x:v>4</x:v>
      </x:c>
      <x:c r="B103" s="19" t="str">
        <x:v>62052000</x:v>
      </x:c>
      <x:c r="C103" s="21" t="n">
        <x:v>0.06915990057015509</x:v>
      </x:c>
      <x:c r="D103" s="21" t="n">
        <x:v>0.01344890350534289</x:v>
      </x:c>
      <x:c r="E103" s="27" t="n">
        <x:v>117.77113668368929</x:v>
      </x:c>
      <x:c r="F103" s="27" t="n">
        <x:v>1.4259779790859572</x:v>
      </x:c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 ht="42" customHeight="1">
      <x:c r="A104" s="18" t="n">
        <x:v>5</x:v>
      </x:c>
      <x:c r="B104" s="18" t="str">
        <x:v>62052000</x:v>
      </x:c>
      <x:c r="C104" s="20" t="n">
        <x:v>0.06915990057015509</x:v>
      </x:c>
      <x:c r="D104" s="20" t="n">
        <x:v>0.01344890350534289</x:v>
      </x:c>
      <x:c r="E104" s="26" t="n">
        <x:v>117.77113668368929</x:v>
      </x:c>
      <x:c r="F104" s="26" t="n">
        <x:v>1.4259779790859572</x:v>
      </x:c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 ht="42" customHeight="1">
      <x:c r="A105" s="19" t="n">
        <x:v>6</x:v>
      </x:c>
      <x:c r="B105" s="19" t="str">
        <x:v>62052000</x:v>
      </x:c>
      <x:c r="C105" s="21" t="n">
        <x:v>0.06915990057015509</x:v>
      </x:c>
      <x:c r="D105" s="21" t="n">
        <x:v>0.01344890350534289</x:v>
      </x:c>
      <x:c r="E105" s="27" t="n">
        <x:v>117.77113668368929</x:v>
      </x:c>
      <x:c r="F105" s="27" t="n">
        <x:v>1.4259779790859572</x:v>
      </x:c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 ht="42" customHeight="1">
      <x:c r="A106" s="18" t="n">
        <x:v>7</x:v>
      </x:c>
      <x:c r="B106" s="18" t="str">
        <x:v>62052000</x:v>
      </x:c>
      <x:c r="C106" s="20" t="n">
        <x:v>0.06915990057015509</x:v>
      </x:c>
      <x:c r="D106" s="20" t="n">
        <x:v>0.020625737005316225</x:v>
      </x:c>
      <x:c r="E106" s="26" t="n">
        <x:v>87.91386646893534</x:v>
      </x:c>
      <x:c r="F106" s="26" t="n">
        <x:v>1.5679706387812764</x:v>
      </x:c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 ht="42" customHeight="1">
      <x:c r="A107" s="19" t="n">
        <x:v>8</x:v>
      </x:c>
      <x:c r="B107" s="19" t="str">
        <x:v>62052000</x:v>
      </x:c>
      <x:c r="C107" s="21" t="n">
        <x:v>0.06915990057015509</x:v>
      </x:c>
      <x:c r="D107" s="21" t="n">
        <x:v>0.006565868158929344</x:v>
      </x:c>
      <x:c r="E107" s="27" t="n">
        <x:v>147.05768748480386</x:v>
      </x:c>
      <x:c r="F107" s="27" t="n">
        <x:v>1.266168398139183</x:v>
      </x:c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 ht="42" customHeight="1">
      <x:c r="A108" s="18" t="n">
        <x:v>9</x:v>
      </x:c>
      <x:c r="B108" s="18" t="str">
        <x:v>62052000</x:v>
      </x:c>
      <x:c r="C108" s="20" t="n">
        <x:v>0.06915990057015509</x:v>
      </x:c>
      <x:c r="D108" s="20" t="n">
        <x:v>0.028213251470262213</x:v>
      </x:c>
      <x:c r="E108" s="26" t="n">
        <x:v>73.99215449325447</x:v>
      </x:c>
      <x:c r="F108" s="26" t="n">
        <x:v>1.8519559581719147</x:v>
      </x:c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 ht="30" customHeight="1">
      <x:c r="A109" s="19" t="n">
        <x:v>10</x:v>
      </x:c>
      <x:c r="B109" s="19" t="str">
        <x:v>62052000</x:v>
      </x:c>
      <x:c r="C109" s="21" t="n">
        <x:v>0</x:v>
      </x:c>
      <x:c r="D109" s="21" t="n">
        <x:v>0</x:v>
      </x:c>
      <x:c r="E109" s="27" t="n">
        <x:v>0</x:v>
      </x:c>
      <x:c r="F109" s="27" t="n">
        <x:v>1</x:v>
      </x:c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 ht="30" customHeight="1">
      <x:c r="A110" s="18" t="n">
        <x:v>11</x:v>
      </x:c>
      <x:c r="B110" s="18" t="str">
        <x:v>62052000</x:v>
      </x:c>
      <x:c r="C110" s="20" t="n">
        <x:v>0</x:v>
      </x:c>
      <x:c r="D110" s="20" t="n">
        <x:v>0</x:v>
      </x:c>
      <x:c r="E110" s="26" t="n">
        <x:v>0</x:v>
      </x:c>
      <x:c r="F110" s="26" t="n">
        <x:v>1</x:v>
      </x:c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 ht="42" customHeight="1">
      <x:c r="A111" s="19" t="n">
        <x:v>12</x:v>
      </x:c>
      <x:c r="B111" s="19" t="str">
        <x:v>62052000</x:v>
      </x:c>
      <x:c r="C111" s="21" t="n">
        <x:v>0.06915990057015509</x:v>
      </x:c>
      <x:c r="D111" s="21" t="n">
        <x:v>0.022445540650508855</x:v>
      </x:c>
      <x:c r="E111" s="27" t="n">
        <x:v>117.77113668368929</x:v>
      </x:c>
      <x:c r="F111" s="27" t="n">
        <x:v>1.4259779790859572</x:v>
      </x:c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 ht="42" customHeight="1">
      <x:c r="A112" s="18" t="n">
        <x:v>13</x:v>
      </x:c>
      <x:c r="B112" s="18" t="str">
        <x:v>62052000</x:v>
      </x:c>
      <x:c r="C112" s="20" t="n">
        <x:v>0.06915990057015509</x:v>
      </x:c>
      <x:c r="D112" s="20" t="n">
        <x:v>0.024917804005418764</x:v>
      </x:c>
      <x:c r="E112" s="26" t="n">
        <x:v>117.77113668368929</x:v>
      </x:c>
      <x:c r="F112" s="26" t="n">
        <x:v>1.4259779790859572</x:v>
      </x:c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 ht="42" customHeight="1">
      <x:c r="A113" s="19" t="n">
        <x:v>14</x:v>
      </x:c>
      <x:c r="B113" s="19" t="str">
        <x:v>62052000</x:v>
      </x:c>
      <x:c r="C113" s="21" t="n">
        <x:v>0.06915990057015509</x:v>
      </x:c>
      <x:c r="D113" s="21" t="n">
        <x:v>0.01536038692202224</x:v>
      </x:c>
      <x:c r="E113" s="27" t="n">
        <x:v>117.77113668368929</x:v>
      </x:c>
      <x:c r="F113" s="27" t="n">
        <x:v>1.4259779790859572</x:v>
      </x:c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 ht="42" customHeight="1">
      <x:c r="A114" s="18" t="n">
        <x:v>15</x:v>
      </x:c>
      <x:c r="B114" s="18" t="str">
        <x:v>62052000</x:v>
      </x:c>
      <x:c r="C114" s="20" t="n">
        <x:v>0.06915990057015509</x:v>
      </x:c>
      <x:c r="D114" s="20" t="n">
        <x:v>0.018227612047041042</x:v>
      </x:c>
      <x:c r="E114" s="26" t="n">
        <x:v>117.77113668368929</x:v>
      </x:c>
      <x:c r="F114" s="26" t="n">
        <x:v>1.4259779790859572</x:v>
      </x:c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 ht="42" customHeight="1">
      <x:c r="A115" s="19" t="n">
        <x:v>16</x:v>
      </x:c>
      <x:c r="B115" s="19" t="str">
        <x:v>62052000</x:v>
      </x:c>
      <x:c r="C115" s="21" t="n">
        <x:v>0.06915990057015509</x:v>
      </x:c>
      <x:c r="D115" s="21" t="n">
        <x:v>0.013082083140715683</x:v>
      </x:c>
      <x:c r="E115" s="27" t="n">
        <x:v>117.77113668368929</x:v>
      </x:c>
      <x:c r="F115" s="27" t="n">
        <x:v>1.4259779790859572</x:v>
      </x:c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 ht="42" customHeight="1">
      <x:c r="A116" s="18" t="n">
        <x:v>17</x:v>
      </x:c>
      <x:c r="B116" s="18" t="str">
        <x:v>62052000</x:v>
      </x:c>
      <x:c r="C116" s="20" t="n">
        <x:v>0.06915990057015509</x:v>
      </x:c>
      <x:c r="D116" s="20" t="n">
        <x:v>0.014929303814607886</x:v>
      </x:c>
      <x:c r="E116" s="26" t="n">
        <x:v>117.77113668368929</x:v>
      </x:c>
      <x:c r="F116" s="26" t="n">
        <x:v>1.4259779790859572</x:v>
      </x:c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 ht="42" customHeight="1">
      <x:c r="A117" s="19" t="n">
        <x:v>18</x:v>
      </x:c>
      <x:c r="B117" s="19" t="str">
        <x:v>62052000</x:v>
      </x:c>
      <x:c r="C117" s="21" t="n">
        <x:v>0.06915990057015509</x:v>
      </x:c>
      <x:c r="D117" s="21" t="n">
        <x:v>0.015048154191019902</x:v>
      </x:c>
      <x:c r="E117" s="27" t="n">
        <x:v>117.77113668368929</x:v>
      </x:c>
      <x:c r="F117" s="27" t="n">
        <x:v>1.4259779790859572</x:v>
      </x:c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 ht="42" customHeight="1">
      <x:c r="A118" s="18" t="n">
        <x:v>19</x:v>
      </x:c>
      <x:c r="B118" s="18" t="str">
        <x:v>62052000</x:v>
      </x:c>
      <x:c r="C118" s="20" t="n">
        <x:v>0.06915990057015509</x:v>
      </x:c>
      <x:c r="D118" s="20" t="n">
        <x:v>0.013296761154778958</x:v>
      </x:c>
      <x:c r="E118" s="26" t="n">
        <x:v>117.77113668368929</x:v>
      </x:c>
      <x:c r="F118" s="26" t="n">
        <x:v>1.4259779790859572</x:v>
      </x:c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 ht="42" customHeight="1">
      <x:c r="A119" s="19" t="n">
        <x:v>20</x:v>
      </x:c>
      <x:c r="B119" s="19" t="str">
        <x:v>62052000</x:v>
      </x:c>
      <x:c r="C119" s="21" t="n">
        <x:v>0.06915990057015509</x:v>
      </x:c>
      <x:c r="D119" s="21" t="n">
        <x:v>0.013296761154778958</x:v>
      </x:c>
      <x:c r="E119" s="27" t="n">
        <x:v>117.77113668368929</x:v>
      </x:c>
      <x:c r="F119" s="27" t="n">
        <x:v>1.4259779790859572</x:v>
      </x:c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 ht="42" customHeight="1">
      <x:c r="A120" s="18" t="n">
        <x:v>21</x:v>
      </x:c>
      <x:c r="B120" s="18" t="str">
        <x:v>62052000</x:v>
      </x:c>
      <x:c r="C120" s="20" t="n">
        <x:v>0.06915990057015509</x:v>
      </x:c>
      <x:c r="D120" s="20" t="n">
        <x:v>0.014139405298759344</x:v>
      </x:c>
      <x:c r="E120" s="26" t="n">
        <x:v>117.77113668368929</x:v>
      </x:c>
      <x:c r="F120" s="26" t="n">
        <x:v>1.4259779790859572</x:v>
      </x:c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 ht="42" customHeight="1">
      <x:c r="A121" s="19" t="n">
        <x:v>22</x:v>
      </x:c>
      <x:c r="B121" s="19" t="str">
        <x:v>62052000</x:v>
      </x:c>
      <x:c r="C121" s="21" t="n">
        <x:v>0.06915990057015509</x:v>
      </x:c>
      <x:c r="D121" s="21" t="n">
        <x:v>0.015182269643559287</x:v>
      </x:c>
      <x:c r="E121" s="27" t="n">
        <x:v>117.77113668368929</x:v>
      </x:c>
      <x:c r="F121" s="27" t="n">
        <x:v>1.4259779790859572</x:v>
      </x:c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 ht="42" customHeight="1">
      <x:c r="A122" s="18" t="n">
        <x:v>23</x:v>
      </x:c>
      <x:c r="B122" s="18" t="str">
        <x:v>62052000</x:v>
      </x:c>
      <x:c r="C122" s="20" t="n">
        <x:v>0.06915990057015509</x:v>
      </x:c>
      <x:c r="D122" s="20" t="n">
        <x:v>0.017451291263525626</x:v>
      </x:c>
      <x:c r="E122" s="26" t="n">
        <x:v>117.77113668368929</x:v>
      </x:c>
      <x:c r="F122" s="26" t="n">
        <x:v>1.4259779790859572</x:v>
      </x:c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 ht="30" customHeight="1">
      <x:c r="A123" s="19" t="n">
        <x:v>24</x:v>
      </x:c>
      <x:c r="B123" s="19" t="str">
        <x:v>62052000</x:v>
      </x:c>
      <x:c r="C123" s="21" t="n">
        <x:v>0</x:v>
      </x:c>
      <x:c r="D123" s="21" t="n">
        <x:v>0</x:v>
      </x:c>
      <x:c r="E123" s="27" t="n">
        <x:v>0</x:v>
      </x:c>
      <x:c r="F123" s="27" t="n">
        <x:v>1</x:v>
      </x:c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 ht="42" customHeight="1">
      <x:c r="A124" s="18" t="n">
        <x:v>25</x:v>
      </x:c>
      <x:c r="B124" s="18" t="str">
        <x:v>62052000</x:v>
      </x:c>
      <x:c r="C124" s="20" t="n">
        <x:v>0.06915990057015509</x:v>
      </x:c>
      <x:c r="D124" s="20" t="n">
        <x:v>0.0058722905259651625</x:v>
      </x:c>
      <x:c r="E124" s="26" t="n">
        <x:v>147.05768748480386</x:v>
      </x:c>
      <x:c r="F124" s="26" t="n">
        <x:v>1.266168398139183</x:v>
      </x:c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 ht="30" customHeight="1">
      <x:c r="A125" s="19" t="n">
        <x:v>26</x:v>
      </x:c>
      <x:c r="B125" s="19" t="str">
        <x:v>62052000</x:v>
      </x:c>
      <x:c r="C125" s="21" t="n">
        <x:v>0</x:v>
      </x:c>
      <x:c r="D125" s="21" t="n">
        <x:v>0</x:v>
      </x:c>
      <x:c r="E125" s="27" t="n">
        <x:v>0</x:v>
      </x:c>
      <x:c r="F125" s="27" t="n">
        <x:v>1</x:v>
      </x:c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 ht="42" customHeight="1">
      <x:c r="A131" s="15" t="str">
        <x:v>Case ID</x:v>
      </x:c>
      <x:c r="B131" s="16" t="str">
        <x:v>Case label</x:v>
      </x:c>
      <x:c r="C131" s="16" t="str">
        <x:v>Equal cost change</x:v>
      </x:c>
      <x:c r="D131" s="16" t="str">
        <x:v>Value cost change</x:v>
      </x:c>
      <x:c r="E131" s="16" t="str">
        <x:v>Knitwear shift</x:v>
      </x:c>
      <x:c r="F131" s="16" t="str">
        <x:v>Tee HHI change</x:v>
      </x:c>
      <x:c r="G131" s="16" t="str">
        <x:v>Knit HHI change</x:v>
      </x:c>
      <x:c r="H131" s="16" t="str">
        <x:v>Dress HHI change</x:v>
      </x:c>
      <x:c r="I131" s="16" t="str">
        <x:v>Shirt HHI change</x:v>
      </x:c>
      <x:c r="J131" s="17" t="str">
        <x:v>Max multiple</x:v>
      </x:c>
      <x:c r="K131" s="2"/>
      <x:c r="L131" s="2"/>
      <x:c r="M131" s="2"/>
      <x:c r="N131" s="2"/>
      <x:c r="O131" s="2"/>
    </x:row>
    <x:row r="132" ht="42" customHeight="1">
      <x:c r="A132" s="18" t="n">
        <x:v>1</x:v>
      </x:c>
      <x:c r="B132" s="18" t="str">
        <x:v>Balanced, 3x</x:v>
      </x:c>
      <x:c r="C132" s="20" t="n">
        <x:v>0.0007667252992001883</x:v>
      </x:c>
      <x:c r="D132" s="20" t="n">
        <x:v>-0.0009929236664520365</x:v>
      </x:c>
      <x:c r="E132" s="20" t="n">
        <x:v>0.014153298257653319</x:v>
      </x:c>
      <x:c r="F132" s="18" t="n">
        <x:v>39.567478091494195</x:v>
      </x:c>
      <x:c r="G132" s="18" t="n">
        <x:v>-88.19322957670738</x:v>
      </x:c>
      <x:c r="H132" s="18" t="n">
        <x:v>-635.801651328959</x:v>
      </x:c>
      <x:c r="I132" s="18" t="n">
        <x:v>117.77113668368929</x:v>
      </x:c>
      <x:c r="J132" s="18" t="n">
        <x:v>3</x:v>
      </x:c>
      <x:c r="K132" s="2"/>
      <x:c r="L132" s="2"/>
      <x:c r="M132" s="2"/>
      <x:c r="N132" s="2"/>
      <x:c r="O132" s="2"/>
    </x:row>
    <x:row r="133" ht="42" customHeight="1">
      <x:c r="A133" s="19" t="n">
        <x:v>2</x:v>
      </x:c>
      <x:c r="B133" s="19" t="str">
        <x:v>Cautious, 3x</x:v>
      </x:c>
      <x:c r="C133" s="21" t="n">
        <x:v>0.00044885644442482775</x:v>
      </x:c>
      <x:c r="D133" s="21" t="n">
        <x:v>-0.0010414741428202208</x:v>
      </x:c>
      <x:c r="E133" s="21" t="n">
        <x:v>0.014153298257653319</x:v>
      </x:c>
      <x:c r="F133" s="19" t="n">
        <x:v>39.567478091494195</x:v>
      </x:c>
      <x:c r="G133" s="19" t="n">
        <x:v>-88.19322957670738</x:v>
      </x:c>
      <x:c r="H133" s="19" t="n">
        <x:v>-352.2758256644797</x:v>
      </x:c>
      <x:c r="I133" s="19" t="n">
        <x:v>71.97165887346364</x:v>
      </x:c>
      <x:c r="J133" s="19" t="n">
        <x:v>3</x:v>
      </x:c>
      <x:c r="K133" s="2"/>
      <x:c r="L133" s="2"/>
      <x:c r="M133" s="2"/>
      <x:c r="N133" s="2"/>
      <x:c r="O133" s="2"/>
    </x:row>
    <x:row r="134" ht="42" customHeight="1">
      <x:c r="A134" s="18" t="n">
        <x:v>3</x:v>
      </x:c>
      <x:c r="B134" s="18" t="str">
        <x:v>Accelerated, 3x</x:v>
      </x:c>
      <x:c r="C134" s="20" t="n">
        <x:v>0.00015313079220213854</x:v>
      </x:c>
      <x:c r="D134" s="20" t="n">
        <x:v>-0.0013282546081557207</x:v>
      </x:c>
      <x:c r="E134" s="20" t="n">
        <x:v>0.014153298257653319</x:v>
      </x:c>
      <x:c r="F134" s="18" t="n">
        <x:v>39.567478091494195</x:v>
      </x:c>
      <x:c r="G134" s="18" t="n">
        <x:v>-88.19322957670738</x:v>
      </x:c>
      <x:c r="H134" s="18" t="n">
        <x:v>-850.5774769934385</x:v>
      </x:c>
      <x:c r="I134" s="18" t="n">
        <x:v>117.77113668368929</x:v>
      </x:c>
      <x:c r="J134" s="18" t="n">
        <x:v>3</x:v>
      </x:c>
      <x:c r="K134" s="2"/>
      <x:c r="L134" s="2"/>
      <x:c r="M134" s="2"/>
      <x:c r="N134" s="2"/>
      <x:c r="O134" s="2"/>
    </x:row>
    <x:row r="135" ht="42" customHeight="1">
      <x:c r="A135" s="19" t="n">
        <x:v>4</x:v>
      </x:c>
      <x:c r="B135" s="19" t="str">
        <x:v>Share limits only</x:v>
      </x:c>
      <x:c r="C135" s="21" t="n">
        <x:v>-0.006249536607517009</x:v>
      </x:c>
      <x:c r="D135" s="21" t="n">
        <x:v>-0.008894779307680501</x:v>
      </x:c>
      <x:c r="E135" s="21" t="n">
        <x:v>0.1</x:v>
      </x:c>
      <x:c r="F135" s="19" t="n">
        <x:v>39.567478091494195</x:v>
      </x:c>
      <x:c r="G135" s="19" t="n">
        <x:v>-505.0892458432204</x:v>
      </x:c>
      <x:c r="H135" s="19" t="n">
        <x:v>-635.801651328959</x:v>
      </x:c>
      <x:c r="I135" s="19" t="n">
        <x:v>117.77113668368929</x:v>
      </x:c>
      <x:c r="J135" s="19" t="n">
        <x:v>15.130981793720846</x:v>
      </x:c>
      <x:c r="K135" s="2"/>
      <x:c r="L135" s="2"/>
      <x:c r="M135" s="2"/>
      <x:c r="N135" s="2"/>
      <x:c r="O135" s="2"/>
    </x:row>
    <x:row r="136" ht="42" customHeight="1">
      <x:c r="A136" s="18" t="n">
        <x:v>5</x:v>
      </x:c>
      <x:c r="B136" s="18" t="str">
        <x:v>Growth cap 2x</x:v>
      </x:c>
      <x:c r="C136" s="20" t="n">
        <x:v>0.0013451007370685608</x:v>
      </x:c>
      <x:c r="D136" s="20" t="n">
        <x:v>-0.0003415455854695196</x:v>
      </x:c>
      <x:c r="E136" s="20" t="n">
        <x:v>0.007076649128826659</x:v>
      </x:c>
      <x:c r="F136" s="18" t="n">
        <x:v>39.567478091494195</x:v>
      </x:c>
      <x:c r="G136" s="18" t="n">
        <x:v>-44.7852005281261</x:v>
      </x:c>
      <x:c r="H136" s="18" t="n">
        <x:v>-635.801651328959</x:v>
      </x:c>
      <x:c r="I136" s="18" t="n">
        <x:v>117.77113668368929</x:v>
      </x:c>
      <x:c r="J136" s="18" t="n">
        <x:v>2</x:v>
      </x:c>
      <x:c r="K136" s="2"/>
      <x:c r="L136" s="2"/>
      <x:c r="M136" s="2"/>
      <x:c r="N136" s="2"/>
      <x:c r="O136" s="2"/>
    </x:row>
    <x:row r="137" ht="42" customHeight="1">
      <x:c r="A137" s="19" t="n">
        <x:v>6</x:v>
      </x:c>
      <x:c r="B137" s="19" t="str">
        <x:v>Growth cap 5x</x:v>
      </x:c>
      <x:c r="C137" s="21" t="n">
        <x:v>-0.0003900255765366678</x:v>
      </x:c>
      <x:c r="D137" s="21" t="n">
        <x:v>-0.002295679828417195</x:v>
      </x:c>
      <x:c r="E137" s="21" t="n">
        <x:v>0.028306596515306637</x:v>
      </x:c>
      <x:c r="F137" s="19" t="n">
        <x:v>39.567478091494195</x:v>
      </x:c>
      <x:c r="G137" s="19" t="n">
        <x:v>-170.87777323523687</x:v>
      </x:c>
      <x:c r="H137" s="19" t="n">
        <x:v>-635.801651328959</x:v>
      </x:c>
      <x:c r="I137" s="19" t="n">
        <x:v>117.77113668368929</x:v>
      </x:c>
      <x:c r="J137" s="19" t="n">
        <x:v>5</x:v>
      </x:c>
      <x:c r="K137" s="2"/>
      <x:c r="L137" s="2"/>
      <x:c r="M137" s="2"/>
      <x:c r="N137" s="2"/>
      <x:c r="O137" s="2"/>
    </x:row>
    <x:row r="138" ht="42" customHeight="1">
      <x:c r="A138" s="18" t="n">
        <x:v>7</x:v>
      </x:c>
      <x:c r="B138" s="18" t="str">
        <x:v>Equal receiver mix</x:v>
      </x:c>
      <x:c r="C138" s="20" t="n">
        <x:v>0.0037006696285400154</x:v>
      </x:c>
      <x:c r="D138" s="20" t="n">
        <x:v>0.0018109842816884894</x:v>
      </x:c>
      <x:c r="E138" s="20" t="n">
        <x:v>0.02122994738647998</x:v>
      </x:c>
      <x:c r="F138" s="18" t="n">
        <x:v>32.46322703714577</x:v>
      </x:c>
      <x:c r="G138" s="18" t="n">
        <x:v>-124.56659855308635</x:v>
      </x:c>
      <x:c r="H138" s="18" t="n">
        <x:v>-678.9002073559636</x:v>
      </x:c>
      <x:c r="I138" s="18" t="n">
        <x:v>87.91386646893534</x:v>
      </x:c>
      <x:c r="J138" s="18" t="n">
        <x:v>3</x:v>
      </x:c>
      <x:c r="K138" s="2"/>
      <x:c r="L138" s="2"/>
      <x:c r="M138" s="2"/>
      <x:c r="N138" s="2"/>
      <x:c r="O138" s="2"/>
    </x:row>
    <x:row r="139" ht="42" customHeight="1">
      <x:c r="A139" s="19" t="n">
        <x:v>8</x:v>
      </x:c>
      <x:c r="B139" s="19" t="str">
        <x:v>Mix by baseline presence</x:v>
      </x:c>
      <x:c r="C139" s="21" t="n">
        <x:v>-0.021848727625710856</x:v>
      </x:c>
      <x:c r="D139" s="21" t="n">
        <x:v>-0.0254176195653385</x:v>
      </x:c>
      <x:c r="E139" s="21" t="n">
        <x:v>0.1</x:v>
      </x:c>
      <x:c r="F139" s="19" t="n">
        <x:v>47.040821783773936</x:v>
      </x:c>
      <x:c r="G139" s="19" t="n">
        <x:v>-240.5921031335697</x:v>
      </x:c>
      <x:c r="H139" s="19" t="n">
        <x:v>-577.5496439602734</x:v>
      </x:c>
      <x:c r="I139" s="19" t="n">
        <x:v>147.05768748480386</x:v>
      </x:c>
      <x:c r="J139" s="19" t="n">
        <x:v>1.5687822805303502</x:v>
      </x:c>
      <x:c r="K139" s="2"/>
      <x:c r="L139" s="2"/>
      <x:c r="M139" s="2"/>
      <x:c r="N139" s="2"/>
      <x:c r="O139" s="2"/>
    </x:row>
    <x:row r="140" ht="42" customHeight="1">
      <x:c r="A140" s="18" t="n">
        <x:v>9</x:v>
      </x:c>
      <x:c r="B140" s="18" t="str">
        <x:v>Turkey 50% mix</x:v>
      </x:c>
      <x:c r="C140" s="20" t="n">
        <x:v>0.006415875494409251</x:v>
      </x:c>
      <x:c r="D140" s="20" t="n">
        <x:v>0.0028230831652012235</x:v>
      </x:c>
      <x:c r="E140" s="20" t="n">
        <x:v>0.028306596515306637</x:v>
      </x:c>
      <x:c r="F140" s="18" t="n">
        <x:v>33.57172498301361</x:v>
      </x:c>
      <x:c r="G140" s="18" t="n">
        <x:v>-148.2446138815012</x:v>
      </x:c>
      <x:c r="H140" s="18" t="n">
        <x:v>-694.4215890066594</x:v>
      </x:c>
      <x:c r="I140" s="18" t="n">
        <x:v>73.99215449325447</x:v>
      </x:c>
      <x:c r="J140" s="18" t="n">
        <x:v>3</x:v>
      </x:c>
      <x:c r="K140" s="2"/>
      <x:c r="L140" s="2"/>
      <x:c r="M140" s="2"/>
      <x:c r="N140" s="2"/>
      <x:c r="O140" s="2"/>
    </x:row>
    <x:row r="141" ht="42" customHeight="1">
      <x:c r="A141" s="19" t="n">
        <x:v>10</x:v>
      </x:c>
      <x:c r="B141" s="19" t="str">
        <x:v>Synthetic pair only</x:v>
      </x:c>
      <x:c r="C141" s="21" t="n">
        <x:v>-0.002383939889733011</x:v>
      </x:c>
      <x:c r="D141" s="21" t="n">
        <x:v>-0.001973418045372542</x:v>
      </x:c>
      <x:c r="E141" s="21" t="n">
        <x:v>0.014153298257653319</x:v>
      </x:c>
      <x:c r="F141" s="19" t="n">
        <x:v>0</x:v>
      </x:c>
      <x:c r="G141" s="19" t="n">
        <x:v>-88.19322957670738</x:v>
      </x:c>
      <x:c r="H141" s="19" t="n">
        <x:v>-635.801651328959</x:v>
      </x:c>
      <x:c r="I141" s="19" t="n">
        <x:v>0</x:v>
      </x:c>
      <x:c r="J141" s="19" t="n">
        <x:v>3</x:v>
      </x:c>
      <x:c r="K141" s="2"/>
      <x:c r="L141" s="2"/>
      <x:c r="M141" s="2"/>
      <x:c r="N141" s="2"/>
      <x:c r="O141" s="2"/>
    </x:row>
    <x:row r="142" ht="42" customHeight="1">
      <x:c r="A142" s="18" t="n">
        <x:v>11</x:v>
      </x:c>
      <x:c r="B142" s="18" t="str">
        <x:v>Synthetic, Turkey-led knitwear</x:v>
      </x:c>
      <x:c r="C142" s="20" t="n">
        <x:v>-0.012416544168938864</x:v>
      </x:c>
      <x:c r="D142" s="20" t="n">
        <x:v>-0.013272339290595517</x:v>
      </x:c>
      <x:c r="E142" s="20" t="n">
        <x:v>0.07058533305676154</x:v>
      </x:c>
      <x:c r="F142" s="18" t="n">
        <x:v>0</x:v>
      </x:c>
      <x:c r="G142" s="18" t="n">
        <x:v>-259.735460467497</x:v>
      </x:c>
      <x:c r="H142" s="18" t="n">
        <x:v>-635.801651328959</x:v>
      </x:c>
      <x:c r="I142" s="18" t="n">
        <x:v>0</x:v>
      </x:c>
      <x:c r="J142" s="18" t="n">
        <x:v>3</x:v>
      </x:c>
      <x:c r="K142" s="2"/>
      <x:c r="L142" s="2"/>
      <x:c r="M142" s="2"/>
      <x:c r="N142" s="2"/>
      <x:c r="O142" s="2"/>
    </x:row>
    <x:row r="143" ht="42" customHeight="1">
      <x:c r="A143" s="19" t="n">
        <x:v>12</x:v>
      </x:c>
      <x:c r="B143" s="19" t="str">
        <x:v>MFN on whole benchmark</x:v>
      </x:c>
      <x:c r="C143" s="21" t="n">
        <x:v>0.007871361904966373</x:v>
      </x:c>
      <x:c r="D143" s="21" t="n">
        <x:v>0.004690030852736506</x:v>
      </x:c>
      <x:c r="E143" s="21" t="n">
        <x:v>0.014153298257653319</x:v>
      </x:c>
      <x:c r="F143" s="19" t="n">
        <x:v>39.567478091494195</x:v>
      </x:c>
      <x:c r="G143" s="19" t="n">
        <x:v>-88.19322957670738</x:v>
      </x:c>
      <x:c r="H143" s="19" t="n">
        <x:v>-635.801651328959</x:v>
      </x:c>
      <x:c r="I143" s="19" t="n">
        <x:v>117.77113668368929</x:v>
      </x:c>
      <x:c r="J143" s="19" t="n">
        <x:v>3</x:v>
      </x:c>
      <x:c r="K143" s="2"/>
      <x:c r="L143" s="2"/>
      <x:c r="M143" s="2"/>
      <x:c r="N143" s="2"/>
      <x:c r="O143" s="2"/>
    </x:row>
    <x:row r="144" ht="42" customHeight="1">
      <x:c r="A144" s="18" t="n">
        <x:v>13</x:v>
      </x:c>
      <x:c r="B144" s="18" t="str">
        <x:v>MFN on transferred volume</x:v>
      </x:c>
      <x:c r="C144" s="20" t="n">
        <x:v>0.0086763612458787</x:v>
      </x:c>
      <x:c r="D144" s="20" t="n">
        <x:v>0.005198440283236936</x:v>
      </x:c>
      <x:c r="E144" s="20" t="n">
        <x:v>0.014153298257653319</x:v>
      </x:c>
      <x:c r="F144" s="18" t="n">
        <x:v>39.567478091494195</x:v>
      </x:c>
      <x:c r="G144" s="18" t="n">
        <x:v>-88.19322957670738</x:v>
      </x:c>
      <x:c r="H144" s="18" t="n">
        <x:v>-635.801651328959</x:v>
      </x:c>
      <x:c r="I144" s="18" t="n">
        <x:v>117.77113668368929</x:v>
      </x:c>
      <x:c r="J144" s="18" t="n">
        <x:v>3</x:v>
      </x:c>
      <x:c r="K144" s="2"/>
      <x:c r="L144" s="2"/>
      <x:c r="M144" s="2"/>
      <x:c r="N144" s="2"/>
      <x:c r="O144" s="2"/>
    </x:row>
    <x:row r="145" ht="42" customHeight="1">
      <x:c r="A145" s="19" t="n">
        <x:v>14</x:v>
      </x:c>
      <x:c r="B145" s="19" t="str">
        <x:v>Receiver premium 2%</x:v>
      </x:c>
      <x:c r="C145" s="21" t="n">
        <x:v>0.002099909707484887</x:v>
      </x:c>
      <x:c r="D145" s="21" t="n">
        <x:v>0.00004711963432744385</x:v>
      </x:c>
      <x:c r="E145" s="21" t="n">
        <x:v>0.014153298257653319</x:v>
      </x:c>
      <x:c r="F145" s="19" t="n">
        <x:v>39.567478091494195</x:v>
      </x:c>
      <x:c r="G145" s="19" t="n">
        <x:v>-88.19322957670738</x:v>
      </x:c>
      <x:c r="H145" s="19" t="n">
        <x:v>-635.801651328959</x:v>
      </x:c>
      <x:c r="I145" s="19" t="n">
        <x:v>117.77113668368929</x:v>
      </x:c>
      <x:c r="J145" s="19" t="n">
        <x:v>3</x:v>
      </x:c>
      <x:c r="K145" s="2"/>
      <x:c r="L145" s="2"/>
      <x:c r="M145" s="2"/>
      <x:c r="N145" s="2"/>
      <x:c r="O145" s="2"/>
    </x:row>
    <x:row r="146" ht="42" customHeight="1">
      <x:c r="A146" s="18" t="n">
        <x:v>15</x:v>
      </x:c>
      <x:c r="B146" s="18" t="str">
        <x:v>Receiver premium 5%</x:v>
      </x:c>
      <x:c r="C146" s="20" t="n">
        <x:v>0.0040996863199119216</x:v>
      </x:c>
      <x:c r="D146" s="20" t="n">
        <x:v>0.0016071845854967344</x:v>
      </x:c>
      <x:c r="E146" s="20" t="n">
        <x:v>0.014153298257653319</x:v>
      </x:c>
      <x:c r="F146" s="18" t="n">
        <x:v>39.567478091494195</x:v>
      </x:c>
      <x:c r="G146" s="18" t="n">
        <x:v>-88.19322957670738</x:v>
      </x:c>
      <x:c r="H146" s="18" t="n">
        <x:v>-635.801651328959</x:v>
      </x:c>
      <x:c r="I146" s="18" t="n">
        <x:v>117.77113668368929</x:v>
      </x:c>
      <x:c r="J146" s="18" t="n">
        <x:v>3</x:v>
      </x:c>
      <x:c r="K146" s="2"/>
      <x:c r="L146" s="2"/>
      <x:c r="M146" s="2"/>
      <x:c r="N146" s="2"/>
      <x:c r="O146" s="2"/>
    </x:row>
    <x:row r="147" ht="42" customHeight="1">
      <x:c r="A147" s="19" t="n">
        <x:v>16</x:v>
      </x:c>
      <x:c r="B147" s="19" t="str">
        <x:v>H1 2026 common months</x:v>
      </x:c>
      <x:c r="C147" s="21" t="n">
        <x:v>0.0018929929978840077</x:v>
      </x:c>
      <x:c r="D147" s="21" t="n">
        <x:v>0.00034098768422304894</x:v>
      </x:c>
      <x:c r="E147" s="21" t="n">
        <x:v>0.014153298257653319</x:v>
      </x:c>
      <x:c r="F147" s="19" t="n">
        <x:v>39.567478091494195</x:v>
      </x:c>
      <x:c r="G147" s="19" t="n">
        <x:v>-88.19322957670738</x:v>
      </x:c>
      <x:c r="H147" s="19" t="n">
        <x:v>-635.801651328959</x:v>
      </x:c>
      <x:c r="I147" s="19" t="n">
        <x:v>117.77113668368929</x:v>
      </x:c>
      <x:c r="J147" s="19" t="n">
        <x:v>3</x:v>
      </x:c>
      <x:c r="K147" s="2"/>
      <x:c r="L147" s="2"/>
      <x:c r="M147" s="2"/>
      <x:c r="N147" s="2"/>
      <x:c r="O147" s="2"/>
    </x:row>
    <x:row r="148" ht="42" customHeight="1">
      <x:c r="A148" s="18" t="n">
        <x:v>17</x:v>
      </x:c>
      <x:c r="B148" s="18" t="str">
        <x:v>FY2025 reported prices</x:v>
      </x:c>
      <x:c r="C148" s="20" t="n">
        <x:v>0.0010333309347499708</x:v>
      </x:c>
      <x:c r="D148" s="20" t="n">
        <x:v>-0.0034346523738861363</x:v>
      </x:c>
      <x:c r="E148" s="20" t="n">
        <x:v>0.014153298257653319</x:v>
      </x:c>
      <x:c r="F148" s="18" t="n">
        <x:v>39.567478091494195</x:v>
      </x:c>
      <x:c r="G148" s="18" t="n">
        <x:v>-88.19322957670738</x:v>
      </x:c>
      <x:c r="H148" s="18" t="n">
        <x:v>-635.801651328959</x:v>
      </x:c>
      <x:c r="I148" s="18" t="n">
        <x:v>117.77113668368929</x:v>
      </x:c>
      <x:c r="J148" s="18" t="n">
        <x:v>3</x:v>
      </x:c>
      <x:c r="K148" s="2"/>
      <x:c r="L148" s="2"/>
      <x:c r="M148" s="2"/>
      <x:c r="N148" s="2"/>
      <x:c r="O148" s="2"/>
    </x:row>
    <x:row r="149" ht="42" customHeight="1">
      <x:c r="A149" s="19" t="n">
        <x:v>18</x:v>
      </x:c>
      <x:c r="B149" s="19" t="str">
        <x:v>FY2025 common months</x:v>
      </x:c>
      <x:c r="C149" s="21" t="n">
        <x:v>0.0020935971383265195</x:v>
      </x:c>
      <x:c r="D149" s="21" t="n">
        <x:v>-0.0018784380830649914</x:v>
      </x:c>
      <x:c r="E149" s="21" t="n">
        <x:v>0.014153298257653319</x:v>
      </x:c>
      <x:c r="F149" s="19" t="n">
        <x:v>39.567478091494195</x:v>
      </x:c>
      <x:c r="G149" s="19" t="n">
        <x:v>-88.19322957670738</x:v>
      </x:c>
      <x:c r="H149" s="19" t="n">
        <x:v>-635.801651328959</x:v>
      </x:c>
      <x:c r="I149" s="19" t="n">
        <x:v>117.77113668368929</x:v>
      </x:c>
      <x:c r="J149" s="19" t="n">
        <x:v>3</x:v>
      </x:c>
      <x:c r="K149" s="2"/>
      <x:c r="L149" s="2"/>
      <x:c r="M149" s="2"/>
      <x:c r="N149" s="2"/>
      <x:c r="O149" s="2"/>
    </x:row>
    <x:row r="150" ht="42" customHeight="1">
      <x:c r="A150" s="18" t="n">
        <x:v>19</x:v>
      </x:c>
      <x:c r="B150" s="18" t="str">
        <x:v>H1 2025 reported prices</x:v>
      </x:c>
      <x:c r="C150" s="20" t="n">
        <x:v>-0.0014335425008842884</x:v>
      </x:c>
      <x:c r="D150" s="20" t="n">
        <x:v>-0.00488028568419368</x:v>
      </x:c>
      <x:c r="E150" s="20" t="n">
        <x:v>0.014153298257653319</x:v>
      </x:c>
      <x:c r="F150" s="18" t="n">
        <x:v>39.567478091494195</x:v>
      </x:c>
      <x:c r="G150" s="18" t="n">
        <x:v>-88.19322957670738</x:v>
      </x:c>
      <x:c r="H150" s="18" t="n">
        <x:v>-635.801651328959</x:v>
      </x:c>
      <x:c r="I150" s="18" t="n">
        <x:v>117.77113668368929</x:v>
      </x:c>
      <x:c r="J150" s="18" t="n">
        <x:v>3</x:v>
      </x:c>
      <x:c r="K150" s="2"/>
      <x:c r="L150" s="2"/>
      <x:c r="M150" s="2"/>
      <x:c r="N150" s="2"/>
      <x:c r="O150" s="2"/>
    </x:row>
    <x:row r="151" ht="42" customHeight="1">
      <x:c r="A151" s="19" t="n">
        <x:v>20</x:v>
      </x:c>
      <x:c r="B151" s="19" t="str">
        <x:v>H1 2025 common months</x:v>
      </x:c>
      <x:c r="C151" s="21" t="n">
        <x:v>-0.0005481916509954554</x:v>
      </x:c>
      <x:c r="D151" s="21" t="n">
        <x:v>-0.003184705927642354</x:v>
      </x:c>
      <x:c r="E151" s="21" t="n">
        <x:v>0.014153298257653319</x:v>
      </x:c>
      <x:c r="F151" s="19" t="n">
        <x:v>39.567478091494195</x:v>
      </x:c>
      <x:c r="G151" s="19" t="n">
        <x:v>-88.19322957670738</x:v>
      </x:c>
      <x:c r="H151" s="19" t="n">
        <x:v>-635.801651328959</x:v>
      </x:c>
      <x:c r="I151" s="19" t="n">
        <x:v>117.77113668368929</x:v>
      </x:c>
      <x:c r="J151" s="19" t="n">
        <x:v>3</x:v>
      </x:c>
      <x:c r="K151" s="2"/>
      <x:c r="L151" s="2"/>
      <x:c r="M151" s="2"/>
      <x:c r="N151" s="2"/>
      <x:c r="O151" s="2"/>
    </x:row>
    <x:row r="152" ht="42" customHeight="1">
      <x:c r="A152" s="18" t="n">
        <x:v>21</x:v>
      </x:c>
      <x:c r="B152" s="18" t="str">
        <x:v>Operating stress low</x:v>
      </x:c>
      <x:c r="C152" s="20" t="n">
        <x:v>0.0012937152875126257</x:v>
      </x:c>
      <x:c r="D152" s="20" t="n">
        <x:v>-0.0005359994261177419</x:v>
      </x:c>
      <x:c r="E152" s="20" t="n">
        <x:v>0.014153298257653319</x:v>
      </x:c>
      <x:c r="F152" s="18" t="n">
        <x:v>39.567478091494195</x:v>
      </x:c>
      <x:c r="G152" s="18" t="n">
        <x:v>-88.19322957670738</x:v>
      </x:c>
      <x:c r="H152" s="18" t="n">
        <x:v>-635.801651328959</x:v>
      </x:c>
      <x:c r="I152" s="18" t="n">
        <x:v>117.77113668368929</x:v>
      </x:c>
      <x:c r="J152" s="18" t="n">
        <x:v>3</x:v>
      </x:c>
      <x:c r="K152" s="2"/>
      <x:c r="L152" s="2"/>
      <x:c r="M152" s="2"/>
      <x:c r="N152" s="2"/>
      <x:c r="O152" s="2"/>
    </x:row>
    <x:row r="153" ht="42" customHeight="1">
      <x:c r="A153" s="19" t="n">
        <x:v>22</x:v>
      </x:c>
      <x:c r="B153" s="19" t="str">
        <x:v>Operating stress central</x:v>
      </x:c>
      <x:c r="C153" s="21" t="n">
        <x:v>0.0020815950057921084</x:v>
      </x:c>
      <x:c r="D153" s="21" t="n">
        <x:v>0.00013971968067903523</x:v>
      </x:c>
      <x:c r="E153" s="21" t="n">
        <x:v>0.014153298257653319</x:v>
      </x:c>
      <x:c r="F153" s="19" t="n">
        <x:v>39.567478091494195</x:v>
      </x:c>
      <x:c r="G153" s="19" t="n">
        <x:v>-88.19322957670738</x:v>
      </x:c>
      <x:c r="H153" s="19" t="n">
        <x:v>-635.801651328959</x:v>
      </x:c>
      <x:c r="I153" s="19" t="n">
        <x:v>117.77113668368929</x:v>
      </x:c>
      <x:c r="J153" s="19" t="n">
        <x:v>3</x:v>
      </x:c>
      <x:c r="K153" s="2"/>
      <x:c r="L153" s="2"/>
      <x:c r="M153" s="2"/>
      <x:c r="N153" s="2"/>
      <x:c r="O153" s="2"/>
    </x:row>
    <x:row r="154" ht="42" customHeight="1">
      <x:c r="A154" s="18" t="n">
        <x:v>23</x:v>
      </x:c>
      <x:c r="B154" s="18" t="str">
        <x:v>Operating stress high</x:v>
      </x:c>
      <x:c r="C154" s="20" t="n">
        <x:v>0.0037851940431456454</x:v>
      </x:c>
      <x:c r="D154" s="20" t="n">
        <x:v>0.0015908880737996384</x:v>
      </x:c>
      <x:c r="E154" s="20" t="n">
        <x:v>0.014153298257653319</x:v>
      </x:c>
      <x:c r="F154" s="18" t="n">
        <x:v>39.567478091494195</x:v>
      </x:c>
      <x:c r="G154" s="18" t="n">
        <x:v>-88.19322957670738</x:v>
      </x:c>
      <x:c r="H154" s="18" t="n">
        <x:v>-635.801651328959</x:v>
      </x:c>
      <x:c r="I154" s="18" t="n">
        <x:v>117.77113668368929</x:v>
      </x:c>
      <x:c r="J154" s="18" t="n">
        <x:v>3</x:v>
      </x:c>
      <x:c r="K154" s="2"/>
      <x:c r="L154" s="2"/>
      <x:c r="M154" s="2"/>
      <x:c r="N154" s="2"/>
      <x:c r="O154" s="2"/>
    </x:row>
    <x:row r="155" ht="42" customHeight="1">
      <x:c r="A155" s="19" t="n">
        <x:v>24</x:v>
      </x:c>
      <x:c r="B155" s="19" t="str">
        <x:v>Synthetic mix, increment MFN</x:v>
      </x:c>
      <x:c r="C155" s="21" t="n">
        <x:v>-0.0077047102104721155</x:v>
      </x:c>
      <x:c r="D155" s="21" t="n">
        <x:v>-0.009785215173750013</x:v>
      </x:c>
      <x:c r="E155" s="21" t="n">
        <x:v>0.07058533305676154</x:v>
      </x:c>
      <x:c r="F155" s="19" t="n">
        <x:v>0</x:v>
      </x:c>
      <x:c r="G155" s="19" t="n">
        <x:v>-259.735460467497</x:v>
      </x:c>
      <x:c r="H155" s="19" t="n">
        <x:v>-635.801651328959</x:v>
      </x:c>
      <x:c r="I155" s="19" t="n">
        <x:v>0</x:v>
      </x:c>
      <x:c r="J155" s="19" t="n">
        <x:v>3</x:v>
      </x:c>
      <x:c r="K155" s="2"/>
      <x:c r="L155" s="2"/>
      <x:c r="M155" s="2"/>
      <x:c r="N155" s="2"/>
      <x:c r="O155" s="2"/>
    </x:row>
    <x:row r="156" ht="42" customHeight="1">
      <x:c r="A156" s="18" t="n">
        <x:v>25</x:v>
      </x:c>
      <x:c r="B156" s="18" t="str">
        <x:v>Presence mix, common months</x:v>
      </x:c>
      <x:c r="C156" s="20" t="n">
        <x:v>-0.012366657155812089</x:v>
      </x:c>
      <x:c r="D156" s="20" t="n">
        <x:v>-0.014614900876269078</x:v>
      </x:c>
      <x:c r="E156" s="20" t="n">
        <x:v>0.1</x:v>
      </x:c>
      <x:c r="F156" s="18" t="n">
        <x:v>47.040821783773936</x:v>
      </x:c>
      <x:c r="G156" s="18" t="n">
        <x:v>-240.5921031335697</x:v>
      </x:c>
      <x:c r="H156" s="18" t="n">
        <x:v>-577.5496439602734</x:v>
      </x:c>
      <x:c r="I156" s="18" t="n">
        <x:v>147.05768748480386</x:v>
      </x:c>
      <x:c r="J156" s="18" t="n">
        <x:v>1.5687822805303502</x:v>
      </x:c>
      <x:c r="K156" s="2"/>
      <x:c r="L156" s="2"/>
      <x:c r="M156" s="2"/>
      <x:c r="N156" s="2"/>
      <x:c r="O156" s="2"/>
    </x:row>
    <x:row r="157" ht="42" customHeight="1">
      <x:c r="A157" s="19" t="n">
        <x:v>26</x:v>
      </x:c>
      <x:c r="B157" s="19" t="str">
        <x:v>Synthetic mix, common months</x:v>
      </x:c>
      <x:c r="C157" s="21" t="n">
        <x:v>-0.0032974895368234614</x:v>
      </x:c>
      <x:c r="D157" s="21" t="n">
        <x:v>-0.003002276079519315</x:v>
      </x:c>
      <x:c r="E157" s="21" t="n">
        <x:v>0.07058533305676154</x:v>
      </x:c>
      <x:c r="F157" s="19" t="n">
        <x:v>0</x:v>
      </x:c>
      <x:c r="G157" s="19" t="n">
        <x:v>-259.735460467497</x:v>
      </x:c>
      <x:c r="H157" s="19" t="n">
        <x:v>-635.801651328959</x:v>
      </x:c>
      <x:c r="I157" s="19" t="n">
        <x:v>0</x:v>
      </x:c>
      <x:c r="J157" s="19" t="n">
        <x:v>3</x:v>
      </x:c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 ht="22" customHeight="1">
      <x:c r="A163" s="2" t="str">
        <x:v>S05/S08: country values from reported trade exports and WP009 Source_Data. Common-month observations remain a sensitivity, not corrected truth.</x:v>
      </x:c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 ht="42" customHeight="1">
      <x:c r="A169" s="15" t="str">
        <x:v>CN8</x:v>
      </x:c>
      <x:c r="B169" s="16" t="str">
        <x:v>Partner</x:v>
      </x:c>
      <x:c r="C169" s="16" t="str">
        <x:v>FY2025 mass kg</x:v>
      </x:c>
      <x:c r="D169" s="16" t="str">
        <x:v>H1 2026 value GBP</x:v>
      </x:c>
      <x:c r="E169" s="16" t="str">
        <x:v>H1 2026 mass kg</x:v>
      </x:c>
      <x:c r="F169" s="16" t="str">
        <x:v>H1 2026 World GBP</x:v>
      </x:c>
      <x:c r="G169" s="16" t="str">
        <x:v>H1 2025 value GBP</x:v>
      </x:c>
      <x:c r="H169" s="16" t="str">
        <x:v>Common value GBP</x:v>
      </x:c>
      <x:c r="I169" s="16" t="str">
        <x:v>Common mass kg</x:v>
      </x:c>
      <x:c r="J169" s="16" t="str">
        <x:v>Common months</x:v>
      </x:c>
      <x:c r="K169" s="16" t="str">
        <x:v>REVIEW months</x:v>
      </x:c>
      <x:c r="L169" s="17" t="str">
        <x:v>Eligible rate</x:v>
      </x:c>
      <x:c r="M169" s="2"/>
      <x:c r="N169" s="2"/>
      <x:c r="O169" s="2"/>
    </x:row>
    <x:row r="170" ht="30" customHeight="1">
      <x:c r="A170" s="18" t="str">
        <x:v>61103099</x:v>
      </x:c>
      <x:c r="B170" s="18" t="str">
        <x:v>Bangladesh</x:v>
      </x:c>
      <x:c r="C170" s="24" t="n">
        <x:v>13246692</x:v>
      </x:c>
      <x:c r="D170" s="24" t="n">
        <x:v>41106466</x:v>
      </x:c>
      <x:c r="E170" s="24" t="n">
        <x:v>3340374</x:v>
      </x:c>
      <x:c r="F170" s="24" t="n">
        <x:v>190421961</x:v>
      </x:c>
      <x:c r="G170" s="24" t="n">
        <x:v>43232053</x:v>
      </x:c>
      <x:c r="H170" s="24" t="n">
        <x:v>25038881</x:v>
      </x:c>
      <x:c r="I170" s="24" t="n">
        <x:v>2031795</x:v>
      </x:c>
      <x:c r="J170" s="24" t="n">
        <x:v>3</x:v>
      </x:c>
      <x:c r="K170" s="24" t="n">
        <x:v>0</x:v>
      </x:c>
      <x:c r="L170" s="20" t="n">
        <x:v>0</x:v>
      </x:c>
      <x:c r="M170" s="2"/>
      <x:c r="N170" s="2"/>
      <x:c r="O170" s="2"/>
    </x:row>
    <x:row r="171" ht="30" customHeight="1">
      <x:c r="A171" s="19" t="str">
        <x:v>61103099</x:v>
      </x:c>
      <x:c r="B171" s="19" t="str">
        <x:v>Cambodia</x:v>
      </x:c>
      <x:c r="C171" s="25" t="n">
        <x:v>6288565</x:v>
      </x:c>
      <x:c r="D171" s="25" t="n">
        <x:v>20275618</x:v>
      </x:c>
      <x:c r="E171" s="25" t="n">
        <x:v>1804538</x:v>
      </x:c>
      <x:c r="F171" s="25" t="n">
        <x:v>190421961</x:v>
      </x:c>
      <x:c r="G171" s="25" t="n">
        <x:v>26147920</x:v>
      </x:c>
      <x:c r="H171" s="25" t="n">
        <x:v>13269420</x:v>
      </x:c>
      <x:c r="I171" s="25" t="n">
        <x:v>1232292</x:v>
      </x:c>
      <x:c r="J171" s="25" t="n">
        <x:v>3</x:v>
      </x:c>
      <x:c r="K171" s="25" t="n">
        <x:v>0</x:v>
      </x:c>
      <x:c r="L171" s="21" t="n">
        <x:v>0</x:v>
      </x:c>
      <x:c r="M171" s="2"/>
      <x:c r="N171" s="2"/>
      <x:c r="O171" s="2"/>
    </x:row>
    <x:row r="172" ht="30" customHeight="1">
      <x:c r="A172" s="18" t="str">
        <x:v>61103099</x:v>
      </x:c>
      <x:c r="B172" s="18" t="str">
        <x:v>China</x:v>
      </x:c>
      <x:c r="C172" s="24" t="n">
        <x:v>16459562</x:v>
      </x:c>
      <x:c r="D172" s="24" t="n">
        <x:v>44515052</x:v>
      </x:c>
      <x:c r="E172" s="24" t="n">
        <x:v>2608798</x:v>
      </x:c>
      <x:c r="F172" s="24" t="n">
        <x:v>190421961</x:v>
      </x:c>
      <x:c r="G172" s="24" t="n">
        <x:v>48301351</x:v>
      </x:c>
      <x:c r="H172" s="24" t="n">
        <x:v>27014460</x:v>
      </x:c>
      <x:c r="I172" s="24" t="n">
        <x:v>1632364</x:v>
      </x:c>
      <x:c r="J172" s="24" t="n">
        <x:v>3</x:v>
      </x:c>
      <x:c r="K172" s="24" t="n">
        <x:v>0</x:v>
      </x:c>
      <x:c r="L172" s="20" t="n">
        <x:v>0.12</x:v>
      </x:c>
      <x:c r="M172" s="2"/>
      <x:c r="N172" s="2"/>
      <x:c r="O172" s="2"/>
    </x:row>
    <x:row r="173" ht="30" customHeight="1">
      <x:c r="A173" s="19" t="str">
        <x:v>61103099</x:v>
      </x:c>
      <x:c r="B173" s="19" t="str">
        <x:v>India</x:v>
      </x:c>
      <x:c r="C173" s="25" t="n">
        <x:v>159066</x:v>
      </x:c>
      <x:c r="D173" s="25" t="n">
        <x:v>709744</x:v>
      </x:c>
      <x:c r="E173" s="25" t="n">
        <x:v>46899</x:v>
      </x:c>
      <x:c r="F173" s="25" t="n">
        <x:v>190421961</x:v>
      </x:c>
      <x:c r="G173" s="25" t="n">
        <x:v>932801</x:v>
      </x:c>
      <x:c r="H173" s="25" t="n">
        <x:v>404614</x:v>
      </x:c>
      <x:c r="I173" s="25" t="n">
        <x:v>27619</x:v>
      </x:c>
      <x:c r="J173" s="25" t="n">
        <x:v>3</x:v>
      </x:c>
      <x:c r="K173" s="25" t="n">
        <x:v>0</x:v>
      </x:c>
      <x:c r="L173" s="21" t="n">
        <x:v>0</x:v>
      </x:c>
      <x:c r="M173" s="2"/>
      <x:c r="N173" s="2"/>
      <x:c r="O173" s="2"/>
    </x:row>
    <x:row r="174" ht="30" customHeight="1">
      <x:c r="A174" s="18" t="str">
        <x:v>61103099</x:v>
      </x:c>
      <x:c r="B174" s="18" t="str">
        <x:v>Morocco</x:v>
      </x:c>
      <x:c r="C174" s="24" t="n">
        <x:v>19704</x:v>
      </x:c>
      <x:c r="D174" s="24" t="n">
        <x:v>94543</x:v>
      </x:c>
      <x:c r="E174" s="24" t="n">
        <x:v>3440</x:v>
      </x:c>
      <x:c r="F174" s="24" t="n">
        <x:v>190421961</x:v>
      </x:c>
      <x:c r="G174" s="24" t="n">
        <x:v>177153</x:v>
      </x:c>
      <x:c r="H174" s="24" t="n">
        <x:v>77048</x:v>
      </x:c>
      <x:c r="I174" s="24" t="n">
        <x:v>2804</x:v>
      </x:c>
      <x:c r="J174" s="24" t="n">
        <x:v>3</x:v>
      </x:c>
      <x:c r="K174" s="24" t="n">
        <x:v>0</x:v>
      </x:c>
      <x:c r="L174" s="20" t="n">
        <x:v>0</x:v>
      </x:c>
      <x:c r="M174" s="2"/>
      <x:c r="N174" s="2"/>
      <x:c r="O174" s="2"/>
    </x:row>
    <x:row r="175" ht="30" customHeight="1">
      <x:c r="A175" s="19" t="str">
        <x:v>61103099</x:v>
      </x:c>
      <x:c r="B175" s="19" t="str">
        <x:v>Myanmar</x:v>
      </x:c>
      <x:c r="C175" s="25" t="n">
        <x:v>508754</x:v>
      </x:c>
      <x:c r="D175" s="25" t="n">
        <x:v>1019595</x:v>
      </x:c>
      <x:c r="E175" s="25" t="n">
        <x:v>72000</x:v>
      </x:c>
      <x:c r="F175" s="25" t="n">
        <x:v>190421961</x:v>
      </x:c>
      <x:c r="G175" s="25" t="n">
        <x:v>1277975</x:v>
      </x:c>
      <x:c r="H175" s="25" t="n">
        <x:v>550135</x:v>
      </x:c>
      <x:c r="I175" s="25" t="n">
        <x:v>36826</x:v>
      </x:c>
      <x:c r="J175" s="25" t="n">
        <x:v>3</x:v>
      </x:c>
      <x:c r="K175" s="25" t="n">
        <x:v>0</x:v>
      </x:c>
      <x:c r="L175" s="21" t="n">
        <x:v>0</x:v>
      </x:c>
      <x:c r="M175" s="2"/>
      <x:c r="N175" s="2"/>
      <x:c r="O175" s="2"/>
    </x:row>
    <x:row r="176" ht="30" customHeight="1">
      <x:c r="A176" s="18" t="str">
        <x:v>61103099</x:v>
      </x:c>
      <x:c r="B176" s="18" t="str">
        <x:v>Pakistan</x:v>
      </x:c>
      <x:c r="C176" s="24" t="n">
        <x:v>427235</x:v>
      </x:c>
      <x:c r="D176" s="24" t="n">
        <x:v>2797761</x:v>
      </x:c>
      <x:c r="E176" s="24" t="n">
        <x:v>189105</x:v>
      </x:c>
      <x:c r="F176" s="24" t="n">
        <x:v>190421961</x:v>
      </x:c>
      <x:c r="G176" s="24" t="n">
        <x:v>2863632</x:v>
      </x:c>
      <x:c r="H176" s="24" t="n">
        <x:v>1564498</x:v>
      </x:c>
      <x:c r="I176" s="24" t="n">
        <x:v>111136</x:v>
      </x:c>
      <x:c r="J176" s="24" t="n">
        <x:v>3</x:v>
      </x:c>
      <x:c r="K176" s="24" t="n">
        <x:v>0</x:v>
      </x:c>
      <x:c r="L176" s="20" t="n">
        <x:v>0</x:v>
      </x:c>
      <x:c r="M176" s="2"/>
      <x:c r="N176" s="2"/>
      <x:c r="O176" s="2"/>
    </x:row>
    <x:row r="177" ht="30" customHeight="1">
      <x:c r="A177" s="19" t="str">
        <x:v>61103099</x:v>
      </x:c>
      <x:c r="B177" s="19" t="str">
        <x:v>Sri Lanka</x:v>
      </x:c>
      <x:c r="C177" s="25" t="n">
        <x:v>100905</x:v>
      </x:c>
      <x:c r="D177" s="25" t="n">
        <x:v>732589</x:v>
      </x:c>
      <x:c r="E177" s="25" t="n">
        <x:v>34757</x:v>
      </x:c>
      <x:c r="F177" s="25" t="n">
        <x:v>190421961</x:v>
      </x:c>
      <x:c r="G177" s="25" t="n">
        <x:v>707193</x:v>
      </x:c>
      <x:c r="H177" s="25" t="n">
        <x:v>326827</x:v>
      </x:c>
      <x:c r="I177" s="25" t="n">
        <x:v>14080</x:v>
      </x:c>
      <x:c r="J177" s="25" t="n">
        <x:v>3</x:v>
      </x:c>
      <x:c r="K177" s="25" t="n">
        <x:v>0</x:v>
      </x:c>
      <x:c r="L177" s="21" t="n">
        <x:v>0</x:v>
      </x:c>
      <x:c r="M177" s="2"/>
      <x:c r="N177" s="2"/>
      <x:c r="O177" s="2"/>
    </x:row>
    <x:row r="178" ht="30" customHeight="1">
      <x:c r="A178" s="18" t="str">
        <x:v>61103099</x:v>
      </x:c>
      <x:c r="B178" s="18" t="str">
        <x:v>Turkey</x:v>
      </x:c>
      <x:c r="C178" s="24" t="n">
        <x:v>7348045</x:v>
      </x:c>
      <x:c r="D178" s="24" t="n">
        <x:v>15949155</x:v>
      </x:c>
      <x:c r="E178" s="24" t="n">
        <x:v>2413703</x:v>
      </x:c>
      <x:c r="F178" s="24" t="n">
        <x:v>190421961</x:v>
      </x:c>
      <x:c r="G178" s="24" t="n">
        <x:v>19881485</x:v>
      </x:c>
      <x:c r="H178" s="24" t="n">
        <x:v>8996246</x:v>
      </x:c>
      <x:c r="I178" s="24" t="n">
        <x:v>835360</x:v>
      </x:c>
      <x:c r="J178" s="24" t="n">
        <x:v>3</x:v>
      </x:c>
      <x:c r="K178" s="24" t="n">
        <x:v>3</x:v>
      </x:c>
      <x:c r="L178" s="20" t="n">
        <x:v>0</x:v>
      </x:c>
      <x:c r="M178" s="2"/>
      <x:c r="N178" s="2"/>
      <x:c r="O178" s="2"/>
    </x:row>
    <x:row r="179" ht="30" customHeight="1">
      <x:c r="A179" s="19" t="str">
        <x:v>61103099</x:v>
      </x:c>
      <x:c r="B179" s="19" t="str">
        <x:v>Vietnam</x:v>
      </x:c>
      <x:c r="C179" s="25" t="n">
        <x:v>396647</x:v>
      </x:c>
      <x:c r="D179" s="25" t="n">
        <x:v>6261277</x:v>
      </x:c>
      <x:c r="E179" s="25" t="n">
        <x:v>292287</x:v>
      </x:c>
      <x:c r="F179" s="25" t="n">
        <x:v>190421961</x:v>
      </x:c>
      <x:c r="G179" s="25" t="n">
        <x:v>4270297</x:v>
      </x:c>
      <x:c r="H179" s="25" t="n">
        <x:v>3494621</x:v>
      </x:c>
      <x:c r="I179" s="25" t="n">
        <x:v>99649</x:v>
      </x:c>
      <x:c r="J179" s="25" t="n">
        <x:v>3</x:v>
      </x:c>
      <x:c r="K179" s="25" t="n">
        <x:v>1</x:v>
      </x:c>
      <x:c r="L179" s="21" t="n">
        <x:v>0</x:v>
      </x:c>
      <x:c r="M179" s="2"/>
      <x:c r="N179" s="2"/>
      <x:c r="O179" s="2"/>
    </x:row>
    <x:row r="180" ht="30" customHeight="1">
      <x:c r="A180" s="18" t="str">
        <x:v>62044300</x:v>
      </x:c>
      <x:c r="B180" s="18" t="str">
        <x:v>Bangladesh</x:v>
      </x:c>
      <x:c r="C180" s="24" t="n">
        <x:v>788304</x:v>
      </x:c>
      <x:c r="D180" s="24" t="n">
        <x:v>6924029</x:v>
      </x:c>
      <x:c r="E180" s="24" t="n">
        <x:v>450236</x:v>
      </x:c>
      <x:c r="F180" s="24" t="n">
        <x:v>180363360</x:v>
      </x:c>
      <x:c r="G180" s="24" t="n">
        <x:v>6638434</x:v>
      </x:c>
      <x:c r="H180" s="24" t="n">
        <x:v>6924029</x:v>
      </x:c>
      <x:c r="I180" s="24" t="n">
        <x:v>450236</x:v>
      </x:c>
      <x:c r="J180" s="24" t="n">
        <x:v>6</x:v>
      </x:c>
      <x:c r="K180" s="24" t="n">
        <x:v>0</x:v>
      </x:c>
      <x:c r="L180" s="20" t="n">
        <x:v>0</x:v>
      </x:c>
      <x:c r="M180" s="2"/>
      <x:c r="N180" s="2"/>
      <x:c r="O180" s="2"/>
    </x:row>
    <x:row r="181" ht="30" customHeight="1">
      <x:c r="A181" s="19" t="str">
        <x:v>62044300</x:v>
      </x:c>
      <x:c r="B181" s="19" t="str">
        <x:v>Cambodia</x:v>
      </x:c>
      <x:c r="C181" s="25" t="n">
        <x:v>193821</x:v>
      </x:c>
      <x:c r="D181" s="25" t="n">
        <x:v>2808404</x:v>
      </x:c>
      <x:c r="E181" s="25" t="n">
        <x:v>150870</x:v>
      </x:c>
      <x:c r="F181" s="25" t="n">
        <x:v>180363360</x:v>
      </x:c>
      <x:c r="G181" s="25" t="n">
        <x:v>1967492</x:v>
      </x:c>
      <x:c r="H181" s="25" t="n">
        <x:v>2808404</x:v>
      </x:c>
      <x:c r="I181" s="25" t="n">
        <x:v>150870</x:v>
      </x:c>
      <x:c r="J181" s="25" t="n">
        <x:v>6</x:v>
      </x:c>
      <x:c r="K181" s="25" t="n">
        <x:v>0</x:v>
      </x:c>
      <x:c r="L181" s="21" t="n">
        <x:v>0</x:v>
      </x:c>
      <x:c r="M181" s="2"/>
      <x:c r="N181" s="2"/>
      <x:c r="O181" s="2"/>
    </x:row>
    <x:row r="182" ht="30" customHeight="1">
      <x:c r="A182" s="18" t="str">
        <x:v>62044300</x:v>
      </x:c>
      <x:c r="B182" s="18" t="str">
        <x:v>China</x:v>
      </x:c>
      <x:c r="C182" s="24" t="n">
        <x:v>3777711</x:v>
      </x:c>
      <x:c r="D182" s="24" t="n">
        <x:v>52333750</x:v>
      </x:c>
      <x:c r="E182" s="24" t="n">
        <x:v>1892903</x:v>
      </x:c>
      <x:c r="F182" s="24" t="n">
        <x:v>180363360</x:v>
      </x:c>
      <x:c r="G182" s="24" t="n">
        <x:v>49523896</x:v>
      </x:c>
      <x:c r="H182" s="24" t="n">
        <x:v>52333750</x:v>
      </x:c>
      <x:c r="I182" s="24" t="n">
        <x:v>1892903</x:v>
      </x:c>
      <x:c r="J182" s="24" t="n">
        <x:v>6</x:v>
      </x:c>
      <x:c r="K182" s="24" t="n">
        <x:v>0</x:v>
      </x:c>
      <x:c r="L182" s="20" t="n">
        <x:v>0.12</x:v>
      </x:c>
      <x:c r="M182" s="2"/>
      <x:c r="N182" s="2"/>
      <x:c r="O182" s="2"/>
    </x:row>
    <x:row r="183" ht="30" customHeight="1">
      <x:c r="A183" s="19" t="str">
        <x:v>62044300</x:v>
      </x:c>
      <x:c r="B183" s="19" t="str">
        <x:v>India</x:v>
      </x:c>
      <x:c r="C183" s="25" t="n">
        <x:v>1191708</x:v>
      </x:c>
      <x:c r="D183" s="25" t="n">
        <x:v>20258876</x:v>
      </x:c>
      <x:c r="E183" s="25" t="n">
        <x:v>721170</x:v>
      </x:c>
      <x:c r="F183" s="25" t="n">
        <x:v>180363360</x:v>
      </x:c>
      <x:c r="G183" s="25" t="n">
        <x:v>20894616</x:v>
      </x:c>
      <x:c r="H183" s="25" t="n">
        <x:v>20258876</x:v>
      </x:c>
      <x:c r="I183" s="25" t="n">
        <x:v>721170</x:v>
      </x:c>
      <x:c r="J183" s="25" t="n">
        <x:v>6</x:v>
      </x:c>
      <x:c r="K183" s="25" t="n">
        <x:v>0</x:v>
      </x:c>
      <x:c r="L183" s="21" t="n">
        <x:v>0</x:v>
      </x:c>
      <x:c r="M183" s="2"/>
      <x:c r="N183" s="2"/>
      <x:c r="O183" s="2"/>
    </x:row>
    <x:row r="184" ht="30" customHeight="1">
      <x:c r="A184" s="18" t="str">
        <x:v>62044300</x:v>
      </x:c>
      <x:c r="B184" s="18" t="str">
        <x:v>Morocco</x:v>
      </x:c>
      <x:c r="C184" s="24" t="n">
        <x:v>483259</x:v>
      </x:c>
      <x:c r="D184" s="24" t="n">
        <x:v>5511176</x:v>
      </x:c>
      <x:c r="E184" s="24" t="n">
        <x:v>218537</x:v>
      </x:c>
      <x:c r="F184" s="24" t="n">
        <x:v>180363360</x:v>
      </x:c>
      <x:c r="G184" s="24" t="n">
        <x:v>6596648</x:v>
      </x:c>
      <x:c r="H184" s="24" t="n">
        <x:v>5511176</x:v>
      </x:c>
      <x:c r="I184" s="24" t="n">
        <x:v>218537</x:v>
      </x:c>
      <x:c r="J184" s="24" t="n">
        <x:v>6</x:v>
      </x:c>
      <x:c r="K184" s="24" t="n">
        <x:v>0</x:v>
      </x:c>
      <x:c r="L184" s="20" t="n">
        <x:v>0</x:v>
      </x:c>
      <x:c r="M184" s="2"/>
      <x:c r="N184" s="2"/>
      <x:c r="O184" s="2"/>
    </x:row>
    <x:row r="185" ht="30" customHeight="1">
      <x:c r="A185" s="19" t="str">
        <x:v>62044300</x:v>
      </x:c>
      <x:c r="B185" s="19" t="str">
        <x:v>Myanmar</x:v>
      </x:c>
      <x:c r="C185" s="25" t="n">
        <x:v>138284</x:v>
      </x:c>
      <x:c r="D185" s="25" t="n">
        <x:v>2412796</x:v>
      </x:c>
      <x:c r="E185" s="25" t="n">
        <x:v>37986</x:v>
      </x:c>
      <x:c r="F185" s="25" t="n">
        <x:v>180363360</x:v>
      </x:c>
      <x:c r="G185" s="25" t="n">
        <x:v>2158407</x:v>
      </x:c>
      <x:c r="H185" s="25" t="n">
        <x:v>2412796</x:v>
      </x:c>
      <x:c r="I185" s="25" t="n">
        <x:v>37986</x:v>
      </x:c>
      <x:c r="J185" s="25" t="n">
        <x:v>6</x:v>
      </x:c>
      <x:c r="K185" s="25" t="n">
        <x:v>0</x:v>
      </x:c>
      <x:c r="L185" s="21" t="n">
        <x:v>0</x:v>
      </x:c>
      <x:c r="M185" s="2"/>
      <x:c r="N185" s="2"/>
      <x:c r="O185" s="2"/>
    </x:row>
    <x:row r="186" ht="30" customHeight="1">
      <x:c r="A186" s="18" t="str">
        <x:v>62044300</x:v>
      </x:c>
      <x:c r="B186" s="18" t="str">
        <x:v>Pakistan</x:v>
      </x:c>
      <x:c r="C186" s="24" t="n">
        <x:v>78305</x:v>
      </x:c>
      <x:c r="D186" s="24" t="n">
        <x:v>496523</x:v>
      </x:c>
      <x:c r="E186" s="24" t="n">
        <x:v>26975</x:v>
      </x:c>
      <x:c r="F186" s="24" t="n">
        <x:v>180363360</x:v>
      </x:c>
      <x:c r="G186" s="24" t="n">
        <x:v>993215</x:v>
      </x:c>
      <x:c r="H186" s="24" t="n">
        <x:v>496523</x:v>
      </x:c>
      <x:c r="I186" s="24" t="n">
        <x:v>26975</x:v>
      </x:c>
      <x:c r="J186" s="24" t="n">
        <x:v>6</x:v>
      </x:c>
      <x:c r="K186" s="24" t="n">
        <x:v>0</x:v>
      </x:c>
      <x:c r="L186" s="20" t="n">
        <x:v>0</x:v>
      </x:c>
      <x:c r="M186" s="2"/>
      <x:c r="N186" s="2"/>
      <x:c r="O186" s="2"/>
    </x:row>
    <x:row r="187" ht="30" customHeight="1">
      <x:c r="A187" s="19" t="str">
        <x:v>62044300</x:v>
      </x:c>
      <x:c r="B187" s="19" t="str">
        <x:v>Sri Lanka</x:v>
      </x:c>
      <x:c r="C187" s="25" t="n">
        <x:v>683522</x:v>
      </x:c>
      <x:c r="D187" s="25" t="n">
        <x:v>7697741</x:v>
      </x:c>
      <x:c r="E187" s="25" t="n">
        <x:v>462849</x:v>
      </x:c>
      <x:c r="F187" s="25" t="n">
        <x:v>180363360</x:v>
      </x:c>
      <x:c r="G187" s="25" t="n">
        <x:v>7265946</x:v>
      </x:c>
      <x:c r="H187" s="25" t="n">
        <x:v>7697741</x:v>
      </x:c>
      <x:c r="I187" s="25" t="n">
        <x:v>462849</x:v>
      </x:c>
      <x:c r="J187" s="25" t="n">
        <x:v>6</x:v>
      </x:c>
      <x:c r="K187" s="25" t="n">
        <x:v>0</x:v>
      </x:c>
      <x:c r="L187" s="21" t="n">
        <x:v>0</x:v>
      </x:c>
      <x:c r="M187" s="2"/>
      <x:c r="N187" s="2"/>
      <x:c r="O187" s="2"/>
    </x:row>
    <x:row r="188" ht="30" customHeight="1">
      <x:c r="A188" s="18" t="str">
        <x:v>62044300</x:v>
      </x:c>
      <x:c r="B188" s="18" t="str">
        <x:v>Turkey</x:v>
      </x:c>
      <x:c r="C188" s="24" t="n">
        <x:v>268083</x:v>
      </x:c>
      <x:c r="D188" s="24" t="n">
        <x:v>2652697</x:v>
      </x:c>
      <x:c r="E188" s="24" t="n">
        <x:v>68957</x:v>
      </x:c>
      <x:c r="F188" s="24" t="n">
        <x:v>180363360</x:v>
      </x:c>
      <x:c r="G188" s="24" t="n">
        <x:v>5868992</x:v>
      </x:c>
      <x:c r="H188" s="24" t="n">
        <x:v>2652697</x:v>
      </x:c>
      <x:c r="I188" s="24" t="n">
        <x:v>68957</x:v>
      </x:c>
      <x:c r="J188" s="24" t="n">
        <x:v>6</x:v>
      </x:c>
      <x:c r="K188" s="24" t="n">
        <x:v>0</x:v>
      </x:c>
      <x:c r="L188" s="20" t="n">
        <x:v>0</x:v>
      </x:c>
      <x:c r="M188" s="2"/>
      <x:c r="N188" s="2"/>
      <x:c r="O188" s="2"/>
    </x:row>
    <x:row r="189" ht="30" customHeight="1">
      <x:c r="A189" s="19" t="str">
        <x:v>62044300</x:v>
      </x:c>
      <x:c r="B189" s="19" t="str">
        <x:v>Vietnam</x:v>
      </x:c>
      <x:c r="C189" s="25" t="n">
        <x:v>275082</x:v>
      </x:c>
      <x:c r="D189" s="25" t="n">
        <x:v>4252865</x:v>
      </x:c>
      <x:c r="E189" s="25" t="n">
        <x:v>181343</x:v>
      </x:c>
      <x:c r="F189" s="25" t="n">
        <x:v>180363360</x:v>
      </x:c>
      <x:c r="G189" s="25" t="n">
        <x:v>4155142</x:v>
      </x:c>
      <x:c r="H189" s="25" t="n">
        <x:v>4252865</x:v>
      </x:c>
      <x:c r="I189" s="25" t="n">
        <x:v>181343</x:v>
      </x:c>
      <x:c r="J189" s="25" t="n">
        <x:v>6</x:v>
      </x:c>
      <x:c r="K189" s="25" t="n">
        <x:v>0</x:v>
      </x:c>
      <x:c r="L189" s="21" t="n">
        <x:v>0.015</x:v>
      </x:c>
      <x:c r="M189" s="2"/>
      <x:c r="N189" s="2"/>
      <x:c r="O189" s="2"/>
    </x:row>
    <x:row r="190" ht="30" customHeight="1">
      <x:c r="A190" s="18" t="str">
        <x:v>61091000</x:v>
      </x:c>
      <x:c r="B190" s="18" t="str">
        <x:v>Bangladesh</x:v>
      </x:c>
      <x:c r="C190" s="24" t="n">
        <x:v>44227971</x:v>
      </x:c>
      <x:c r="D190" s="24" t="n">
        <x:v>254631302</x:v>
      </x:c>
      <x:c r="E190" s="24" t="n">
        <x:v>24484056</x:v>
      </x:c>
      <x:c r="F190" s="24" t="n">
        <x:v>661468788</x:v>
      </x:c>
      <x:c r="G190" s="24" t="n">
        <x:v>258563902</x:v>
      </x:c>
      <x:c r="H190" s="24" t="n">
        <x:v>254631302</x:v>
      </x:c>
      <x:c r="I190" s="24" t="n">
        <x:v>24484056</x:v>
      </x:c>
      <x:c r="J190" s="24" t="n">
        <x:v>6</x:v>
      </x:c>
      <x:c r="K190" s="24" t="n">
        <x:v>0</x:v>
      </x:c>
      <x:c r="L190" s="20" t="n">
        <x:v>0</x:v>
      </x:c>
      <x:c r="M190" s="2"/>
      <x:c r="N190" s="2"/>
      <x:c r="O190" s="2"/>
    </x:row>
    <x:row r="191" ht="30" customHeight="1">
      <x:c r="A191" s="19" t="str">
        <x:v>61091000</x:v>
      </x:c>
      <x:c r="B191" s="19" t="str">
        <x:v>Cambodia</x:v>
      </x:c>
      <x:c r="C191" s="25" t="n">
        <x:v>547756</x:v>
      </x:c>
      <x:c r="D191" s="25" t="n">
        <x:v>5968533</x:v>
      </x:c>
      <x:c r="E191" s="25" t="n">
        <x:v>334694</x:v>
      </x:c>
      <x:c r="F191" s="25" t="n">
        <x:v>661468788</x:v>
      </x:c>
      <x:c r="G191" s="25" t="n">
        <x:v>5558924</x:v>
      </x:c>
      <x:c r="H191" s="25" t="n">
        <x:v>5968533</x:v>
      </x:c>
      <x:c r="I191" s="25" t="n">
        <x:v>334694</x:v>
      </x:c>
      <x:c r="J191" s="25" t="n">
        <x:v>6</x:v>
      </x:c>
      <x:c r="K191" s="25" t="n">
        <x:v>0</x:v>
      </x:c>
      <x:c r="L191" s="21" t="n">
        <x:v>0</x:v>
      </x:c>
      <x:c r="M191" s="2"/>
      <x:c r="N191" s="2"/>
      <x:c r="O191" s="2"/>
    </x:row>
    <x:row r="192" ht="30" customHeight="1">
      <x:c r="A192" s="18" t="str">
        <x:v>61091000</x:v>
      </x:c>
      <x:c r="B192" s="18" t="str">
        <x:v>China</x:v>
      </x:c>
      <x:c r="C192" s="24" t="n">
        <x:v>2430960</x:v>
      </x:c>
      <x:c r="D192" s="24" t="n">
        <x:v>27268063</x:v>
      </x:c>
      <x:c r="E192" s="24" t="n">
        <x:v>1611661</x:v>
      </x:c>
      <x:c r="F192" s="24" t="n">
        <x:v>661468788</x:v>
      </x:c>
      <x:c r="G192" s="24" t="n">
        <x:v>26770914</x:v>
      </x:c>
      <x:c r="H192" s="24" t="n">
        <x:v>27268063</x:v>
      </x:c>
      <x:c r="I192" s="24" t="n">
        <x:v>1611661</x:v>
      </x:c>
      <x:c r="J192" s="24" t="n">
        <x:v>6</x:v>
      </x:c>
      <x:c r="K192" s="24" t="n">
        <x:v>0</x:v>
      </x:c>
      <x:c r="L192" s="20" t="n">
        <x:v>0.12</x:v>
      </x:c>
      <x:c r="M192" s="2"/>
      <x:c r="N192" s="2"/>
      <x:c r="O192" s="2"/>
    </x:row>
    <x:row r="193" ht="30" customHeight="1">
      <x:c r="A193" s="19" t="str">
        <x:v>61091000</x:v>
      </x:c>
      <x:c r="B193" s="19" t="str">
        <x:v>India</x:v>
      </x:c>
      <x:c r="C193" s="25" t="n">
        <x:v>7735285</x:v>
      </x:c>
      <x:c r="D193" s="25" t="n">
        <x:v>54416583</x:v>
      </x:c>
      <x:c r="E193" s="25" t="n">
        <x:v>4347817</x:v>
      </x:c>
      <x:c r="F193" s="25" t="n">
        <x:v>661468788</x:v>
      </x:c>
      <x:c r="G193" s="25" t="n">
        <x:v>57601904</x:v>
      </x:c>
      <x:c r="H193" s="25" t="n">
        <x:v>54416583</x:v>
      </x:c>
      <x:c r="I193" s="25" t="n">
        <x:v>4347817</x:v>
      </x:c>
      <x:c r="J193" s="25" t="n">
        <x:v>6</x:v>
      </x:c>
      <x:c r="K193" s="25" t="n">
        <x:v>0</x:v>
      </x:c>
      <x:c r="L193" s="21" t="n">
        <x:v>0</x:v>
      </x:c>
      <x:c r="M193" s="2"/>
      <x:c r="N193" s="2"/>
      <x:c r="O193" s="2"/>
    </x:row>
    <x:row r="194" ht="30" customHeight="1">
      <x:c r="A194" s="18" t="str">
        <x:v>61091000</x:v>
      </x:c>
      <x:c r="B194" s="18" t="str">
        <x:v>Morocco</x:v>
      </x:c>
      <x:c r="C194" s="24" t="n">
        <x:v>1265062</x:v>
      </x:c>
      <x:c r="D194" s="24" t="n">
        <x:v>4957179</x:v>
      </x:c>
      <x:c r="E194" s="24" t="n">
        <x:v>526732</x:v>
      </x:c>
      <x:c r="F194" s="24" t="n">
        <x:v>661468788</x:v>
      </x:c>
      <x:c r="G194" s="24" t="n">
        <x:v>7105682</x:v>
      </x:c>
      <x:c r="H194" s="24" t="n">
        <x:v>4957179</x:v>
      </x:c>
      <x:c r="I194" s="24" t="n">
        <x:v>526732</x:v>
      </x:c>
      <x:c r="J194" s="24" t="n">
        <x:v>6</x:v>
      </x:c>
      <x:c r="K194" s="24" t="n">
        <x:v>0</x:v>
      </x:c>
      <x:c r="L194" s="20" t="n">
        <x:v>0</x:v>
      </x:c>
      <x:c r="M194" s="2"/>
      <x:c r="N194" s="2"/>
      <x:c r="O194" s="2"/>
    </x:row>
    <x:row r="195" ht="30" customHeight="1">
      <x:c r="A195" s="19" t="str">
        <x:v>61091000</x:v>
      </x:c>
      <x:c r="B195" s="19" t="str">
        <x:v>Myanmar</x:v>
      </x:c>
      <x:c r="C195" s="25" t="n">
        <x:v>29326</x:v>
      </x:c>
      <x:c r="D195" s="25" t="n">
        <x:v>619607</x:v>
      </x:c>
      <x:c r="E195" s="25" t="n">
        <x:v>58361</x:v>
      </x:c>
      <x:c r="F195" s="25" t="n">
        <x:v>661468788</x:v>
      </x:c>
      <x:c r="G195" s="25" t="n">
        <x:v>221408</x:v>
      </x:c>
      <x:c r="H195" s="25" t="n">
        <x:v>619607</x:v>
      </x:c>
      <x:c r="I195" s="25" t="n">
        <x:v>58361</x:v>
      </x:c>
      <x:c r="J195" s="25" t="n">
        <x:v>6</x:v>
      </x:c>
      <x:c r="K195" s="25" t="n">
        <x:v>0</x:v>
      </x:c>
      <x:c r="L195" s="21" t="n">
        <x:v>0</x:v>
      </x:c>
      <x:c r="M195" s="2"/>
      <x:c r="N195" s="2"/>
      <x:c r="O195" s="2"/>
    </x:row>
    <x:row r="196" ht="30" customHeight="1">
      <x:c r="A196" s="18" t="str">
        <x:v>61091000</x:v>
      </x:c>
      <x:c r="B196" s="18" t="str">
        <x:v>Pakistan</x:v>
      </x:c>
      <x:c r="C196" s="24" t="n">
        <x:v>10896985</x:v>
      </x:c>
      <x:c r="D196" s="24" t="n">
        <x:v>20868271</x:v>
      </x:c>
      <x:c r="E196" s="24" t="n">
        <x:v>1714193</x:v>
      </x:c>
      <x:c r="F196" s="24" t="n">
        <x:v>661468788</x:v>
      </x:c>
      <x:c r="G196" s="24" t="n">
        <x:v>30121288</x:v>
      </x:c>
      <x:c r="H196" s="24" t="n">
        <x:v>20868271</x:v>
      </x:c>
      <x:c r="I196" s="24" t="n">
        <x:v>1714193</x:v>
      </x:c>
      <x:c r="J196" s="24" t="n">
        <x:v>6</x:v>
      </x:c>
      <x:c r="K196" s="24" t="n">
        <x:v>0</x:v>
      </x:c>
      <x:c r="L196" s="20" t="n">
        <x:v>0</x:v>
      </x:c>
      <x:c r="M196" s="2"/>
      <x:c r="N196" s="2"/>
      <x:c r="O196" s="2"/>
    </x:row>
    <x:row r="197" ht="30" customHeight="1">
      <x:c r="A197" s="19" t="str">
        <x:v>61091000</x:v>
      </x:c>
      <x:c r="B197" s="19" t="str">
        <x:v>Sri Lanka</x:v>
      </x:c>
      <x:c r="C197" s="25" t="n">
        <x:v>2215013</x:v>
      </x:c>
      <x:c r="D197" s="25" t="n">
        <x:v>8791535</x:v>
      </x:c>
      <x:c r="E197" s="25" t="n">
        <x:v>729136</x:v>
      </x:c>
      <x:c r="F197" s="25" t="n">
        <x:v>661468788</x:v>
      </x:c>
      <x:c r="G197" s="25" t="n">
        <x:v>13060146</x:v>
      </x:c>
      <x:c r="H197" s="25" t="n">
        <x:v>8791535</x:v>
      </x:c>
      <x:c r="I197" s="25" t="n">
        <x:v>729136</x:v>
      </x:c>
      <x:c r="J197" s="25" t="n">
        <x:v>6</x:v>
      </x:c>
      <x:c r="K197" s="25" t="n">
        <x:v>0</x:v>
      </x:c>
      <x:c r="L197" s="21" t="n">
        <x:v>0</x:v>
      </x:c>
      <x:c r="M197" s="2"/>
      <x:c r="N197" s="2"/>
      <x:c r="O197" s="2"/>
    </x:row>
    <x:row r="198" ht="30" customHeight="1">
      <x:c r="A198" s="18" t="str">
        <x:v>61091000</x:v>
      </x:c>
      <x:c r="B198" s="18" t="str">
        <x:v>Turkey</x:v>
      </x:c>
      <x:c r="C198" s="24" t="n">
        <x:v>4927477</x:v>
      </x:c>
      <x:c r="D198" s="24" t="n">
        <x:v>58384062</x:v>
      </x:c>
      <x:c r="E198" s="24" t="n">
        <x:v>2450042</x:v>
      </x:c>
      <x:c r="F198" s="24" t="n">
        <x:v>661468788</x:v>
      </x:c>
      <x:c r="G198" s="24" t="n">
        <x:v>60323637</x:v>
      </x:c>
      <x:c r="H198" s="24" t="n">
        <x:v>58384062</x:v>
      </x:c>
      <x:c r="I198" s="24" t="n">
        <x:v>2450042</x:v>
      </x:c>
      <x:c r="J198" s="24" t="n">
        <x:v>6</x:v>
      </x:c>
      <x:c r="K198" s="24" t="n">
        <x:v>0</x:v>
      </x:c>
      <x:c r="L198" s="20" t="n">
        <x:v>0</x:v>
      </x:c>
      <x:c r="M198" s="2"/>
      <x:c r="N198" s="2"/>
      <x:c r="O198" s="2"/>
    </x:row>
    <x:row r="199" ht="30" customHeight="1">
      <x:c r="A199" s="19" t="str">
        <x:v>61091000</x:v>
      </x:c>
      <x:c r="B199" s="19" t="str">
        <x:v>Vietnam</x:v>
      </x:c>
      <x:c r="C199" s="25" t="n">
        <x:v>1170082</x:v>
      </x:c>
      <x:c r="D199" s="25" t="n">
        <x:v>13656174</x:v>
      </x:c>
      <x:c r="E199" s="25" t="n">
        <x:v>532624</x:v>
      </x:c>
      <x:c r="F199" s="25" t="n">
        <x:v>661468788</x:v>
      </x:c>
      <x:c r="G199" s="25" t="n">
        <x:v>13823729</x:v>
      </x:c>
      <x:c r="H199" s="25" t="n">
        <x:v>13656174</x:v>
      </x:c>
      <x:c r="I199" s="25" t="n">
        <x:v>532624</x:v>
      </x:c>
      <x:c r="J199" s="25" t="n">
        <x:v>6</x:v>
      </x:c>
      <x:c r="K199" s="25" t="n">
        <x:v>0</x:v>
      </x:c>
      <x:c r="L199" s="21" t="n">
        <x:v>0</x:v>
      </x:c>
      <x:c r="M199" s="2"/>
      <x:c r="N199" s="2"/>
      <x:c r="O199" s="2"/>
    </x:row>
    <x:row r="200" ht="30" customHeight="1">
      <x:c r="A200" s="18" t="str">
        <x:v>62052000</x:v>
      </x:c>
      <x:c r="B200" s="18" t="str">
        <x:v>Bangladesh</x:v>
      </x:c>
      <x:c r="C200" s="24" t="n">
        <x:v>4630717</x:v>
      </x:c>
      <x:c r="D200" s="24" t="n">
        <x:v>36256449</x:v>
      </x:c>
      <x:c r="E200" s="24" t="n">
        <x:v>2116872</x:v>
      </x:c>
      <x:c r="F200" s="24" t="n">
        <x:v>120857463</x:v>
      </x:c>
      <x:c r="G200" s="24" t="n">
        <x:v>41153034</x:v>
      </x:c>
      <x:c r="H200" s="24" t="n">
        <x:v>32094245</x:v>
      </x:c>
      <x:c r="I200" s="24" t="n">
        <x:v>1866070</x:v>
      </x:c>
      <x:c r="J200" s="24" t="n">
        <x:v>5</x:v>
      </x:c>
      <x:c r="K200" s="24" t="n">
        <x:v>0</x:v>
      </x:c>
      <x:c r="L200" s="20" t="n">
        <x:v>0</x:v>
      </x:c>
      <x:c r="M200" s="2"/>
      <x:c r="N200" s="2"/>
      <x:c r="O200" s="2"/>
    </x:row>
    <x:row r="201" ht="30" customHeight="1">
      <x:c r="A201" s="19" t="str">
        <x:v>62052000</x:v>
      </x:c>
      <x:c r="B201" s="19" t="str">
        <x:v>Cambodia</x:v>
      </x:c>
      <x:c r="C201" s="25" t="n">
        <x:v>674204</x:v>
      </x:c>
      <x:c r="D201" s="25" t="n">
        <x:v>6216726</x:v>
      </x:c>
      <x:c r="E201" s="25" t="n">
        <x:v>285166</x:v>
      </x:c>
      <x:c r="F201" s="25" t="n">
        <x:v>120857463</x:v>
      </x:c>
      <x:c r="G201" s="25" t="n">
        <x:v>6687232</x:v>
      </x:c>
      <x:c r="H201" s="25" t="n">
        <x:v>5141198</x:v>
      </x:c>
      <x:c r="I201" s="25" t="n">
        <x:v>231959</x:v>
      </x:c>
      <x:c r="J201" s="25" t="n">
        <x:v>5</x:v>
      </x:c>
      <x:c r="K201" s="25" t="n">
        <x:v>0</x:v>
      </x:c>
      <x:c r="L201" s="21" t="n">
        <x:v>0</x:v>
      </x:c>
      <x:c r="M201" s="2"/>
      <x:c r="N201" s="2"/>
      <x:c r="O201" s="2"/>
    </x:row>
    <x:row r="202" ht="30" customHeight="1">
      <x:c r="A202" s="18" t="str">
        <x:v>62052000</x:v>
      </x:c>
      <x:c r="B202" s="18" t="str">
        <x:v>China</x:v>
      </x:c>
      <x:c r="C202" s="24" t="n">
        <x:v>584970</x:v>
      </x:c>
      <x:c r="D202" s="24" t="n">
        <x:v>5317772</x:v>
      </x:c>
      <x:c r="E202" s="24" t="n">
        <x:v>245226</x:v>
      </x:c>
      <x:c r="F202" s="24" t="n">
        <x:v>120857463</x:v>
      </x:c>
      <x:c r="G202" s="24" t="n">
        <x:v>6741715</x:v>
      </x:c>
      <x:c r="H202" s="24" t="n">
        <x:v>4551362</x:v>
      </x:c>
      <x:c r="I202" s="24" t="n">
        <x:v>211429</x:v>
      </x:c>
      <x:c r="J202" s="24" t="n">
        <x:v>5</x:v>
      </x:c>
      <x:c r="K202" s="24" t="n">
        <x:v>0</x:v>
      </x:c>
      <x:c r="L202" s="20" t="n">
        <x:v>0.12</x:v>
      </x:c>
      <x:c r="M202" s="2"/>
      <x:c r="N202" s="2"/>
      <x:c r="O202" s="2"/>
    </x:row>
    <x:row r="203" ht="30" customHeight="1">
      <x:c r="A203" s="19" t="str">
        <x:v>62052000</x:v>
      </x:c>
      <x:c r="B203" s="19" t="str">
        <x:v>India</x:v>
      </x:c>
      <x:c r="C203" s="25" t="n">
        <x:v>1414140</x:v>
      </x:c>
      <x:c r="D203" s="25" t="n">
        <x:v>16147727</x:v>
      </x:c>
      <x:c r="E203" s="25" t="n">
        <x:v>737427</x:v>
      </x:c>
      <x:c r="F203" s="25" t="n">
        <x:v>120857463</x:v>
      </x:c>
      <x:c r="G203" s="25" t="n">
        <x:v>16956630</x:v>
      </x:c>
      <x:c r="H203" s="25" t="n">
        <x:v>12912313</x:v>
      </x:c>
      <x:c r="I203" s="25" t="n">
        <x:v>607034</x:v>
      </x:c>
      <x:c r="J203" s="25" t="n">
        <x:v>5</x:v>
      </x:c>
      <x:c r="K203" s="25" t="n">
        <x:v>0</x:v>
      </x:c>
      <x:c r="L203" s="21" t="n">
        <x:v>0</x:v>
      </x:c>
      <x:c r="M203" s="2"/>
      <x:c r="N203" s="2"/>
      <x:c r="O203" s="2"/>
    </x:row>
    <x:row r="204" ht="30" customHeight="1">
      <x:c r="A204" s="18" t="str">
        <x:v>62052000</x:v>
      </x:c>
      <x:c r="B204" s="18" t="str">
        <x:v>Morocco</x:v>
      </x:c>
      <x:c r="C204" s="24" t="n">
        <x:v>33234</x:v>
      </x:c>
      <x:c r="D204" s="24" t="n">
        <x:v>561115</x:v>
      </x:c>
      <x:c r="E204" s="24" t="n">
        <x:v>15750</x:v>
      </x:c>
      <x:c r="F204" s="24" t="n">
        <x:v>120857463</x:v>
      </x:c>
      <x:c r="G204" s="24" t="n">
        <x:v>698186</x:v>
      </x:c>
      <x:c r="H204" s="24" t="n">
        <x:v>470879</x:v>
      </x:c>
      <x:c r="I204" s="24" t="n">
        <x:v>13295</x:v>
      </x:c>
      <x:c r="J204" s="24" t="n">
        <x:v>5</x:v>
      </x:c>
      <x:c r="K204" s="24" t="n">
        <x:v>0</x:v>
      </x:c>
      <x:c r="L204" s="20" t="n">
        <x:v>0</x:v>
      </x:c>
      <x:c r="M204" s="2"/>
      <x:c r="N204" s="2"/>
      <x:c r="O204" s="2"/>
    </x:row>
    <x:row r="205" ht="30" customHeight="1">
      <x:c r="A205" s="19" t="str">
        <x:v>62052000</x:v>
      </x:c>
      <x:c r="B205" s="19" t="str">
        <x:v>Myanmar</x:v>
      </x:c>
      <x:c r="C205" s="25" t="n">
        <x:v>54446</x:v>
      </x:c>
      <x:c r="D205" s="25" t="n">
        <x:v>438060</x:v>
      </x:c>
      <x:c r="E205" s="25" t="n">
        <x:v>30188</x:v>
      </x:c>
      <x:c r="F205" s="25" t="n">
        <x:v>120857463</x:v>
      </x:c>
      <x:c r="G205" s="25" t="n">
        <x:v>549871</x:v>
      </x:c>
      <x:c r="H205" s="25" t="n">
        <x:v>429586</x:v>
      </x:c>
      <x:c r="I205" s="25" t="n">
        <x:v>29172</x:v>
      </x:c>
      <x:c r="J205" s="25" t="n">
        <x:v>5</x:v>
      </x:c>
      <x:c r="K205" s="25" t="n">
        <x:v>1</x:v>
      </x:c>
      <x:c r="L205" s="21" t="n">
        <x:v>0</x:v>
      </x:c>
      <x:c r="M205" s="2"/>
      <x:c r="N205" s="2"/>
      <x:c r="O205" s="2"/>
    </x:row>
    <x:row r="206" ht="30" customHeight="1">
      <x:c r="A206" s="18" t="str">
        <x:v>62052000</x:v>
      </x:c>
      <x:c r="B206" s="18" t="str">
        <x:v>Pakistan</x:v>
      </x:c>
      <x:c r="C206" s="24" t="n">
        <x:v>69348</x:v>
      </x:c>
      <x:c r="D206" s="24" t="n">
        <x:v>358538</x:v>
      </x:c>
      <x:c r="E206" s="24" t="n">
        <x:v>25923</x:v>
      </x:c>
      <x:c r="F206" s="24" t="n">
        <x:v>120857463</x:v>
      </x:c>
      <x:c r="G206" s="24" t="n">
        <x:v>457665</x:v>
      </x:c>
      <x:c r="H206" s="24" t="n">
        <x:v>239651</x:v>
      </x:c>
      <x:c r="I206" s="24" t="n">
        <x:v>17412</x:v>
      </x:c>
      <x:c r="J206" s="24" t="n">
        <x:v>5</x:v>
      </x:c>
      <x:c r="K206" s="24" t="n">
        <x:v>0</x:v>
      </x:c>
      <x:c r="L206" s="20" t="n">
        <x:v>0</x:v>
      </x:c>
      <x:c r="M206" s="2"/>
      <x:c r="N206" s="2"/>
      <x:c r="O206" s="2"/>
    </x:row>
    <x:row r="207" ht="30" customHeight="1">
      <x:c r="A207" s="19" t="str">
        <x:v>62052000</x:v>
      </x:c>
      <x:c r="B207" s="19" t="str">
        <x:v>Sri Lanka</x:v>
      </x:c>
      <x:c r="C207" s="25" t="n">
        <x:v>213562</x:v>
      </x:c>
      <x:c r="D207" s="25" t="n">
        <x:v>1556820</x:v>
      </x:c>
      <x:c r="E207" s="25" t="n">
        <x:v>79138</x:v>
      </x:c>
      <x:c r="F207" s="25" t="n">
        <x:v>120857463</x:v>
      </x:c>
      <x:c r="G207" s="25" t="n">
        <x:v>1900906</x:v>
      </x:c>
      <x:c r="H207" s="25" t="n">
        <x:v>1293061</x:v>
      </x:c>
      <x:c r="I207" s="25" t="n">
        <x:v>65575</x:v>
      </x:c>
      <x:c r="J207" s="25" t="n">
        <x:v>5</x:v>
      </x:c>
      <x:c r="K207" s="25" t="n">
        <x:v>0</x:v>
      </x:c>
      <x:c r="L207" s="21" t="n">
        <x:v>0</x:v>
      </x:c>
      <x:c r="M207" s="2"/>
      <x:c r="N207" s="2"/>
      <x:c r="O207" s="2"/>
    </x:row>
    <x:row r="208" ht="30" customHeight="1">
      <x:c r="A208" s="18" t="str">
        <x:v>62052000</x:v>
      </x:c>
      <x:c r="B208" s="18" t="str">
        <x:v>Turkey</x:v>
      </x:c>
      <x:c r="C208" s="24" t="n">
        <x:v>343310</x:v>
      </x:c>
      <x:c r="D208" s="24" t="n">
        <x:v>5825379</x:v>
      </x:c>
      <x:c r="E208" s="24" t="n">
        <x:v>147992</x:v>
      </x:c>
      <x:c r="F208" s="24" t="n">
        <x:v>120857463</x:v>
      </x:c>
      <x:c r="G208" s="24" t="n">
        <x:v>6632162</x:v>
      </x:c>
      <x:c r="H208" s="24" t="n">
        <x:v>4707773</x:v>
      </x:c>
      <x:c r="I208" s="24" t="n">
        <x:v>119701</x:v>
      </x:c>
      <x:c r="J208" s="24" t="n">
        <x:v>5</x:v>
      </x:c>
      <x:c r="K208" s="24" t="n">
        <x:v>0</x:v>
      </x:c>
      <x:c r="L208" s="20" t="n">
        <x:v>0</x:v>
      </x:c>
      <x:c r="M208" s="2"/>
      <x:c r="N208" s="2"/>
      <x:c r="O208" s="2"/>
    </x:row>
    <x:row r="209" ht="30" customHeight="1">
      <x:c r="A209" s="19" t="str">
        <x:v>62052000</x:v>
      </x:c>
      <x:c r="B209" s="19" t="str">
        <x:v>Vietnam</x:v>
      </x:c>
      <x:c r="C209" s="25" t="n">
        <x:v>440294</x:v>
      </x:c>
      <x:c r="D209" s="25" t="n">
        <x:v>5885338</x:v>
      </x:c>
      <x:c r="E209" s="25" t="n">
        <x:v>196825</x:v>
      </x:c>
      <x:c r="F209" s="25" t="n">
        <x:v>120857463</x:v>
      </x:c>
      <x:c r="G209" s="25" t="n">
        <x:v>4754680</x:v>
      </x:c>
      <x:c r="H209" s="25" t="n">
        <x:v>4696585</x:v>
      </x:c>
      <x:c r="I209" s="25" t="n">
        <x:v>156499</x:v>
      </x:c>
      <x:c r="J209" s="25" t="n">
        <x:v>5</x:v>
      </x:c>
      <x:c r="K209" s="25" t="n">
        <x:v>0</x:v>
      </x:c>
      <x:c r="L209" s="21" t="n">
        <x:v>0</x:v>
      </x:c>
      <x:c r="M209" s="2"/>
      <x:c r="N209" s="2"/>
      <x:c r="O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</x:row>
    <x:row r="215" ht="42" customHeight="1">
      <x:c r="A215" s="15" t="str">
        <x:v>Country</x:v>
      </x:c>
      <x:c r="B215" s="16" t="str">
        <x:v>Listed Site IDs</x:v>
      </x:c>
      <x:c r="C215" s="16" t="str">
        <x:v>Relationships</x:v>
      </x:c>
      <x:c r="D215" s="17" t="str">
        <x:v>APPAREL sites</x:v>
      </x:c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</x:row>
    <x:row r="216" ht="30" customHeight="1">
      <x:c r="A216" s="18" t="str">
        <x:v>Bangladesh</x:v>
      </x:c>
      <x:c r="B216" s="18" t="n">
        <x:v>194</x:v>
      </x:c>
      <x:c r="C216" s="18" t="n">
        <x:v>397</x:v>
      </x:c>
      <x:c r="D216" s="18" t="n">
        <x:v>192</x:v>
      </x:c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</x:row>
    <x:row r="217" ht="30" customHeight="1">
      <x:c r="A217" s="19" t="str">
        <x:v>Cambodia</x:v>
      </x:c>
      <x:c r="B217" s="19" t="n">
        <x:v>63</x:v>
      </x:c>
      <x:c r="C217" s="19" t="n">
        <x:v>85</x:v>
      </x:c>
      <x:c r="D217" s="19" t="n">
        <x:v>62</x:v>
      </x:c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</x:row>
    <x:row r="218" ht="30" customHeight="1">
      <x:c r="A218" s="18" t="str">
        <x:v>China</x:v>
      </x:c>
      <x:c r="B218" s="18" t="n">
        <x:v>656</x:v>
      </x:c>
      <x:c r="C218" s="18" t="n">
        <x:v>847</x:v>
      </x:c>
      <x:c r="D218" s="18" t="n">
        <x:v>507</x:v>
      </x:c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</x:row>
    <x:row r="219" ht="30" customHeight="1">
      <x:c r="A219" s="19" t="str">
        <x:v>India</x:v>
      </x:c>
      <x:c r="B219" s="19" t="n">
        <x:v>234</x:v>
      </x:c>
      <x:c r="C219" s="19" t="n">
        <x:v>311</x:v>
      </x:c>
      <x:c r="D219" s="19" t="n">
        <x:v>212</x:v>
      </x:c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</x:row>
    <x:row r="220" ht="30" customHeight="1">
      <x:c r="A220" s="18" t="str">
        <x:v>Morocco</x:v>
      </x:c>
      <x:c r="B220" s="18" t="n">
        <x:v>17</x:v>
      </x:c>
      <x:c r="C220" s="18" t="n">
        <x:v>30</x:v>
      </x:c>
      <x:c r="D220" s="18" t="n">
        <x:v>17</x:v>
      </x:c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</x:row>
    <x:row r="221" ht="30" customHeight="1">
      <x:c r="A221" s="19" t="str">
        <x:v>Myanmar</x:v>
      </x:c>
      <x:c r="B221" s="19" t="n">
        <x:v>13</x:v>
      </x:c>
      <x:c r="C221" s="19" t="n">
        <x:v>13</x:v>
      </x:c>
      <x:c r="D221" s="19" t="n">
        <x:v>13</x:v>
      </x:c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</x:row>
    <x:row r="222" ht="30" customHeight="1">
      <x:c r="A222" s="18" t="str">
        <x:v>Pakistan</x:v>
      </x:c>
      <x:c r="B222" s="18" t="n">
        <x:v>45</x:v>
      </x:c>
      <x:c r="C222" s="18" t="n">
        <x:v>58</x:v>
      </x:c>
      <x:c r="D222" s="18" t="n">
        <x:v>44</x:v>
      </x:c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</x:row>
    <x:row r="223" ht="30" customHeight="1">
      <x:c r="A223" s="19" t="str">
        <x:v>Sri Lanka</x:v>
      </x:c>
      <x:c r="B223" s="19" t="n">
        <x:v>66</x:v>
      </x:c>
      <x:c r="C223" s="19" t="n">
        <x:v>96</x:v>
      </x:c>
      <x:c r="D223" s="19" t="n">
        <x:v>66</x:v>
      </x:c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</x:row>
    <x:row r="224" ht="30" customHeight="1">
      <x:c r="A224" s="18" t="str">
        <x:v>Turkey</x:v>
      </x:c>
      <x:c r="B224" s="18" t="n">
        <x:v>76</x:v>
      </x:c>
      <x:c r="C224" s="18" t="n">
        <x:v>126</x:v>
      </x:c>
      <x:c r="D224" s="18" t="n">
        <x:v>70</x:v>
      </x:c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</x:row>
    <x:row r="225" ht="30" customHeight="1">
      <x:c r="A225" s="19" t="str">
        <x:v>Vietnam</x:v>
      </x:c>
      <x:c r="B225" s="19" t="n">
        <x:v>39</x:v>
      </x:c>
      <x:c r="C225" s="19" t="n">
        <x:v>47</x:v>
      </x:c>
      <x:c r="D225" s="19" t="n">
        <x:v>34</x:v>
      </x:c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</x:row>
    <x:row r="228" ht="22" customHeight="1">
      <x:c r="A228" s="2" t="str">
        <x:v>S02: listed Site IDs cover all products. APPAREL is a coarse label and does not establish garment or locked-code capacity.</x:v>
      </x:c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</x:row>
    <x:row r="231" ht="42" customHeight="1">
      <x:c r="A231" s="15" t="str">
        <x:v>ID</x:v>
      </x:c>
      <x:c r="B231" s="16" t="str">
        <x:v>Case label</x:v>
      </x:c>
      <x:c r="C231" s="16" t="str">
        <x:v>Price period</x:v>
      </x:c>
      <x:c r="D231" s="16" t="str">
        <x:v>Data basis</x:v>
      </x:c>
      <x:c r="E231" s="16" t="str">
        <x:v>Duty treatment</x:v>
      </x:c>
      <x:c r="F231" s="16" t="str">
        <x:v>Growth cap on</x:v>
      </x:c>
      <x:c r="G231" s="16" t="str">
        <x:v>Growth multiple</x:v>
      </x:c>
      <x:c r="H231" s="16" t="str">
        <x:v>Requested shift</x:v>
      </x:c>
      <x:c r="I231" s="16" t="str">
        <x:v>Premium</x:v>
      </x:c>
      <x:c r="J231" s="16" t="str">
        <x:v>Mix ID</x:v>
      </x:c>
      <x:c r="K231" s="17" t="str">
        <x:v>Operating set</x:v>
      </x:c>
      <x:c r="L231" s="2"/>
      <x:c r="M231" s="2"/>
      <x:c r="N231" s="2"/>
      <x:c r="O231" s="2"/>
    </x:row>
    <x:row r="232" ht="30" customHeight="1">
      <x:c r="A232" s="18" t="n">
        <x:v>1</x:v>
      </x:c>
      <x:c r="B232" s="18" t="str">
        <x:v>Balanced, 3x</x:v>
      </x:c>
      <x:c r="C232" s="18" t="str">
        <x:v>H1 2026</x:v>
      </x:c>
      <x:c r="D232" s="18" t="str">
        <x:v>Reported</x:v>
      </x:c>
      <x:c r="E232" s="18" t="str">
        <x:v>Eligible</x:v>
      </x:c>
      <x:c r="F232" s="18" t="n">
        <x:v>1</x:v>
      </x:c>
      <x:c r="G232" s="18" t="n">
        <x:v>3</x:v>
      </x:c>
      <x:c r="H232" s="20" t="n">
        <x:v>0.1</x:v>
      </x:c>
      <x:c r="I232" s="20" t="n">
        <x:v>0</x:v>
      </x:c>
      <x:c r="J232" s="18" t="n">
        <x:v>1</x:v>
      </x:c>
      <x:c r="K232" s="18" t="n">
        <x:v>0</x:v>
      </x:c>
      <x:c r="L232" s="2"/>
      <x:c r="M232" s="2"/>
      <x:c r="N232" s="2"/>
      <x:c r="O232" s="2"/>
    </x:row>
    <x:row r="233" ht="30" customHeight="1">
      <x:c r="A233" s="19" t="n">
        <x:v>2</x:v>
      </x:c>
      <x:c r="B233" s="19" t="str">
        <x:v>Cautious, 3x</x:v>
      </x:c>
      <x:c r="C233" s="19" t="str">
        <x:v>H1 2026</x:v>
      </x:c>
      <x:c r="D233" s="19" t="str">
        <x:v>Reported</x:v>
      </x:c>
      <x:c r="E233" s="19" t="str">
        <x:v>Eligible</x:v>
      </x:c>
      <x:c r="F233" s="19" t="n">
        <x:v>1</x:v>
      </x:c>
      <x:c r="G233" s="19" t="n">
        <x:v>3</x:v>
      </x:c>
      <x:c r="H233" s="21" t="n">
        <x:v>0.05</x:v>
      </x:c>
      <x:c r="I233" s="21" t="n">
        <x:v>0</x:v>
      </x:c>
      <x:c r="J233" s="19" t="n">
        <x:v>1</x:v>
      </x:c>
      <x:c r="K233" s="19" t="n">
        <x:v>0</x:v>
      </x:c>
      <x:c r="L233" s="2"/>
      <x:c r="M233" s="2"/>
      <x:c r="N233" s="2"/>
      <x:c r="O233" s="2"/>
    </x:row>
    <x:row r="234" ht="30" customHeight="1">
      <x:c r="A234" s="18" t="n">
        <x:v>3</x:v>
      </x:c>
      <x:c r="B234" s="18" t="str">
        <x:v>Accelerated, 3x</x:v>
      </x:c>
      <x:c r="C234" s="18" t="str">
        <x:v>H1 2026</x:v>
      </x:c>
      <x:c r="D234" s="18" t="str">
        <x:v>Reported</x:v>
      </x:c>
      <x:c r="E234" s="18" t="str">
        <x:v>Eligible</x:v>
      </x:c>
      <x:c r="F234" s="18" t="n">
        <x:v>1</x:v>
      </x:c>
      <x:c r="G234" s="18" t="n">
        <x:v>3</x:v>
      </x:c>
      <x:c r="H234" s="20" t="n">
        <x:v>0.15</x:v>
      </x:c>
      <x:c r="I234" s="20" t="n">
        <x:v>0</x:v>
      </x:c>
      <x:c r="J234" s="18" t="n">
        <x:v>1</x:v>
      </x:c>
      <x:c r="K234" s="18" t="n">
        <x:v>0</x:v>
      </x:c>
      <x:c r="L234" s="2"/>
      <x:c r="M234" s="2"/>
      <x:c r="N234" s="2"/>
      <x:c r="O234" s="2"/>
    </x:row>
    <x:row r="235" ht="30" customHeight="1">
      <x:c r="A235" s="19" t="n">
        <x:v>4</x:v>
      </x:c>
      <x:c r="B235" s="19" t="str">
        <x:v>Share limits only</x:v>
      </x:c>
      <x:c r="C235" s="19" t="str">
        <x:v>H1 2026</x:v>
      </x:c>
      <x:c r="D235" s="19" t="str">
        <x:v>Reported</x:v>
      </x:c>
      <x:c r="E235" s="19" t="str">
        <x:v>Eligible</x:v>
      </x:c>
      <x:c r="F235" s="19" t="n">
        <x:v>0</x:v>
      </x:c>
      <x:c r="G235" s="19" t="n">
        <x:v>3</x:v>
      </x:c>
      <x:c r="H235" s="21" t="n">
        <x:v>0.1</x:v>
      </x:c>
      <x:c r="I235" s="21" t="n">
        <x:v>0</x:v>
      </x:c>
      <x:c r="J235" s="19" t="n">
        <x:v>1</x:v>
      </x:c>
      <x:c r="K235" s="19" t="n">
        <x:v>0</x:v>
      </x:c>
      <x:c r="L235" s="2"/>
      <x:c r="M235" s="2"/>
      <x:c r="N235" s="2"/>
      <x:c r="O235" s="2"/>
    </x:row>
    <x:row r="236" ht="30" customHeight="1">
      <x:c r="A236" s="18" t="n">
        <x:v>5</x:v>
      </x:c>
      <x:c r="B236" s="18" t="str">
        <x:v>Growth cap 2x</x:v>
      </x:c>
      <x:c r="C236" s="18" t="str">
        <x:v>H1 2026</x:v>
      </x:c>
      <x:c r="D236" s="18" t="str">
        <x:v>Reported</x:v>
      </x:c>
      <x:c r="E236" s="18" t="str">
        <x:v>Eligible</x:v>
      </x:c>
      <x:c r="F236" s="18" t="n">
        <x:v>1</x:v>
      </x:c>
      <x:c r="G236" s="18" t="n">
        <x:v>2</x:v>
      </x:c>
      <x:c r="H236" s="20" t="n">
        <x:v>0.1</x:v>
      </x:c>
      <x:c r="I236" s="20" t="n">
        <x:v>0</x:v>
      </x:c>
      <x:c r="J236" s="18" t="n">
        <x:v>1</x:v>
      </x:c>
      <x:c r="K236" s="18" t="n">
        <x:v>0</x:v>
      </x:c>
      <x:c r="L236" s="2"/>
      <x:c r="M236" s="2"/>
      <x:c r="N236" s="2"/>
      <x:c r="O236" s="2"/>
    </x:row>
    <x:row r="237" ht="30" customHeight="1">
      <x:c r="A237" s="19" t="n">
        <x:v>6</x:v>
      </x:c>
      <x:c r="B237" s="19" t="str">
        <x:v>Growth cap 5x</x:v>
      </x:c>
      <x:c r="C237" s="19" t="str">
        <x:v>H1 2026</x:v>
      </x:c>
      <x:c r="D237" s="19" t="str">
        <x:v>Reported</x:v>
      </x:c>
      <x:c r="E237" s="19" t="str">
        <x:v>Eligible</x:v>
      </x:c>
      <x:c r="F237" s="19" t="n">
        <x:v>1</x:v>
      </x:c>
      <x:c r="G237" s="19" t="n">
        <x:v>5</x:v>
      </x:c>
      <x:c r="H237" s="21" t="n">
        <x:v>0.1</x:v>
      </x:c>
      <x:c r="I237" s="21" t="n">
        <x:v>0</x:v>
      </x:c>
      <x:c r="J237" s="19" t="n">
        <x:v>1</x:v>
      </x:c>
      <x:c r="K237" s="19" t="n">
        <x:v>0</x:v>
      </x:c>
      <x:c r="L237" s="2"/>
      <x:c r="M237" s="2"/>
      <x:c r="N237" s="2"/>
      <x:c r="O237" s="2"/>
    </x:row>
    <x:row r="238" ht="30" customHeight="1">
      <x:c r="A238" s="18" t="n">
        <x:v>7</x:v>
      </x:c>
      <x:c r="B238" s="18" t="str">
        <x:v>Equal receiver mix</x:v>
      </x:c>
      <x:c r="C238" s="18" t="str">
        <x:v>H1 2026</x:v>
      </x:c>
      <x:c r="D238" s="18" t="str">
        <x:v>Reported</x:v>
      </x:c>
      <x:c r="E238" s="18" t="str">
        <x:v>Eligible</x:v>
      </x:c>
      <x:c r="F238" s="18" t="n">
        <x:v>1</x:v>
      </x:c>
      <x:c r="G238" s="18" t="n">
        <x:v>3</x:v>
      </x:c>
      <x:c r="H238" s="20" t="n">
        <x:v>0.1</x:v>
      </x:c>
      <x:c r="I238" s="20" t="n">
        <x:v>0</x:v>
      </x:c>
      <x:c r="J238" s="18" t="n">
        <x:v>2</x:v>
      </x:c>
      <x:c r="K238" s="18" t="n">
        <x:v>0</x:v>
      </x:c>
      <x:c r="L238" s="2"/>
      <x:c r="M238" s="2"/>
      <x:c r="N238" s="2"/>
      <x:c r="O238" s="2"/>
    </x:row>
    <x:row r="239" ht="42" customHeight="1">
      <x:c r="A239" s="19" t="n">
        <x:v>8</x:v>
      </x:c>
      <x:c r="B239" s="19" t="str">
        <x:v>Mix by baseline presence</x:v>
      </x:c>
      <x:c r="C239" s="19" t="str">
        <x:v>H1 2026</x:v>
      </x:c>
      <x:c r="D239" s="19" t="str">
        <x:v>Reported</x:v>
      </x:c>
      <x:c r="E239" s="19" t="str">
        <x:v>Eligible</x:v>
      </x:c>
      <x:c r="F239" s="19" t="n">
        <x:v>1</x:v>
      </x:c>
      <x:c r="G239" s="19" t="n">
        <x:v>3</x:v>
      </x:c>
      <x:c r="H239" s="21" t="n">
        <x:v>0.1</x:v>
      </x:c>
      <x:c r="I239" s="21" t="n">
        <x:v>0</x:v>
      </x:c>
      <x:c r="J239" s="19" t="n">
        <x:v>3</x:v>
      </x:c>
      <x:c r="K239" s="19" t="n">
        <x:v>0</x:v>
      </x:c>
      <x:c r="L239" s="2"/>
      <x:c r="M239" s="2"/>
      <x:c r="N239" s="2"/>
      <x:c r="O239" s="2"/>
    </x:row>
    <x:row r="240" ht="30" customHeight="1">
      <x:c r="A240" s="18" t="n">
        <x:v>9</x:v>
      </x:c>
      <x:c r="B240" s="18" t="str">
        <x:v>Turkey 50% mix</x:v>
      </x:c>
      <x:c r="C240" s="18" t="str">
        <x:v>H1 2026</x:v>
      </x:c>
      <x:c r="D240" s="18" t="str">
        <x:v>Reported</x:v>
      </x:c>
      <x:c r="E240" s="18" t="str">
        <x:v>Eligible</x:v>
      </x:c>
      <x:c r="F240" s="18" t="n">
        <x:v>1</x:v>
      </x:c>
      <x:c r="G240" s="18" t="n">
        <x:v>3</x:v>
      </x:c>
      <x:c r="H240" s="20" t="n">
        <x:v>0.1</x:v>
      </x:c>
      <x:c r="I240" s="20" t="n">
        <x:v>0</x:v>
      </x:c>
      <x:c r="J240" s="18" t="n">
        <x:v>4</x:v>
      </x:c>
      <x:c r="K240" s="18" t="n">
        <x:v>0</x:v>
      </x:c>
      <x:c r="L240" s="2"/>
      <x:c r="M240" s="2"/>
      <x:c r="N240" s="2"/>
      <x:c r="O240" s="2"/>
    </x:row>
    <x:row r="241" ht="30" customHeight="1">
      <x:c r="A241" s="19" t="n">
        <x:v>10</x:v>
      </x:c>
      <x:c r="B241" s="19" t="str">
        <x:v>Synthetic pair only</x:v>
      </x:c>
      <x:c r="C241" s="19" t="str">
        <x:v>H1 2026</x:v>
      </x:c>
      <x:c r="D241" s="19" t="str">
        <x:v>Reported</x:v>
      </x:c>
      <x:c r="E241" s="19" t="str">
        <x:v>Eligible</x:v>
      </x:c>
      <x:c r="F241" s="19" t="n">
        <x:v>1</x:v>
      </x:c>
      <x:c r="G241" s="19" t="n">
        <x:v>3</x:v>
      </x:c>
      <x:c r="H241" s="21" t="n">
        <x:v>0.1</x:v>
      </x:c>
      <x:c r="I241" s="21" t="n">
        <x:v>0</x:v>
      </x:c>
      <x:c r="J241" s="19" t="n">
        <x:v>5</x:v>
      </x:c>
      <x:c r="K241" s="19" t="n">
        <x:v>0</x:v>
      </x:c>
      <x:c r="L241" s="2"/>
      <x:c r="M241" s="2"/>
      <x:c r="N241" s="2"/>
      <x:c r="O241" s="2"/>
    </x:row>
    <x:row r="242" ht="42" customHeight="1">
      <x:c r="A242" s="18" t="n">
        <x:v>11</x:v>
      </x:c>
      <x:c r="B242" s="18" t="str">
        <x:v>Synthetic, Turkey-led knitwear</x:v>
      </x:c>
      <x:c r="C242" s="18" t="str">
        <x:v>H1 2026</x:v>
      </x:c>
      <x:c r="D242" s="18" t="str">
        <x:v>Reported</x:v>
      </x:c>
      <x:c r="E242" s="18" t="str">
        <x:v>Eligible</x:v>
      </x:c>
      <x:c r="F242" s="18" t="n">
        <x:v>1</x:v>
      </x:c>
      <x:c r="G242" s="18" t="n">
        <x:v>3</x:v>
      </x:c>
      <x:c r="H242" s="20" t="n">
        <x:v>0.1</x:v>
      </x:c>
      <x:c r="I242" s="20" t="n">
        <x:v>0</x:v>
      </x:c>
      <x:c r="J242" s="18" t="n">
        <x:v>6</x:v>
      </x:c>
      <x:c r="K242" s="18" t="n">
        <x:v>0</x:v>
      </x:c>
      <x:c r="L242" s="2"/>
      <x:c r="M242" s="2"/>
      <x:c r="N242" s="2"/>
      <x:c r="O242" s="2"/>
    </x:row>
    <x:row r="243" ht="42" customHeight="1">
      <x:c r="A243" s="19" t="n">
        <x:v>12</x:v>
      </x:c>
      <x:c r="B243" s="19" t="str">
        <x:v>MFN on whole benchmark</x:v>
      </x:c>
      <x:c r="C243" s="19" t="str">
        <x:v>H1 2026</x:v>
      </x:c>
      <x:c r="D243" s="19" t="str">
        <x:v>Reported</x:v>
      </x:c>
      <x:c r="E243" s="19" t="str">
        <x:v>MFN all</x:v>
      </x:c>
      <x:c r="F243" s="19" t="n">
        <x:v>1</x:v>
      </x:c>
      <x:c r="G243" s="19" t="n">
        <x:v>3</x:v>
      </x:c>
      <x:c r="H243" s="21" t="n">
        <x:v>0.1</x:v>
      </x:c>
      <x:c r="I243" s="21" t="n">
        <x:v>0</x:v>
      </x:c>
      <x:c r="J243" s="19" t="n">
        <x:v>1</x:v>
      </x:c>
      <x:c r="K243" s="19" t="n">
        <x:v>0</x:v>
      </x:c>
      <x:c r="L243" s="2"/>
      <x:c r="M243" s="2"/>
      <x:c r="N243" s="2"/>
      <x:c r="O243" s="2"/>
    </x:row>
    <x:row r="244" ht="42" customHeight="1">
      <x:c r="A244" s="18" t="n">
        <x:v>13</x:v>
      </x:c>
      <x:c r="B244" s="18" t="str">
        <x:v>MFN on transferred volume</x:v>
      </x:c>
      <x:c r="C244" s="18" t="str">
        <x:v>H1 2026</x:v>
      </x:c>
      <x:c r="D244" s="18" t="str">
        <x:v>Reported</x:v>
      </x:c>
      <x:c r="E244" s="18" t="str">
        <x:v>MFN increment</x:v>
      </x:c>
      <x:c r="F244" s="18" t="n">
        <x:v>1</x:v>
      </x:c>
      <x:c r="G244" s="18" t="n">
        <x:v>3</x:v>
      </x:c>
      <x:c r="H244" s="20" t="n">
        <x:v>0.1</x:v>
      </x:c>
      <x:c r="I244" s="20" t="n">
        <x:v>0</x:v>
      </x:c>
      <x:c r="J244" s="18" t="n">
        <x:v>1</x:v>
      </x:c>
      <x:c r="K244" s="18" t="n">
        <x:v>0</x:v>
      </x:c>
      <x:c r="L244" s="2"/>
      <x:c r="M244" s="2"/>
      <x:c r="N244" s="2"/>
      <x:c r="O244" s="2"/>
    </x:row>
    <x:row r="245" ht="30" customHeight="1">
      <x:c r="A245" s="19" t="n">
        <x:v>14</x:v>
      </x:c>
      <x:c r="B245" s="19" t="str">
        <x:v>Receiver premium 2%</x:v>
      </x:c>
      <x:c r="C245" s="19" t="str">
        <x:v>H1 2026</x:v>
      </x:c>
      <x:c r="D245" s="19" t="str">
        <x:v>Reported</x:v>
      </x:c>
      <x:c r="E245" s="19" t="str">
        <x:v>Eligible</x:v>
      </x:c>
      <x:c r="F245" s="19" t="n">
        <x:v>1</x:v>
      </x:c>
      <x:c r="G245" s="19" t="n">
        <x:v>3</x:v>
      </x:c>
      <x:c r="H245" s="21" t="n">
        <x:v>0.1</x:v>
      </x:c>
      <x:c r="I245" s="21" t="n">
        <x:v>0.02</x:v>
      </x:c>
      <x:c r="J245" s="19" t="n">
        <x:v>1</x:v>
      </x:c>
      <x:c r="K245" s="19" t="n">
        <x:v>0</x:v>
      </x:c>
      <x:c r="L245" s="2"/>
      <x:c r="M245" s="2"/>
      <x:c r="N245" s="2"/>
      <x:c r="O245" s="2"/>
    </x:row>
    <x:row r="246" ht="30" customHeight="1">
      <x:c r="A246" s="18" t="n">
        <x:v>15</x:v>
      </x:c>
      <x:c r="B246" s="18" t="str">
        <x:v>Receiver premium 5%</x:v>
      </x:c>
      <x:c r="C246" s="18" t="str">
        <x:v>H1 2026</x:v>
      </x:c>
      <x:c r="D246" s="18" t="str">
        <x:v>Reported</x:v>
      </x:c>
      <x:c r="E246" s="18" t="str">
        <x:v>Eligible</x:v>
      </x:c>
      <x:c r="F246" s="18" t="n">
        <x:v>1</x:v>
      </x:c>
      <x:c r="G246" s="18" t="n">
        <x:v>3</x:v>
      </x:c>
      <x:c r="H246" s="20" t="n">
        <x:v>0.1</x:v>
      </x:c>
      <x:c r="I246" s="20" t="n">
        <x:v>0.05</x:v>
      </x:c>
      <x:c r="J246" s="18" t="n">
        <x:v>1</x:v>
      </x:c>
      <x:c r="K246" s="18" t="n">
        <x:v>0</x:v>
      </x:c>
      <x:c r="L246" s="2"/>
      <x:c r="M246" s="2"/>
      <x:c r="N246" s="2"/>
      <x:c r="O246" s="2"/>
    </x:row>
    <x:row r="247" ht="30" customHeight="1">
      <x:c r="A247" s="19" t="n">
        <x:v>16</x:v>
      </x:c>
      <x:c r="B247" s="19" t="str">
        <x:v>H1 2026 common months</x:v>
      </x:c>
      <x:c r="C247" s="19" t="str">
        <x:v>H1 2026</x:v>
      </x:c>
      <x:c r="D247" s="19" t="str">
        <x:v>Common</x:v>
      </x:c>
      <x:c r="E247" s="19" t="str">
        <x:v>Eligible</x:v>
      </x:c>
      <x:c r="F247" s="19" t="n">
        <x:v>1</x:v>
      </x:c>
      <x:c r="G247" s="19" t="n">
        <x:v>3</x:v>
      </x:c>
      <x:c r="H247" s="21" t="n">
        <x:v>0.1</x:v>
      </x:c>
      <x:c r="I247" s="21" t="n">
        <x:v>0</x:v>
      </x:c>
      <x:c r="J247" s="19" t="n">
        <x:v>1</x:v>
      </x:c>
      <x:c r="K247" s="19" t="n">
        <x:v>0</x:v>
      </x:c>
      <x:c r="L247" s="2"/>
      <x:c r="M247" s="2"/>
      <x:c r="N247" s="2"/>
      <x:c r="O247" s="2"/>
    </x:row>
    <x:row r="248" ht="42" customHeight="1">
      <x:c r="A248" s="18" t="n">
        <x:v>17</x:v>
      </x:c>
      <x:c r="B248" s="18" t="str">
        <x:v>FY2025 reported prices</x:v>
      </x:c>
      <x:c r="C248" s="18" t="str">
        <x:v>FY2025</x:v>
      </x:c>
      <x:c r="D248" s="18" t="str">
        <x:v>Reported</x:v>
      </x:c>
      <x:c r="E248" s="18" t="str">
        <x:v>Eligible</x:v>
      </x:c>
      <x:c r="F248" s="18" t="n">
        <x:v>1</x:v>
      </x:c>
      <x:c r="G248" s="18" t="n">
        <x:v>3</x:v>
      </x:c>
      <x:c r="H248" s="20" t="n">
        <x:v>0.1</x:v>
      </x:c>
      <x:c r="I248" s="20" t="n">
        <x:v>0</x:v>
      </x:c>
      <x:c r="J248" s="18" t="n">
        <x:v>1</x:v>
      </x:c>
      <x:c r="K248" s="18" t="n">
        <x:v>0</x:v>
      </x:c>
      <x:c r="L248" s="2"/>
      <x:c r="M248" s="2"/>
      <x:c r="N248" s="2"/>
      <x:c r="O248" s="2"/>
    </x:row>
    <x:row r="249" ht="30" customHeight="1">
      <x:c r="A249" s="19" t="n">
        <x:v>18</x:v>
      </x:c>
      <x:c r="B249" s="19" t="str">
        <x:v>FY2025 common months</x:v>
      </x:c>
      <x:c r="C249" s="19" t="str">
        <x:v>FY2025</x:v>
      </x:c>
      <x:c r="D249" s="19" t="str">
        <x:v>Common</x:v>
      </x:c>
      <x:c r="E249" s="19" t="str">
        <x:v>Eligible</x:v>
      </x:c>
      <x:c r="F249" s="19" t="n">
        <x:v>1</x:v>
      </x:c>
      <x:c r="G249" s="19" t="n">
        <x:v>3</x:v>
      </x:c>
      <x:c r="H249" s="21" t="n">
        <x:v>0.1</x:v>
      </x:c>
      <x:c r="I249" s="21" t="n">
        <x:v>0</x:v>
      </x:c>
      <x:c r="J249" s="19" t="n">
        <x:v>1</x:v>
      </x:c>
      <x:c r="K249" s="19" t="n">
        <x:v>0</x:v>
      </x:c>
      <x:c r="L249" s="2"/>
      <x:c r="M249" s="2"/>
      <x:c r="N249" s="2"/>
      <x:c r="O249" s="2"/>
    </x:row>
    <x:row r="250" ht="42" customHeight="1">
      <x:c r="A250" s="18" t="n">
        <x:v>19</x:v>
      </x:c>
      <x:c r="B250" s="18" t="str">
        <x:v>H1 2025 reported prices</x:v>
      </x:c>
      <x:c r="C250" s="18" t="str">
        <x:v>H1 2025</x:v>
      </x:c>
      <x:c r="D250" s="18" t="str">
        <x:v>Reported</x:v>
      </x:c>
      <x:c r="E250" s="18" t="str">
        <x:v>Eligible</x:v>
      </x:c>
      <x:c r="F250" s="18" t="n">
        <x:v>1</x:v>
      </x:c>
      <x:c r="G250" s="18" t="n">
        <x:v>3</x:v>
      </x:c>
      <x:c r="H250" s="20" t="n">
        <x:v>0.1</x:v>
      </x:c>
      <x:c r="I250" s="20" t="n">
        <x:v>0</x:v>
      </x:c>
      <x:c r="J250" s="18" t="n">
        <x:v>1</x:v>
      </x:c>
      <x:c r="K250" s="18" t="n">
        <x:v>0</x:v>
      </x:c>
      <x:c r="L250" s="2"/>
      <x:c r="M250" s="2"/>
      <x:c r="N250" s="2"/>
      <x:c r="O250" s="2"/>
    </x:row>
    <x:row r="251" ht="30" customHeight="1">
      <x:c r="A251" s="19" t="n">
        <x:v>20</x:v>
      </x:c>
      <x:c r="B251" s="19" t="str">
        <x:v>H1 2025 common months</x:v>
      </x:c>
      <x:c r="C251" s="19" t="str">
        <x:v>H1 2025</x:v>
      </x:c>
      <x:c r="D251" s="19" t="str">
        <x:v>Common</x:v>
      </x:c>
      <x:c r="E251" s="19" t="str">
        <x:v>Eligible</x:v>
      </x:c>
      <x:c r="F251" s="19" t="n">
        <x:v>1</x:v>
      </x:c>
      <x:c r="G251" s="19" t="n">
        <x:v>3</x:v>
      </x:c>
      <x:c r="H251" s="21" t="n">
        <x:v>0.1</x:v>
      </x:c>
      <x:c r="I251" s="21" t="n">
        <x:v>0</x:v>
      </x:c>
      <x:c r="J251" s="19" t="n">
        <x:v>1</x:v>
      </x:c>
      <x:c r="K251" s="19" t="n">
        <x:v>0</x:v>
      </x:c>
      <x:c r="L251" s="2"/>
      <x:c r="M251" s="2"/>
      <x:c r="N251" s="2"/>
      <x:c r="O251" s="2"/>
    </x:row>
    <x:row r="252" ht="30" customHeight="1">
      <x:c r="A252" s="18" t="n">
        <x:v>21</x:v>
      </x:c>
      <x:c r="B252" s="18" t="str">
        <x:v>Operating stress low</x:v>
      </x:c>
      <x:c r="C252" s="18" t="str">
        <x:v>H1 2026</x:v>
      </x:c>
      <x:c r="D252" s="18" t="str">
        <x:v>Reported</x:v>
      </x:c>
      <x:c r="E252" s="18" t="str">
        <x:v>Eligible</x:v>
      </x:c>
      <x:c r="F252" s="18" t="n">
        <x:v>1</x:v>
      </x:c>
      <x:c r="G252" s="18" t="n">
        <x:v>3</x:v>
      </x:c>
      <x:c r="H252" s="20" t="n">
        <x:v>0.1</x:v>
      </x:c>
      <x:c r="I252" s="20" t="n">
        <x:v>0</x:v>
      </x:c>
      <x:c r="J252" s="18" t="n">
        <x:v>1</x:v>
      </x:c>
      <x:c r="K252" s="18" t="n">
        <x:v>1</x:v>
      </x:c>
      <x:c r="L252" s="2"/>
      <x:c r="M252" s="2"/>
      <x:c r="N252" s="2"/>
      <x:c r="O252" s="2"/>
    </x:row>
    <x:row r="253" ht="42" customHeight="1">
      <x:c r="A253" s="19" t="n">
        <x:v>22</x:v>
      </x:c>
      <x:c r="B253" s="19" t="str">
        <x:v>Operating stress central</x:v>
      </x:c>
      <x:c r="C253" s="19" t="str">
        <x:v>H1 2026</x:v>
      </x:c>
      <x:c r="D253" s="19" t="str">
        <x:v>Reported</x:v>
      </x:c>
      <x:c r="E253" s="19" t="str">
        <x:v>Eligible</x:v>
      </x:c>
      <x:c r="F253" s="19" t="n">
        <x:v>1</x:v>
      </x:c>
      <x:c r="G253" s="19" t="n">
        <x:v>3</x:v>
      </x:c>
      <x:c r="H253" s="21" t="n">
        <x:v>0.1</x:v>
      </x:c>
      <x:c r="I253" s="21" t="n">
        <x:v>0</x:v>
      </x:c>
      <x:c r="J253" s="19" t="n">
        <x:v>1</x:v>
      </x:c>
      <x:c r="K253" s="19" t="n">
        <x:v>2</x:v>
      </x:c>
      <x:c r="L253" s="2"/>
      <x:c r="M253" s="2"/>
      <x:c r="N253" s="2"/>
      <x:c r="O253" s="2"/>
    </x:row>
    <x:row r="254" ht="30" customHeight="1">
      <x:c r="A254" s="18" t="n">
        <x:v>23</x:v>
      </x:c>
      <x:c r="B254" s="18" t="str">
        <x:v>Operating stress high</x:v>
      </x:c>
      <x:c r="C254" s="18" t="str">
        <x:v>H1 2026</x:v>
      </x:c>
      <x:c r="D254" s="18" t="str">
        <x:v>Reported</x:v>
      </x:c>
      <x:c r="E254" s="18" t="str">
        <x:v>Eligible</x:v>
      </x:c>
      <x:c r="F254" s="18" t="n">
        <x:v>1</x:v>
      </x:c>
      <x:c r="G254" s="18" t="n">
        <x:v>3</x:v>
      </x:c>
      <x:c r="H254" s="20" t="n">
        <x:v>0.1</x:v>
      </x:c>
      <x:c r="I254" s="20" t="n">
        <x:v>0</x:v>
      </x:c>
      <x:c r="J254" s="18" t="n">
        <x:v>1</x:v>
      </x:c>
      <x:c r="K254" s="18" t="n">
        <x:v>3</x:v>
      </x:c>
      <x:c r="L254" s="2"/>
      <x:c r="M254" s="2"/>
      <x:c r="N254" s="2"/>
      <x:c r="O254" s="2"/>
    </x:row>
    <x:row r="255" ht="42" customHeight="1">
      <x:c r="A255" s="19" t="n">
        <x:v>24</x:v>
      </x:c>
      <x:c r="B255" s="19" t="str">
        <x:v>Synthetic mix, increment MFN</x:v>
      </x:c>
      <x:c r="C255" s="19" t="str">
        <x:v>H1 2026</x:v>
      </x:c>
      <x:c r="D255" s="19" t="str">
        <x:v>Reported</x:v>
      </x:c>
      <x:c r="E255" s="19" t="str">
        <x:v>MFN increment</x:v>
      </x:c>
      <x:c r="F255" s="19" t="n">
        <x:v>1</x:v>
      </x:c>
      <x:c r="G255" s="19" t="n">
        <x:v>3</x:v>
      </x:c>
      <x:c r="H255" s="21" t="n">
        <x:v>0.1</x:v>
      </x:c>
      <x:c r="I255" s="21" t="n">
        <x:v>0</x:v>
      </x:c>
      <x:c r="J255" s="19" t="n">
        <x:v>6</x:v>
      </x:c>
      <x:c r="K255" s="19" t="n">
        <x:v>0</x:v>
      </x:c>
      <x:c r="L255" s="2"/>
      <x:c r="M255" s="2"/>
      <x:c r="N255" s="2"/>
      <x:c r="O255" s="2"/>
    </x:row>
    <x:row r="256" ht="42" customHeight="1">
      <x:c r="A256" s="18" t="n">
        <x:v>25</x:v>
      </x:c>
      <x:c r="B256" s="18" t="str">
        <x:v>Presence mix, common months</x:v>
      </x:c>
      <x:c r="C256" s="18" t="str">
        <x:v>H1 2026</x:v>
      </x:c>
      <x:c r="D256" s="18" t="str">
        <x:v>Common</x:v>
      </x:c>
      <x:c r="E256" s="18" t="str">
        <x:v>Eligible</x:v>
      </x:c>
      <x:c r="F256" s="18" t="n">
        <x:v>1</x:v>
      </x:c>
      <x:c r="G256" s="18" t="n">
        <x:v>3</x:v>
      </x:c>
      <x:c r="H256" s="20" t="n">
        <x:v>0.1</x:v>
      </x:c>
      <x:c r="I256" s="20" t="n">
        <x:v>0</x:v>
      </x:c>
      <x:c r="J256" s="18" t="n">
        <x:v>3</x:v>
      </x:c>
      <x:c r="K256" s="18" t="n">
        <x:v>0</x:v>
      </x:c>
      <x:c r="L256" s="2"/>
      <x:c r="M256" s="2"/>
      <x:c r="N256" s="2"/>
      <x:c r="O256" s="2"/>
    </x:row>
    <x:row r="257" ht="42" customHeight="1">
      <x:c r="A257" s="19" t="n">
        <x:v>26</x:v>
      </x:c>
      <x:c r="B257" s="19" t="str">
        <x:v>Synthetic mix, common months</x:v>
      </x:c>
      <x:c r="C257" s="19" t="str">
        <x:v>H1 2026</x:v>
      </x:c>
      <x:c r="D257" s="19" t="str">
        <x:v>Common</x:v>
      </x:c>
      <x:c r="E257" s="19" t="str">
        <x:v>Eligible</x:v>
      </x:c>
      <x:c r="F257" s="19" t="n">
        <x:v>1</x:v>
      </x:c>
      <x:c r="G257" s="19" t="n">
        <x:v>3</x:v>
      </x:c>
      <x:c r="H257" s="21" t="n">
        <x:v>0.1</x:v>
      </x:c>
      <x:c r="I257" s="21" t="n">
        <x:v>0</x:v>
      </x:c>
      <x:c r="J257" s="19" t="n">
        <x:v>6</x:v>
      </x:c>
      <x:c r="K257" s="19" t="n">
        <x:v>0</x:v>
      </x:c>
      <x:c r="L257" s="2"/>
      <x:c r="M257" s="2"/>
      <x:c r="N257" s="2"/>
      <x:c r="O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</x:row>
    <x:row r="263" ht="42" customHeight="1">
      <x:c r="A263" s="15" t="str">
        <x:v>Mix ID</x:v>
      </x:c>
      <x:c r="B263" s="16" t="str">
        <x:v>CN8</x:v>
      </x:c>
      <x:c r="C263" s="16" t="str">
        <x:v>India weight</x:v>
      </x:c>
      <x:c r="D263" s="16" t="str">
        <x:v>Turkey weight</x:v>
      </x:c>
      <x:c r="E263" s="16" t="str">
        <x:v>Vietnam weight</x:v>
      </x:c>
      <x:c r="F263" s="17" t="str">
        <x:v>Shift enabled</x:v>
      </x:c>
      <x:c r="G263" s="2"/>
      <x:c r="H263" s="2"/>
      <x:c r="I263" s="2"/>
      <x:c r="J263" s="2"/>
      <x:c r="K263" s="2"/>
      <x:c r="L263" s="2"/>
      <x:c r="M263" s="2"/>
      <x:c r="N263" s="2"/>
      <x:c r="O263" s="2"/>
    </x:row>
    <x:row r="264" ht="30" customHeight="1">
      <x:c r="A264" s="18" t="n">
        <x:v>1</x:v>
      </x:c>
      <x:c r="B264" s="18" t="str">
        <x:v>61091000</x:v>
      </x:c>
      <x:c r="C264" s="20" t="n">
        <x:v>0.5</x:v>
      </x:c>
      <x:c r="D264" s="20" t="n">
        <x:v>0.25</x:v>
      </x:c>
      <x:c r="E264" s="20" t="n">
        <x:v>0.25</x:v>
      </x:c>
      <x:c r="F264" s="18" t="n">
        <x:v>1</x:v>
      </x:c>
      <x:c r="G264" s="2"/>
      <x:c r="H264" s="2"/>
      <x:c r="I264" s="2"/>
      <x:c r="J264" s="2"/>
      <x:c r="K264" s="2"/>
      <x:c r="L264" s="2"/>
      <x:c r="M264" s="2"/>
      <x:c r="N264" s="2"/>
      <x:c r="O264" s="2"/>
    </x:row>
    <x:row r="265" ht="30" customHeight="1">
      <x:c r="A265" s="19" t="n">
        <x:v>1</x:v>
      </x:c>
      <x:c r="B265" s="19" t="str">
        <x:v>61103099</x:v>
      </x:c>
      <x:c r="C265" s="21" t="n">
        <x:v>0.5</x:v>
      </x:c>
      <x:c r="D265" s="21" t="n">
        <x:v>0.25</x:v>
      </x:c>
      <x:c r="E265" s="21" t="n">
        <x:v>0.25</x:v>
      </x:c>
      <x:c r="F265" s="19" t="n">
        <x:v>1</x:v>
      </x:c>
      <x:c r="G265" s="2"/>
      <x:c r="H265" s="2"/>
      <x:c r="I265" s="2"/>
      <x:c r="J265" s="2"/>
      <x:c r="K265" s="2"/>
      <x:c r="L265" s="2"/>
      <x:c r="M265" s="2"/>
      <x:c r="N265" s="2"/>
      <x:c r="O265" s="2"/>
    </x:row>
    <x:row r="266" ht="30" customHeight="1">
      <x:c r="A266" s="18" t="n">
        <x:v>1</x:v>
      </x:c>
      <x:c r="B266" s="18" t="str">
        <x:v>62044300</x:v>
      </x:c>
      <x:c r="C266" s="20" t="n">
        <x:v>0.5</x:v>
      </x:c>
      <x:c r="D266" s="20" t="n">
        <x:v>0.25</x:v>
      </x:c>
      <x:c r="E266" s="20" t="n">
        <x:v>0.25</x:v>
      </x:c>
      <x:c r="F266" s="18" t="n">
        <x:v>1</x:v>
      </x:c>
      <x:c r="G266" s="2"/>
      <x:c r="H266" s="2"/>
      <x:c r="I266" s="2"/>
      <x:c r="J266" s="2"/>
      <x:c r="K266" s="2"/>
      <x:c r="L266" s="2"/>
      <x:c r="M266" s="2"/>
      <x:c r="N266" s="2"/>
      <x:c r="O266" s="2"/>
    </x:row>
    <x:row r="267" ht="30" customHeight="1">
      <x:c r="A267" s="19" t="n">
        <x:v>1</x:v>
      </x:c>
      <x:c r="B267" s="19" t="str">
        <x:v>62052000</x:v>
      </x:c>
      <x:c r="C267" s="21" t="n">
        <x:v>0.5</x:v>
      </x:c>
      <x:c r="D267" s="21" t="n">
        <x:v>0.25</x:v>
      </x:c>
      <x:c r="E267" s="21" t="n">
        <x:v>0.25</x:v>
      </x:c>
      <x:c r="F267" s="19" t="n">
        <x:v>1</x:v>
      </x:c>
      <x:c r="G267" s="2"/>
      <x:c r="H267" s="2"/>
      <x:c r="I267" s="2"/>
      <x:c r="J267" s="2"/>
      <x:c r="K267" s="2"/>
      <x:c r="L267" s="2"/>
      <x:c r="M267" s="2"/>
      <x:c r="N267" s="2"/>
      <x:c r="O267" s="2"/>
    </x:row>
    <x:row r="268" ht="42" customHeight="1">
      <x:c r="A268" s="18" t="n">
        <x:v>2</x:v>
      </x:c>
      <x:c r="B268" s="18" t="str">
        <x:v>61091000</x:v>
      </x:c>
      <x:c r="C268" s="20" t="n">
        <x:v>0.3333333333333333</x:v>
      </x:c>
      <x:c r="D268" s="20" t="n">
        <x:v>0.3333333333333333</x:v>
      </x:c>
      <x:c r="E268" s="20" t="n">
        <x:v>0.3333333333333333</x:v>
      </x:c>
      <x:c r="F268" s="18" t="n">
        <x:v>1</x:v>
      </x:c>
      <x:c r="G268" s="2"/>
      <x:c r="H268" s="2"/>
      <x:c r="I268" s="2"/>
      <x:c r="J268" s="2"/>
      <x:c r="K268" s="2"/>
      <x:c r="L268" s="2"/>
      <x:c r="M268" s="2"/>
      <x:c r="N268" s="2"/>
      <x:c r="O268" s="2"/>
    </x:row>
    <x:row r="269" ht="42" customHeight="1">
      <x:c r="A269" s="19" t="n">
        <x:v>2</x:v>
      </x:c>
      <x:c r="B269" s="19" t="str">
        <x:v>61103099</x:v>
      </x:c>
      <x:c r="C269" s="21" t="n">
        <x:v>0.3333333333333333</x:v>
      </x:c>
      <x:c r="D269" s="21" t="n">
        <x:v>0.3333333333333333</x:v>
      </x:c>
      <x:c r="E269" s="21" t="n">
        <x:v>0.3333333333333333</x:v>
      </x:c>
      <x:c r="F269" s="19" t="n">
        <x:v>1</x:v>
      </x:c>
      <x:c r="G269" s="2"/>
      <x:c r="H269" s="2"/>
      <x:c r="I269" s="2"/>
      <x:c r="J269" s="2"/>
      <x:c r="K269" s="2"/>
      <x:c r="L269" s="2"/>
      <x:c r="M269" s="2"/>
      <x:c r="N269" s="2"/>
      <x:c r="O269" s="2"/>
    </x:row>
    <x:row r="270" ht="42" customHeight="1">
      <x:c r="A270" s="18" t="n">
        <x:v>2</x:v>
      </x:c>
      <x:c r="B270" s="18" t="str">
        <x:v>62044300</x:v>
      </x:c>
      <x:c r="C270" s="20" t="n">
        <x:v>0.3333333333333333</x:v>
      </x:c>
      <x:c r="D270" s="20" t="n">
        <x:v>0.3333333333333333</x:v>
      </x:c>
      <x:c r="E270" s="20" t="n">
        <x:v>0.3333333333333333</x:v>
      </x:c>
      <x:c r="F270" s="18" t="n">
        <x:v>1</x:v>
      </x:c>
      <x:c r="G270" s="2"/>
      <x:c r="H270" s="2"/>
      <x:c r="I270" s="2"/>
      <x:c r="J270" s="2"/>
      <x:c r="K270" s="2"/>
      <x:c r="L270" s="2"/>
      <x:c r="M270" s="2"/>
      <x:c r="N270" s="2"/>
      <x:c r="O270" s="2"/>
    </x:row>
    <x:row r="271" ht="42" customHeight="1">
      <x:c r="A271" s="19" t="n">
        <x:v>2</x:v>
      </x:c>
      <x:c r="B271" s="19" t="str">
        <x:v>62052000</x:v>
      </x:c>
      <x:c r="C271" s="21" t="n">
        <x:v>0.3333333333333333</x:v>
      </x:c>
      <x:c r="D271" s="21" t="n">
        <x:v>0.3333333333333333</x:v>
      </x:c>
      <x:c r="E271" s="21" t="n">
        <x:v>0.3333333333333333</x:v>
      </x:c>
      <x:c r="F271" s="19" t="n">
        <x:v>1</x:v>
      </x:c>
      <x:c r="G271" s="2"/>
      <x:c r="H271" s="2"/>
      <x:c r="I271" s="2"/>
      <x:c r="J271" s="2"/>
      <x:c r="K271" s="2"/>
      <x:c r="L271" s="2"/>
      <x:c r="M271" s="2"/>
      <x:c r="N271" s="2"/>
      <x:c r="O271" s="2"/>
    </x:row>
    <x:row r="272" ht="42" customHeight="1">
      <x:c r="A272" s="18" t="n">
        <x:v>3</x:v>
      </x:c>
      <x:c r="B272" s="18" t="str">
        <x:v>61091000</x:v>
      </x:c>
      <x:c r="C272" s="20" t="n">
        <x:v>0.5591970096677155</x:v>
      </x:c>
      <x:c r="D272" s="20" t="n">
        <x:v>0.35621575722244825</x:v>
      </x:c>
      <x:c r="E272" s="20" t="n">
        <x:v>0.08458723310983628</x:v>
      </x:c>
      <x:c r="F272" s="18" t="n">
        <x:v>1</x:v>
      </x:c>
      <x:c r="G272" s="2"/>
      <x:c r="H272" s="2"/>
      <x:c r="I272" s="2"/>
      <x:c r="J272" s="2"/>
      <x:c r="K272" s="2"/>
      <x:c r="L272" s="2"/>
      <x:c r="M272" s="2"/>
      <x:c r="N272" s="2"/>
      <x:c r="O272" s="2"/>
    </x:row>
    <x:row r="273" ht="42" customHeight="1">
      <x:c r="A273" s="19" t="n">
        <x:v>3</x:v>
      </x:c>
      <x:c r="B273" s="19" t="str">
        <x:v>61103099</x:v>
      </x:c>
      <x:c r="C273" s="21" t="n">
        <x:v>0.020125363150035717</x:v>
      </x:c>
      <x:c r="D273" s="21" t="n">
        <x:v>0.9296900284649403</x:v>
      </x:c>
      <x:c r="E273" s="21" t="n">
        <x:v>0.05018460838502393</x:v>
      </x:c>
      <x:c r="F273" s="19" t="n">
        <x:v>1</x:v>
      </x:c>
      <x:c r="G273" s="2"/>
      <x:c r="H273" s="2"/>
      <x:c r="I273" s="2"/>
      <x:c r="J273" s="2"/>
      <x:c r="K273" s="2"/>
      <x:c r="L273" s="2"/>
      <x:c r="M273" s="2"/>
      <x:c r="N273" s="2"/>
      <x:c r="O273" s="2"/>
    </x:row>
    <x:row r="274" ht="42" customHeight="1">
      <x:c r="A274" s="18" t="n">
        <x:v>3</x:v>
      </x:c>
      <x:c r="B274" s="18" t="str">
        <x:v>62044300</x:v>
      </x:c>
      <x:c r="C274" s="20" t="n">
        <x:v>0.6869136818660501</x:v>
      </x:c>
      <x:c r="D274" s="20" t="n">
        <x:v>0.15452600853203663</x:v>
      </x:c>
      <x:c r="E274" s="20" t="n">
        <x:v>0.15856030960191322</x:v>
      </x:c>
      <x:c r="F274" s="18" t="n">
        <x:v>1</x:v>
      </x:c>
      <x:c r="G274" s="2"/>
      <x:c r="H274" s="2"/>
      <x:c r="I274" s="2"/>
      <x:c r="J274" s="2"/>
      <x:c r="K274" s="2"/>
      <x:c r="L274" s="2"/>
      <x:c r="M274" s="2"/>
      <x:c r="N274" s="2"/>
      <x:c r="O274" s="2"/>
    </x:row>
    <x:row r="275" ht="42" customHeight="1">
      <x:c r="A275" s="19" t="n">
        <x:v>3</x:v>
      </x:c>
      <x:c r="B275" s="19" t="str">
        <x:v>62052000</x:v>
      </x:c>
      <x:c r="C275" s="21" t="n">
        <x:v>0.6434507385755575</x:v>
      </x:c>
      <x:c r="D275" s="21" t="n">
        <x:v>0.1562101864457371</x:v>
      </x:c>
      <x:c r="E275" s="21" t="n">
        <x:v>0.20033907497870546</x:v>
      </x:c>
      <x:c r="F275" s="19" t="n">
        <x:v>1</x:v>
      </x:c>
      <x:c r="G275" s="2"/>
      <x:c r="H275" s="2"/>
      <x:c r="I275" s="2"/>
      <x:c r="J275" s="2"/>
      <x:c r="K275" s="2"/>
      <x:c r="L275" s="2"/>
      <x:c r="M275" s="2"/>
      <x:c r="N275" s="2"/>
      <x:c r="O275" s="2"/>
    </x:row>
    <x:row r="276" ht="30" customHeight="1">
      <x:c r="A276" s="18" t="n">
        <x:v>4</x:v>
      </x:c>
      <x:c r="B276" s="18" t="str">
        <x:v>61091000</x:v>
      </x:c>
      <x:c r="C276" s="20" t="n">
        <x:v>0.25</x:v>
      </x:c>
      <x:c r="D276" s="20" t="n">
        <x:v>0.5</x:v>
      </x:c>
      <x:c r="E276" s="20" t="n">
        <x:v>0.25</x:v>
      </x:c>
      <x:c r="F276" s="18" t="n">
        <x:v>1</x:v>
      </x:c>
      <x:c r="G276" s="2"/>
      <x:c r="H276" s="2"/>
      <x:c r="I276" s="2"/>
      <x:c r="J276" s="2"/>
      <x:c r="K276" s="2"/>
      <x:c r="L276" s="2"/>
      <x:c r="M276" s="2"/>
      <x:c r="N276" s="2"/>
      <x:c r="O276" s="2"/>
    </x:row>
    <x:row r="277" ht="30" customHeight="1">
      <x:c r="A277" s="19" t="n">
        <x:v>4</x:v>
      </x:c>
      <x:c r="B277" s="19" t="str">
        <x:v>61103099</x:v>
      </x:c>
      <x:c r="C277" s="21" t="n">
        <x:v>0.25</x:v>
      </x:c>
      <x:c r="D277" s="21" t="n">
        <x:v>0.5</x:v>
      </x:c>
      <x:c r="E277" s="21" t="n">
        <x:v>0.25</x:v>
      </x:c>
      <x:c r="F277" s="19" t="n">
        <x:v>1</x:v>
      </x:c>
      <x:c r="G277" s="2"/>
      <x:c r="H277" s="2"/>
      <x:c r="I277" s="2"/>
      <x:c r="J277" s="2"/>
      <x:c r="K277" s="2"/>
      <x:c r="L277" s="2"/>
      <x:c r="M277" s="2"/>
      <x:c r="N277" s="2"/>
      <x:c r="O277" s="2"/>
    </x:row>
    <x:row r="278" ht="30" customHeight="1">
      <x:c r="A278" s="18" t="n">
        <x:v>4</x:v>
      </x:c>
      <x:c r="B278" s="18" t="str">
        <x:v>62044300</x:v>
      </x:c>
      <x:c r="C278" s="20" t="n">
        <x:v>0.25</x:v>
      </x:c>
      <x:c r="D278" s="20" t="n">
        <x:v>0.5</x:v>
      </x:c>
      <x:c r="E278" s="20" t="n">
        <x:v>0.25</x:v>
      </x:c>
      <x:c r="F278" s="18" t="n">
        <x:v>1</x:v>
      </x:c>
      <x:c r="G278" s="2"/>
      <x:c r="H278" s="2"/>
      <x:c r="I278" s="2"/>
      <x:c r="J278" s="2"/>
      <x:c r="K278" s="2"/>
      <x:c r="L278" s="2"/>
      <x:c r="M278" s="2"/>
      <x:c r="N278" s="2"/>
      <x:c r="O278" s="2"/>
    </x:row>
    <x:row r="279" ht="30" customHeight="1">
      <x:c r="A279" s="19" t="n">
        <x:v>4</x:v>
      </x:c>
      <x:c r="B279" s="19" t="str">
        <x:v>62052000</x:v>
      </x:c>
      <x:c r="C279" s="21" t="n">
        <x:v>0.25</x:v>
      </x:c>
      <x:c r="D279" s="21" t="n">
        <x:v>0.5</x:v>
      </x:c>
      <x:c r="E279" s="21" t="n">
        <x:v>0.25</x:v>
      </x:c>
      <x:c r="F279" s="19" t="n">
        <x:v>1</x:v>
      </x:c>
      <x:c r="G279" s="2"/>
      <x:c r="H279" s="2"/>
      <x:c r="I279" s="2"/>
      <x:c r="J279" s="2"/>
      <x:c r="K279" s="2"/>
      <x:c r="L279" s="2"/>
      <x:c r="M279" s="2"/>
      <x:c r="N279" s="2"/>
      <x:c r="O279" s="2"/>
    </x:row>
    <x:row r="280" ht="30" customHeight="1">
      <x:c r="A280" s="18" t="n">
        <x:v>5</x:v>
      </x:c>
      <x:c r="B280" s="18" t="str">
        <x:v>61091000</x:v>
      </x:c>
      <x:c r="C280" s="20" t="n">
        <x:v>0.5</x:v>
      </x:c>
      <x:c r="D280" s="20" t="n">
        <x:v>0.25</x:v>
      </x:c>
      <x:c r="E280" s="20" t="n">
        <x:v>0.25</x:v>
      </x:c>
      <x:c r="F280" s="18" t="n">
        <x:v>0</x:v>
      </x:c>
      <x:c r="G280" s="2"/>
      <x:c r="H280" s="2"/>
      <x:c r="I280" s="2"/>
      <x:c r="J280" s="2"/>
      <x:c r="K280" s="2"/>
      <x:c r="L280" s="2"/>
      <x:c r="M280" s="2"/>
      <x:c r="N280" s="2"/>
      <x:c r="O280" s="2"/>
    </x:row>
    <x:row r="281" ht="30" customHeight="1">
      <x:c r="A281" s="19" t="n">
        <x:v>5</x:v>
      </x:c>
      <x:c r="B281" s="19" t="str">
        <x:v>61103099</x:v>
      </x:c>
      <x:c r="C281" s="21" t="n">
        <x:v>0.5</x:v>
      </x:c>
      <x:c r="D281" s="21" t="n">
        <x:v>0.25</x:v>
      </x:c>
      <x:c r="E281" s="21" t="n">
        <x:v>0.25</x:v>
      </x:c>
      <x:c r="F281" s="19" t="n">
        <x:v>1</x:v>
      </x:c>
      <x:c r="G281" s="2"/>
      <x:c r="H281" s="2"/>
      <x:c r="I281" s="2"/>
      <x:c r="J281" s="2"/>
      <x:c r="K281" s="2"/>
      <x:c r="L281" s="2"/>
      <x:c r="M281" s="2"/>
      <x:c r="N281" s="2"/>
      <x:c r="O281" s="2"/>
    </x:row>
    <x:row r="282" ht="30" customHeight="1">
      <x:c r="A282" s="18" t="n">
        <x:v>5</x:v>
      </x:c>
      <x:c r="B282" s="18" t="str">
        <x:v>62044300</x:v>
      </x:c>
      <x:c r="C282" s="20" t="n">
        <x:v>0.5</x:v>
      </x:c>
      <x:c r="D282" s="20" t="n">
        <x:v>0.25</x:v>
      </x:c>
      <x:c r="E282" s="20" t="n">
        <x:v>0.25</x:v>
      </x:c>
      <x:c r="F282" s="18" t="n">
        <x:v>1</x:v>
      </x:c>
      <x:c r="G282" s="2"/>
      <x:c r="H282" s="2"/>
      <x:c r="I282" s="2"/>
      <x:c r="J282" s="2"/>
      <x:c r="K282" s="2"/>
      <x:c r="L282" s="2"/>
      <x:c r="M282" s="2"/>
      <x:c r="N282" s="2"/>
      <x:c r="O282" s="2"/>
    </x:row>
    <x:row r="283" ht="30" customHeight="1">
      <x:c r="A283" s="19" t="n">
        <x:v>5</x:v>
      </x:c>
      <x:c r="B283" s="19" t="str">
        <x:v>62052000</x:v>
      </x:c>
      <x:c r="C283" s="21" t="n">
        <x:v>0.5</x:v>
      </x:c>
      <x:c r="D283" s="21" t="n">
        <x:v>0.25</x:v>
      </x:c>
      <x:c r="E283" s="21" t="n">
        <x:v>0.25</x:v>
      </x:c>
      <x:c r="F283" s="19" t="n">
        <x:v>0</x:v>
      </x:c>
      <x:c r="G283" s="2"/>
      <x:c r="H283" s="2"/>
      <x:c r="I283" s="2"/>
      <x:c r="J283" s="2"/>
      <x:c r="K283" s="2"/>
      <x:c r="L283" s="2"/>
      <x:c r="M283" s="2"/>
      <x:c r="N283" s="2"/>
      <x:c r="O283" s="2"/>
    </x:row>
    <x:row r="284" ht="30" customHeight="1">
      <x:c r="A284" s="18" t="n">
        <x:v>6</x:v>
      </x:c>
      <x:c r="B284" s="18" t="str">
        <x:v>61091000</x:v>
      </x:c>
      <x:c r="C284" s="20" t="n">
        <x:v>0.5</x:v>
      </x:c>
      <x:c r="D284" s="20" t="n">
        <x:v>0.25</x:v>
      </x:c>
      <x:c r="E284" s="20" t="n">
        <x:v>0.25</x:v>
      </x:c>
      <x:c r="F284" s="18" t="n">
        <x:v>0</x:v>
      </x:c>
      <x:c r="G284" s="2"/>
      <x:c r="H284" s="2"/>
      <x:c r="I284" s="2"/>
      <x:c r="J284" s="2"/>
      <x:c r="K284" s="2"/>
      <x:c r="L284" s="2"/>
      <x:c r="M284" s="2"/>
      <x:c r="N284" s="2"/>
      <x:c r="O284" s="2"/>
    </x:row>
    <x:row r="285" ht="30" customHeight="1">
      <x:c r="A285" s="19" t="n">
        <x:v>6</x:v>
      </x:c>
      <x:c r="B285" s="19" t="str">
        <x:v>61103099</x:v>
      </x:c>
      <x:c r="C285" s="21" t="n">
        <x:v>0</x:v>
      </x:c>
      <x:c r="D285" s="21" t="n">
        <x:v>0.75</x:v>
      </x:c>
      <x:c r="E285" s="21" t="n">
        <x:v>0.25</x:v>
      </x:c>
      <x:c r="F285" s="19" t="n">
        <x:v>1</x:v>
      </x:c>
      <x:c r="G285" s="2"/>
      <x:c r="H285" s="2"/>
      <x:c r="I285" s="2"/>
      <x:c r="J285" s="2"/>
      <x:c r="K285" s="2"/>
      <x:c r="L285" s="2"/>
      <x:c r="M285" s="2"/>
      <x:c r="N285" s="2"/>
      <x:c r="O285" s="2"/>
    </x:row>
    <x:row r="286" ht="30" customHeight="1">
      <x:c r="A286" s="18" t="n">
        <x:v>6</x:v>
      </x:c>
      <x:c r="B286" s="18" t="str">
        <x:v>62044300</x:v>
      </x:c>
      <x:c r="C286" s="20" t="n">
        <x:v>0.5</x:v>
      </x:c>
      <x:c r="D286" s="20" t="n">
        <x:v>0.25</x:v>
      </x:c>
      <x:c r="E286" s="20" t="n">
        <x:v>0.25</x:v>
      </x:c>
      <x:c r="F286" s="18" t="n">
        <x:v>1</x:v>
      </x:c>
      <x:c r="G286" s="2"/>
      <x:c r="H286" s="2"/>
      <x:c r="I286" s="2"/>
      <x:c r="J286" s="2"/>
      <x:c r="K286" s="2"/>
      <x:c r="L286" s="2"/>
      <x:c r="M286" s="2"/>
      <x:c r="N286" s="2"/>
      <x:c r="O286" s="2"/>
    </x:row>
    <x:row r="287" ht="30" customHeight="1">
      <x:c r="A287" s="19" t="n">
        <x:v>6</x:v>
      </x:c>
      <x:c r="B287" s="19" t="str">
        <x:v>62052000</x:v>
      </x:c>
      <x:c r="C287" s="21" t="n">
        <x:v>0.5</x:v>
      </x:c>
      <x:c r="D287" s="21" t="n">
        <x:v>0.25</x:v>
      </x:c>
      <x:c r="E287" s="21" t="n">
        <x:v>0.25</x:v>
      </x:c>
      <x:c r="F287" s="19" t="n">
        <x:v>0</x:v>
      </x:c>
      <x:c r="G287" s="2"/>
      <x:c r="H287" s="2"/>
      <x:c r="I287" s="2"/>
      <x:c r="J287" s="2"/>
      <x:c r="K287" s="2"/>
      <x:c r="L287" s="2"/>
      <x:c r="M287" s="2"/>
      <x:c r="N287" s="2"/>
      <x:c r="O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</x:row>
    <x:row r="291" ht="22" customHeight="1">
      <x:c r="A291" s="28" t="str">
        <x:v>Source references</x:v>
      </x:c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</x:row>
    <x:row r="293" ht="23" customHeight="1">
      <x:c r="A293" s="2" t="str">
        <x:v>S01</x:v>
      </x:c>
      <x:c r="B293" s="30" t="str">
        <x:v>WP001-WP002 scope and historical boundary audit</x:v>
      </x:c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</x:row>
    <x:row r="294" ht="22" customHeight="1">
      <x:c r="A294" s="2" t="inlineStr">
        <x:is>
          <x:t>docs/Research_Question_and_Scope.md; docs/governance/Reporting_Boundaries.md</x:t>
        </x:is>
      </x:c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</x:row>
    <x:row r="295" ht="22" customHeight="1">
      <x:c r="A295" s="2" t="inlineStr">
        <x:is>
          <x:t>Original research question; disclosure-boundary finding; D010; selected analytical criteria and source references.</x:t>
        </x:is>
      </x:c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</x:row>
    <x:row r="296" ht="22" customHeight="1">
      <x:c r="A296" s="2" t="str">
        <x:v>Broader map context and documented scope pivot; no apparel spend allocation.</x:v>
      </x:c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</x:row>
    <x:row r="299" ht="23" customHeight="1">
      <x:c r="A299" s="2" t="str">
        <x:v>S02</x:v>
      </x:c>
      <x:c r="B299" s="30" t="str">
        <x:v>WP003 Tier 1 footprint</x:v>
      </x:c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</x:row>
    <x:row r="300" ht="22" customHeight="1">
      <x:c r="A300" s="2" t="str">
        <x:v>NEXT_WP003_Tier1_Supplier_Footprint_2026(2).xlsx</x:v>
      </x:c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</x:row>
    <x:row r="301" ht="22" customHeight="1">
      <x:c r="A301" s="2" t="str">
        <x:v>README; country_summary; site_master; supplier_group_master</x:v>
      </x:c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</x:row>
    <x:row r="302" ht="22" customHeight="1">
      <x:c r="A302" s="2" t="str">
        <x:v>February 2026 snapshot. Supplier labels are channels; sites/workers do not measure NEXT capacity.</x:v>
      </x:c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</x:row>
    <x:row r="305" ht="23" customHeight="1">
      <x:c r="A305" s="2" t="str">
        <x:v>S03</x:v>
      </x:c>
      <x:c r="B305" s="30" t="str">
        <x:v>WP004 category and policy lock</x:v>
      </x:c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</x:row>
    <x:row r="306" ht="22" customHeight="1">
      <x:c r="A306" s="2" t="str">
        <x:v>NEXT_WP004_Category_Tariff_Lock(3).xlsx</x:v>
      </x:c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</x:row>
    <x:row r="307" ht="22" customHeight="1">
      <x:c r="A307" s="2" t="str">
        <x:v>README B24:B45; Tariff_Matrix; Origin_Rules; Natural_Experiment; APPAREL_Scope_Check</x:v>
      </x:c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</x:row>
    <x:row r="308" ht="22" customHeight="1">
      <x:c r="A308" s="2" t="str">
        <x:v>Archived policy scenarios. Exact current entitlement must be checked before implementation.</x:v>
      </x:c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</x:row>
    <x:row r="311" ht="23" customHeight="1">
      <x:c r="A311" s="2" t="str">
        <x:v>S04</x:v>
      </x:c>
      <x:c r="B311" s="30" t="str">
        <x:v>WP005 governed observations through WP006</x:v>
      </x:c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</x:row>
    <x:row r="312" ht="22" customHeight="1">
      <x:c r="A312" s="2" t="str">
        <x:v>WP006_SQL_Core/Inputs/NEXT_WP005_HMRC_Monthly_Trade_Core4_10Partners_2019-01_to_2026-06.csv</x:v>
      </x:c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</x:row>
    <x:row r="313" ht="22" customHeight="1">
      <x:c r="A313" s="2" t="str">
        <x:v>Partner and World monthly fact CSVs; WP006 QC_SUMMARY</x:v>
      </x:c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</x:row>
    <x:row r="314" ht="22" customHeight="1">
      <x:c r="A314" s="2" t="str">
        <x:v>37 partner and 2 World REVIEW rows retained in the full archive. REVIEW is diagnostic, not proof of erroneous data.</x:v>
      </x:c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</x:row>
    <x:row r="317" ht="23" customHeight="1">
      <x:c r="A317" s="2" t="str">
        <x:v>S05</x:v>
      </x:c>
      <x:c r="B317" s="30" t="str">
        <x:v>WP006 reported trade and footprint exports</x:v>
      </x:c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</x:row>
    <x:row r="318" ht="22" customHeight="1">
      <x:c r="A318" s="2" t="str">
        <x:v>WP006_SQL_Core/Exports</x:v>
      </x:c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</x:row>
    <x:row r="319" ht="22" customHeight="1">
      <x:c r="A319" s="2" t="str">
        <x:v>NEXT_WP006_partner_trade_period_reported.csv; NEXT_WP006_partner_trade_period_growth_reported.csv; footprint exports</x:v>
      </x:c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</x:row>
    <x:row r="320" ht="22" customHeight="1">
      <x:c r="A320" s="2" t="str">
        <x:v>H1 comparisons pair January-June periods. Partner denotes dispatch, not proven manufacturing origin.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</x:row>
    <x:row r="323" ht="23" customHeight="1">
      <x:c r="A323" s="2" t="str">
        <x:v>S06</x:v>
      </x:c>
      <x:c r="B323" s="30" t="str">
        <x:v>WP007 responsible-sourcing framework</x:v>
      </x:c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</x:row>
    <x:row r="324" ht="22" customHeight="1">
      <x:c r="A324" s="2" t="str">
        <x:v>NEXT_WP007_Responsible_Sourcing_Gates_v1.0(1).xlsx</x:v>
      </x:c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</x:row>
    <x:row r="325" ht="22" customHeight="1">
      <x:c r="A325" s="2" t="str">
        <x:v>Gate_Matrix RS01-RS08 and rules; Site_Review; Evidence; QC_Checks</x:v>
      </x:c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</x:row>
    <x:row r="326" ht="22" customHeight="1">
      <x:c r="A326" s="2" t="str">
        <x:v>16 annotation reviews Pending. D008/D020 exclude Myanmar from actionable additional allocation. SC is undefined.</x:v>
      </x:c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</x:row>
    <x:row r="329" ht="23" customHeight="1">
      <x:c r="A329" s="2" t="str">
        <x:v>S07</x:v>
      </x:c>
      <x:c r="B329" s="30" t="str">
        <x:v>WP008 illustrative allocation model</x:v>
      </x:c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</x:row>
    <x:row r="330" ht="22" customHeight="1">
      <x:c r="A330" s="2" t="str">
        <x:v>NEXT_WP008_Cost_and_Sourcing_Scenarios_v1.1.xlsx</x:v>
      </x:c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</x:row>
    <x:row r="331" ht="22" customHeight="1">
      <x:c r="A331" s="2" t="str">
        <x:v>Summary; Assumptions; Cost_Model; Candidate_Gates; QC_Checks</x:v>
      </x:c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</x:row>
    <x:row r="332" ht="22" customHeight="1">
      <x:c r="A332" s="2" t="str">
        <x:v>FY2025 ten-country mass baseline; default 50/25/25 India/Turkey/Vietnam mix; proxy constraints.</x:v>
      </x:c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</x:row>
    <x:row r="335" ht="23" customHeight="1">
      <x:c r="A335" s="2" t="str">
        <x:v>S08</x:v>
      </x:c>
      <x:c r="B335" s="30" t="str">
        <x:v>WP009 sensitivity and break-even analysis</x:v>
      </x:c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</x:row>
    <x:row r="336" ht="22" customHeight="1">
      <x:c r="A336" s="2" t="str">
        <x:v>NEXT_WP009_Sensitivity_and_Break_Even_v1.1.xlsx</x:v>
      </x:c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</x:row>
    <x:row r="337" ht="22" customHeight="1">
      <x:c r="A337" s="2" t="str">
        <x:v>Sensitivity A7:L32 and A58:F161; Source_Data; Model A52:T55; Break_Even; ReadMe; QC_Checks</x:v>
      </x:c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</x:row>
    <x:row r="338" ht="22" customHeight="1">
      <x:c r="A338" s="2" t="str">
        <x:v>26 saved cases. All 37 default QC checks pass. WP010 recounts saved outputs and traces inputs; it does not replace the model.</x:v>
      </x:c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</x:row>
    <x:row r="341" ht="23" customHeight="1">
      <x:c r="A341" s="2" t="str">
        <x:v>S09</x:v>
      </x:c>
      <x:c r="B341" s="30" t="str">
        <x:v>Official preference transition guidance</x:v>
      </x:c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</x:row>
    <x:row r="342" ht="22" customHeight="1">
      <x:c r="A342" s="2" t="str">
        <x:v>https://www.gov.uk/guidance/preference-tiers-under-the-developing-countries-trading-scheme</x:v>
      </x:c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</x:row>
    <x:row r="343" ht="22" customHeight="1">
      <x:c r="A343" s="2" t="str">
        <x:v>Section 3, Graduation from Comprehensive Preferences to Enhanced Preferences; accessed 19 September 2026</x:v>
      </x:c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</x:row>
    <x:row r="344" ht="22" customHeight="1">
      <x:c r="A344" s="2" t="str">
        <x:v>Three-year transition after LDC graduation. A future selected-code rate must be checked, not presumed.</x:v>
      </x:c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</x:row>
    <x:row r="347" ht="23" customHeight="1">
      <x:c r="A347" s="2" t="str">
        <x:v>S10</x:v>
      </x:c>
      <x:c r="B347" s="30" t="str">
        <x:v>Official CETA conditional tariff and origin rules</x:v>
      </x:c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</x:row>
    <x:row r="348" ht="22" customHeight="1">
      <x:c r="A348" s="2" t="str">
        <x:v>https://assets.publishing.service.gov.uk/media/687f692d92957f2ec567c6ad/uk_india_ceta_annex2a_schedules_tariff_commitments_for_goods.pdf</x:v>
      </x:c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</x:row>
    <x:row r="349" ht="22" customHeight="1">
      <x:c r="A349" s="2" t="str">
        <x:v>Annex 2A; Annex 3A product-specific origin rules; accessed 19 September 2026</x:v>
      </x:c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</x:row>
    <x:row r="350" ht="22" customHeight="1">
      <x:c r="A350" s="2" t="str">
        <x:v>Tariff commitments concern originating goods. WP010 retains the WP004 policy snapshot rather than refreshing legal rates.</x:v>
      </x:c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</x:row>
    <x:row r="351" ht="22" customHeight="1">
      <x:c r="A351" s="2" t="str">
        <x:v>https://assets.publishing.service.gov.uk/media/687e5e378adf4250705c96db/uk_india_ceta_annex3a_product_specific_rules_of_origin.pdf</x:v>
      </x:c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</x:row>
    <x:row r="355" ht="22" customHeight="1">
      <x:c r="A355" s="28" t="inlineStr">
        <x:is>
          <x:t>Original analytical input fingerprints (publication files have separate checksums)</x:t>
        </x:is>
      </x:c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</x:row>
    <x:row r="357" ht="2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</x:row>
    <x:row r="358" ht="2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</x:row>
    <x:row r="360" ht="22" customHeight="1">
      <x:c r="A360" s="2" t="str">
        <x:v>WP003: NEXT_WP003_Tier1_Supplier_Footprint_2026(2).xlsx</x:v>
      </x:c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</x:row>
    <x:row r="361" ht="22" customHeight="1">
      <x:c r="A361" s="2" t="str">
        <x:v>SHA-256 722b221dc8fe64ac31370bdf7f5ec2c6a044897b2e730af5c3f2f2ec12d5d3b7</x:v>
      </x:c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</x:row>
    <x:row r="363" ht="22" customHeight="1">
      <x:c r="A363" s="2" t="str">
        <x:v>WP004: NEXT_WP004_Category_Tariff_Lock(3).xlsx</x:v>
      </x:c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</x:row>
    <x:row r="364" ht="22" customHeight="1">
      <x:c r="A364" s="2" t="str">
        <x:v>SHA-256 aa28f52502238423abb51b02c7eb1fcb256964ed4256231d5fe9ba1342c6b24d</x:v>
      </x:c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</x:row>
    <x:row r="366" ht="22" customHeight="1">
      <x:c r="A366" s="2" t="str">
        <x:v>WP007: NEXT_WP007_Responsible_Sourcing_Gates_v1.0(1).xlsx</x:v>
      </x:c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</x:row>
    <x:row r="367" ht="22" customHeight="1">
      <x:c r="A367" s="2" t="str">
        <x:v>SHA-256 4df2f2a706f61877f7c95f710dd267499cdc3ff1825d3887b2489491849542ef</x:v>
      </x:c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</x:row>
    <x:row r="369" ht="22" customHeight="1">
      <x:c r="A369" s="2" t="str">
        <x:v>WP008: NEXT_WP008_Cost_and_Sourcing_Scenarios_v1.1.xlsx</x:v>
      </x:c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</x:row>
    <x:row r="370" ht="22" customHeight="1">
      <x:c r="A370" s="2" t="str">
        <x:v>SHA-256 016f8e28355a37d75a1646c284bcf982cdfa9af0786f6391e491c63d6fe49708</x:v>
      </x:c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</x:row>
    <x:row r="372" ht="22" customHeight="1">
      <x:c r="A372" s="2" t="str">
        <x:v>WP009: NEXT_WP009_Sensitivity_and_Break_Even_v1.1.xlsx</x:v>
      </x:c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</x:row>
    <x:row r="373" ht="22" customHeight="1">
      <x:c r="A373" s="2" t="str">
        <x:v>SHA-256 6058ea9d1b444e166eefcc5ee52c4991c7aff85e1de50a6ef3f5d4db903c40bf</x:v>
      </x:c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</x:row>
    <x:row r="377" ht="24" customHeight="1">
      <x:c r="A377" s="37" t="str">
        <x:v>Governed question and shared scenario limits</x:v>
      </x:c>
      <x:c r="B377" s="37"/>
      <x:c r="C377" s="37"/>
      <x:c r="D377" s="37"/>
      <x:c r="E377" s="37"/>
      <x:c r="F377" s="37"/>
      <x:c r="G377" s="37"/>
      <x:c r="H377" s="37"/>
      <x:c r="I377" s="37"/>
      <x:c r="J377" s="37"/>
      <x:c r="K377" s="37"/>
      <x:c r="L377" s="37"/>
      <x:c r="M377" s="37"/>
      <x:c r="N377" s="37"/>
      <x:c r="O377" s="37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</x:row>
    <x:row r="379" ht="48" customHeight="1">
      <x:c r="A379" s="37" t="str">
        <x:v>Should NEXT rebalance its disclosed sourcing footprint following the 2026 changes in relative UK trade treatment-and, for the selected apparel category, which country alternatives are most attractive, by how much, and under what conditions?</x:v>
      </x:c>
      <x:c r="B379" s="37"/>
      <x:c r="C379" s="37"/>
      <x:c r="D379" s="37"/>
      <x:c r="E379" s="37"/>
      <x:c r="F379" s="37"/>
      <x:c r="G379" s="37"/>
      <x:c r="H379" s="37"/>
      <x:c r="I379" s="37"/>
      <x:c r="J379" s="37"/>
      <x:c r="K379" s="37"/>
      <x:c r="L379" s="37"/>
      <x:c r="M379" s="37"/>
      <x:c r="N379" s="37"/>
      <x:c r="O379" s="37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</x:row>
    <x:row r="381" ht="32" customHeight="1">
      <x:c r="A381" s="37" t="inlineStr">
        <x:is>
          <x:t>S01. Original research question reproduced in docs/Research_Question_and_Scope.md. The 73% disclosure has a mixed brand and supplier-tier sourcing-map boundary.</x:t>
        </x:is>
      </x:c>
      <x:c r="B381" s="37"/>
      <x:c r="C381" s="37"/>
      <x:c r="D381" s="37"/>
      <x:c r="E381" s="37"/>
      <x:c r="F381" s="37"/>
      <x:c r="G381" s="37"/>
      <x:c r="H381" s="37"/>
      <x:c r="I381" s="37"/>
      <x:c r="J381" s="37"/>
      <x:c r="K381" s="37"/>
      <x:c r="L381" s="37"/>
      <x:c r="M381" s="37"/>
      <x:c r="N381" s="37"/>
      <x:c r="O381" s="37"/>
    </x:row>
    <x:row r="383" ht="42" customHeight="1">
      <x:c r="A383" s="39" t="str">
        <x:v>Recipient ceiling</x:v>
      </x:c>
      <x:c r="B383" s="40" t="n">
        <x:v>0.35</x:v>
      </x:c>
      <x:c r="C383" s="39" t="str">
        <x:v>Addition cap</x:v>
      </x:c>
      <x:c r="D383" s="40" t="n">
        <x:v>0.1</x:v>
      </x:c>
      <x:c r="E383" s="39" t="str">
        <x:v>Growth multiple</x:v>
      </x:c>
      <x:c r="F383" s="41" t="n">
        <x:v>3</x:v>
      </x:c>
      <x:c r="G383" s="39" t="str">
        <x:v>Scenario source</x:v>
      </x:c>
      <x:c r="H383" s="39" t="str">
        <x:v>S07 / S08 / D021</x:v>
      </x:c>
    </x:row>
    <x:row r="385" ht="34" customHeight="1">
      <x:c r="A385" s="37" t="str">
        <x:v>Proxy limits constrain illustrative transfers. They are not verified capacity. Headroom calculations in Category_Decisions use this snapshot and the saved mix definitions.</x:v>
      </x:c>
      <x:c r="B385" s="37"/>
      <x:c r="C385" s="37"/>
      <x:c r="D385" s="37"/>
      <x:c r="E385" s="37"/>
      <x:c r="F385" s="37"/>
      <x:c r="G385" s="37"/>
      <x:c r="H385" s="37"/>
      <x:c r="I385" s="37"/>
      <x:c r="J385" s="37"/>
      <x:c r="K385" s="37"/>
      <x:c r="L385" s="37"/>
      <x:c r="M385" s="37"/>
      <x:c r="N385" s="37"/>
      <x:c r="O385" s="37"/>
    </x:row>
    <x:row r="387" ht="24" customHeight="1">
      <x:c r="A387" s="37" t="str">
        <x:v>WP004 comparison design</x:v>
      </x:c>
      <x:c r="B387" s="37"/>
      <x:c r="C387" s="37"/>
      <x:c r="D387" s="37"/>
      <x:c r="E387" s="37"/>
      <x:c r="F387" s="37"/>
      <x:c r="G387" s="37"/>
      <x:c r="H387" s="37"/>
      <x:c r="I387" s="37"/>
      <x:c r="J387" s="37"/>
      <x:c r="K387" s="37"/>
      <x:c r="L387" s="37"/>
      <x:c r="M387" s="37"/>
      <x:c r="N387" s="37"/>
      <x:c r="O387" s="37"/>
    </x:row>
    <x:row r="389" ht="54" customHeight="1">
      <x:c r="A389" s="37" t="str">
        <x:v>S03 Natural_Experiment. India HS62-minus-HS61 mass growth is +17.4pp; Cambodia +13.5pp and Pakistan +43.7pp undermine simple policy-specific attribution. Vietnam +47.5pp is a qualified comparison because UKVFTA staging continued on some lines. No causal tariff effect is identified by this design.</x:v>
      </x:c>
      <x:c r="B389" s="37"/>
      <x:c r="C389" s="37"/>
      <x:c r="D389" s="37"/>
      <x:c r="E389" s="37"/>
      <x:c r="F389" s="37"/>
      <x:c r="G389" s="37"/>
      <x:c r="H389" s="37"/>
      <x:c r="I389" s="37"/>
      <x:c r="J389" s="37"/>
      <x:c r="K389" s="37"/>
      <x:c r="L389" s="37"/>
      <x:c r="M389" s="37"/>
      <x:c r="N389" s="37"/>
      <x:c r="O389" s="37"/>
    </x:row>
  </x:sheetData>
  <x:mergeCells>
    <x:mergeCell ref="A377:O377"/>
    <x:mergeCell ref="A379:O379"/>
    <x:mergeCell ref="A381:O381"/>
    <x:mergeCell ref="A385:O385"/>
    <x:mergeCell ref="A387:O387"/>
    <x:mergeCell ref="A389:O38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40" hidden="0" customWidth="1"/>
    <x:col min="3" max="3" width="15.5600004196167" hidden="0" customWidth="1"/>
    <x:col min="4" max="4" width="15.5600004196167" hidden="0" customWidth="1"/>
    <x:col min="5" max="5" width="18.889999389648438" hidden="0" customWidth="1"/>
    <x:col min="6" max="6" width="46.66999816894531" hidden="0" customWidth="1"/>
    <x:col min="9" max="9" width="23" hidden="0" customWidth="1"/>
    <x:col min="10" max="10" width="22" hidden="0" customWidth="1"/>
    <x:col min="11" max="11" width="22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WP010 evidence checks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2" customHeight="1">
      <x:c r="A4" s="2" t="str">
        <x:v>Checks validate this synthesis snapshot. They do not certify suppliers or replace the WP009 model controls.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2" customHeight="1">
      <x:c r="A6" s="15" t="str">
        <x:v>Check</x:v>
      </x:c>
      <x:c r="B6" s="16" t="str">
        <x:v>Test</x:v>
      </x:c>
      <x:c r="C6" s="16" t="str">
        <x:v>Actual</x:v>
      </x:c>
      <x:c r="D6" s="16" t="str">
        <x:v>Expected</x:v>
      </x:c>
      <x:c r="E6" s="16" t="str">
        <x:v>Result</x:v>
      </x:c>
      <x:c r="F6" s="17" t="str">
        <x:v>Meaning</x:v>
      </x:c>
      <x:c r="I6" s="63" t="str">
        <x:v>Comparison</x:v>
      </x:c>
      <x:c r="J6" s="63" t="str">
        <x:v>Independent headroom</x:v>
      </x:c>
      <x:c r="K6" s="63" t="str">
        <x:v>Independent premium</x:v>
      </x:c>
    </x:row>
    <x:row r="7" ht="30" customHeight="1">
      <x:c r="A7" s="18" t="str">
        <x:v>Q01</x:v>
      </x:c>
      <x:c r="B7" s="18" t="str">
        <x:v>Category detail rows</x:v>
      </x:c>
      <x:c r="C7" s="18" t="n">
        <x:f>COUNTA('Evidence'!A22:A125)</x:f>
        <x:v>104</x:v>
      </x:c>
      <x:c r="D7" s="18" t="n">
        <x:v>104</x:v>
      </x:c>
      <x:c r="E7" s="33" t="str">
        <x:f>IF(ABS(C7-D7)&lt;0.000000001,"PASS","FAIL")</x:f>
        <x:v>PASS</x:v>
      </x:c>
      <x:c r="F7" s="18" t="str">
        <x:v>S08 category outputs</x:v>
      </x:c>
      <x:c r="I7" s="39" t="str">
        <x:v>61103099 case 8</x:v>
      </x:c>
      <x:c r="J7" s="64" t="n">
        <x:v>11.588278447819379</x:v>
      </x:c>
      <x:c r="K7" s="40" t="n">
        <x:v>1.5404275846354545</x:v>
      </x:c>
    </x:row>
    <x:row r="8" ht="30" customHeight="1">
      <x:c r="A8" s="19" t="str">
        <x:v>Q02</x:v>
      </x:c>
      <x:c r="B8" s="19" t="str">
        <x:v>Case basket rows</x:v>
      </x:c>
      <x:c r="C8" s="19" t="n">
        <x:f>COUNTA('Evidence'!A132:A157)</x:f>
        <x:v>26</x:v>
      </x:c>
      <x:c r="D8" s="19" t="n">
        <x:v>26</x:v>
      </x:c>
      <x:c r="E8" s="34" t="str">
        <x:f>IF(ABS(C8-D8)&lt;0.000000001,"PASS","FAIL")</x:f>
        <x:v>PASS</x:v>
      </x:c>
      <x:c r="F8" s="19" t="str">
        <x:v>S08 basket outputs</x:v>
      </x:c>
      <x:c r="I8" s="39" t="str">
        <x:v>61103099 case 25</x:v>
      </x:c>
      <x:c r="J8" s="64" t="n">
        <x:v>6.4683137901744825</x:v>
      </x:c>
      <x:c r="K8" s="40" t="n">
        <x:v>0.5360382972989104</x:v>
      </x:c>
    </x:row>
    <x:row r="9" ht="30" customHeight="1">
      <x:c r="A9" s="18" t="str">
        <x:v>Q03</x:v>
      </x:c>
      <x:c r="B9" s="18" t="str">
        <x:v>Country-code rows</x:v>
      </x:c>
      <x:c r="C9" s="18" t="n">
        <x:f>COUNTA('Evidence'!A170:A209)</x:f>
        <x:v>40</x:v>
      </x:c>
      <x:c r="D9" s="18" t="n">
        <x:v>40</x:v>
      </x:c>
      <x:c r="E9" s="33" t="str">
        <x:f>IF(ABS(C9-D9)&lt;0.000000001,"PASS","FAIL")</x:f>
        <x:v>PASS</x:v>
      </x:c>
      <x:c r="F9" s="18" t="str">
        <x:v>S05/S08 country evidence</x:v>
      </x:c>
      <x:c r="I9" s="39" t="str">
        <x:v>61103099 case 11</x:v>
      </x:c>
      <x:c r="J9" s="64" t="n">
        <x:v>8.799811924815977</x:v>
      </x:c>
      <x:c r="K9" s="40" t="n">
        <x:v>0.8534198693156416</x:v>
      </x:c>
    </x:row>
    <x:row r="10" ht="30" customHeight="1">
      <x:c r="A10" s="19" t="str">
        <x:v>Q04</x:v>
      </x:c>
      <x:c r="B10" s="19" t="str">
        <x:v>Equal-weight negative cases</x:v>
      </x:c>
      <x:c r="C10" s="19" t="n">
        <x:f>COUNTIF('Evidence'!C132:C157,"&lt;0")</x:f>
        <x:v>10</x:v>
      </x:c>
      <x:c r="D10" s="19" t="n">
        <x:v>10</x:v>
      </x:c>
      <x:c r="E10" s="34" t="str">
        <x:f>IF(ABS(C10-D10)&lt;0.000000001,"PASS","FAIL")</x:f>
        <x:v>PASS</x:v>
      </x:c>
      <x:c r="F10" s="19" t="str">
        <x:v>Independent recount of saved case values</x:v>
      </x:c>
      <x:c r="I10" s="39" t="str">
        <x:v>61103099 case 26</x:v>
      </x:c>
      <x:c r="J10" s="64" t="n">
        <x:v>1.6908972147255383</x:v>
      </x:c>
      <x:c r="K10" s="40" t="n">
        <x:v>0.10038391698817126</x:v>
      </x:c>
    </x:row>
    <x:row r="11" ht="30" customHeight="1">
      <x:c r="A11" s="18" t="str">
        <x:v>Q05</x:v>
      </x:c>
      <x:c r="B11" s="18" t="str">
        <x:v>Value-weight negative cases</x:v>
      </x:c>
      <x:c r="C11" s="18" t="n">
        <x:f>COUNTIF('Evidence'!D132:D157,"&lt;0")</x:f>
        <x:v>17</x:v>
      </x:c>
      <x:c r="D11" s="18" t="n">
        <x:v>17</x:v>
      </x:c>
      <x:c r="E11" s="33" t="str">
        <x:f>IF(ABS(C11-D11)&lt;0.000000001,"PASS","FAIL")</x:f>
        <x:v>PASS</x:v>
      </x:c>
      <x:c r="F11" s="18" t="str">
        <x:v>Independent recount of saved case values</x:v>
      </x:c>
      <x:c r="I11" s="39" t="str">
        <x:v>61103099 case 24</x:v>
      </x:c>
      <x:c r="J11" s="64" t="n">
        <x:v>7.562463851557844</x:v>
      </x:c>
      <x:c r="K11" s="40" t="n">
        <x:v>0.6548391690318229</x:v>
      </x:c>
    </x:row>
    <x:row r="12" ht="30" customHeight="1">
      <x:c r="A12" s="19" t="str">
        <x:v>Q06</x:v>
      </x:c>
      <x:c r="B12" s="19" t="str">
        <x:v>Weighting sign disagreements</x:v>
      </x:c>
      <x:c r="C12" s="19" t="n">
        <x:f>SUMPRODUCT(--('Evidence'!C132:C157*'Evidence'!D132:D157&lt;0))</x:f>
        <x:v>7</x:v>
      </x:c>
      <x:c r="D12" s="19" t="n">
        <x:v>7</x:v>
      </x:c>
      <x:c r="E12" s="34" t="str">
        <x:f>IF(ABS(C12-D12)&lt;0.000000001,"PASS","FAIL")</x:f>
        <x:v>PASS</x:v>
      </x:c>
      <x:c r="F12" s="19" t="str">
        <x:v>Signs differ within the same case</x:v>
      </x:c>
      <x:c r="I12" s="39" t="str">
        <x:v>61103099 case 1</x:v>
      </x:c>
      <x:c r="J12" s="64" t="n">
        <x:v>4.536960287859991</x:v>
      </x:c>
      <x:c r="K12" s="40" t="n">
        <x:v>0.31130325554319377</x:v>
      </x:c>
    </x:row>
    <x:row r="13" ht="30" customHeight="1">
      <x:c r="A13" s="18" t="str">
        <x:v>Q07</x:v>
      </x:c>
      <x:c r="B13" s="18" t="str">
        <x:v>Knitwear lower-cost cases</x:v>
      </x:c>
      <x:c r="C13" s="18" t="n">
        <x:f>'Recommendation'!B12</x:f>
        <x:v>24</x:v>
      </x:c>
      <x:c r="D13" s="18" t="n">
        <x:v>24</x:v>
      </x:c>
      <x:c r="E13" s="33" t="str">
        <x:f>IF(ABS(C13-D13)&lt;0.000000001,"PASS","FAIL")</x:f>
        <x:v>PASS</x:v>
      </x:c>
      <x:c r="F13" s="18" t="str">
        <x:v>Category total</x:v>
      </x:c>
      <x:c r="I13" s="39" t="str">
        <x:v>61103099 case 16</x:v>
      </x:c>
      <x:c r="J13" s="64" t="n">
        <x:v>-0.24937190910919327</x:v>
      </x:c>
      <x:c r="K13" s="40" t="n">
        <x:v>-0.013275356721180905</x:v>
      </x:c>
    </x:row>
    <x:row r="14" ht="30" customHeight="1">
      <x:c r="A14" s="19" t="str">
        <x:v>Q08</x:v>
      </x:c>
      <x:c r="B14" s="19" t="str">
        <x:v>Dresses lower-cost cases</x:v>
      </x:c>
      <x:c r="C14" s="19" t="n">
        <x:f>'Recommendation'!B13</x:f>
        <x:v>21</x:v>
      </x:c>
      <x:c r="D14" s="19" t="n">
        <x:v>21</x:v>
      </x:c>
      <x:c r="E14" s="34" t="str">
        <x:f>IF(ABS(C14-D14)&lt;0.000000001,"PASS","FAIL")</x:f>
        <x:v>PASS</x:v>
      </x:c>
      <x:c r="F14" s="19" t="str">
        <x:v>Category total</x:v>
      </x:c>
      <x:c r="I14" s="39" t="str">
        <x:v>62044300 case 1</x:v>
      </x:c>
      <x:c r="J14" s="64" t="n">
        <x:v>1.3510196663815073</x:v>
      </x:c>
      <x:c r="K14" s="40" t="n">
        <x:v>0.04562096140806192</x:v>
      </x:c>
    </x:row>
    <x:row r="15" ht="30" customHeight="1">
      <x:c r="A15" s="18" t="str">
        <x:v>Q09</x:v>
      </x:c>
      <x:c r="B15" s="18" t="str">
        <x:v>Cotton T-shirt HHI increases</x:v>
      </x:c>
      <x:c r="C15" s="18" t="n">
        <x:f>'Recommendation'!H14</x:f>
        <x:v>22</x:v>
      </x:c>
      <x:c r="D15" s="18" t="n">
        <x:v>22</x:v>
      </x:c>
      <x:c r="E15" s="33" t="str">
        <x:f>IF(ABS(C15-D15)&lt;0.000000001,"PASS","FAIL")</x:f>
        <x:v>PASS</x:v>
      </x:c>
      <x:c r="F15" s="18" t="str">
        <x:v>Active cases</x:v>
      </x:c>
      <x:c r="I15" s="39" t="str">
        <x:v>62044300 case 16</x:v>
      </x:c>
      <x:c r="J15" s="64" t="n">
        <x:v>1.3510196663815073</x:v>
      </x:c>
      <x:c r="K15" s="40" t="n">
        <x:v>0.04562096140806192</x:v>
      </x:c>
    </x:row>
    <x:row r="16" ht="30" customHeight="1">
      <x:c r="A16" s="19" t="str">
        <x:v>Q10</x:v>
      </x:c>
      <x:c r="B16" s="19" t="str">
        <x:v>Cotton-shirt cost increases</x:v>
      </x:c>
      <x:c r="C16" s="19" t="n">
        <x:f>'Recommendation'!C15</x:f>
        <x:v>22</x:v>
      </x:c>
      <x:c r="D16" s="19" t="n">
        <x:v>22</x:v>
      </x:c>
      <x:c r="E16" s="34" t="str">
        <x:f>IF(ABS(C16-D16)&lt;0.000000001,"PASS","FAIL")</x:f>
        <x:v>PASS</x:v>
      </x:c>
      <x:c r="F16" s="19" t="str">
        <x:v>Active cases</x:v>
      </x:c>
    </x:row>
    <x:row r="17" ht="30" customHeight="1">
      <x:c r="A17" s="18" t="str">
        <x:v>Q11</x:v>
      </x:c>
      <x:c r="B17" s="18" t="str">
        <x:v>Cotton-shirt HHI increases</x:v>
      </x:c>
      <x:c r="C17" s="18" t="n">
        <x:f>'Recommendation'!H15</x:f>
        <x:v>22</x:v>
      </x:c>
      <x:c r="D17" s="18" t="n">
        <x:v>22</x:v>
      </x:c>
      <x:c r="E17" s="33" t="str">
        <x:f>IF(ABS(C17-D17)&lt;0.000000001,"PASS","FAIL")</x:f>
        <x:v>PASS</x:v>
      </x:c>
      <x:c r="F17" s="18" t="str">
        <x:v>Active cases</x:v>
      </x:c>
    </x:row>
    <x:row r="18" ht="30" customHeight="1">
      <x:c r="A18" s="19" t="str">
        <x:v>Q12</x:v>
      </x:c>
      <x:c r="B18" s="19" t="str">
        <x:v>Each category totals 26 cases</x:v>
      </x:c>
      <x:c r="C18" s="19" t="n">
        <x:f>SUMPRODUCT(--(('Recommendation'!B12:B15+'Recommendation'!C12:C15+'Recommendation'!D12:D15)=26))</x:f>
        <x:v>4</x:v>
      </x:c>
      <x:c r="D18" s="19" t="n">
        <x:v>4</x:v>
      </x:c>
      <x:c r="E18" s="34" t="str">
        <x:f>IF(ABS(C18-D18)&lt;0.000000001,"PASS","FAIL")</x:f>
        <x:v>PASS</x:v>
      </x:c>
      <x:c r="F18" s="19" t="str">
        <x:v>All categories have 26 results</x:v>
      </x:c>
    </x:row>
    <x:row r="19" ht="30" customHeight="1">
      <x:c r="A19" s="18" t="str">
        <x:v>Q13</x:v>
      </x:c>
      <x:c r="B19" s="18" t="str">
        <x:v>FY2025 value weights sum</x:v>
      </x:c>
      <x:c r="C19" s="18" t="n">
        <x:f>SUM('Evidence'!M10:M13)</x:f>
        <x:v>1</x:v>
      </x:c>
      <x:c r="D19" s="18" t="n">
        <x:v>1</x:v>
      </x:c>
      <x:c r="E19" s="33" t="str">
        <x:f>IF(ABS(C19-D19)&lt;0.000000001,"PASS","FAIL")</x:f>
        <x:v>PASS</x:v>
      </x:c>
      <x:c r="F19" s="18" t="str">
        <x:v>World value weights</x:v>
      </x:c>
    </x:row>
    <x:row r="20" ht="30" customHeight="1">
      <x:c r="A20" s="19" t="str">
        <x:v>Q14</x:v>
      </x:c>
      <x:c r="B20" s="19" t="str">
        <x:v>Category decisions</x:v>
      </x:c>
      <x:c r="C20" s="19" t="n">
        <x:f>COUNTA('Category_Decisions'!A7:A10)</x:f>
        <x:v>4</x:v>
      </x:c>
      <x:c r="D20" s="19" t="n">
        <x:v>4</x:v>
      </x:c>
      <x:c r="E20" s="34" t="str">
        <x:f>IF(ABS(C20-D20)&lt;0.000000001,"PASS","FAIL")</x:f>
        <x:v>PASS</x:v>
      </x:c>
      <x:c r="F20" s="19" t="str">
        <x:v>One decision per locked CN8</x:v>
      </x:c>
    </x:row>
    <x:row r="21" ht="30" customHeight="1">
      <x:c r="A21" s="18" t="str">
        <x:v>Q15</x:v>
      </x:c>
      <x:c r="B21" s="18" t="str">
        <x:v>Question coverage</x:v>
      </x:c>
      <x:c r="C21" s="18" t="n">
        <x:f>COUNTA('Question_Map'!A7:A38)</x:f>
        <x:v>32</x:v>
      </x:c>
      <x:c r="D21" s="18" t="n">
        <x:v>32</x:v>
      </x:c>
      <x:c r="E21" s="33" t="str">
        <x:f>IF(ABS(C21-D21)&lt;0.000000001,"PASS","FAIL")</x:f>
        <x:v>PASS</x:v>
      </x:c>
      <x:c r="F21" s="18" t="str">
        <x:v>All Issue Tree questions represented</x:v>
      </x:c>
    </x:row>
    <x:row r="22" ht="30" customHeight="1">
      <x:c r="A22" s="19" t="str">
        <x:v>Q16</x:v>
      </x:c>
      <x:c r="B22" s="19" t="str">
        <x:v>Default shirt headroom identity</x:v>
      </x:c>
      <x:c r="C22" s="19" t="n">
        <x:f>ABS('Evidence'!I13-'Evidence'!J13-'Evidence'!G13)</x:f>
        <x:v>0</x:v>
      </x:c>
      <x:c r="D22" s="19" t="n">
        <x:v>0</x:v>
      </x:c>
      <x:c r="E22" s="34" t="str">
        <x:f>IF(ABS(C22-D22)&lt;0.000000001,"PASS","FAIL")</x:f>
        <x:v>PASS</x:v>
      </x:c>
      <x:c r="F22" s="19" t="str">
        <x:v>China duty cost minus receiver duty cost</x:v>
      </x:c>
    </x:row>
    <x:row r="23" ht="30" customHeight="1">
      <x:c r="A23" s="18" t="str">
        <x:v>Q17</x:v>
      </x:c>
      <x:c r="B23" s="18" t="str">
        <x:v>Default equal basket tie-out</x:v>
      </x:c>
      <x:c r="C23" s="18" t="n">
        <x:f>ABS(AVERAGE('Evidence'!E10:E13)-'Evidence'!C132)</x:f>
        <x:v>0</x:v>
      </x:c>
      <x:c r="D23" s="18" t="n">
        <x:v>0</x:v>
      </x:c>
      <x:c r="E23" s="33" t="str">
        <x:f>IF(ABS(C23-D23)&lt;0.000000001,"PASS","FAIL")</x:f>
        <x:v>PASS</x:v>
      </x:c>
      <x:c r="F23" s="18" t="str">
        <x:v>Default category costs versus saved basket</x:v>
      </x:c>
    </x:row>
    <x:row r="24" ht="30" customHeight="1">
      <x:c r="A24" s="19" t="str">
        <x:v>Q18</x:v>
      </x:c>
      <x:c r="B24" s="19" t="str">
        <x:v>Default value basket tie-out</x:v>
      </x:c>
      <x:c r="C24" s="19" t="n">
        <x:f>ABS(SUMPRODUCT('Evidence'!E10:E13,'Evidence'!M10:M13)-'Evidence'!D132)</x:f>
        <x:v>0</x:v>
      </x:c>
      <x:c r="D24" s="19" t="n">
        <x:v>0</x:v>
      </x:c>
      <x:c r="E24" s="34" t="str">
        <x:f>IF(ABS(C24-D24)&lt;0.000000001,"PASS","FAIL")</x:f>
        <x:v>PASS</x:v>
      </x:c>
      <x:c r="F24" s="19" t="str">
        <x:v>Default category costs versus saved basket</x:v>
      </x:c>
    </x:row>
    <x:row r="25" ht="30" customHeight="1">
      <x:c r="A25" s="18" t="str">
        <x:v>Q19</x:v>
      </x:c>
      <x:c r="B25" s="18" t="str">
        <x:v>Knitwear baseline mass sums to one</x:v>
      </x:c>
      <x:c r="C25" s="18" t="n">
        <x:f>SUM('Country_Options'!C9:C18)</x:f>
        <x:v>0.9999999999999998</x:v>
      </x:c>
      <x:c r="D25" s="18" t="n">
        <x:v>1</x:v>
      </x:c>
      <x:c r="E25" s="33" t="str">
        <x:f>IF(ABS(C25-D25)&lt;0.000000001,"PASS","FAIL")</x:f>
        <x:v>PASS</x:v>
      </x:c>
      <x:c r="F25" s="18" t="str">
        <x:v>Ten-country mass denominator</x:v>
      </x:c>
    </x:row>
    <x:row r="26" ht="30" customHeight="1">
      <x:c r="A26" s="19" t="str">
        <x:v>Q20</x:v>
      </x:c>
      <x:c r="B26" s="19" t="str">
        <x:v>Dresses baseline mass sums to one</x:v>
      </x:c>
      <x:c r="C26" s="19" t="n">
        <x:f>SUM('Country_Options'!C19:C28)</x:f>
        <x:v>1</x:v>
      </x:c>
      <x:c r="D26" s="19" t="n">
        <x:v>1</x:v>
      </x:c>
      <x:c r="E26" s="34" t="str">
        <x:f>IF(ABS(C26-D26)&lt;0.000000001,"PASS","FAIL")</x:f>
        <x:v>PASS</x:v>
      </x:c>
      <x:c r="F26" s="19" t="str">
        <x:v>Ten-country mass denominator</x:v>
      </x:c>
    </x:row>
    <x:row r="27" ht="30" customHeight="1">
      <x:c r="A27" s="18" t="str">
        <x:v>Q21</x:v>
      </x:c>
      <x:c r="B27" s="18" t="str">
        <x:v>T-shirt baseline mass sums to one</x:v>
      </x:c>
      <x:c r="C27" s="18" t="n">
        <x:f>SUM('Country_Options'!C29:C38)</x:f>
        <x:v>1</x:v>
      </x:c>
      <x:c r="D27" s="18" t="n">
        <x:v>1</x:v>
      </x:c>
      <x:c r="E27" s="33" t="str">
        <x:f>IF(ABS(C27-D27)&lt;0.000000001,"PASS","FAIL")</x:f>
        <x:v>PASS</x:v>
      </x:c>
      <x:c r="F27" s="18" t="str">
        <x:v>Ten-country mass denominator</x:v>
      </x:c>
    </x:row>
    <x:row r="28" ht="30" customHeight="1">
      <x:c r="A28" s="19" t="str">
        <x:v>Q22</x:v>
      </x:c>
      <x:c r="B28" s="19" t="str">
        <x:v>Shirt baseline mass sums to one</x:v>
      </x:c>
      <x:c r="C28" s="19" t="n">
        <x:f>SUM('Country_Options'!C39:C48)</x:f>
        <x:v>1.0000000000000002</x:v>
      </x:c>
      <x:c r="D28" s="19" t="n">
        <x:v>1</x:v>
      </x:c>
      <x:c r="E28" s="34" t="str">
        <x:f>IF(ABS(C28-D28)&lt;0.000000001,"PASS","FAIL")</x:f>
        <x:v>PASS</x:v>
      </x:c>
      <x:c r="F28" s="19" t="str">
        <x:v>Ten-country mass denominator</x:v>
      </x:c>
    </x:row>
    <x:row r="29" ht="42" customHeight="1">
      <x:c r="A29" s="53" t="str">
        <x:v>Q23</x:v>
      </x:c>
      <x:c r="B29" s="53" t="str">
        <x:v>Nine headroom comparisons</x:v>
      </x:c>
      <x:c r="C29" s="69" t="n">
        <x:f>SUM(ABS('Category_Decisions'!F52-J7),ABS('Category_Decisions'!F53-J8),ABS('Category_Decisions'!F54-J9),ABS('Category_Decisions'!F55-J10),ABS('Category_Decisions'!F56-J11),ABS('Category_Decisions'!F57-J12),ABS('Category_Decisions'!F58-J13),ABS('Category_Decisions'!F59-J14),ABS('Category_Decisions'!F60-J15))</x:f>
        <x:v>0</x:v>
      </x:c>
      <x:c r="D29" s="69" t="n">
        <x:v>0</x:v>
      </x:c>
      <x:c r="E29" s="73" t="str">
        <x:f>IF(ABS(C29-D29)&lt;1E-9,"PASS","FAIL")</x:f>
        <x:v>PASS</x:v>
      </x:c>
      <x:c r="F29" s="53" t="str">
        <x:v>Against independent WP009 input calculations</x:v>
      </x:c>
    </x:row>
    <x:row r="30" ht="42" customHeight="1">
      <x:c r="A30" s="54" t="str">
        <x:v>Q24</x:v>
      </x:c>
      <x:c r="B30" s="54" t="str">
        <x:v>Nine premium comparisons</x:v>
      </x:c>
      <x:c r="C30" s="70" t="n">
        <x:f>SUM(ABS('Category_Decisions'!G52-K7),ABS('Category_Decisions'!G53-K8),ABS('Category_Decisions'!G54-K9),ABS('Category_Decisions'!G55-K10),ABS('Category_Decisions'!G56-K11),ABS('Category_Decisions'!G57-K12),ABS('Category_Decisions'!G58-K13),ABS('Category_Decisions'!G59-K14),ABS('Category_Decisions'!G60-K15))</x:f>
        <x:v>0</x:v>
      </x:c>
      <x:c r="D30" s="70" t="n">
        <x:v>0</x:v>
      </x:c>
      <x:c r="E30" s="74" t="str">
        <x:f>IF(ABS(C30-D30)&lt;1E-9,"PASS","FAIL")</x:f>
        <x:v>PASS</x:v>
      </x:c>
      <x:c r="F30" s="54" t="str">
        <x:v>Against independent WP009 input calculations</x:v>
      </x:c>
    </x:row>
    <x:row r="31" ht="42" customHeight="1">
      <x:c r="A31" s="53" t="str">
        <x:v>Q25</x:v>
      </x:c>
      <x:c r="B31" s="53" t="str">
        <x:v>Turkey share after presence shift</x:v>
      </x:c>
      <x:c r="C31" s="57" t="n">
        <x:f>'Category_Decisions'!D70</x:f>
        <x:v>0.25642170879191634</x:v>
      </x:c>
      <x:c r="D31" s="57" t="n">
        <x:v>0.25642170879191634</x:v>
      </x:c>
      <x:c r="E31" s="73" t="str">
        <x:f>IF(ABS(C31-D31)&lt;1E-9,"PASS","FAIL")</x:f>
        <x:v>PASS</x:v>
      </x:c>
      <x:c r="F31" s="53" t="str">
        <x:v>Ten-country trade-share illustration</x:v>
      </x:c>
    </x:row>
    <x:row r="32" ht="42" customHeight="1">
      <x:c r="A32" s="54" t="str">
        <x:v>Q26</x:v>
      </x:c>
      <x:c r="B32" s="54" t="str">
        <x:v>China share after presence shift</x:v>
      </x:c>
      <x:c r="C32" s="58" t="n">
        <x:f>'Category_Decisions'!D71</x:f>
        <x:v>0.2661327533481963</x:v>
      </x:c>
      <x:c r="D32" s="58" t="n">
        <x:v>0.2661327533481963</x:v>
      </x:c>
      <x:c r="E32" s="74" t="str">
        <x:f>IF(ABS(C32-D32)&lt;1E-9,"PASS","FAIL")</x:f>
        <x:v>PASS</x:v>
      </x:c>
      <x:c r="F32" s="54" t="str">
        <x:v>Ten-country trade-share illustration</x:v>
      </x:c>
    </x:row>
    <x:row r="33" ht="42" customHeight="1">
      <x:c r="A33" s="53" t="str">
        <x:v>Q27</x:v>
      </x:c>
      <x:c r="B33" s="53" t="str">
        <x:v>Dress headroom screen difference</x:v>
      </x:c>
      <x:c r="C33" s="69" t="n">
        <x:f>'Category_Decisions'!F59-'Category_Decisions'!F60</x:f>
        <x:v>0</x:v>
      </x:c>
      <x:c r="D33" s="69" t="n">
        <x:v>0</x:v>
      </x:c>
      <x:c r="E33" s="73" t="str">
        <x:f>IF(ABS(C33-D33)&lt;1E-9,"PASS","FAIL")</x:f>
        <x:v>PASS</x:v>
      </x:c>
      <x:c r="F33" s="53" t="str">
        <x:v>Fixed default mix; all six months retained</x:v>
      </x:c>
    </x:row>
    <x:row r="34" ht="42" customHeight="1">
      <x:c r="A34" s="54" t="str">
        <x:v>Q28</x:v>
      </x:c>
      <x:c r="B34" s="54" t="str">
        <x:v>Knit comparison rows also moving cotton</x:v>
      </x:c>
      <x:c r="C34" s="71" t="n">
        <x:f>COUNTIF('Category_Decisions'!H52:H58,"Yes")</x:f>
        <x:v>4</x:v>
      </x:c>
      <x:c r="D34" s="71" t="n">
        <x:v>4</x:v>
      </x:c>
      <x:c r="E34" s="74" t="str">
        <x:f>IF(ABS(C34-D34)&lt;1E-9,"PASS","FAIL")</x:f>
        <x:v>PASS</x:v>
      </x:c>
      <x:c r="F34" s="54" t="str">
        <x:v>Cases 8, 25, 1 and 16</x:v>
      </x:c>
    </x:row>
    <x:row r="35" ht="42" customHeight="1">
      <x:c r="A35" s="53" t="str">
        <x:v>Q29</x:v>
      </x:c>
      <x:c r="B35" s="53" t="str">
        <x:v>Terminal stop conditions</x:v>
      </x:c>
      <x:c r="C35" s="72" t="n">
        <x:f>COUNTA('Implementation'!A52:A55)</x:f>
        <x:v>4</x:v>
      </x:c>
      <x:c r="D35" s="72" t="n">
        <x:v>4</x:v>
      </x:c>
      <x:c r="E35" s="73" t="str">
        <x:f>IF(ABS(C35-D35)&lt;1E-9,"PASS","FAIL")</x:f>
        <x:v>PASS</x:v>
      </x:c>
      <x:c r="F35" s="53" t="str">
        <x:v>ST01-ST04</x:v>
      </x:c>
    </x:row>
    <x:row r="36" ht="42" customHeight="1">
      <x:c r="A36" s="54" t="str">
        <x:v>Q30</x:v>
      </x:c>
      <x:c r="B36" s="54" t="str">
        <x:v>Governed question displayed</x:v>
      </x:c>
      <x:c r="C36" s="71" t="n">
        <x:f>IF('Recommendation'!A4="Research question: "&amp;'Evidence'!A379,1,0)</x:f>
        <x:v>1</x:v>
      </x:c>
      <x:c r="D36" s="71" t="n">
        <x:v>1</x:v>
      </x:c>
      <x:c r="E36" s="74" t="str">
        <x:f>IF(ABS(C36-D36)&lt;1E-9,"PASS","FAIL")</x:f>
        <x:v>PASS</x:v>
      </x:c>
      <x:c r="F36" s="54" t="inlineStr">
        <x:is>
          <x:t>Original research question; Evidence!A379; docs/Research_Question_and_Scope.md</x:t>
        </x:is>
      </x:c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 ht="42" customHeight="1">
      <x:c r="A39" s="37" t="str">
        <x:v>Thirty checks validate the synthesis and added comparisons. Source fingerprints, narrative figures and exported evidence preservation are also checked in package preparation.</x:v>
      </x:c>
      <x:c r="B39" s="37"/>
      <x:c r="C39" s="37"/>
      <x:c r="D39" s="37"/>
      <x:c r="E39" s="37"/>
      <x:c r="F39" s="37"/>
    </x:row>
    <x:row r="40">
      <x:c r="A40" s="2"/>
      <x:c r="B40" s="2"/>
      <x:c r="C40" s="2"/>
      <x:c r="D40" s="2"/>
      <x:c r="E40" s="2"/>
      <x:c r="F40" s="2"/>
    </x:row>
    <x:row r="41" ht="42" customHeight="1">
      <x:c r="A41" s="37" t="str">
        <x:v>Checks are terminal diagnostics. No recommendation or business calculation depends on this sheet. Independent comparison values come from the unchanged WP009 source snapshot.</x:v>
      </x:c>
      <x:c r="B41" s="37"/>
      <x:c r="C41" s="37"/>
      <x:c r="D41" s="37"/>
      <x:c r="E41" s="37"/>
      <x:c r="F41" s="37"/>
    </x:row>
  </x:sheetData>
  <x:mergeCells>
    <x:mergeCell ref="A39:F39"/>
    <x:mergeCell ref="A41:F41"/>
  </x:mergeCells>
  <x:conditionalFormatting sqref="E7:E28">
    <x:cfRule type="containsText" dxfId="0" priority="1" operator="containsText" text="FAIL"/>
  </x:conditionalFormatting>
  <x:pageMargins left="0.7" right="0.7" top="0.75" bottom="0.75" header="0.3" footer="0.3"/>
</x:worksheet>
</file>