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88" documentId="11_2DCAA3AB41B9E7D06945DBBABA86D94A5453B8E9" xr6:coauthVersionLast="47" xr6:coauthVersionMax="47" xr10:uidLastSave="{4C742526-4497-4DDC-B56D-5DFF0553086C}"/>
  <bookViews>
    <workbookView xWindow="0" yWindow="0" windowWidth="16384" windowHeight="8192" tabRatio="500" firstSheet="13" activeTab="15" xr2:uid="{00000000-000D-0000-FFFF-FFFF00000000}"/>
  </bookViews>
  <sheets>
    <sheet name="README" sheetId="1" r:id="rId1"/>
    <sheet name="Task_Flow" sheetId="2" r:id="rId2"/>
    <sheet name="Source_Register" sheetId="3" r:id="rId3"/>
    <sheet name="Scope_Lock" sheetId="4" r:id="rId4"/>
    <sheet name="Category_Screen" sheetId="5" r:id="rId5"/>
    <sheet name="Commodity_Shortlist" sheetId="6" r:id="rId6"/>
    <sheet name="Basket_Representativeness" sheetId="7" r:id="rId7"/>
    <sheet name="Tariff_Matrix" sheetId="8" r:id="rId8"/>
    <sheet name="Origin_Rules" sheetId="9" r:id="rId9"/>
    <sheet name="Duty_BreakEven" sheetId="10" r:id="rId10"/>
    <sheet name="APPAREL_Scope_Check" sheetId="11" r:id="rId11"/>
    <sheet name="Natural_Experiment" sheetId="12" r:id="rId12"/>
    <sheet name="Mass_Coverage_QC" sheetId="13" r:id="rId13"/>
    <sheet name="Data_Dictionary" sheetId="15" r:id="rId14"/>
    <sheet name="WP005_Handoff" sheetId="14" r:id="rId15"/>
    <sheet name="QC_Checks" sheetId="16" r:id="rId16"/>
    <sheet name="HMRC_Query_Manifest" sheetId="17" r:id="rId17"/>
    <sheet name="UKGT_Query_Manifest" sheetId="18" r:id="rId18"/>
    <sheet name="Tariff_Snapshot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5" i="13" l="1"/>
  <c r="D5" i="13"/>
  <c r="I5" i="13" s="1"/>
  <c r="G4" i="13"/>
  <c r="D4" i="13"/>
  <c r="I4" i="13" s="1"/>
  <c r="G3" i="13"/>
  <c r="D3" i="13"/>
  <c r="I3" i="13" s="1"/>
  <c r="G2" i="13"/>
  <c r="D2" i="13"/>
  <c r="I2" i="13" s="1"/>
  <c r="E3" i="12"/>
  <c r="F3" i="12" s="1"/>
  <c r="E2" i="12"/>
  <c r="F2" i="12" s="1"/>
  <c r="E5" i="11"/>
  <c r="D5" i="11"/>
  <c r="E4" i="11"/>
  <c r="D4" i="11"/>
  <c r="E3" i="11"/>
  <c r="D3" i="11"/>
  <c r="E2" i="11"/>
  <c r="D2" i="11"/>
  <c r="E4" i="10"/>
  <c r="F4" i="10" s="1"/>
  <c r="G4" i="10" s="1"/>
  <c r="E3" i="10"/>
  <c r="F3" i="10" s="1"/>
  <c r="G3" i="10" s="1"/>
  <c r="E2" i="10"/>
  <c r="F2" i="10" s="1"/>
  <c r="G2" i="10" s="1"/>
  <c r="K4" i="7"/>
  <c r="H4" i="7"/>
  <c r="E4" i="7"/>
  <c r="C4" i="7"/>
  <c r="K3" i="7"/>
  <c r="H3" i="7"/>
  <c r="E3" i="7"/>
  <c r="C3" i="7"/>
  <c r="K2" i="7"/>
  <c r="H2" i="7"/>
  <c r="E2" i="7"/>
  <c r="C2" i="7"/>
  <c r="O5" i="6"/>
  <c r="M5" i="6"/>
  <c r="K5" i="6"/>
  <c r="I5" i="6"/>
  <c r="O4" i="6"/>
  <c r="M4" i="6"/>
  <c r="K4" i="6"/>
  <c r="I4" i="6"/>
  <c r="O3" i="6"/>
  <c r="M3" i="6"/>
  <c r="K3" i="6"/>
  <c r="I3" i="6"/>
  <c r="O2" i="6"/>
  <c r="M2" i="6"/>
  <c r="K2" i="6"/>
  <c r="I2" i="6"/>
  <c r="F8" i="5"/>
  <c r="F7" i="5"/>
  <c r="F6" i="5"/>
  <c r="F5" i="5"/>
  <c r="F4" i="5"/>
  <c r="F3" i="5"/>
  <c r="F2" i="5"/>
  <c r="B26" i="1"/>
  <c r="B25" i="1"/>
  <c r="B24" i="1"/>
  <c r="B23" i="1"/>
  <c r="B16" i="1"/>
  <c r="B17" i="1" s="1"/>
  <c r="B11" i="1"/>
  <c r="F2" i="7" l="1"/>
  <c r="I2" i="7"/>
  <c r="L2" i="7"/>
  <c r="B20" i="1" s="1"/>
  <c r="F3" i="7"/>
  <c r="I3" i="7"/>
  <c r="B19" i="1" s="1"/>
  <c r="L3" i="7"/>
  <c r="F4" i="7"/>
  <c r="I4" i="7"/>
  <c r="L4" i="7"/>
  <c r="B21" i="1" s="1"/>
  <c r="F4" i="12"/>
  <c r="N4" i="7" l="1"/>
  <c r="B22" i="1" s="1"/>
  <c r="B18" i="1"/>
</calcChain>
</file>

<file path=xl/sharedStrings.xml><?xml version="1.0" encoding="utf-8"?>
<sst xmlns="http://schemas.openxmlformats.org/spreadsheetml/2006/main" count="1975" uniqueCount="1067">
  <si>
    <t>NEXT WP004 - Category, Commodity and Tariff Lock</t>
  </si>
  <si>
    <t>Field</t>
  </si>
  <si>
    <t>Value</t>
  </si>
  <si>
    <t>Work package</t>
  </si>
  <si>
    <t>WP004A category screen + WP004B tariff/origin lock</t>
  </si>
  <si>
    <t>Status</t>
  </si>
  <si>
    <t>Closed - evidence reconciled; ready for WP005 monthly HMRC extraction</t>
  </si>
  <si>
    <t>Closure date</t>
  </si>
  <si>
    <t>Evidence archive</t>
  </si>
  <si>
    <t>NEXT_WP004_API_Evidence_JSON_Closed_2026-08-26.zip</t>
  </si>
  <si>
    <t>Evidence files</t>
  </si>
  <si>
    <t>9 HMRC JSON responses (Q0-Q7) and 11 UKGT JSON responses (T01-T11); all hashes in the query manifests</t>
  </si>
  <si>
    <t>Basket name</t>
  </si>
  <si>
    <t>Paired strategic product basket</t>
  </si>
  <si>
    <t>Core CN8 codes</t>
  </si>
  <si>
    <t>61091000, 61103099, 62044300, 62052000</t>
  </si>
  <si>
    <t>Core code count</t>
  </si>
  <si>
    <t>Reserve CN8</t>
  </si>
  <si>
    <t>62063000 - inactive; India-only trigger is representation ratio below 0.80, or a later code-level mass failure</t>
  </si>
  <si>
    <t>Trade period</t>
  </si>
  <si>
    <t>WP004 screen: 2025 plus India H1 2025/H1 2026 diagnostic. WP005 contract: monthly 2019-01 through 2026-06; 2019-2025 full years and 2026 YTD separately.</t>
  </si>
  <si>
    <t>Extraction grain</t>
  </si>
  <si>
    <t>CN8 x origin x month in WP005; present headline outputs at CN8, HS4 or named probe-pair level without mixing product composition</t>
  </si>
  <si>
    <t>Origins</t>
  </si>
  <si>
    <t>Bangladesh, Cambodia, China, India, Morocco, Myanmar, Pakistan, Sri Lanka, Turkey and Vietnam; inclusive World denominator</t>
  </si>
  <si>
    <t>2025 four-code basket value</t>
  </si>
  <si>
    <t>Share of 2025 inclusive HS61+62 imports</t>
  </si>
  <si>
    <t>India blended representation ratio</t>
  </si>
  <si>
    <t>China synthetic-probe representation ratio</t>
  </si>
  <si>
    <t>Bangladesh cotton-probe representation ratio</t>
  </si>
  <si>
    <t>India cotton-probe representation ratio</t>
  </si>
  <si>
    <t>Reserve trigger result</t>
  </si>
  <si>
    <t>2025 minimum world net-mass value coverage</t>
  </si>
  <si>
    <t>China value in synthetic probe pair</t>
  </si>
  <si>
    <t>China discount vs zero-duty alternative</t>
  </si>
  <si>
    <t>China discount vs Vietnam 1.5% alternative</t>
  </si>
  <si>
    <t>Formula / rule</t>
  </si>
  <si>
    <t>Meaning</t>
  </si>
  <si>
    <t>Observed import unit value</t>
  </si>
  <si>
    <t>HMRC statistical value / net mass. For imports, HMRC statistical value is CIF-style; this is not NEXT FOB.</t>
  </si>
  <si>
    <t>Basket representation ratio</t>
  </si>
  <si>
    <t>Selected-basket origin share / total HS61+62 origin share. The 0.80 reserve trigger was pre-committed for India only.</t>
  </si>
  <si>
    <t>Probe-pair representation</t>
  </si>
  <si>
    <t>Each focal origin is also tested against the pair designed for its strategic question; this avoids misreading the deliberately bimodal four-code basket.</t>
  </si>
  <si>
    <t>Duty-adjusted border unit value</t>
  </si>
  <si>
    <t>Observed import unit value x (1 + effective tariff). Do not add international freight again to the HMRC value.</t>
  </si>
  <si>
    <t>China break-even discount</t>
  </si>
  <si>
    <t>1 - (1 + alternative tariff)/(1 + 12%). It is 10.71% versus a zero-duty alternative and 9.38% versus Vietnam at 1.5%.</t>
  </si>
  <si>
    <t>Mass coverage gate</t>
  </si>
  <si>
    <t>WP004 verifies the 2025 screen. WP005 must repeat value-with-positive-mass / total-value at CN8 x origin x month; pass threshold = 99.5%.</t>
  </si>
  <si>
    <t>Natural experiment</t>
  </si>
  <si>
    <t>India HS62 versus HS61 in 2026 H1 is exploratory only. Observed mass movements run opposite to the simple tariff-response hypothesis; no causal elasticity is estimated.</t>
  </si>
  <si>
    <t>APPAREL label screen</t>
  </si>
  <si>
    <t>Keyword-based non-garment flags are a lower-bound diagnostic, not a definitive factory classification; unflagged rows are not proven garment factories.</t>
  </si>
  <si>
    <t>HMRC residual denominator</t>
  </si>
  <si>
    <t>Inclusive HS61+62 totals contain £9.94m (0.061%) in EU residual codes 61------/62------. Include in the market denominator; exclude from exact-CN8 product analysis.</t>
  </si>
  <si>
    <t>Key decision</t>
  </si>
  <si>
    <t>Locked treatment</t>
  </si>
  <si>
    <t>Scope</t>
  </si>
  <si>
    <t>HS61 and HS62 only; HS63 excluded from the core basket because it is heavy, low-value and too heterogeneous for the planned GBP/kg landed-cost comparison.</t>
  </si>
  <si>
    <t>Basket design</t>
  </si>
  <si>
    <t>61091000 and 62052000 test Bangladesh-versus-India at zero duty; 61103099 and 62044300 test China capability where the 12% duty exposure is commercially material.</t>
  </si>
  <si>
    <t>India policy path</t>
  </si>
  <si>
    <t>2025: 9.6%; 2026 H1: HS61 9.6%, HS62 12% after DCTS graduation; from 2026-07-15: 0% under CETA for originating goods.</t>
  </si>
  <si>
    <t>CETA origin rule</t>
  </si>
  <si>
    <t>Chapters 61 and 62 require CTH and Standard QVC: 40% ex-works build-down, 45% FOB build-down, or 35% build-up.</t>
  </si>
  <si>
    <t>Evidence boundary</t>
  </si>
  <si>
    <t>WP004 uses archived point-in-time JSON and official legal sources. A later API refresh must be versioned; it must not silently overwrite this lock.</t>
  </si>
  <si>
    <t>Model focus</t>
  </si>
  <si>
    <t>The central break-even is what China capability/price advantage is required to justify a 12% duty burden relative to origin-compliant lower-duty alternatives.</t>
  </si>
  <si>
    <t>Step</t>
  </si>
  <si>
    <t>Task</t>
  </si>
  <si>
    <t>Why it matters</t>
  </si>
  <si>
    <t>Inputs reviewed</t>
  </si>
  <si>
    <t>Operation</t>
  </si>
  <si>
    <t>Workbook output</t>
  </si>
  <si>
    <t>QC / lock condition</t>
  </si>
  <si>
    <t>Confirm project boundary and kill criteria</t>
  </si>
  <si>
    <t>D010 prevents presenting the basket as NEXT own-brand sales; WP004 must serve landed-cost and break-even analysis.</t>
  </si>
  <si>
    <t/>
  </si>
  <si>
    <t>Restate the outside-in scope and define what would exclude a code.</t>
  </si>
  <si>
    <t>README; Scope_Lock</t>
  </si>
  <si>
    <t>No own-brand or procurement-spend claim.</t>
  </si>
  <si>
    <t>Freeze the data cut, evidence archive and official source set</t>
  </si>
  <si>
    <t>Reproducibility requires a dated HMRC/tariff cut.</t>
  </si>
  <si>
    <t>HMRC Q0-Q8 JSON; UKGT T01-T11 JSON; official tariff/origin documents</t>
  </si>
  <si>
    <t>Record canonical replay queries, evidence filenames, hashes, row counts, pagination status and closure date.</t>
  </si>
  <si>
    <t>Source_Register; HMRC_Query_Manifest; UKGT_Query_Manifest; Tariff_Snapshot</t>
  </si>
  <si>
    <t>Every numerical/rate claim reconciles to an archived response or named official legal source.</t>
  </si>
  <si>
    <t>Screen HS61, HS62 and HS63</t>
  </si>
  <si>
    <t>Tests materiality and whether £/kg has a coherent interpretation.</t>
  </si>
  <si>
    <t>2025 UK imports: value and net mass</t>
  </si>
  <si>
    <t>Aggregate at HS2 and calculate value/net mass.</t>
  </si>
  <si>
    <t>Category_Screen</t>
  </si>
  <si>
    <t>Exclude broad categories that are structurally heterogeneous for the model.</t>
  </si>
  <si>
    <t>Rank material HS4 headings</t>
  </si>
  <si>
    <t>Avoid selecting codes from a minor heading while preserving knit/woven coverage.</t>
  </si>
  <si>
    <t>2025 HS4 value and net mass</t>
  </si>
  <si>
    <t>Rank 6109, 6110, 6203 and 6204; inspect product meaning.</t>
  </si>
  <si>
    <t>At least one material knit and one material woven heading.</t>
  </si>
  <si>
    <t>Screen exact CN8 codes</t>
  </si>
  <si>
    <t>Unit values and tariffs are code-specific; residual baskets are avoided where possible.</t>
  </si>
  <si>
    <t>2025 CN8 value, unit value and focal-origin shares</t>
  </si>
  <si>
    <t>Compare product specificity, materiality, fibre and country pattern.</t>
  </si>
  <si>
    <t>Commodity_Shortlist</t>
  </si>
  <si>
    <t>Four core codes, two knit/two woven; reserve explicitly inactive.</t>
  </si>
  <si>
    <t>Design the paired strategic basket</t>
  </si>
  <si>
    <t>The basket must answer two commercial questions rather than mimic the whole market.</t>
  </si>
  <si>
    <t>Commodity shortlist</t>
  </si>
  <si>
    <t>Pair China synthetic-capability probes with Bangladesh-vs-India cotton probes.</t>
  </si>
  <si>
    <t>Scope_Lock; Commodity_Shortlist</t>
  </si>
  <si>
    <t>Each code has an explicit role and caveat.</t>
  </si>
  <si>
    <t>Test representativeness before extraction</t>
  </si>
  <si>
    <t>Prevents a purpose-built basket from being misdescribed as market representative.</t>
  </si>
  <si>
    <t>2025 focal-origin values in basket and total HS61+62</t>
  </si>
  <si>
    <t>Compute selected-basket share / total HS61+62 share.</t>
  </si>
  <si>
    <t>Basket_Representativeness</t>
  </si>
  <si>
    <t>India-only reserve trigger: activate 62063000 if India blended ratio &lt;0.80. Also report pair-specific ratios for all focal origins.</t>
  </si>
  <si>
    <t>Verify date-specific tariff paths</t>
  </si>
  <si>
    <t>A single 'country tariff' hides India graduation/CETA and Vietnam staging.</t>
  </si>
  <si>
    <t>UKGT current descendants; historical Vietnam and pre-CETA spot checks; DCTS graduation; CETA tariff schedule</t>
  </si>
  <si>
    <t>Reconcile eight current 10-digit descendants and three historical responses; join policy/legal rules for country applicability.</t>
  </si>
  <si>
    <t>Tariff_Matrix</t>
  </si>
  <si>
    <t>All 40 origin-code rows complete; preference marked conditional.</t>
  </si>
  <si>
    <t>Read product-specific origin rules</t>
  </si>
  <si>
    <t>Generic QVC thresholds are insufficient if the annex requires a combined rule.</t>
  </si>
  <si>
    <t>CETA Chapter 3 and Annex 3A; DCTS rules</t>
  </si>
  <si>
    <t>Record CTH + Standard QVC and proof-of-origin requirements.</t>
  </si>
  <si>
    <t>Origin_Rules</t>
  </si>
  <si>
    <t>India 0% never used as unconditional base case.</t>
  </si>
  <si>
    <t>Lock customs-value and duty basis</t>
  </si>
  <si>
    <t>Prevents double-counting freight in WP008.</t>
  </si>
  <si>
    <t>HMRC technical specification; HMRC customs valuation guidance</t>
  </si>
  <si>
    <t>Define HMRC value as CIF-style border value and write formulas.</t>
  </si>
  <si>
    <t>Duty_BreakEven</t>
  </si>
  <si>
    <t>No second addition of international freight to HMRC unit value.</t>
  </si>
  <si>
    <t>Audit the WP003 APPAREL proxy</t>
  </si>
  <si>
    <t>China's APPAREL site count contains many non-garment factories and can mislead category capability claims.</t>
  </si>
  <si>
    <t>WP003 site master; keyword diagnostic</t>
  </si>
  <si>
    <t>Report lower-bound non-garment flags by country.</t>
  </si>
  <si>
    <t>APPAREL_Scope_Check</t>
  </si>
  <si>
    <t>No direct use of APPAREL site count as HS61/62 capacity.</t>
  </si>
  <si>
    <t>Run mass-coverage QC</t>
  </si>
  <si>
    <t>A £/kg series can be biased if value exists without mass.</t>
  </si>
  <si>
    <t>2025 HMRC Q2/Q3 screen</t>
  </si>
  <si>
    <t>Calculate 2025 value coverage with positive net mass by core CN8; define the full country-month re-test for WP005.</t>
  </si>
  <si>
    <t>Mass_Coverage_QC</t>
  </si>
  <si>
    <t>2025 screen passes; WP005 must repeat at CN8 x origin x month with &gt;=99.5% threshold.</t>
  </si>
  <si>
    <t>Test the pre-CETA diagnostic window</t>
  </si>
  <si>
    <t>Uses the 2026 graduation split as a low-cost hypothesis test without overstating causality.</t>
  </si>
  <si>
    <t>India H1 2025 vs H1 2026 HS61/62 net mass</t>
  </si>
  <si>
    <t>Index both chapters and compare change.</t>
  </si>
  <si>
    <t>Natural_Experiment</t>
  </si>
  <si>
    <t>Label diagnostic only; no causal elasticity because result is opposite the simple hypothesis.</t>
  </si>
  <si>
    <t>Specify WP005 extraction contract</t>
  </si>
  <si>
    <t>Avoids re-deciding scope during the large monthly pull.</t>
  </si>
  <si>
    <t>All locked decisions</t>
  </si>
  <si>
    <t>Define countries, months, grain, fields, keys and QC thresholds.</t>
  </si>
  <si>
    <t>WP005_Handoff</t>
  </si>
  <si>
    <t>No unresolved code, country, time or mass-coverage choice.</t>
  </si>
  <si>
    <t>Publication QA and closure</t>
  </si>
  <si>
    <t>Makes the workbook interview-defensible and handoff-ready.</t>
  </si>
  <si>
    <t>All sheets plus 20 archived JSON responses</t>
  </si>
  <si>
    <t>Formula scan, source/query-ID audit, evidence reconciliation, formatting review and attribution scan.</t>
  </si>
  <si>
    <t>QC_Checks</t>
  </si>
  <si>
    <t>All checks pass; Arial, neutral formatting and stable source/query identifiers applied.</t>
  </si>
  <si>
    <t>Source_ID</t>
  </si>
  <si>
    <t>Source_Type</t>
  </si>
  <si>
    <t>Official document / dataset</t>
  </si>
  <si>
    <t>Publisher</t>
  </si>
  <si>
    <t>Publication / cut date</t>
  </si>
  <si>
    <t>Reporting period</t>
  </si>
  <si>
    <t>Suggested local filename</t>
  </si>
  <si>
    <t>Official URL</t>
  </si>
  <si>
    <t>Used for</t>
  </si>
  <si>
    <t>Download / capture instruction</t>
  </si>
  <si>
    <t>Review status</t>
  </si>
  <si>
    <t>Known limitation</t>
  </si>
  <si>
    <t>EXT_HMRC_OTS</t>
  </si>
  <si>
    <t>Trade data</t>
  </si>
  <si>
    <t>UK Trade Info API - Overseas Trade Statistics</t>
  </si>
  <si>
    <t>HM Revenue &amp; Customs</t>
  </si>
  <si>
    <t>WP004: 2025 screen and India H1 2025/H1 2026; WP005 monthly pull not yet executed</t>
  </si>
  <si>
    <t>https://www.uktradeinfo.com/api-documentation/</t>
  </si>
  <si>
    <t>Category screen, code selection, focal-origin shares, representativeness, 2025 mass coverage and India H1 diagnostic</t>
  </si>
  <si>
    <t>Retain Q0-Q8 JSON with the manifest and SHA-256 hashes. No static PDF is required for API output.</t>
  </si>
  <si>
    <t>Reconciled</t>
  </si>
  <si>
    <t>Live data can be revised. Q3/Q4 contain true CN8 only; Q7 supplies the inclusive market denominator.</t>
  </si>
  <si>
    <t>EXT_HMRC_SPEC</t>
  </si>
  <si>
    <t>Methodology</t>
  </si>
  <si>
    <t>Bulk data set export and import technical specifications</t>
  </si>
  <si>
    <t>Current specification</t>
  </si>
  <si>
    <t>HMRC_OTS_Bulk_Data_Technical_Specification_2026.html</t>
  </si>
  <si>
    <t>https://www.uktradeinfo.com/trade-data/latest-bulk-data-sets/bulk-data-set-export-and-import-technical-specifications/</t>
  </si>
  <si>
    <t>Defines statistical value and net mass</t>
  </si>
  <si>
    <t>Use browser Print &gt; Save as PDF or save the page as HTML.</t>
  </si>
  <si>
    <t>Reviewed</t>
  </si>
  <si>
    <t>Web page may be updated; retain a dated local snapshot.</t>
  </si>
  <si>
    <t>EXT_HMRC_JUN26</t>
  </si>
  <si>
    <t>Release notice</t>
  </si>
  <si>
    <t>UK overseas trade in goods statistics: June 2026</t>
  </si>
  <si>
    <t>Through June 2026</t>
  </si>
  <si>
    <t>HMRC_UK_OTS_June_2026_Release.html</t>
  </si>
  <si>
    <t>https://www.uktradeinfo.com/trade-data/overseas/2026/uk-overseas-trade-in-goods-statistics-june-2026/</t>
  </si>
  <si>
    <t>Confirms latest monthly data cut</t>
  </si>
  <si>
    <t>Save page as HTML/PDF; the detailed WP005 pull still comes from the API.</t>
  </si>
  <si>
    <t>Release page is summary-level, not the CN8 dataset.</t>
  </si>
  <si>
    <t>EXT_UKGT</t>
  </si>
  <si>
    <t>Tariff data</t>
  </si>
  <si>
    <t>Tariffs to trade with the UK / UK Integrated Online Tariff</t>
  </si>
  <si>
    <t>UK Government</t>
  </si>
  <si>
    <t>As-of 2025-12-31, 2026-07-14 and 2026-08-24</t>
  </si>
  <si>
    <t>https://www.gov.uk/guidance/tariffs-on-goods-imported-into-the-uk</t>
  </si>
  <si>
    <t>MFN, DCTS and direct country-preference measures for all core/reserve 10-digit descendants plus historical spot checks</t>
  </si>
  <si>
    <t>Retain T01-T11 JSON with the manifest, readable snapshot and SHA-256 hashes.</t>
  </si>
  <si>
    <t>A tariff measure is not proof that a particular supplier satisfies origin requirements.</t>
  </si>
  <si>
    <t>EXT_DCTS_2026</t>
  </si>
  <si>
    <t>Preference guidance</t>
  </si>
  <si>
    <t>Preference tiers under the Developing Countries Trading Scheme</t>
  </si>
  <si>
    <t>2026</t>
  </si>
  <si>
    <t>DCTS_Preference_Tiers_2026.html</t>
  </si>
  <si>
    <t>https://www.gov.uk/guidance/preference-tiers-under-the-developing-countries-trading-scheme</t>
  </si>
  <si>
    <t>Country tier mapping and general preference coverage</t>
  </si>
  <si>
    <t>Save page as HTML/PDF.</t>
  </si>
  <si>
    <t>Tier-wide percentages do not prove a selected code's exact rate.</t>
  </si>
  <si>
    <t>EXT_DCTS_GRAD</t>
  </si>
  <si>
    <t>Graduation notice</t>
  </si>
  <si>
    <t>DCTS goods graduation from 1 January 2026 to 31 December 2028</t>
  </si>
  <si>
    <t>2026-2028</t>
  </si>
  <si>
    <t>DCTS_Goods_Graduation_2026-2028.html</t>
  </si>
  <si>
    <t>https://www.gov.uk/government/publications/developing-countries-trading-scheme-dcts-goods-graduation-notice/developing-countries-trading-scheme-dcts-goods-graduation-from-1-january-2026-to-31-december-2028</t>
  </si>
  <si>
    <t>India chapter 62/63 graduation</t>
  </si>
  <si>
    <t>Graduation identifies chapters, not supplier origin compliance.</t>
  </si>
  <si>
    <t>EXT_DCTS_ROO</t>
  </si>
  <si>
    <t>Rules of origin guidance</t>
  </si>
  <si>
    <t>Improved DCTS rules of origin in effect from 1 January 2026</t>
  </si>
  <si>
    <t>From 2026-01-01</t>
  </si>
  <si>
    <t>DCTS_Improved_Rules_of_Origin_2026.html</t>
  </si>
  <si>
    <t>https://www.gov.uk/government/publications/rules-of-origin-changes-under-the-developing-countries-trading-scheme-are-now-in-effect/update-improved-rules-of-origin-under-the-developing-countries-trading-dcts-are-now-in-effect</t>
  </si>
  <si>
    <t>Enhanced/Comprehensive garment-rule change</t>
  </si>
  <si>
    <t>Eligibility still requires product-specific processing and proof.</t>
  </si>
  <si>
    <t>EXT_CETA_CH2</t>
  </si>
  <si>
    <t>Trade agreement</t>
  </si>
  <si>
    <t>UK-India CETA Chapter 2: Trade in Goods</t>
  </si>
  <si>
    <t>Effective 2026-07-15</t>
  </si>
  <si>
    <t>UK_India_CETA_Chapter_2_Trade_in_Goods.pdf</t>
  </si>
  <si>
    <t>https://assets.publishing.service.gov.uk/media/687e518d9914d1f63267c605/uk_india_ceta_chapter_2_trade_in_goods.pdf</t>
  </si>
  <si>
    <t>Entry into force and tariff-treatment framework</t>
  </si>
  <si>
    <t>Download the PDF directly.</t>
  </si>
  <si>
    <t>Framework chapter; code treatment is in Annex 2A / Appendix 2A-b.</t>
  </si>
  <si>
    <t>EXT_CETA_ANNEX2A</t>
  </si>
  <si>
    <t>Tariff schedule rules</t>
  </si>
  <si>
    <t>UK-India CETA Annex 2A - Schedules of Tariff Commitments for Goods</t>
  </si>
  <si>
    <t>UK_India_CETA_Annex_2A_Tariff_Staging_Rules.pdf</t>
  </si>
  <si>
    <t>https://assets.publishing.service.gov.uk/media/687f692d92957f2ec567c6ad/uk_india_ceta_annex2a_schedules_tariff_commitments_for_goods.pdf</t>
  </si>
  <si>
    <t>Defines staging category A as elimination at entry into force</t>
  </si>
  <si>
    <t>Must be read with the UK schedule and applies only to originating goods.</t>
  </si>
  <si>
    <t>EXT_CETA_TARIFF</t>
  </si>
  <si>
    <t>Tariff schedule</t>
  </si>
  <si>
    <t>UK-India CETA Appendix 2A-b - UK tariff commitments</t>
  </si>
  <si>
    <t>UK_India_CETA_Appendix_2A-b_UK_Tariff_Commitments.pdf</t>
  </si>
  <si>
    <t>https://assets.publishing.service.gov.uk/media/687f69a177a3acd9f4d0e1cc/uk_india_ceta_annex2a_b_schedules_tariff_commitments_of_united_kingdom.pdf</t>
  </si>
  <si>
    <t>Confirms Chapters 61/62 staging category A</t>
  </si>
  <si>
    <t>Must be read with Annex 2A; applies only to originating goods.</t>
  </si>
  <si>
    <t>EXT_CETA_CH3</t>
  </si>
  <si>
    <t>Rules of origin</t>
  </si>
  <si>
    <t>UK-India CETA Chapter 3: Rules of Origin</t>
  </si>
  <si>
    <t>UK_India_CETA_Chapter_3_Rules_of_Origin.pdf</t>
  </si>
  <si>
    <t>https://assets.publishing.service.gov.uk/media/687e58acae8555bab409a070/uk_india_ceta_chapter_3_rules_of_origin.pdf</t>
  </si>
  <si>
    <t>Proof-of-origin options and claim procedures</t>
  </si>
  <si>
    <t>Supplier-level evidence is unavailable publicly.</t>
  </si>
  <si>
    <t>EXT_CETA_PSR</t>
  </si>
  <si>
    <t>Product-specific rules</t>
  </si>
  <si>
    <t>UK-India CETA Annex 3A: Product Specific Rules of Origin</t>
  </si>
  <si>
    <t>HS 2022</t>
  </si>
  <si>
    <t>UK_India_CETA_Annex_3A_Product_Specific_Rules_of_Origin.pdf</t>
  </si>
  <si>
    <t>https://assets.publishing.service.gov.uk/media/687e5e378adf4250705c96db/uk_india_ceta_annex3a_product_specific_rules_of_origin.pdf</t>
  </si>
  <si>
    <t>CTH + Standard QVC for Chapters 61/62</t>
  </si>
  <si>
    <t>Rules are legal eligibility tests, not evidence that any named supplier passes.</t>
  </si>
  <si>
    <t>EXT_CUSTOMS_VALUE</t>
  </si>
  <si>
    <t>Customs valuation</t>
  </si>
  <si>
    <t>Valuing imported goods using Method 1 (transaction value)</t>
  </si>
  <si>
    <t>Current guidance</t>
  </si>
  <si>
    <t>HMRC_Customs_Valuation_Method_1_2026.html</t>
  </si>
  <si>
    <t>https://www.gov.uk/guidance/valuing-imported-goods-using-method-1-transaction-value</t>
  </si>
  <si>
    <t>Confirms transport/insurance to UK border in customs value</t>
  </si>
  <si>
    <t>Actual declaration value can differ from OTS aggregate unit value.</t>
  </si>
  <si>
    <t>EXT_UK_MOROCCO</t>
  </si>
  <si>
    <t>UK-Morocco Association Agreement</t>
  </si>
  <si>
    <t>Effective from 2021</t>
  </si>
  <si>
    <t>UK_Morocco_Association_Agreement.pdf</t>
  </si>
  <si>
    <t>https://assets.publishing.service.gov.uk/media/5dfce6f6ed915d1f5dc3d3b6/CS_Morocco_2.2019_UK_Morocco_Agreement_establishing_an_Association.pdf</t>
  </si>
  <si>
    <t>Supports the named Morocco preference regime and origin-conditional treatment</t>
  </si>
  <si>
    <t>Download the official PDF directly.</t>
  </si>
  <si>
    <t>Official source identified</t>
  </si>
  <si>
    <t>Product-specific supplier compliance is not public.</t>
  </si>
  <si>
    <t>EXT_UK_TURKEY</t>
  </si>
  <si>
    <t>UK-Turkey Free Trade Agreement</t>
  </si>
  <si>
    <t>UK_Turkey_Free_Trade_Agreement.pdf</t>
  </si>
  <si>
    <t>https://assets.publishing.service.gov.uk/media/60350bd28fa8f543272b402e/CS_Turkey_1.2021_UK_Turkey_Free_Trade_Agreement.pdf</t>
  </si>
  <si>
    <t>Supports the named Turkey preference regime and origin-conditional treatment</t>
  </si>
  <si>
    <t>EXT_UK_VIETNAM</t>
  </si>
  <si>
    <t>UK-Vietnam Free Trade Agreement</t>
  </si>
  <si>
    <t>UK_Vietnam_Free_Trade_Agreement.pdf</t>
  </si>
  <si>
    <t>https://assets.publishing.service.gov.uk/media/5ff7380ed3bf7f65d69a5ca8/CS_Viet_Nam_1.2021_Free_Trade_Agreement_UK_Vietnam.pdf</t>
  </si>
  <si>
    <t>Supports the named Vietnam preference regime; UKGT JSON provides the code/date-specific rates</t>
  </si>
  <si>
    <t>Staging is code-specific; supplier origin compliance is not public.</t>
  </si>
  <si>
    <t>EXT_UN_LDC_BGD</t>
  </si>
  <si>
    <t>Policy Status</t>
  </si>
  <si>
    <t>Bangladesh graduation status</t>
  </si>
  <si>
    <t>United Nations LDC Portal / UN-OHRLLS</t>
  </si>
  <si>
    <t>Scheduled graduation 2026-11-24</t>
  </si>
  <si>
    <t>UN_Bangladesh_LDC_Graduation_Status_2026.html</t>
  </si>
  <si>
    <t>https://www.un.org/ldcportal/content/bangladesh-graduation-status</t>
  </si>
  <si>
    <t>Bangladesh LDC graduation date and future DCTS monitoring trigger</t>
  </si>
  <si>
    <t>Save the official page as HTML or PDF with the capture date.</t>
  </si>
  <si>
    <t>Confirms the UN graduation date only; the exact UK post-transition tier and effective rate require a later UK notice.</t>
  </si>
  <si>
    <t>Decision_ID</t>
  </si>
  <si>
    <t>Decision area</t>
  </si>
  <si>
    <t>Locked decision</t>
  </si>
  <si>
    <t>Rationale</t>
  </si>
  <si>
    <t>Alternative rejected</t>
  </si>
  <si>
    <t>Downstream consequence</t>
  </si>
  <si>
    <t>Revisit trigger</t>
  </si>
  <si>
    <t>D013</t>
  </si>
  <si>
    <t>Product basket</t>
  </si>
  <si>
    <t>Core CN8: 61091000, 61103099, 62044300 and 62052000. Reserve 62063000 remains inactive.</t>
  </si>
  <si>
    <t>Two knit/two woven codes span cotton and man-made fibres, China capability/duty exposure and Bangladesh-vs-India competition. India blended ratio is 1.202; focal probe-pair ratios are 1.575 for China, 1.846 for Bangladesh and 1.608 for India.</t>
  </si>
  <si>
    <t>Broad HS61/62 basket; HS63; five-code scope from the outset</t>
  </si>
  <si>
    <t>WP005 extracts exactly four core CN8 codes; results are product-specific, not a total-apparel estimate.</t>
  </si>
  <si>
    <t>Activate reserve only if India's representation ratio is below 0.80 or a core code fails mass coverage.</t>
  </si>
  <si>
    <t>Confirmed</t>
  </si>
  <si>
    <t>D014</t>
  </si>
  <si>
    <t>Duty/value basis</t>
  </si>
  <si>
    <t>Use HMRC CIF-style statistical value as the observed border-value proxy; apply tariff once; do not add international freight again.</t>
  </si>
  <si>
    <t>HMRC technical specification includes costs to arrival at the UK border for imports.</t>
  </si>
  <si>
    <t>Treat HMRC value as FOB and then add freight</t>
  </si>
  <si>
    <t>WP008 starts from border unit value; separate operational adjustments must be labelled and must not duplicate freight.</t>
  </si>
  <si>
    <t>A supplier-specific FOB dataset replaces HMRC market data.</t>
  </si>
  <si>
    <t>D015</t>
  </si>
  <si>
    <t>Trade extraction contract</t>
  </si>
  <si>
    <t>Monthly 2019-01 to 2026-06 at CN8 x origin x month for 10 named origins plus World; 2019-2025 full years and 2026 YTD separately.</t>
  </si>
  <si>
    <t>Preserves seasonality, pre-COVID context and the latest complete HMRC release while keeping 2026 partial-year treatment explicit.</t>
  </si>
  <si>
    <t>Annual-only; stop at 2025; include every country in the raw analytical table</t>
  </si>
  <si>
    <t>WP005 has a fixed grain, key, fields and coverage gate.</t>
  </si>
  <si>
    <t>HMRC revises June 2026 or a later release is intentionally adopted before extraction begins.</t>
  </si>
  <si>
    <t>D016</t>
  </si>
  <si>
    <t>Preference treatment</t>
  </si>
  <si>
    <t>Zero preferential rates are conditional on origin eligibility and valid proof; India CETA Chapters 61/62 require CTH and Standard QVC.</t>
  </si>
  <si>
    <t>CETA Annex 3A imposes a combined rule; Chapter 3 requires an origin declaration, certificate or importer knowledge for UK claims.</t>
  </si>
  <si>
    <t>Use statutory zero rate as an automatic base case</t>
  </si>
  <si>
    <t>WP008 must include eligible-preference and non-qualifying tariff scenarios.</t>
  </si>
  <si>
    <t>Supplier bill-of-materials and origin documentation become available.</t>
  </si>
  <si>
    <t>D017</t>
  </si>
  <si>
    <t>WP004 evidence closure</t>
  </si>
  <si>
    <t>Lock WP004 to HMRC Q0-Q8 and UKGT T01-T11 archived responses. Use inclusive HS2 totals for the market denominator and true-CN8 results for exact product analysis.</t>
  </si>
  <si>
    <t>Separates small residual EU commodity totals from exact-CN8 analysis and preserves a reproducible point-in-time tariff/data cut.</t>
  </si>
  <si>
    <t>Re-query live APIs on every open; silently overwrite the existing screen</t>
  </si>
  <si>
    <t>WP005 begins from a formally versioned scope and must produce its own monthly evidence archive.</t>
  </si>
  <si>
    <t>An intentional source refresh is approved and archived under a new decision date/version.</t>
  </si>
  <si>
    <t>Level</t>
  </si>
  <si>
    <t>Code</t>
  </si>
  <si>
    <t>Description</t>
  </si>
  <si>
    <t>2025 UK import value GBP</t>
  </si>
  <si>
    <t>2025 net mass kg</t>
  </si>
  <si>
    <t>Observed unit value GBP/kg</t>
  </si>
  <si>
    <t>Selection note</t>
  </si>
  <si>
    <t>Decision</t>
  </si>
  <si>
    <t>Evidence_Query_ID</t>
  </si>
  <si>
    <t>HS2</t>
  </si>
  <si>
    <t>61</t>
  </si>
  <si>
    <t>Articles of apparel, knitted or crocheted</t>
  </si>
  <si>
    <t>Largest of the three screened categories by value; coherent apparel scope.</t>
  </si>
  <si>
    <t>Retain for CN8 screening</t>
  </si>
  <si>
    <t>Q7</t>
  </si>
  <si>
    <t>62</t>
  </si>
  <si>
    <t>Articles of apparel, not knitted or crocheted</t>
  </si>
  <si>
    <t>Higher unit value and contains the 2026 India graduation event.</t>
  </si>
  <si>
    <t>63</t>
  </si>
  <si>
    <t>Other made-up textiles, worn clothing and rags</t>
  </si>
  <si>
    <t>Low GBP/kg and heterogeneous heavy products make a landed-cost basket misleading.</t>
  </si>
  <si>
    <t>Exclude from core</t>
  </si>
  <si>
    <t>Q6</t>
  </si>
  <si>
    <t>HS4</t>
  </si>
  <si>
    <t>6109</t>
  </si>
  <si>
    <t>T-shirts, singlets and other vests, knitted or crocheted</t>
  </si>
  <si>
    <t>Large replenishment heading; 61091000 represents about 69% of heading value.</t>
  </si>
  <si>
    <t>Candidate heading</t>
  </si>
  <si>
    <t>Q3</t>
  </si>
  <si>
    <t>6110</t>
  </si>
  <si>
    <t>Jerseys, pullovers, cardigans and similar, knitted or crocheted</t>
  </si>
  <si>
    <t>Largest screened knit heading; supports the man-made-fibre China probe.</t>
  </si>
  <si>
    <t>6203</t>
  </si>
  <si>
    <t>Men's/boys' woven suits, jackets and trousers</t>
  </si>
  <si>
    <t>Material woven heading, but more heterogeneous at heading level.</t>
  </si>
  <si>
    <t>Screened; not core</t>
  </si>
  <si>
    <t>6204</t>
  </si>
  <si>
    <t>Women's/girls' woven outerwear and garments</t>
  </si>
  <si>
    <t>Largest screened woven heading; 62044300 provides a narrow synthetic dress line.</t>
  </si>
  <si>
    <t>CN8 code</t>
  </si>
  <si>
    <t>Product description</t>
  </si>
  <si>
    <t>Construction</t>
  </si>
  <si>
    <t>Fibre</t>
  </si>
  <si>
    <t>Basket role</t>
  </si>
  <si>
    <t>2025 world value GBP</t>
  </si>
  <si>
    <t>2025 world net mass kg</t>
  </si>
  <si>
    <t>World unit value GBP/kg</t>
  </si>
  <si>
    <t>China value GBP</t>
  </si>
  <si>
    <t>China share</t>
  </si>
  <si>
    <t>Bangladesh value GBP</t>
  </si>
  <si>
    <t>Bangladesh share</t>
  </si>
  <si>
    <t>India value GBP</t>
  </si>
  <si>
    <t>India share</t>
  </si>
  <si>
    <t>Inclusion status</t>
  </si>
  <si>
    <t>Decision rationale</t>
  </si>
  <si>
    <t>Caveat</t>
  </si>
  <si>
    <t>61091000</t>
  </si>
  <si>
    <t>T-shirts, singlets and other vests of cotton, knitted or crocheted</t>
  </si>
  <si>
    <t>Knitted</t>
  </si>
  <si>
    <t>Cotton</t>
  </si>
  <si>
    <t>Bangladesh-vs-India zero-duty contest</t>
  </si>
  <si>
    <t>Core</t>
  </si>
  <si>
    <t>High-volume, narrow cotton replenishment line with material Bangladesh and India presence.</t>
  </si>
  <si>
    <t>Whole-market unit value, not NEXT FOB.</t>
  </si>
  <si>
    <t>Q2; Q3</t>
  </si>
  <si>
    <t>61103099</t>
  </si>
  <si>
    <t>Women's/girls' jerseys, pullovers, cardigans and similar of man-made fibres, residual line</t>
  </si>
  <si>
    <t>Man-made fibres</t>
  </si>
  <si>
    <t>China capability / duty exposure probe</t>
  </si>
  <si>
    <t>China has a large share; tests whether 12% duty is justified by capability.</t>
  </si>
  <si>
    <t>Least homogeneous core code; expect broader product-mix dispersion.</t>
  </si>
  <si>
    <t>62044300</t>
  </si>
  <si>
    <t>Women's/girls' dresses of synthetic fibres, not knitted or crocheted</t>
  </si>
  <si>
    <t>Woven</t>
  </si>
  <si>
    <t>Synthetic fibres</t>
  </si>
  <si>
    <t>Narrow high-unit-value fashion line with strong China exposure and India presence.</t>
  </si>
  <si>
    <t>Fashion and quality mix can move GBP/kg.</t>
  </si>
  <si>
    <t>62052000</t>
  </si>
  <si>
    <t>6205</t>
  </si>
  <si>
    <t>Men's/boys' shirts of cotton, not knitted or crocheted</t>
  </si>
  <si>
    <t>Cotton woven line with meaningful Bangladesh and India shares and low China exposure.</t>
  </si>
  <si>
    <t>India remains modest in absolute UK value.</t>
  </si>
  <si>
    <t>62063000</t>
  </si>
  <si>
    <t>6206</t>
  </si>
  <si>
    <t>Women's/girls' blouses and shirts of cotton, not knitted or crocheted</t>
  </si>
  <si>
    <t>Reserve India representation code</t>
  </si>
  <si>
    <t>Reserve - inactive</t>
  </si>
  <si>
    <t>Activate only if India's blended representation ratio &lt;0.80 or a later core code fails mass coverage.</t>
  </si>
  <si>
    <t>Adding it now would multiply WP005-WP008 work without changing the current decision.</t>
  </si>
  <si>
    <t>Not extracted - inactive reserve</t>
  </si>
  <si>
    <t>Origin</t>
  </si>
  <si>
    <t>2025 total HS61+62 value GBP</t>
  </si>
  <si>
    <t>Overall HS61+62 share</t>
  </si>
  <si>
    <t>Core-basket value GBP</t>
  </si>
  <si>
    <t>Core-basket share</t>
  </si>
  <si>
    <t>Blended representation ratio</t>
  </si>
  <si>
    <t>China-probe pair value GBP</t>
  </si>
  <si>
    <t>China-probe pair share</t>
  </si>
  <si>
    <t>China-probe representation ratio</t>
  </si>
  <si>
    <t>Bangladesh-India pair value GBP</t>
  </si>
  <si>
    <t>Bangladesh-India pair share</t>
  </si>
  <si>
    <t>Bangladesh-India representation ratio</t>
  </si>
  <si>
    <t>India reserve threshold</t>
  </si>
  <si>
    <t>Reserve result</t>
  </si>
  <si>
    <t>Interpretation</t>
  </si>
  <si>
    <t>Bangladesh</t>
  </si>
  <si>
    <t>Not applicable - pair diagnostic</t>
  </si>
  <si>
    <t>Cotton probe intentionally over-represents Bangladesh (pair ratio 1.846).</t>
  </si>
  <si>
    <t>Q2; Q3; Q4; Q7</t>
  </si>
  <si>
    <t>China</t>
  </si>
  <si>
    <t>Blended ratio is 0.769, but the designated synthetic probe over-represents China (1.575); the reserve trigger is India-only.</t>
  </si>
  <si>
    <t>India</t>
  </si>
  <si>
    <t>India passes the blended 0.80 trigger (1.202) and is over-represented in its designated cotton pair (1.608).</t>
  </si>
  <si>
    <t>World</t>
  </si>
  <si>
    <t>Denominator</t>
  </si>
  <si>
    <t>Inclusive world denominator; never add this row to origin values.</t>
  </si>
  <si>
    <t>Q3; Q7</t>
  </si>
  <si>
    <t>HS chapter</t>
  </si>
  <si>
    <t>2025 regime</t>
  </si>
  <si>
    <t>2025 rate</t>
  </si>
  <si>
    <t>2026-01-01 to 2026-07-14 regime</t>
  </si>
  <si>
    <t>Pre-CETA 2026 rate</t>
  </si>
  <si>
    <t>From 2026-07-15 regime</t>
  </si>
  <si>
    <t>Current rate</t>
  </si>
  <si>
    <t>Preference conditional?</t>
  </si>
  <si>
    <t>Origin / policy note</t>
  </si>
  <si>
    <t>Future regime change</t>
  </si>
  <si>
    <t>Source_IDs</t>
  </si>
  <si>
    <t>DCTS Comprehensive</t>
  </si>
  <si>
    <t>Yes</t>
  </si>
  <si>
    <t>Preference requires the applicable origin rule and proof.</t>
  </si>
  <si>
    <t>UN LDC graduation scheduled for 2026-11-24. DCTS Comprehensive Preferences continue during a three-year transition; UK guidance states that a 2026 graduate remains Comprehensive until 2029. Treat 2029 as a mandatory rate/tier recheck, not a confirmed tariff cliff. Apparel origin rules are currently intended to remain unchanged on transition to Enhanced Preferences.</t>
  </si>
  <si>
    <t>EXT_UKGT; EXT_DCTS_2026; EXT_DCTS_ROO; EXT_UN_LDC_BGD</t>
  </si>
  <si>
    <t>T01; T02</t>
  </si>
  <si>
    <t>T03</t>
  </si>
  <si>
    <t>T04; T09; T11</t>
  </si>
  <si>
    <t>T05; T06</t>
  </si>
  <si>
    <t>Cambodia</t>
  </si>
  <si>
    <t>EXT_UKGT; EXT_DCTS_2026</t>
  </si>
  <si>
    <t>UKGT / MFN</t>
  </si>
  <si>
    <t>No</t>
  </si>
  <si>
    <t>No preferential arrangement assumed; UKGT/MFN rate.</t>
  </si>
  <si>
    <t>DCTS Standard</t>
  </si>
  <si>
    <t>UK-India CETA</t>
  </si>
  <si>
    <t>Chapter 61 remained on DCTS Standard until CETA entry into force; CETA zero is origin-conditional.</t>
  </si>
  <si>
    <t>EXT_UKGT; EXT_DCTS_GRAD; EXT_CETA_ANNEX2A; EXT_CETA_TARIFF; EXT_CETA_PSR</t>
  </si>
  <si>
    <t>UKGT after DCTS graduation</t>
  </si>
  <si>
    <t>Chapter 62 graduated from DCTS on 2026-01-01; CETA zero from 2026-07-15 for originating goods.</t>
  </si>
  <si>
    <t>Morocco</t>
  </si>
  <si>
    <t>EXT_UKGT; EXT_UK_MOROCCO</t>
  </si>
  <si>
    <t>Myanmar</t>
  </si>
  <si>
    <t>Tariff preference is origin-conditional; separate D008 responsible-sourcing gate applies before any recommendation.</t>
  </si>
  <si>
    <t>Pakistan</t>
  </si>
  <si>
    <t>DCTS Enhanced</t>
  </si>
  <si>
    <t>Sri Lanka</t>
  </si>
  <si>
    <t>Turkey</t>
  </si>
  <si>
    <t>UK-Turkey FTA</t>
  </si>
  <si>
    <t>EXT_UKGT; EXT_UK_TURKEY</t>
  </si>
  <si>
    <t>Vietnam</t>
  </si>
  <si>
    <t>UKVFTA / CPTPP</t>
  </si>
  <si>
    <t>EXT_UKGT; EXT_UK_VIETNAM</t>
  </si>
  <si>
    <t>Staged preferential rate for this code; origin compliance required.</t>
  </si>
  <si>
    <t>Origin / group</t>
  </si>
  <si>
    <t>Regime</t>
  </si>
  <si>
    <t>Selected-code tariff treatment</t>
  </si>
  <si>
    <t>Product-specific origin rule / claim basis</t>
  </si>
  <si>
    <t>Required proof or evidence</t>
  </si>
  <si>
    <t>WP008 treatment</t>
  </si>
  <si>
    <t>Gate status</t>
  </si>
  <si>
    <t>UKGT_Query_IDs</t>
  </si>
  <si>
    <t>12% on all four core codes</t>
  </si>
  <si>
    <t>No preference claimed</t>
  </si>
  <si>
    <t>Customs classification and origin declaration under normal import rules</t>
  </si>
  <si>
    <t>Use 12% base case</t>
  </si>
  <si>
    <t>Locked</t>
  </si>
  <si>
    <t>Does not include VAT or product-specific trade remedies.</t>
  </si>
  <si>
    <t>T01-T08 current descendants</t>
  </si>
  <si>
    <t>0% from 2026-07-15 for originating Chapters 61/62 goods</t>
  </si>
  <si>
    <t>CTH AND Standard QVC: 40% ex-works build-down, 45% FOB build-down, or 35% build-up</t>
  </si>
  <si>
    <t>Exporter/producer origin declaration; certificate of origin; or importer knowledge with supporting records</t>
  </si>
  <si>
    <t>Model eligible 0% and non-qualifying 12% scenarios</t>
  </si>
  <si>
    <t>Conditional</t>
  </si>
  <si>
    <t>EXT_CETA_CH3; EXT_CETA_PSR; EXT_CETA_ANNEX2A; EXT_CETA_TARIFF</t>
  </si>
  <si>
    <t>DCTS declarations do not automatically establish CETA origin.</t>
  </si>
  <si>
    <t>T01-T08; T10; T11 plus DCTS/CETA legal sources</t>
  </si>
  <si>
    <t>Bangladesh / Cambodia / Myanmar</t>
  </si>
  <si>
    <t>0% selected codes if DCTS origin rules are met</t>
  </si>
  <si>
    <t>Applicable DCTS garment product-specific rule</t>
  </si>
  <si>
    <t>Valid DCTS proof of origin and processing evidence</t>
  </si>
  <si>
    <t>0% only after origin and D008 gates</t>
  </si>
  <si>
    <t>EXT_DCTS_2026; EXT_DCTS_ROO</t>
  </si>
  <si>
    <t>Myanmar requires a separate mandatory responsible-sourcing decision.</t>
  </si>
  <si>
    <t>Pakistan / Sri Lanka</t>
  </si>
  <si>
    <t>0% selected codes verified; garment rules liberalised from 2026-01-01</t>
  </si>
  <si>
    <t>Enhanced garment rules aligned with Comprehensive garment PSRs for Chapters 61/62</t>
  </si>
  <si>
    <t>0% only after origin gate</t>
  </si>
  <si>
    <t>Tier-wide 92% duty-free coverage is not itself evidence for a code; selected codes were checked.</t>
  </si>
  <si>
    <t>0% selected codes if origin conditions are met</t>
  </si>
  <si>
    <t>FTA product-specific origin rule</t>
  </si>
  <si>
    <t>Valid preferential-origin evidence</t>
  </si>
  <si>
    <t>0% eligible scenario; retain 12% fallback</t>
  </si>
  <si>
    <t>Supplier-specific origin compliance is not public.</t>
  </si>
  <si>
    <t>Agreement product-specific origin rule</t>
  </si>
  <si>
    <t>0% on three core codes; 62044300 staged at 3% in 2025 and 1.5% in 2026</t>
  </si>
  <si>
    <t>Use code-specific eligible rate and 12% fallback</t>
  </si>
  <si>
    <t>Do not simplify Vietnam to 0% for every selected code.</t>
  </si>
  <si>
    <t>T01-T09; T11</t>
  </si>
  <si>
    <t>Alternative scenario</t>
  </si>
  <si>
    <t>Alternative pre-duty border index</t>
  </si>
  <si>
    <t>China tariff</t>
  </si>
  <si>
    <t>Alternative tariff</t>
  </si>
  <si>
    <t>Alternative duty-paid index</t>
  </si>
  <si>
    <t>China maximum pre-duty index at parity</t>
  </si>
  <si>
    <t>Required China discount</t>
  </si>
  <si>
    <t>Formula / use</t>
  </si>
  <si>
    <t>Origin-compliant zero-duty alternative</t>
  </si>
  <si>
    <t>E=B*(1+D); F=E/(1+C); G=1-F/B</t>
  </si>
  <si>
    <t>China must be 10.71% cheaper before duty to match a zero-duty alternative.</t>
  </si>
  <si>
    <t>T01-T08</t>
  </si>
  <si>
    <t>Vietnam 62044300 at 1.5%</t>
  </si>
  <si>
    <t>Same general formula with the alternative's non-zero tariff.</t>
  </si>
  <si>
    <t>China must be 9.38% cheaper before duty; do not default every comparison to 10.71%.</t>
  </si>
  <si>
    <t>Both origins fall back to 12%</t>
  </si>
  <si>
    <t>Non-qualifying preference scenario.</t>
  </si>
  <si>
    <t>No tariff-driven China discount is required when both origins face 12%; other costs/capability still matter.</t>
  </si>
  <si>
    <t>APPAREL-labelled sites</t>
  </si>
  <si>
    <t>Keyword-flagged non-garment sites</t>
  </si>
  <si>
    <t>Flagged share</t>
  </si>
  <si>
    <t>Residual garment-proxy maximum</t>
  </si>
  <si>
    <t>Rule</t>
  </si>
  <si>
    <t>Distortion is China-specific: footwear, leather goods, headwear, eyewear, umbrellas and jewellery appear inside APPAREL.</t>
  </si>
  <si>
    <t>Lower-bound keyword diagnostic; not a reclassification.</t>
  </si>
  <si>
    <t>APPAREL is a much stronger garment proxy than in China, but still not an HS mapping.</t>
  </si>
  <si>
    <t>APPAREL is a strong garment proxy in this screen.</t>
  </si>
  <si>
    <t>Turkey + Sri Lanka + Cambodia + Morocco + Myanmar</t>
  </si>
  <si>
    <t>No keyword-flagged non-garment sites in the combined screen.</t>
  </si>
  <si>
    <t>Zero flags do not prove every site is a garment factory.</t>
  </si>
  <si>
    <t>Series</t>
  </si>
  <si>
    <t>H1 2025 net mass kg</t>
  </si>
  <si>
    <t>H1 2026 net mass kg</t>
  </si>
  <si>
    <t>H1 2025 index</t>
  </si>
  <si>
    <t>H1 2026 index</t>
  </si>
  <si>
    <t>Change</t>
  </si>
  <si>
    <t>Expected under simple tariff hypothesis</t>
  </si>
  <si>
    <t>Observed verdict</t>
  </si>
  <si>
    <t>Use in project</t>
  </si>
  <si>
    <t>India HS61 net mass</t>
  </si>
  <si>
    <t>Control: remained at 9.6% through H1 2026</t>
  </si>
  <si>
    <t>Fell about 8.0%</t>
  </si>
  <si>
    <t>Context only</t>
  </si>
  <si>
    <t>EXT_HMRC_OTS; EXT_DCTS_GRAD</t>
  </si>
  <si>
    <t>Q5</t>
  </si>
  <si>
    <t>India HS62 net mass</t>
  </si>
  <si>
    <t>Treatment: duty rose 9.6% to 12%</t>
  </si>
  <si>
    <t>Rose about 9.4%</t>
  </si>
  <si>
    <t>HS62 minus HS61 change</t>
  </si>
  <si>
    <t>Negative if the tariff increase reduced relative volume</t>
  </si>
  <si>
    <t>+17.4 percentage points; opposite sign</t>
  </si>
  <si>
    <t>Do not estimate causal elasticity</t>
  </si>
  <si>
    <t>Cambodia placebo — HS62 minus HS61 change</t>
  </si>
  <si>
    <t>No India-specific Chapter 62 graduation; DCTS Comprehensive rate remained 0%.</t>
  </si>
  <si>
    <t>+13.5pp; same direction and similar magnitude to India.</t>
  </si>
  <si>
    <t>Placebo evidence — undermines simple causal attribution.</t>
  </si>
  <si>
    <t>Q8</t>
  </si>
  <si>
    <t>Pakistan placebo — HS62 minus HS61 change</t>
  </si>
  <si>
    <t>No India-specific Chapter 62 graduation; DCTS Enhanced rate remained 0%.</t>
  </si>
  <si>
    <t>+43.7pp; materially larger than India.</t>
  </si>
  <si>
    <t>Placebo evidence — rejects simple causal attribution.</t>
  </si>
  <si>
    <t>Vietnam comparison — HS62 minus HS61 change</t>
  </si>
  <si>
    <t>Comparison origin; not a clean untreated control because UKVFTA staging continued for some lines.</t>
  </si>
  <si>
    <t>+47.5pp; materially larger than India, but interpret cautiously.</t>
  </si>
  <si>
    <t>Supporting comparison — reinforces rejection of the simple design.</t>
  </si>
  <si>
    <t>2025 world total value GBP</t>
  </si>
  <si>
    <t>World value with positive net mass</t>
  </si>
  <si>
    <t>World value coverage</t>
  </si>
  <si>
    <t>Ten-origin total value GBP</t>
  </si>
  <si>
    <t>Ten-origin value with positive net mass</t>
  </si>
  <si>
    <t>Ten-origin value coverage</t>
  </si>
  <si>
    <t>Threshold</t>
  </si>
  <si>
    <t>WP005 requirement</t>
  </si>
  <si>
    <t>Repeat at CN8 x origin x month for 2019-01 to 2026-06; flag/impute nothing silently.</t>
  </si>
  <si>
    <t>Sheet</t>
  </si>
  <si>
    <t>Field / term</t>
  </si>
  <si>
    <t>Type</t>
  </si>
  <si>
    <t>Definition</t>
  </si>
  <si>
    <t>Source</t>
  </si>
  <si>
    <t>Decimal</t>
  </si>
  <si>
    <t>Market-level import value per kilogram.</t>
  </si>
  <si>
    <t>Import value GBP / net mass kg</t>
  </si>
  <si>
    <t>EXT_HMRC_OTS (Q3/Q6/Q7)</t>
  </si>
  <si>
    <t>Mix, quality and CIF-style valuation; not NEXT FOB.</t>
  </si>
  <si>
    <t>Text</t>
  </si>
  <si>
    <t>Eight-digit commodity used in HMRC statistics.</t>
  </si>
  <si>
    <t>Preserve as text</t>
  </si>
  <si>
    <t>EXT_HMRC_OTS Q0</t>
  </si>
  <si>
    <t>Import tariff declarations use more granular 10-digit descendants.</t>
  </si>
  <si>
    <t>Strategic question each code is designed to test.</t>
  </si>
  <si>
    <t>China capability/duty or Bangladesh-vs-India contest</t>
  </si>
  <si>
    <t>Purpose-built basket is not a whole-market estimate.</t>
  </si>
  <si>
    <t>Core-basket origin share divided by total HS61+62 origin share.</t>
  </si>
  <si>
    <t>Core basket share / overall share</t>
  </si>
  <si>
    <t>EXT_HMRC_OTS Q2-Q4/Q7</t>
  </si>
  <si>
    <t>The 0.80 reserve rule applies to India only.</t>
  </si>
  <si>
    <t>Probe-pair representation ratio</t>
  </si>
  <si>
    <t>Named probe-pair origin share divided by the same origin's overall HS61+62 share.</t>
  </si>
  <si>
    <t>Probe pair share / overall share</t>
  </si>
  <si>
    <t>Purpose-specific diagnostic, not a statistical confidence test.</t>
  </si>
  <si>
    <t>Percentage</t>
  </si>
  <si>
    <t>Pre-committed trigger for activating 62063000.</t>
  </si>
  <si>
    <t>0.80; India blended ratio only</t>
  </si>
  <si>
    <t>Governance trigger, not a confidence interval.</t>
  </si>
  <si>
    <t>Selected-code rate from 2026-07-15 under the named regime.</t>
  </si>
  <si>
    <t>Date/origin/code-specific lookup</t>
  </si>
  <si>
    <t>EXT_UKGT T01-T08 plus legal sources</t>
  </si>
  <si>
    <t>Preference requires origin compliance.</t>
  </si>
  <si>
    <t>HMRC_Query_Manifest</t>
  </si>
  <si>
    <t>Canonical replay URL</t>
  </si>
  <si>
    <t>Text/URL</t>
  </si>
  <si>
    <t>Deterministic OData request that reproduces the archived response logic.</t>
  </si>
  <si>
    <t>Endpoint + encoded query parameters</t>
  </si>
  <si>
    <t>A live replay can change if HMRC revises data.</t>
  </si>
  <si>
    <t>UKGT_Query_Manifest</t>
  </si>
  <si>
    <t>Dated Trade Tariff API request for one 10-digit commodity.</t>
  </si>
  <si>
    <t>Commodity endpoint + as_of date</t>
  </si>
  <si>
    <t>Response does not prove supplier origin eligibility.</t>
  </si>
  <si>
    <t>Tariff_Snapshot</t>
  </si>
  <si>
    <t>Direct preference</t>
  </si>
  <si>
    <t>Direct geographical-area tariff-preference measure parsed from the dated response.</t>
  </si>
  <si>
    <t>Measure type 142 + country geography</t>
  </si>
  <si>
    <t>Blank means no direct measure in that response; a scheme/group measure may still require a legal membership check.</t>
  </si>
  <si>
    <t>CTH</t>
  </si>
  <si>
    <t>Change in tariff heading: non-originating materials must change at the four-digit level.</t>
  </si>
  <si>
    <t>Annex 3A headnote</t>
  </si>
  <si>
    <t>Only one part of a combined rule for Chapters 61/62.</t>
  </si>
  <si>
    <t>Standard QVC</t>
  </si>
  <si>
    <t>Qualifying value content threshold: 40% ex-works build-down, 45% FOB build-down, or 35% build-up.</t>
  </si>
  <si>
    <t>Supplier bill-of-materials evidence is unavailable publicly.</t>
  </si>
  <si>
    <t>Pre-duty border-value discount China needs to offset the tariff differential.</t>
  </si>
  <si>
    <t>1 - (1 + alternative tariff)/(1 + China tariff)</t>
  </si>
  <si>
    <t>D014; EXT_UKGT</t>
  </si>
  <si>
    <t>Requires comparable products/capability and excludes other cost differences.</t>
  </si>
  <si>
    <t>2025 world value coverage</t>
  </si>
  <si>
    <t>Share of 2025 code value associated with positive net mass.</t>
  </si>
  <si>
    <t>Value where net mass &gt;0 / total value</t>
  </si>
  <si>
    <t>EXT_HMRC_OTS Q3</t>
  </si>
  <si>
    <t>WP005 must repeat at country-month grain across the full period.</t>
  </si>
  <si>
    <t>H1 index</t>
  </si>
  <si>
    <t>Index</t>
  </si>
  <si>
    <t>H1 net mass normalised to 100 in 2025.</t>
  </si>
  <si>
    <t>2026 H1 mass / 2025 H1 mass x 100</t>
  </si>
  <si>
    <t>EXT_HMRC_OTS Q5</t>
  </si>
  <si>
    <t>Diagnostic only; no causal control for product mix or supply shocks.</t>
  </si>
  <si>
    <t>World denominator</t>
  </si>
  <si>
    <t>Inclusive UK imports used in market-share denominators.</t>
  </si>
  <si>
    <t>Include residual HS2 amounts at market level; do not combine World with countries</t>
  </si>
  <si>
    <t>EXT_HMRC_OTS Q7</t>
  </si>
  <si>
    <t>Exact CN8 analyses remain based on true CN8 rows.</t>
  </si>
  <si>
    <t>All analytical sheets</t>
  </si>
  <si>
    <t>Foreign key to HMRC_Query_Manifest or UKGT_Query_Manifest.</t>
  </si>
  <si>
    <t>Semicolon-separated query IDs where multiple responses support a row</t>
  </si>
  <si>
    <t>WP004 manifests</t>
  </si>
  <si>
    <t>Does not replace Source_ID, which identifies the publisher/dataset family.</t>
  </si>
  <si>
    <t>HS62-minus-HS61 change</t>
  </si>
  <si>
    <t>Percentage points</t>
  </si>
  <si>
    <t>Difference between the HS62 and HS61 H1 net-mass growth rates for the same origin.</t>
  </si>
  <si>
    <t>(HS62 H1 2026 / HS62 H1 2025 - 1) - (HS61 H1 2026 / HS61 H1 2025 - 1)</t>
  </si>
  <si>
    <t>EXT_HMRC_OTS Q5/Q8</t>
  </si>
  <si>
    <t>Contemporaneous falsification diagnostic; not a causal elasticity estimate or formal pre-treatment parallel-trends test.</t>
  </si>
  <si>
    <t>Known dated policy transition or mandatory future tariff/tier recheck.</t>
  </si>
  <si>
    <t>Record the official date, transition mechanism and monitoring trigger; blank means no change was logged, not proof that no future change exists.</t>
  </si>
  <si>
    <t>EXT_UN_LDC_BGD; EXT_DCTS_2026; EXT_DCTS_ROO</t>
  </si>
  <si>
    <t>The exact post-transition UK tier, effective date and selected-code rates may require a later country-graduation notice.</t>
  </si>
  <si>
    <t>Handoff item</t>
  </si>
  <si>
    <t>Locked specification</t>
  </si>
  <si>
    <t>Why / QC requirement</t>
  </si>
  <si>
    <t>WP005 output field or file</t>
  </si>
  <si>
    <t>Period</t>
  </si>
  <si>
    <t>2019-01 to 2026-06 monthly; 2019-2025 full-year; 2026 YTD separate</t>
  </si>
  <si>
    <t>Never annualise the partial 2026 observation.</t>
  </si>
  <si>
    <t>month_id; period_type</t>
  </si>
  <si>
    <t>Core CN8</t>
  </si>
  <si>
    <t>61091000; 61103099; 62044300; 62052000</t>
  </si>
  <si>
    <t>Reserve 62063000 is not extracted unless trigger changes.</t>
  </si>
  <si>
    <t>commodity_code_cn8</t>
  </si>
  <si>
    <t>Bangladesh; Cambodia; China; India; Morocco; Myanmar; Pakistan; Sri Lanka; Turkey; Vietnam; World</t>
  </si>
  <si>
    <t>World is denominator, not an origin row to combine with countries.</t>
  </si>
  <si>
    <t>origin_country; origin_iso</t>
  </si>
  <si>
    <t>Grain</t>
  </si>
  <si>
    <t>One row per CN8 x origin x month x flow after summing ports/suppression rows as appropriate</t>
  </si>
  <si>
    <t>Composite key must be unique after aggregation.</t>
  </si>
  <si>
    <t>commodity_code_cn8 + origin_iso + month_id + flow</t>
  </si>
  <si>
    <t>Flow</t>
  </si>
  <si>
    <t>UK imports only</t>
  </si>
  <si>
    <t>Do not mix exports or EU/non-EU flow definitions.</t>
  </si>
  <si>
    <t>flow = Import</t>
  </si>
  <si>
    <t>Required measures</t>
  </si>
  <si>
    <t>Statistical value GBP; net mass kg; supplementary quantity where available; suppression index</t>
  </si>
  <si>
    <t>Keep raw and aggregated fields; do not impute suppressed mass silently.</t>
  </si>
  <si>
    <t>import_value_gbp; net_mass_kg; supplementary_quantity; suppression_index</t>
  </si>
  <si>
    <t>Derived measures</t>
  </si>
  <si>
    <t>Unit value GBP/kg; origin market share; YoY; rolling 12-month value/mass; volatility</t>
  </si>
  <si>
    <t>Calculate at CN8 before product aggregation.</t>
  </si>
  <si>
    <t>unit_value_gbp_per_kg; value_share; yoy; r12; volatility</t>
  </si>
  <si>
    <t>&gt;=99.5% of value has positive mass at CN8 x origin x month; WP004's 2025 screen is only the pre-check</t>
  </si>
  <si>
    <t>If failed, use value/alternative quantity or flag series; do not report partial £/kg as complete.</t>
  </si>
  <si>
    <t>mass_value_coverage; mass_gate_status</t>
  </si>
  <si>
    <t>2022 break</t>
  </si>
  <si>
    <t>For market-wide EU comparisons, 2022 onward is primary like-for-like; 2019-2021 context only</t>
  </si>
  <si>
    <t>Carry comparability flag into every market-wide output.</t>
  </si>
  <si>
    <t>eu_methodology_comparable_flag</t>
  </si>
  <si>
    <t>Tariff join</t>
  </si>
  <si>
    <t>Join by origin + code + effective date; retain statutory and eligible-preference scenario rates</t>
  </si>
  <si>
    <t>Use Tariff_Matrix plus T01-T11 evidence; preference is conditional and must not overwrite the statutory fallback.</t>
  </si>
  <si>
    <t>statutory_rate; preference_rate; preference_eligibility_status</t>
  </si>
  <si>
    <t>Output file</t>
  </si>
  <si>
    <t>NEXT_WP005_HMRC_Monthly_Trade_Core4_2019-01_to_2026-06.csv</t>
  </si>
  <si>
    <t>SQL-ready UTF-8 CSV; codes/IDs stored as text; archive the exact API response and query manifest.</t>
  </si>
  <si>
    <t>File deliverable</t>
  </si>
  <si>
    <t>SQL table</t>
  </si>
  <si>
    <t>stg_hmrc_imports_core4 then fct_hmrc_import_monthly</t>
  </si>
  <si>
    <t>Load raw/staging first; aggregate and validate in SQL.</t>
  </si>
  <si>
    <t>Database deliverable</t>
  </si>
  <si>
    <t>QC_ID</t>
  </si>
  <si>
    <t>Check</t>
  </si>
  <si>
    <t>Expected rule</t>
  </si>
  <si>
    <t>Actual result</t>
  </si>
  <si>
    <t>Exception count</t>
  </si>
  <si>
    <t>Resolution / handoff</t>
  </si>
  <si>
    <t>Reviewer</t>
  </si>
  <si>
    <t>Review date</t>
  </si>
  <si>
    <t>QC001</t>
  </si>
  <si>
    <t>Core-code count</t>
  </si>
  <si>
    <t>Exactly four core CN8 codes; reserve excluded.</t>
  </si>
  <si>
    <t>Four core and one inactive reserve.</t>
  </si>
  <si>
    <t>Pass</t>
  </si>
  <si>
    <t>D013 locked.</t>
  </si>
  <si>
    <t>Project analyst</t>
  </si>
  <si>
    <t>QC002</t>
  </si>
  <si>
    <t>Knit/woven balance</t>
  </si>
  <si>
    <t>At least two knit and two woven core codes.</t>
  </si>
  <si>
    <t>2 knit / 2 woven.</t>
  </si>
  <si>
    <t>Policy split retained.</t>
  </si>
  <si>
    <t>QC003</t>
  </si>
  <si>
    <t>Cotton/MMF balance</t>
  </si>
  <si>
    <t>Core basket includes cotton and man-made/synthetic fibres.</t>
  </si>
  <si>
    <t>Two cotton and two MMF/synthetic probes.</t>
  </si>
  <si>
    <t>Capability contrast retained.</t>
  </si>
  <si>
    <t>QC004</t>
  </si>
  <si>
    <t>Basket arithmetic</t>
  </si>
  <si>
    <t>Core values reconcile to the inclusive HS61+62 denominator.</t>
  </si>
  <si>
    <t>GBP 2,554,995,126; 15.79% of GBP 16,177,251,820.</t>
  </si>
  <si>
    <t>Q3 numerator; Q7 inclusive denominator.</t>
  </si>
  <si>
    <t>QC005</t>
  </si>
  <si>
    <t>India reserve trigger</t>
  </si>
  <si>
    <t>India blended representation ratio &gt;=0.80 or reserve activates.</t>
  </si>
  <si>
    <t>1.202; reserve inactive.</t>
  </si>
  <si>
    <t>Keep 62063000 out of WP005.</t>
  </si>
  <si>
    <t>QC006</t>
  </si>
  <si>
    <t>Probe-pair representativeness</t>
  </si>
  <si>
    <t>Report the pair designed for each focal origin; do not apply the India threshold to China.</t>
  </si>
  <si>
    <t>China 1.575; Bangladesh 1.846; India 1.608.</t>
  </si>
  <si>
    <t>Blended China 0.769 is explained by the bimodal design.</t>
  </si>
  <si>
    <t>QC007</t>
  </si>
  <si>
    <t>2025 mass coverage</t>
  </si>
  <si>
    <t>Each core code has &gt;=99.5% value coverage in the 2025 screen.</t>
  </si>
  <si>
    <t>All four core codes: 100% world and ten-origin coverage.</t>
  </si>
  <si>
    <t>Repeat at CN8 x origin x month in WP005.</t>
  </si>
  <si>
    <t>QC008</t>
  </si>
  <si>
    <t>Tariff matrix completeness</t>
  </si>
  <si>
    <t>10 origins x 4 codes = 40 rows with three time windows.</t>
  </si>
  <si>
    <t>40 complete origin-code rows.</t>
  </si>
  <si>
    <t>Date-specific join ready.</t>
  </si>
  <si>
    <t>QC009</t>
  </si>
  <si>
    <t>India graduation split</t>
  </si>
  <si>
    <t>2026 H1 HS61=9.6%; HS62=12%; current CETA=0% conditional.</t>
  </si>
  <si>
    <t>Split recorded; pre-CETA API checks contain no direct India measure.</t>
  </si>
  <si>
    <t>DCTS graduation + CETA legal sources retained.</t>
  </si>
  <si>
    <t>QC010</t>
  </si>
  <si>
    <t>Vietnam staging</t>
  </si>
  <si>
    <t>62044300 is 3.0% in 2025 and 1.5% in 2026.</t>
  </si>
  <si>
    <t>T09=3.0%; T04/T11=1.5%.</t>
  </si>
  <si>
    <t>9.38% break-even scenario added.</t>
  </si>
  <si>
    <t>QC011</t>
  </si>
  <si>
    <t>CETA combined origin rule</t>
  </si>
  <si>
    <t>Chapters 61/62 = CTH AND Standard QVC.</t>
  </si>
  <si>
    <t>Combined rule and three QVC methods recorded.</t>
  </si>
  <si>
    <t>Zero rate remains conditional.</t>
  </si>
  <si>
    <t>QC012</t>
  </si>
  <si>
    <t>Duty basis</t>
  </si>
  <si>
    <t>HMRC import value is CIF-style; freight is not added twice.</t>
  </si>
  <si>
    <t>D014 and break-even formula use border value.</t>
  </si>
  <si>
    <t>WP008 handoff explicit.</t>
  </si>
  <si>
    <t>QC013</t>
  </si>
  <si>
    <t>HMRC evidence archive</t>
  </si>
  <si>
    <t>All required HMRC responses are genuine JSON, unpaginated and hashed.</t>
  </si>
  <si>
    <t>Q0-Q8: 9 responses; no @odata.nextLink; all figures reconciled.</t>
  </si>
  <si>
    <t>Q6/Q7 archived category totals; Q8 preserves comparison-origin placebo evidence.</t>
  </si>
  <si>
    <t>QC014</t>
  </si>
  <si>
    <t>UKGT evidence archive</t>
  </si>
  <si>
    <t>All current descendants plus necessary historical spot checks are hashed and reconciled.</t>
  </si>
  <si>
    <t>T01-T11: 8 current descendants + 3 historical checks; all expected rates pass.</t>
  </si>
  <si>
    <t>Readable snapshot and manifest added.</t>
  </si>
  <si>
    <t>QC015</t>
  </si>
  <si>
    <t>Residual denominator treatment</t>
  </si>
  <si>
    <t>Residual HS61/62 amounts are included only in market denominators.</t>
  </si>
  <si>
    <t>GBP 9,936,295 (0.061%) and 376,991 kg isolated.</t>
  </si>
  <si>
    <t>Q3 exact-CN8; Q7 inclusive market total.</t>
  </si>
  <si>
    <t>QC016</t>
  </si>
  <si>
    <t>Source/query reference integrity</t>
  </si>
  <si>
    <t>Every Source_ID and Evidence_Query_ID resolves to the corresponding register/manifest.</t>
  </si>
  <si>
    <t>References reconciled; DCTS removed from China/Morocco/Turkey/Vietnam citations.</t>
  </si>
  <si>
    <t>Canonical IDs used across both workbooks.</t>
  </si>
  <si>
    <t>QC017</t>
  </si>
  <si>
    <t>Attribution scan</t>
  </si>
  <si>
    <t>Reviewer attribution must be role-based.</t>
  </si>
  <si>
    <t>Role-based 'Project analyst' only.</t>
  </si>
  <si>
    <t>Publication-safe.</t>
  </si>
  <si>
    <t>QC018</t>
  </si>
  <si>
    <t>Formula check</t>
  </si>
  <si>
    <t>Workbook formulas evaluate without spreadsheet calculation errors.</t>
  </si>
  <si>
    <t>In-memory calculation and post-build scan show zero formula-error cells.</t>
  </si>
  <si>
    <t>Final workbook re-imported for validation.</t>
  </si>
  <si>
    <t>QC019</t>
  </si>
  <si>
    <t>Natural-experiment placebo record</t>
  </si>
  <si>
    <t>Record comparison-origin divergences and reject elasticity estimation when the India result is not distinct.</t>
  </si>
  <si>
    <t>India +17.4pp; Cambodia +13.5pp; Pakistan +43.7pp; Vietnam +47.5pp.</t>
  </si>
  <si>
    <t>Simple causal design rejected; no duty-elasticity coefficient estimated.</t>
  </si>
  <si>
    <t>Query_ID</t>
  </si>
  <si>
    <t>Purpose</t>
  </si>
  <si>
    <t>Endpoint</t>
  </si>
  <si>
    <t>Filter / scope</t>
  </si>
  <si>
    <t>Grouping / aggregation</t>
  </si>
  <si>
    <t>Evidence file</t>
  </si>
  <si>
    <t>SHA256</t>
  </si>
  <si>
    <t>Bytes</t>
  </si>
  <si>
    <t>Rows</t>
  </si>
  <si>
    <t>NextLink present?</t>
  </si>
  <si>
    <t>Reconciliation</t>
  </si>
  <si>
    <t>Notes</t>
  </si>
  <si>
    <t>Q0</t>
  </si>
  <si>
    <t>Commodity lookup for true CN8 records in HS61/62</t>
  </si>
  <si>
    <t>/Commodity</t>
  </si>
  <si>
    <t>CommodityId ge 61000000 and CommodityId lt 63000000</t>
  </si>
  <si>
    <t>$select=CommodityId,Cn8Code,Hs2Code,Hs4Code,Hs6Code,Hs2Description,Hs4Description,Hs6Description,Cn8LongDescription</t>
  </si>
  <si>
    <t>https://api.uktradeinfo.com/Commodity?%24filter=CommodityId+ge+61000000+and+CommodityId+lt+63000000&amp;%24select=CommodityId%2CCn8Code%2CHs2Code%2CHs4Code%2CHs6Code%2CHs2Description%2CHs4Description%2CHs6Description%2CCn8LongDescription</t>
  </si>
  <si>
    <t>EXT_HMRC_OTS_WP004_Commodity_Lookup_HS61_HS62_2026-08-25.json</t>
  </si>
  <si>
    <t>049af23fc0eccae4f725d080653f103892af74bf270f072ca4bf0c6c50124724</t>
  </si>
  <si>
    <t>Current lookup at capture</t>
  </si>
  <si>
    <t>Pass - schema and figures reconciled</t>
  </si>
  <si>
    <t>Numeric CN8 range intentionally excludes HS2/pseudo residual identifiers.</t>
  </si>
  <si>
    <t>Q1</t>
  </si>
  <si>
    <t>Country lookup and ISO mapping</t>
  </si>
  <si>
    <t>/Country</t>
  </si>
  <si>
    <t>None</t>
  </si>
  <si>
    <t>$select=CountryId,CountryCodeNumeric,CountryName,CountryCodeAlpha</t>
  </si>
  <si>
    <t>https://api.uktradeinfo.com/Country?%24select=CountryId%2CCountryCodeNumeric%2CCountryName%2CCountryCodeAlpha</t>
  </si>
  <si>
    <t>EXT_HMRC_OTS_WP004_Country_Lookup_2026-08-25.json</t>
  </si>
  <si>
    <t>0d2b9a7a5357b00ee0365f34bfc7fda43a34ad7cbfeb4f225aac51ca89cee7dd</t>
  </si>
  <si>
    <t>Used to map the ten focal HMRC CountryIds.</t>
  </si>
  <si>
    <t>Q2</t>
  </si>
  <si>
    <t>2025 true-CN8 screen for ten focal non-EU origins</t>
  </si>
  <si>
    <t>/OTS</t>
  </si>
  <si>
    <t>MonthId 202501-202512; FlowTypeId=3; CommodityId ge 61000000 and CommodityId lt 63000000; focal CountryIds</t>
  </si>
  <si>
    <t>Group by CommodityId, CountryId, FlowTypeId, SuppressionIndex; sum Value, NetMass, SuppUnit</t>
  </si>
  <si>
    <t>https://api.uktradeinfo.com/OTS?%24apply=filter%28MonthId+ge+202501+and+MonthId+le+202512+and+FlowTypeId+eq+3+and+%28CountryId+eq+52+or+CountryId+eq+204+or+CountryId+eq+662+or+CountryId+eq+664+or+CountryId+eq+666+or+CountryId+eq+669+or+CountryId+eq+676+or+CountryId+eq+690+or+CountryId+eq+696+or+CountryId+eq+720%29+and+CommodityId+ge+61000000+and+CommodityId+lt+63000000%29%2Fgroupby%28%28CommodityId%2CCountryId%2CFlowTypeId%2CSuppressionIndex%29%2Caggregate%28Value+with+sum+as+Value%2CNetMass+with+sum+as+NetMass%2CSuppUnit+with+sum+as+SuppUnit%29%29</t>
  </si>
  <si>
    <t>EXT_HMRC_OTS_WP004_2025_Category_Screen_10Origins_Raw_2026-08-25.json</t>
  </si>
  <si>
    <t>1b79bdcb6bad6fdb37a0ffff1d64a5cb7543100debdf1f87cb44e3e4245deccf</t>
  </si>
  <si>
    <t>2025-01 to 2025-12</t>
  </si>
  <si>
    <t>All ten focal origins are non-EU, so FlowTypeId 3 is correct.</t>
  </si>
  <si>
    <t>2025 true-CN8 world denominator and code-level value/mass</t>
  </si>
  <si>
    <t>MonthId 202501-202512; imports (1 or 3); CommodityId ge 61000000 and CommodityId lt 63000000</t>
  </si>
  <si>
    <t>Group by CommodityId, FlowTypeId, SuppressionIndex; sum Value, NetMass, SuppUnit</t>
  </si>
  <si>
    <t>https://api.uktradeinfo.com/OTS?%24apply=filter%28MonthId+ge+202501+and+MonthId+le+202512+and+%28FlowTypeId+eq+1+or+FlowTypeId+eq+3%29+and+CommodityId+ge+61000000+and+CommodityId+lt+63000000%29%2Fgroupby%28%28CommodityId%2CFlowTypeId%2CSuppressionIndex%29%2Caggregate%28Value+with+sum+as+Value%2CNetMass+with+sum+as+NetMass%2CSuppUnit+with+sum+as+SuppUnit%29%29</t>
  </si>
  <si>
    <t>EXT_HMRC_OTS_WP004_2025_CN8_World_Denominator_Raw_2026-08-25.json</t>
  </si>
  <si>
    <t>bef8b48afb98564ef329ac4b7036d7c750c8df6b4dcdbdbbfe4d86b387aa2119</t>
  </si>
  <si>
    <t>Correct for exact-CN8 analysis; excludes residual 61------ and 62------ values.</t>
  </si>
  <si>
    <t>Q4</t>
  </si>
  <si>
    <t>2025 all-origin HS61+62 true-CN8 benchmark</t>
  </si>
  <si>
    <t>Group by CountryId, FlowTypeId, SuppressionIndex; sum Value, NetMass</t>
  </si>
  <si>
    <t>https://api.uktradeinfo.com/OTS?%24apply=filter%28MonthId+ge+202501+and+MonthId+le+202512+and+%28FlowTypeId+eq+1+or+FlowTypeId+eq+3%29+and+CommodityId+ge+61000000+and+CommodityId+lt+63000000%29%2Fgroupby%28%28CountryId%2CFlowTypeId%2CSuppressionIndex%29%2Caggregate%28Value+with+sum+as+Value%2CNetMass+with+sum+as+NetMass%29%29</t>
  </si>
  <si>
    <t>EXT_HMRC_OTS_WP004_2025_HS61_HS62_AllOrigin_Benchmark_Raw_2026-08-25.json</t>
  </si>
  <si>
    <t>51977e168611ad1d4cea119a75c559cc7a321f1dd59ba3e0d7815bf784da091a</t>
  </si>
  <si>
    <t>Focal non-EU country totals reconcile; full-market denominator is taken from Q7.</t>
  </si>
  <si>
    <t>India H1 2025 versus H1 2026 HS61/62 diagnostic</t>
  </si>
  <si>
    <t>H1 2025 or H1 2026; CountryId=664; FlowTypeId=3; CommodityId ge 61000000 and CommodityId lt 63000000</t>
  </si>
  <si>
    <t>Group by MonthId, CommodityId, CountryId, FlowTypeId, SuppressionIndex; sum Value, NetMass, SuppUnit</t>
  </si>
  <si>
    <t>https://api.uktradeinfo.com/OTS?%24apply=filter%28%28%28MonthId+ge+202501+and+MonthId+le+202506%29+or+%28MonthId+ge+202601+and+MonthId+le+202606%29%29+and+FlowTypeId+eq+3+and+CountryId+eq+664+and+CommodityId+ge+61000000+and+CommodityId+lt+63000000%29%2Fgroupby%28%28MonthId%2CCommodityId%2CCountryId%2CFlowTypeId%2CSuppressionIndex%29%2Caggregate%28Value+with+sum+as+Value%2CNetMass+with+sum+as+NetMass%2CSuppUnit+with+sum+as+SuppUnit%29%29</t>
  </si>
  <si>
    <t>EXT_HMRC_OTS_WP004_India_H1_2025_vs_H1_2026_Raw_2026-08-25.json</t>
  </si>
  <si>
    <t>5dd317d917db167cb8ed70406dcd738aa5b18fbe42794b6e059600c4ddb1ee88</t>
  </si>
  <si>
    <t>2025-H1 and 2026-H1</t>
  </si>
  <si>
    <t>Diagnostic only; no causal elasticity is estimated.</t>
  </si>
  <si>
    <t>2025 inclusive HS63 category total</t>
  </si>
  <si>
    <t>MonthId 202501-202512; imports (1 or 3); Commodity/Hs2Code='63'</t>
  </si>
  <si>
    <t>Group by FlowTypeId, SuppressionIndex; sum Value, NetMass</t>
  </si>
  <si>
    <t>https://api.uktradeinfo.com/OTS?%24apply=filter%28MonthId+ge+202501+and+MonthId+le+202512+and+%28FlowTypeId+eq+1+or+FlowTypeId+eq+3%29+and+Commodity%2FHs2Code+eq+%2763%27%29%2Fgroupby%28%28FlowTypeId%2CSuppressionIndex%29%2Caggregate%28Value+with+sum+as+Value%2CNetMass+with+sum+as+NetMass%29%29</t>
  </si>
  <si>
    <t>EXT_HMRC_OTS_WP004_2025_HS63_Category_Total_Raw_2026-08-25.json</t>
  </si>
  <si>
    <t>ecbfbdbbe118897cd3e7502fb057f80fd1fb426954d0a38371eb7452eefe9c09</t>
  </si>
  <si>
    <t>Closure addition: archives the HS63 total already used in the screen.</t>
  </si>
  <si>
    <t>2025 inclusive HS61/62 category totals</t>
  </si>
  <si>
    <t>MonthId 202501-202512; imports (1 or 3); Commodity/Hs2Code in 61,62</t>
  </si>
  <si>
    <t>Group by Commodity/Hs2Code, FlowTypeId, SuppressionIndex; sum Value, NetMass</t>
  </si>
  <si>
    <t>https://api.uktradeinfo.com/OTS?%24apply=filter%28MonthId+ge+202501+and+MonthId+le+202512+and+%28FlowTypeId+eq+1+or+FlowTypeId+eq+3%29+and+%28Commodity%2FHs2Code+eq+%2761%27+or+Commodity%2FHs2Code+eq+%2762%27%29%29%2Fgroupby%28%28Commodity%2FHs2Code%2CFlowTypeId%2CSuppressionIndex%29%2Caggregate%28Value+with+sum+as+Value%2CNetMass+with+sum+as+NetMass%29%29</t>
  </si>
  <si>
    <t>EXT_HMRC_OTS_WP004_2025_HS61_HS62_Inclusive_Category_Totals_Raw_2026-08-25.json</t>
  </si>
  <si>
    <t>f869ea35e98ed2c74339f5588dd34d51b191e3bed2ae48d25704cc7d21e903f5</t>
  </si>
  <si>
    <t>Closure addition: includes residual EU 61------/62------ amounts in the market denominator.</t>
  </si>
  <si>
    <t>Cambodia, Pakistan and Vietnam H1 2025 versus H1 2026 HS61/62 placebo diagnostic</t>
  </si>
  <si>
    <t>H1 2025 or H1 2026; CountryId in 662, 690, 696; FlowTypeId=3; CommodityId ge 61000000 and lt 63000000</t>
  </si>
  <si>
    <t>https://api.uktradeinfo.com/OTS?%24apply=filter((((MonthId%20ge%20202501%20and%20MonthId%20le%20202506)%20or%20(MonthId%20ge%20202601%20and%20MonthId%20le%20202606))%20and%20FlowTypeId%20eq%203%20and%20(CountryId%20eq%20662%20or%20CountryId%20eq%20690%20or%20CountryId%20eq%20696)%20and%20CommodityId%20ge%2061000000%20and%20CommodityId%20lt%2063000000))%2Fgroupby((MonthId%2CCommodityId%2CCountryId%2CFlowTypeId%2CSuppressionIndex)%2Caggregate(Value%20with%20sum%20as%20Value%2CNetMass%20with%20sum%20as%20NetMass%2CSuppUnit%20with%20sum%20as%20SuppUnit))</t>
  </si>
  <si>
    <t>EXT_HMRC_OTS_WP004_Placebo_H1_2025_vs_H1_2026_Raw_2026-08-26.json</t>
  </si>
  <si>
    <t>83f8b2345d2382a26e40b949b505e4bb697202cd34517d76b159c48d1b406e71</t>
  </si>
  <si>
    <t>Pass - comparison origins reproduce or exceed the India divergence; simple causal design rejected</t>
  </si>
  <si>
    <t>Contemporaneous placebo diagnostic only. Vietnam is not a clean untreated control because some UKVFTA rates were still staged. This is not a formal pre-trend test.</t>
  </si>
  <si>
    <t>CN8 parent</t>
  </si>
  <si>
    <t>10-digit commodity</t>
  </si>
  <si>
    <t>As-of date</t>
  </si>
  <si>
    <t>Included objects</t>
  </si>
  <si>
    <t>Declarable?</t>
  </si>
  <si>
    <t>Rate summary</t>
  </si>
  <si>
    <t>T01</t>
  </si>
  <si>
    <t>Current descendant tariff snapshot</t>
  </si>
  <si>
    <t>6109100010</t>
  </si>
  <si>
    <t>2026-08-24</t>
  </si>
  <si>
    <t>/uk/api/commodities/6109100010</t>
  </si>
  <si>
    <t>https://www.trade-tariff.service.gov.uk/uk/api/commodities/6109100010?as_of=2026-08-24</t>
  </si>
  <si>
    <t>EXT_UKGT_WP004_6109100010_asof_2026-08-24.json</t>
  </si>
  <si>
    <t>574240a657aecb8acb6589d9166b78e2f363dd0fe4fbc6f2dfdc2cf3f290c5c7</t>
  </si>
  <si>
    <t>T-shirts</t>
  </si>
  <si>
    <t>MFN 12%; DCTS Std 9.6%; Enh 0%; Comp 0%; IN 0%; MA 0%; TR 0%; VN 0%</t>
  </si>
  <si>
    <t>Pass - response parsed and expected rates reconciled</t>
  </si>
  <si>
    <t>Rates are legal measures; origin eligibility remains a separate gate.</t>
  </si>
  <si>
    <t>T02</t>
  </si>
  <si>
    <t>6109100090</t>
  </si>
  <si>
    <t>/uk/api/commodities/6109100090</t>
  </si>
  <si>
    <t>https://www.trade-tariff.service.gov.uk/uk/api/commodities/6109100090?as_of=2026-08-24</t>
  </si>
  <si>
    <t>EXT_UKGT_WP004_6109100090_asof_2026-08-24.json</t>
  </si>
  <si>
    <t>a4edf59908d2c9e50c25bc2d1a3ff9ba1c90fa8e84f414bafc64acd13f08e158</t>
  </si>
  <si>
    <t>Other</t>
  </si>
  <si>
    <t>6110309900</t>
  </si>
  <si>
    <t>/uk/api/commodities/6110309900</t>
  </si>
  <si>
    <t>https://www.trade-tariff.service.gov.uk/uk/api/commodities/6110309900?as_of=2026-08-24</t>
  </si>
  <si>
    <t>EXT_UKGT_WP004_6110309900_asof_2026-08-24.json</t>
  </si>
  <si>
    <t>a4d4d522577eb330087ea1c826f36845d62779eb48245e5d45e4a3593d65d288</t>
  </si>
  <si>
    <t>Women's or girls'</t>
  </si>
  <si>
    <t>T04</t>
  </si>
  <si>
    <t>6204430000</t>
  </si>
  <si>
    <t>/uk/api/commodities/6204430000</t>
  </si>
  <si>
    <t>https://www.trade-tariff.service.gov.uk/uk/api/commodities/6204430000?as_of=2026-08-24</t>
  </si>
  <si>
    <t>EXT_UKGT_WP004_6204430000_asof_2026-08-24.json</t>
  </si>
  <si>
    <t>b7531a2b224b7039b6ed0c58c3f0b9208da5b7df2290d3306387364d0328db73</t>
  </si>
  <si>
    <t>Of synthetic fibres</t>
  </si>
  <si>
    <t>MFN 12%; DCTS Std 9.6%; Enh 0%; Comp 0%; IN 0%; MA 0%; TR 0%; VN 1.5%</t>
  </si>
  <si>
    <t>T05</t>
  </si>
  <si>
    <t>6205200010</t>
  </si>
  <si>
    <t>/uk/api/commodities/6205200010</t>
  </si>
  <si>
    <t>https://www.trade-tariff.service.gov.uk/uk/api/commodities/6205200010?as_of=2026-08-24</t>
  </si>
  <si>
    <t>EXT_UKGT_WP004_6205200010_asof_2026-08-24.json</t>
  </si>
  <si>
    <t>5eb179a99752e1fb4f8a7ce1f9b4a2fc55d8c8774a7288b647c71902d048e2ff</t>
  </si>
  <si>
    <t>Hand-printed by the "batik" method</t>
  </si>
  <si>
    <t>T06</t>
  </si>
  <si>
    <t>6205200090</t>
  </si>
  <si>
    <t>/uk/api/commodities/6205200090</t>
  </si>
  <si>
    <t>https://www.trade-tariff.service.gov.uk/uk/api/commodities/6205200090?as_of=2026-08-24</t>
  </si>
  <si>
    <t>EXT_UKGT_WP004_6205200090_asof_2026-08-24.json</t>
  </si>
  <si>
    <t>76a86ddb8a62751af2a7a89411e167d0ddc101604f70a8614358d1cfe7824dbc</t>
  </si>
  <si>
    <t>T07</t>
  </si>
  <si>
    <t>6206300010</t>
  </si>
  <si>
    <t>/uk/api/commodities/6206300010</t>
  </si>
  <si>
    <t>https://www.trade-tariff.service.gov.uk/uk/api/commodities/6206300010?as_of=2026-08-24</t>
  </si>
  <si>
    <t>EXT_UKGT_WP004_6206300010_asof_2026-08-24.json</t>
  </si>
  <si>
    <t>29f8cae07489281f66ad6353a2b176430c1b048f0b9a5d9e140b4af485b4f940</t>
  </si>
  <si>
    <t>T08</t>
  </si>
  <si>
    <t>6206300090</t>
  </si>
  <si>
    <t>/uk/api/commodities/6206300090</t>
  </si>
  <si>
    <t>https://www.trade-tariff.service.gov.uk/uk/api/commodities/6206300090?as_of=2026-08-24</t>
  </si>
  <si>
    <t>EXT_UKGT_WP004_6206300090_asof_2026-08-24.json</t>
  </si>
  <si>
    <t>0bb613390e568fd990ebaf660573d1866a7eb215623b6eb6765873605f26d5a3</t>
  </si>
  <si>
    <t>T09</t>
  </si>
  <si>
    <t>Historical Vietnam staging check</t>
  </si>
  <si>
    <t>2025-12-31</t>
  </si>
  <si>
    <t>https://www.trade-tariff.service.gov.uk/uk/api/commodities/6204430000?as_of=2025-12-31</t>
  </si>
  <si>
    <t>EXT_UKGT_WP004_6204430000_asof_2025-12-31.json</t>
  </si>
  <si>
    <t>ca41c4f4bcfefdc2a9b79a9b91859a6cde00f3bc91a81e9a85288756eaa67d13</t>
  </si>
  <si>
    <t>MFN 12%; DCTS Std 9.6%; Enh 0%; Comp 0%; IN none%; MA 0%; TR 0%; VN 3%</t>
  </si>
  <si>
    <t>T10</t>
  </si>
  <si>
    <t>Pre-CETA India HS61 spot check</t>
  </si>
  <si>
    <t>2026-07-14</t>
  </si>
  <si>
    <t>https://www.trade-tariff.service.gov.uk/uk/api/commodities/6109100010?as_of=2026-07-14</t>
  </si>
  <si>
    <t>EXT_UKGT_WP004_6109100010_asof_2026-07-14.json</t>
  </si>
  <si>
    <t>aaadafb4f72f83ecc9b5491e640e1ca427e5d1f4c0b7c56a5d83aa767e590dfb</t>
  </si>
  <si>
    <t>MFN 12%; DCTS Std 9.6%; Enh 0%; Comp 0%; IN none%; MA 0%; TR 0%; VN 0%</t>
  </si>
  <si>
    <t>T11</t>
  </si>
  <si>
    <t>Pre-CETA India HS62 / Vietnam spot check</t>
  </si>
  <si>
    <t>https://www.trade-tariff.service.gov.uk/uk/api/commodities/6204430000?as_of=2026-07-14</t>
  </si>
  <si>
    <t>EXT_UKGT_WP004_6204430000_asof_2026-07-14.json</t>
  </si>
  <si>
    <t>5d1aa59c2ec0689804b3e203d850309339a9719b29e9f8e38838c8987447b001</t>
  </si>
  <si>
    <t>MFN 12%; DCTS Std 9.6%; Enh 0%; Comp 0%; IN none%; MA 0%; TR 0%; VN 1.5%</t>
  </si>
  <si>
    <t>Declarable description</t>
  </si>
  <si>
    <t>MFN rate</t>
  </si>
  <si>
    <t>India direct preference</t>
  </si>
  <si>
    <t>India effective</t>
  </si>
  <si>
    <t>Morocco preference</t>
  </si>
  <si>
    <t>Turkey preference</t>
  </si>
  <si>
    <t>Vietnam preference</t>
  </si>
  <si>
    <t>Vietnam effective</t>
  </si>
  <si>
    <t>2026-07-15</t>
  </si>
  <si>
    <t>2025-01-01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</si>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</sst>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£#,##0"/>
    <numFmt numFmtId="166" formatCode="0.0%"/>
    <numFmt numFmtId="167" formatCode="0.000\x"/>
    <numFmt numFmtId="169" formatCode="yyyy\-mm\-dd;@"/>
  </numFmts>
  <fonts count="7">
    <font>
      <sz val="10"/>
      <name val="Arial"/>
      <family val="2"/>
    </font>
    <font>
      <sz val="11"/>
      <name val="Calibri"/>
      <charset val="1"/>
    </font>
    <font>
      <b/>
      <sz val="14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1"/>
      <name val="Arial"/>
      <charset val="1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56082"/>
      </patternFill>
    </fill>
    <fill>
      <patternFill patternType="solid">
        <fgColor rgb="FF5B9BD5"/>
        <bgColor rgb="FF46B1E1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1" applyFont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164" fontId="3" fillId="0" borderId="1" xfId="1" applyNumberFormat="1" applyFont="1" applyBorder="1" applyAlignment="1">
      <alignment vertical="top" wrapText="1"/>
    </xf>
    <xf numFmtId="165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7" fontId="3" fillId="0" borderId="1" xfId="1" applyNumberFormat="1" applyFont="1" applyBorder="1" applyAlignment="1">
      <alignment vertical="top" wrapText="1"/>
    </xf>
    <xf numFmtId="10" fontId="3" fillId="0" borderId="1" xfId="1" applyNumberFormat="1" applyFont="1" applyBorder="1" applyAlignment="1">
      <alignment vertical="top" wrapText="1"/>
    </xf>
    <xf numFmtId="0" fontId="4" fillId="2" borderId="1" xfId="1" applyFont="1" applyFill="1" applyBorder="1" applyAlignment="1">
      <alignment vertical="center" wrapText="1"/>
    </xf>
    <xf numFmtId="3" fontId="3" fillId="0" borderId="1" xfId="1" applyNumberFormat="1" applyFont="1" applyBorder="1" applyAlignment="1">
      <alignment vertical="top" wrapText="1"/>
    </xf>
    <xf numFmtId="2" fontId="3" fillId="0" borderId="1" xfId="1" applyNumberFormat="1" applyFont="1" applyBorder="1" applyAlignment="1">
      <alignment vertical="top" wrapText="1"/>
    </xf>
    <xf numFmtId="0" fontId="5" fillId="0" borderId="0" xfId="1" applyFont="1" applyBorder="1"/>
    <xf numFmtId="0" fontId="3" fillId="0" borderId="1" xfId="1" applyFont="1" applyBorder="1" applyAlignment="1">
      <alignment vertical="top"/>
    </xf>
    <xf numFmtId="166" fontId="3" fillId="0" borderId="1" xfId="1" applyNumberFormat="1" applyFont="1" applyBorder="1" applyAlignment="1">
      <alignment vertical="top"/>
    </xf>
    <xf numFmtId="0" fontId="0" fillId="0" borderId="0" xfId="0" applyAlignment="1">
      <alignment wrapText="1"/>
    </xf>
    <xf numFmtId="0" fontId="6" fillId="0" borderId="0" xfId="2" applyAlignment="1">
      <alignment wrapText="1"/>
    </xf>
    <xf numFmtId="0" fontId="6" fillId="0" borderId="1" xfId="2" applyBorder="1" applyAlignment="1">
      <alignment vertical="top" wrapText="1"/>
    </xf>
    <xf numFmtId="14" fontId="0" fillId="0" borderId="0" xfId="0" applyNumberFormat="1"/>
    <xf numFmtId="0" fontId="2" fillId="2" borderId="1" xfId="1" applyFont="1" applyFill="1" applyBorder="1" applyAlignment="1">
      <alignment vertical="top" wrapText="1"/>
    </xf>
    <xf numFmtId="166" fontId="0" fillId="0" borderId="0" xfId="0" applyNumberFormat="1"/>
    <xf numFmtId="169" fontId="0" fillId="0" borderId="0" xfId="0" applyNumberFormat="1"/>
  </cellXfs>
  <cellStyles count="3">
    <cellStyle name="Hyperlink" xfId="2" builtinId="8"/>
    <cellStyle name="Normal" xfId="0" builtinId="0"/>
    <cellStyle name="Normal 2" xfId="1" xr:uid="{00000000-0005-0000-0000-000006000000}"/>
  </cellStyles>
  <dxfs count="17"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B7C9D6"/>
        </left>
        <right style="thin">
          <color rgb="FFB7C9D6"/>
        </right>
        <top style="thin">
          <color rgb="FFB7C9D6"/>
        </top>
        <bottom style="thin">
          <color rgb="FFB7C9D6"/>
        </bottom>
        <vertical/>
        <horizontal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B7C9D6"/>
      <rgbColor rgb="FF8B8B8B"/>
      <rgbColor rgb="FF5B9BD5"/>
      <rgbColor rgb="FF993366"/>
      <rgbColor rgb="FFFFF2CC"/>
      <rgbColor rgb="FFD9D9D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46B1E1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Basket vs total HS61+62 origin shares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"Overall HS61+62 share"</c:f>
              <c:strCache>
                <c:ptCount val="1"/>
                <c:pt idx="0">
                  <c:v>Overall HS61+62 share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Basket_Representativeness!$K$2:$K$4</c:f>
              <c:numCache>
                <c:formatCode>0.0%</c:formatCode>
                <c:ptCount val="3"/>
                <c:pt idx="0">
                  <c:v>0.36089905235544373</c:v>
                </c:pt>
                <c:pt idx="1">
                  <c:v>3.8197292322193162E-2</c:v>
                </c:pt>
                <c:pt idx="2">
                  <c:v>8.8073375769651491E-2</c:v>
                </c:pt>
              </c:numCache>
            </c:numRef>
          </c:cat>
          <c:val>
            <c:numRef>
              <c:f>Basket_Representativeness!$L$2:$L$4</c:f>
              <c:numCache>
                <c:formatCode>0.000\x</c:formatCode>
                <c:ptCount val="3"/>
                <c:pt idx="0">
                  <c:v>1.8463992406048118</c:v>
                </c:pt>
                <c:pt idx="1">
                  <c:v>0.19021448800489743</c:v>
                </c:pt>
                <c:pt idx="2">
                  <c:v>1.6081225780745549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1-4C41-9713-F24EE249BAF6}"/>
            </c:ext>
          </c:extLst>
        </c:ser>
        <c:ser>
          <c:idx val="1"/>
          <c:order val="1"/>
          <c:tx>
            <c:strRef>
              <c:f>"Selected-basket share"</c:f>
              <c:strCache>
                <c:ptCount val="1"/>
                <c:pt idx="0">
                  <c:v>Selected-basket share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Basket_Representativeness!$K$2:$K$4</c:f>
              <c:numCache>
                <c:formatCode>0.0%</c:formatCode>
                <c:ptCount val="3"/>
                <c:pt idx="0">
                  <c:v>0.36089905235544373</c:v>
                </c:pt>
                <c:pt idx="1">
                  <c:v>3.8197292322193162E-2</c:v>
                </c:pt>
                <c:pt idx="2">
                  <c:v>8.8073375769651491E-2</c:v>
                </c:pt>
              </c:numCache>
            </c:numRef>
          </c:cat>
          <c:val>
            <c:numRef>
              <c:f>Basket_Representativeness!$M$2:$M$4</c:f>
              <c:numCache>
                <c:formatCode>0.0%</c:formatCode>
                <c:ptCount val="3"/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1-4C41-9713-F24EE249B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948662"/>
        <c:axId val="93881762"/>
      </c:barChart>
      <c:catAx>
        <c:axId val="7094866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675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93881762"/>
        <c:crosses val="autoZero"/>
        <c:auto val="1"/>
        <c:lblAlgn val="ctr"/>
        <c:lblOffset val="100"/>
        <c:noMultiLvlLbl val="0"/>
      </c:catAx>
      <c:valAx>
        <c:axId val="93881762"/>
        <c:scaling>
          <c:orientation val="minMax"/>
          <c:max val="0.35"/>
          <c:min val="0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n-US"/>
          </a:p>
        </c:txPr>
        <c:crossAx val="7094866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en-US"/>
        </a:p>
      </c:txPr>
    </c:legend>
    <c:plotVisOnly val="1"/>
    <c:dispBlanksAs val="zero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18</xdr:col>
      <xdr:colOff>1680</xdr:colOff>
      <xdr:row>21</xdr:row>
      <xdr:rowOff>190080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TaskFlow" displayName="TaskFlow" ref="A1:G16" totalsRowShown="0">
  <autoFilter ref="A1:G16" xr:uid="{00000000-0009-0000-0100-00000D000000}"/>
  <tableColumns count="7">
    <tableColumn id="1" xr3:uid="{00000000-0010-0000-0000-000001000000}" name="Step"/>
    <tableColumn id="2" xr3:uid="{00000000-0010-0000-0000-000002000000}" name="Task"/>
    <tableColumn id="3" xr3:uid="{00000000-0010-0000-0000-000003000000}" name="Why it matters"/>
    <tableColumn id="4" xr3:uid="{00000000-0010-0000-0000-000004000000}" name="Inputs reviewed"/>
    <tableColumn id="5" xr3:uid="{00000000-0010-0000-0000-000005000000}" name="Operation"/>
    <tableColumn id="6" xr3:uid="{00000000-0010-0000-0000-000006000000}" name="Workbook output"/>
    <tableColumn id="7" xr3:uid="{00000000-0010-0000-0000-000007000000}" name="QC / lock cond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1000000}" name="WP004Sources" displayName="WP004Sources" ref="A1:L18" totalsRowShown="0">
  <autoFilter ref="A1:L18" xr:uid="{00000000-0009-0000-0100-000011000000}"/>
  <tableColumns count="12">
    <tableColumn id="1" xr3:uid="{00000000-0010-0000-0100-000001000000}" name="Source_ID"/>
    <tableColumn id="2" xr3:uid="{00000000-0010-0000-0100-000002000000}" name="Source_Type"/>
    <tableColumn id="3" xr3:uid="{00000000-0010-0000-0100-000003000000}" name="Official document / dataset"/>
    <tableColumn id="4" xr3:uid="{00000000-0010-0000-0100-000004000000}" name="Publisher"/>
    <tableColumn id="5" xr3:uid="{00000000-0010-0000-0100-000005000000}" name="Publication / cut date"/>
    <tableColumn id="6" xr3:uid="{00000000-0010-0000-0100-000006000000}" name="Reporting period"/>
    <tableColumn id="7" xr3:uid="{00000000-0010-0000-0100-000007000000}" name="Suggested local filename"/>
    <tableColumn id="8" xr3:uid="{00000000-0010-0000-0100-000008000000}" name="Official URL"/>
    <tableColumn id="9" xr3:uid="{00000000-0010-0000-0100-000009000000}" name="Used for"/>
    <tableColumn id="10" xr3:uid="{00000000-0010-0000-0100-00000A000000}" name="Download / capture instruction"/>
    <tableColumn id="11" xr3:uid="{00000000-0010-0000-0100-00000B000000}" name="Review status"/>
    <tableColumn id="12" xr3:uid="{00000000-0010-0000-0100-00000C000000}" name="Known limi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ScopeLock" displayName="ScopeLock" ref="A1:H6" totalsRowShown="0">
  <autoFilter ref="A1:H6" xr:uid="{00000000-0009-0000-0100-00000A000000}"/>
  <tableColumns count="8">
    <tableColumn id="1" xr3:uid="{00000000-0010-0000-0200-000001000000}" name="Decision_ID"/>
    <tableColumn id="2" xr3:uid="{00000000-0010-0000-0200-000002000000}" name="Decision area"/>
    <tableColumn id="3" xr3:uid="{00000000-0010-0000-0200-000003000000}" name="Locked decision"/>
    <tableColumn id="4" xr3:uid="{00000000-0010-0000-0200-000004000000}" name="Rationale"/>
    <tableColumn id="5" xr3:uid="{00000000-0010-0000-0200-000005000000}" name="Alternative rejected"/>
    <tableColumn id="6" xr3:uid="{00000000-0010-0000-0200-000006000000}" name="Downstream consequence"/>
    <tableColumn id="7" xr3:uid="{00000000-0010-0000-0200-000007000000}" name="Revisit trigger"/>
    <tableColumn id="8" xr3:uid="{00000000-0010-0000-0200-000008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tegoryScreen" displayName="CategoryScreen" ref="A1:J8" totalsRowShown="0">
  <autoFilter ref="A1:J8" xr:uid="{00000000-0009-0000-0100-000003000000}"/>
  <tableColumns count="10">
    <tableColumn id="1" xr3:uid="{00000000-0010-0000-0300-000001000000}" name="Level"/>
    <tableColumn id="2" xr3:uid="{00000000-0010-0000-0300-000002000000}" name="Code"/>
    <tableColumn id="3" xr3:uid="{00000000-0010-0000-0300-000003000000}" name="Description"/>
    <tableColumn id="4" xr3:uid="{00000000-0010-0000-0300-000004000000}" name="2025 UK import value GBP"/>
    <tableColumn id="5" xr3:uid="{00000000-0010-0000-0300-000005000000}" name="2025 net mass kg"/>
    <tableColumn id="6" xr3:uid="{00000000-0010-0000-0300-000006000000}" name="Observed unit value GBP/kg"/>
    <tableColumn id="7" xr3:uid="{00000000-0010-0000-0300-000007000000}" name="Selection note"/>
    <tableColumn id="8" xr3:uid="{00000000-0010-0000-0300-000008000000}" name="Decision"/>
    <tableColumn id="9" xr3:uid="{00000000-0010-0000-0300-000009000000}" name="Source_ID"/>
    <tableColumn id="10" xr3:uid="{00000000-0010-0000-0300-00000A000000}" name="Evidence_Query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ommodityShortlist" displayName="CommodityShortlist" ref="A1:T6" totalsRowShown="0">
  <autoFilter ref="A1:T6" xr:uid="{00000000-0009-0000-0100-000004000000}"/>
  <tableColumns count="20">
    <tableColumn id="1" xr3:uid="{00000000-0010-0000-0400-000001000000}" name="CN8 code"/>
    <tableColumn id="2" xr3:uid="{00000000-0010-0000-0400-000002000000}" name="HS4"/>
    <tableColumn id="3" xr3:uid="{00000000-0010-0000-0400-000003000000}" name="Product description"/>
    <tableColumn id="4" xr3:uid="{00000000-0010-0000-0400-000004000000}" name="Construction"/>
    <tableColumn id="5" xr3:uid="{00000000-0010-0000-0400-000005000000}" name="Fibre"/>
    <tableColumn id="6" xr3:uid="{00000000-0010-0000-0400-000006000000}" name="Basket role"/>
    <tableColumn id="7" xr3:uid="{00000000-0010-0000-0400-000007000000}" name="2025 world value GBP"/>
    <tableColumn id="8" xr3:uid="{00000000-0010-0000-0400-000008000000}" name="2025 world net mass kg"/>
    <tableColumn id="9" xr3:uid="{00000000-0010-0000-0400-000009000000}" name="World unit value GBP/kg"/>
    <tableColumn id="10" xr3:uid="{00000000-0010-0000-0400-00000A000000}" name="China value GBP"/>
    <tableColumn id="11" xr3:uid="{00000000-0010-0000-0400-00000B000000}" name="China share"/>
    <tableColumn id="12" xr3:uid="{00000000-0010-0000-0400-00000C000000}" name="Bangladesh value GBP"/>
    <tableColumn id="13" xr3:uid="{00000000-0010-0000-0400-00000D000000}" name="Bangladesh share"/>
    <tableColumn id="14" xr3:uid="{00000000-0010-0000-0400-00000E000000}" name="India value GBP"/>
    <tableColumn id="15" xr3:uid="{00000000-0010-0000-0400-00000F000000}" name="India share"/>
    <tableColumn id="16" xr3:uid="{00000000-0010-0000-0400-000010000000}" name="Inclusion status"/>
    <tableColumn id="17" xr3:uid="{00000000-0010-0000-0400-000011000000}" name="Decision rationale"/>
    <tableColumn id="18" xr3:uid="{00000000-0010-0000-0400-000012000000}" name="Caveat"/>
    <tableColumn id="19" xr3:uid="{00000000-0010-0000-0400-000013000000}" name="Source_ID"/>
    <tableColumn id="20" xr3:uid="{00000000-0010-0000-0400-000014000000}" name="Evidence_Query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BasketRepresentativeness" displayName="BasketRepresentativeness" ref="A1:Q5" totalsRowShown="0">
  <autoFilter ref="A1:Q5" xr:uid="{00000000-0009-0000-0100-000002000000}"/>
  <tableColumns count="17">
    <tableColumn id="1" xr3:uid="{00000000-0010-0000-0500-000001000000}" name="Origin"/>
    <tableColumn id="2" xr3:uid="{00000000-0010-0000-0500-000002000000}" name="2025 total HS61+62 value GBP"/>
    <tableColumn id="3" xr3:uid="{00000000-0010-0000-0500-000003000000}" name="Overall HS61+62 share"/>
    <tableColumn id="4" xr3:uid="{00000000-0010-0000-0500-000004000000}" name="Core-basket value GBP"/>
    <tableColumn id="5" xr3:uid="{00000000-0010-0000-0500-000005000000}" name="Core-basket share"/>
    <tableColumn id="6" xr3:uid="{00000000-0010-0000-0500-000006000000}" name="Blended representation ratio"/>
    <tableColumn id="7" xr3:uid="{00000000-0010-0000-0500-000007000000}" name="China-probe pair value GBP"/>
    <tableColumn id="8" xr3:uid="{00000000-0010-0000-0500-000008000000}" name="China-probe pair share"/>
    <tableColumn id="9" xr3:uid="{00000000-0010-0000-0500-000009000000}" name="China-probe representation ratio"/>
    <tableColumn id="10" xr3:uid="{00000000-0010-0000-0500-00000A000000}" name="Bangladesh-India pair value GBP"/>
    <tableColumn id="11" xr3:uid="{00000000-0010-0000-0500-00000B000000}" name="Bangladesh-India pair share"/>
    <tableColumn id="12" xr3:uid="{00000000-0010-0000-0500-00000C000000}" name="Bangladesh-India representation ratio"/>
    <tableColumn id="13" xr3:uid="{00000000-0010-0000-0500-00000D000000}" name="India reserve threshold"/>
    <tableColumn id="14" xr3:uid="{00000000-0010-0000-0500-00000E000000}" name="Reserve result"/>
    <tableColumn id="15" xr3:uid="{00000000-0010-0000-0500-00000F000000}" name="Interpretation"/>
    <tableColumn id="16" xr3:uid="{00000000-0010-0000-0500-000010000000}" name="Source_ID"/>
    <tableColumn id="17" xr3:uid="{00000000-0010-0000-0500-000011000000}" name="Evidence_Query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riffMatrix" displayName="TariffMatrix" ref="A1:N41" totalsRowShown="0">
  <autoFilter ref="A1:N41" xr:uid="{00000000-0009-0000-0100-00000B000000}"/>
  <tableColumns count="14">
    <tableColumn id="1" xr3:uid="{00000000-0010-0000-0600-000001000000}" name="Origin"/>
    <tableColumn id="2" xr3:uid="{00000000-0010-0000-0600-000002000000}" name="CN8 code"/>
    <tableColumn id="3" xr3:uid="{00000000-0010-0000-0600-000003000000}" name="HS chapter"/>
    <tableColumn id="4" xr3:uid="{00000000-0010-0000-0600-000004000000}" name="2025 regime"/>
    <tableColumn id="5" xr3:uid="{00000000-0010-0000-0600-000005000000}" name="2025 rate"/>
    <tableColumn id="6" xr3:uid="{00000000-0010-0000-0600-000006000000}" name="2026-01-01 to 2026-07-14 regime"/>
    <tableColumn id="7" xr3:uid="{00000000-0010-0000-0600-000007000000}" name="Pre-CETA 2026 rate"/>
    <tableColumn id="8" xr3:uid="{00000000-0010-0000-0600-000008000000}" name="From 2026-07-15 regime"/>
    <tableColumn id="9" xr3:uid="{00000000-0010-0000-0600-000009000000}" name="Current rate"/>
    <tableColumn id="10" xr3:uid="{00000000-0010-0000-0600-00000A000000}" name="Preference conditional?"/>
    <tableColumn id="11" xr3:uid="{00000000-0010-0000-0600-00000B000000}" name="Origin / policy note"/>
    <tableColumn id="14" xr3:uid="{C5E928A0-5765-4CA9-A142-21BF80DFF28A}" name="Future regime change" dataDxfId="16" dataCellStyle="Normal 2"/>
    <tableColumn id="12" xr3:uid="{00000000-0010-0000-0600-00000C000000}" name="Source_IDs"/>
    <tableColumn id="13" xr3:uid="{00000000-0010-0000-0600-00000D000000}" name="Evidence_Query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OriginRules" displayName="OriginRules" ref="A1:J8" totalsRowShown="0">
  <autoFilter ref="A1:J8" xr:uid="{00000000-0009-0000-0100-000009000000}"/>
  <tableColumns count="10">
    <tableColumn id="1" xr3:uid="{00000000-0010-0000-0700-000001000000}" name="Origin / group"/>
    <tableColumn id="2" xr3:uid="{00000000-0010-0000-0700-000002000000}" name="Regime"/>
    <tableColumn id="3" xr3:uid="{00000000-0010-0000-0700-000003000000}" name="Selected-code tariff treatment"/>
    <tableColumn id="4" xr3:uid="{00000000-0010-0000-0700-000004000000}" name="Product-specific origin rule / claim basis"/>
    <tableColumn id="5" xr3:uid="{00000000-0010-0000-0700-000005000000}" name="Required proof or evidence"/>
    <tableColumn id="6" xr3:uid="{00000000-0010-0000-0700-000006000000}" name="WP008 treatment"/>
    <tableColumn id="7" xr3:uid="{00000000-0010-0000-0700-000007000000}" name="Gate status"/>
    <tableColumn id="8" xr3:uid="{00000000-0010-0000-0700-000008000000}" name="Source_IDs"/>
    <tableColumn id="9" xr3:uid="{00000000-0010-0000-0700-000009000000}" name="Caveat"/>
    <tableColumn id="10" xr3:uid="{00000000-0010-0000-0700-00000A000000}" name="UKGT_Query_I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DutyBreakEven" displayName="DutyBreakEven" ref="A1:K4" totalsRowShown="0">
  <autoFilter ref="A1:K4" xr:uid="{00000000-0009-0000-0100-000005000000}"/>
  <tableColumns count="11">
    <tableColumn id="1" xr3:uid="{00000000-0010-0000-0800-000001000000}" name="Alternative scenario"/>
    <tableColumn id="2" xr3:uid="{00000000-0010-0000-0800-000002000000}" name="Alternative pre-duty border index"/>
    <tableColumn id="3" xr3:uid="{00000000-0010-0000-0800-000003000000}" name="China tariff"/>
    <tableColumn id="4" xr3:uid="{00000000-0010-0000-0800-000004000000}" name="Alternative tariff"/>
    <tableColumn id="5" xr3:uid="{00000000-0010-0000-0800-000005000000}" name="Alternative duty-paid index"/>
    <tableColumn id="6" xr3:uid="{00000000-0010-0000-0800-000006000000}" name="China maximum pre-duty index at parity"/>
    <tableColumn id="7" xr3:uid="{00000000-0010-0000-0800-000007000000}" name="Required China discount"/>
    <tableColumn id="8" xr3:uid="{00000000-0010-0000-0800-000008000000}" name="Formula / use"/>
    <tableColumn id="9" xr3:uid="{00000000-0010-0000-0800-000009000000}" name="Interpretation"/>
    <tableColumn id="10" xr3:uid="{00000000-0010-0000-0800-00000A000000}" name="Source_ID"/>
    <tableColumn id="11" xr3:uid="{00000000-0010-0000-0800-00000B000000}" name="Evidence_Query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ApparelScopeCheck" displayName="ApparelScopeCheck" ref="A1:G5" totalsRowShown="0">
  <autoFilter ref="A1:G5" xr:uid="{00000000-0009-0000-0100-000001000000}"/>
  <tableColumns count="7">
    <tableColumn id="1" xr3:uid="{00000000-0010-0000-0900-000001000000}" name="Origin / group"/>
    <tableColumn id="2" xr3:uid="{00000000-0010-0000-0900-000002000000}" name="APPAREL-labelled sites"/>
    <tableColumn id="3" xr3:uid="{00000000-0010-0000-0900-000003000000}" name="Keyword-flagged non-garment sites"/>
    <tableColumn id="4" xr3:uid="{00000000-0010-0000-0900-000004000000}" name="Flagged share"/>
    <tableColumn id="5" xr3:uid="{00000000-0010-0000-0900-000005000000}" name="Residual garment-proxy maximum"/>
    <tableColumn id="6" xr3:uid="{00000000-0010-0000-0900-000006000000}" name="Interpretation"/>
    <tableColumn id="7" xr3:uid="{00000000-0010-0000-0900-000007000000}" name="Ru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NaturalExperiment" displayName="NaturalExperiment" ref="A1:K7" totalsRowShown="0">
  <autoFilter ref="A1:K7" xr:uid="{00000000-0009-0000-0100-000008000000}"/>
  <tableColumns count="11">
    <tableColumn id="1" xr3:uid="{00000000-0010-0000-0A00-000001000000}" name="Series"/>
    <tableColumn id="2" xr3:uid="{00000000-0010-0000-0A00-000002000000}" name="H1 2025 net mass kg"/>
    <tableColumn id="3" xr3:uid="{00000000-0010-0000-0A00-000003000000}" name="H1 2026 net mass kg"/>
    <tableColumn id="4" xr3:uid="{00000000-0010-0000-0A00-000004000000}" name="H1 2025 index"/>
    <tableColumn id="5" xr3:uid="{00000000-0010-0000-0A00-000005000000}" name="H1 2026 index"/>
    <tableColumn id="6" xr3:uid="{00000000-0010-0000-0A00-000006000000}" name="Change" dataDxfId="15"/>
    <tableColumn id="7" xr3:uid="{00000000-0010-0000-0A00-000007000000}" name="Expected under simple tariff hypothesis"/>
    <tableColumn id="8" xr3:uid="{00000000-0010-0000-0A00-000008000000}" name="Observed verdict"/>
    <tableColumn id="9" xr3:uid="{00000000-0010-0000-0A00-000009000000}" name="Use in project"/>
    <tableColumn id="10" xr3:uid="{00000000-0010-0000-0A00-00000A000000}" name="Source_ID"/>
    <tableColumn id="11" xr3:uid="{00000000-0010-0000-0A00-00000B000000}" name="Evidence_Query_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MassCoverageQC" displayName="MassCoverageQC" ref="A1:L5" totalsRowShown="0">
  <autoFilter ref="A1:L5" xr:uid="{00000000-0009-0000-0100-000007000000}"/>
  <tableColumns count="12">
    <tableColumn id="1" xr3:uid="{00000000-0010-0000-0B00-000001000000}" name="CN8 code"/>
    <tableColumn id="2" xr3:uid="{00000000-0010-0000-0B00-000002000000}" name="2025 world total value GBP"/>
    <tableColumn id="3" xr3:uid="{00000000-0010-0000-0B00-000003000000}" name="World value with positive net mass"/>
    <tableColumn id="4" xr3:uid="{00000000-0010-0000-0B00-000004000000}" name="World value coverage"/>
    <tableColumn id="5" xr3:uid="{00000000-0010-0000-0B00-000005000000}" name="Ten-origin total value GBP"/>
    <tableColumn id="6" xr3:uid="{00000000-0010-0000-0B00-000006000000}" name="Ten-origin value with positive net mass"/>
    <tableColumn id="7" xr3:uid="{00000000-0010-0000-0B00-000007000000}" name="Ten-origin value coverage"/>
    <tableColumn id="8" xr3:uid="{00000000-0010-0000-0B00-000008000000}" name="Threshold"/>
    <tableColumn id="9" xr3:uid="{00000000-0010-0000-0B00-000009000000}" name="Status"/>
    <tableColumn id="10" xr3:uid="{00000000-0010-0000-0B00-00000A000000}" name="WP005 requirement"/>
    <tableColumn id="11" xr3:uid="{00000000-0010-0000-0B00-00000B000000}" name="Source_ID"/>
    <tableColumn id="12" xr3:uid="{00000000-0010-0000-0B00-00000C000000}" name="Evidence_Query_I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WP004DataDictionary" displayName="WP004DataDictionary" ref="A1:G20" totalsRowShown="0">
  <autoFilter ref="A1:G20" xr:uid="{00000000-0009-0000-0100-00000F000000}"/>
  <tableColumns count="7">
    <tableColumn id="1" xr3:uid="{00000000-0010-0000-0D00-000001000000}" name="Sheet"/>
    <tableColumn id="2" xr3:uid="{00000000-0010-0000-0D00-000002000000}" name="Field / term"/>
    <tableColumn id="3" xr3:uid="{00000000-0010-0000-0D00-000003000000}" name="Type"/>
    <tableColumn id="4" xr3:uid="{00000000-0010-0000-0D00-000004000000}" name="Definition"/>
    <tableColumn id="5" xr3:uid="{00000000-0010-0000-0D00-000005000000}" name="Formula / rule"/>
    <tableColumn id="6" xr3:uid="{00000000-0010-0000-0D00-000006000000}" name="Source"/>
    <tableColumn id="7" xr3:uid="{00000000-0010-0000-0D00-000007000000}" name="Known limit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WP005Handoff" displayName="WP005Handoff" ref="A1:D13" totalsRowShown="0">
  <autoFilter ref="A1:D13" xr:uid="{00000000-0009-0000-0100-000012000000}"/>
  <tableColumns count="4">
    <tableColumn id="1" xr3:uid="{00000000-0010-0000-0C00-000001000000}" name="Handoff item"/>
    <tableColumn id="2" xr3:uid="{00000000-0010-0000-0C00-000002000000}" name="Locked specification"/>
    <tableColumn id="3" xr3:uid="{00000000-0010-0000-0C00-000003000000}" name="Why / QC requirement"/>
    <tableColumn id="4" xr3:uid="{00000000-0010-0000-0C00-000004000000}" name="WP005 output field or fi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WP004QCChecks" displayName="WP004QCChecks" ref="A1:I20" totalsRowShown="0">
  <autoFilter ref="A1:I20" xr:uid="{00000000-0009-0000-0100-000010000000}"/>
  <tableColumns count="9">
    <tableColumn id="1" xr3:uid="{00000000-0010-0000-0E00-000001000000}" name="QC_ID"/>
    <tableColumn id="2" xr3:uid="{00000000-0010-0000-0E00-000002000000}" name="Check"/>
    <tableColumn id="3" xr3:uid="{00000000-0010-0000-0E00-000003000000}" name="Expected rule"/>
    <tableColumn id="4" xr3:uid="{00000000-0010-0000-0E00-000004000000}" name="Actual result"/>
    <tableColumn id="5" xr3:uid="{00000000-0010-0000-0E00-000005000000}" name="Exception count"/>
    <tableColumn id="6" xr3:uid="{00000000-0010-0000-0E00-000006000000}" name="Status"/>
    <tableColumn id="7" xr3:uid="{00000000-0010-0000-0E00-000007000000}" name="Resolution / handoff"/>
    <tableColumn id="8" xr3:uid="{00000000-0010-0000-0E00-000008000000}" name="Reviewer"/>
    <tableColumn id="9" xr3:uid="{00000000-0010-0000-0E00-000009000000}" name="Review dat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F000000}" name="HMRCQueryManifest" displayName="HMRCQueryManifest" ref="A1:O10" totalsRowShown="0">
  <autoFilter ref="A1:O10" xr:uid="{00000000-0009-0000-0100-000006000000}"/>
  <tableColumns count="15">
    <tableColumn id="1" xr3:uid="{00000000-0010-0000-0F00-000001000000}" name="Query_ID"/>
    <tableColumn id="2" xr3:uid="{00000000-0010-0000-0F00-000002000000}" name="Source_ID"/>
    <tableColumn id="3" xr3:uid="{00000000-0010-0000-0F00-000003000000}" name="Purpose"/>
    <tableColumn id="4" xr3:uid="{00000000-0010-0000-0F00-000004000000}" name="Endpoint"/>
    <tableColumn id="5" xr3:uid="{00000000-0010-0000-0F00-000005000000}" name="Filter / scope"/>
    <tableColumn id="6" xr3:uid="{00000000-0010-0000-0F00-000006000000}" name="Grouping / aggregation"/>
    <tableColumn id="7" xr3:uid="{00000000-0010-0000-0F00-000007000000}" name="Canonical replay URL"/>
    <tableColumn id="8" xr3:uid="{00000000-0010-0000-0F00-000008000000}" name="Evidence file"/>
    <tableColumn id="9" xr3:uid="{00000000-0010-0000-0F00-000009000000}" name="SHA256"/>
    <tableColumn id="10" xr3:uid="{00000000-0010-0000-0F00-00000A000000}" name="Bytes"/>
    <tableColumn id="11" xr3:uid="{00000000-0010-0000-0F00-00000B000000}" name="Rows"/>
    <tableColumn id="12" xr3:uid="{00000000-0010-0000-0F00-00000C000000}" name="NextLink present?"/>
    <tableColumn id="13" xr3:uid="{00000000-0010-0000-0F00-00000D000000}" name="Reporting period"/>
    <tableColumn id="14" xr3:uid="{00000000-0010-0000-0F00-00000E000000}" name="Reconciliation"/>
    <tableColumn id="15" xr3:uid="{00000000-0010-0000-0F00-00000F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0000000}" name="UKGTQueryManifest" displayName="UKGTQueryManifest" ref="A1:Q12" totalsRowShown="0">
  <autoFilter ref="A1:Q12" xr:uid="{00000000-0009-0000-0100-00000E000000}"/>
  <tableColumns count="17">
    <tableColumn id="1" xr3:uid="{00000000-0010-0000-1000-000001000000}" name="Query_ID"/>
    <tableColumn id="2" xr3:uid="{00000000-0010-0000-1000-000002000000}" name="Source_ID"/>
    <tableColumn id="3" xr3:uid="{00000000-0010-0000-1000-000003000000}" name="Purpose"/>
    <tableColumn id="4" xr3:uid="{00000000-0010-0000-1000-000004000000}" name="CN8 parent"/>
    <tableColumn id="5" xr3:uid="{00000000-0010-0000-1000-000005000000}" name="10-digit commodity"/>
    <tableColumn id="6" xr3:uid="{00000000-0010-0000-1000-000006000000}" name="As-of date"/>
    <tableColumn id="7" xr3:uid="{00000000-0010-0000-1000-000007000000}" name="Endpoint"/>
    <tableColumn id="8" xr3:uid="{00000000-0010-0000-1000-000008000000}" name="Canonical replay URL"/>
    <tableColumn id="9" xr3:uid="{00000000-0010-0000-1000-000009000000}" name="Evidence file"/>
    <tableColumn id="10" xr3:uid="{00000000-0010-0000-1000-00000A000000}" name="SHA256"/>
    <tableColumn id="11" xr3:uid="{00000000-0010-0000-1000-00000B000000}" name="Bytes"/>
    <tableColumn id="12" xr3:uid="{00000000-0010-0000-1000-00000C000000}" name="Included objects"/>
    <tableColumn id="13" xr3:uid="{00000000-0010-0000-1000-00000D000000}" name="Declarable?"/>
    <tableColumn id="14" xr3:uid="{00000000-0010-0000-1000-00000E000000}" name="Description"/>
    <tableColumn id="15" xr3:uid="{00000000-0010-0000-1000-00000F000000}" name="Rate summary"/>
    <tableColumn id="16" xr3:uid="{00000000-0010-0000-1000-000010000000}" name="Reconciliation"/>
    <tableColumn id="17" xr3:uid="{00000000-0010-0000-1000-000011000000}" name="Not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1000000}" name="TariffSnapshot" displayName="TariffSnapshot" ref="A1:R12" totalsRowShown="0">
  <autoFilter ref="A1:R12" xr:uid="{00000000-0009-0000-0100-00000C000000}"/>
  <tableColumns count="18">
    <tableColumn id="1" xr3:uid="{00000000-0010-0000-1100-000001000000}" name="Query_ID"/>
    <tableColumn id="2" xr3:uid="{00000000-0010-0000-1100-000002000000}" name="As-of date"/>
    <tableColumn id="3" xr3:uid="{00000000-0010-0000-1100-000003000000}" name="CN8 parent"/>
    <tableColumn id="4" xr3:uid="{00000000-0010-0000-1100-000004000000}" name="10-digit commodity"/>
    <tableColumn id="5" xr3:uid="{00000000-0010-0000-1100-000005000000}" name="Declarable description"/>
    <tableColumn id="6" xr3:uid="{00000000-0010-0000-1100-000006000000}" name="MFN rate"/>
    <tableColumn id="7" xr3:uid="{00000000-0010-0000-1100-000007000000}" name="DCTS Standard"/>
    <tableColumn id="8" xr3:uid="{00000000-0010-0000-1100-000008000000}" name="DCTS Enhanced"/>
    <tableColumn id="9" xr3:uid="{00000000-0010-0000-1100-000009000000}" name="DCTS Comprehensive"/>
    <tableColumn id="10" xr3:uid="{00000000-0010-0000-1100-00000A000000}" name="India direct preference"/>
    <tableColumn id="11" xr3:uid="{00000000-0010-0000-1100-00000B000000}" name="India effective"/>
    <tableColumn id="12" xr3:uid="{00000000-0010-0000-1100-00000C000000}" name="Morocco preference"/>
    <tableColumn id="13" xr3:uid="{00000000-0010-0000-1100-00000D000000}" name="Turkey preference"/>
    <tableColumn id="14" xr3:uid="{00000000-0010-0000-1100-00000E000000}" name="Vietnam preference"/>
    <tableColumn id="15" xr3:uid="{00000000-0010-0000-1100-00000F000000}" name="Vietnam effective"/>
    <tableColumn id="16" xr3:uid="{00000000-0010-0000-1100-000010000000}" name="Evidence file"/>
    <tableColumn id="17" xr3:uid="{00000000-0010-0000-1100-000011000000}" name="SHA256"/>
    <tableColumn id="18" xr3:uid="{00000000-0010-0000-1100-000012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EXT Sourcing">
  <a:themeElements>
    <a:clrScheme name="NEXT Sourcing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uktradeinfo.com/Country?%24select=CountryId%2CCountryCodeNumeric%2CCountryName%2CCountryCodeAlpha" TargetMode="External"/><Relationship Id="rId3" Type="http://schemas.openxmlformats.org/officeDocument/2006/relationships/hyperlink" Target="https://api.uktradeinfo.com/OTS?%24apply=filter%28MonthId+ge+202501+and+MonthId+le+202512+and+%28FlowTypeId+eq+1+or+FlowTypeId+eq+3%29+and+Commodity%2FHs2Code+eq+%2763%27%29%2Fgroupby%28%28FlowTypeId%2CSuppressionIndex%29%2Caggregate%28Value+with+sum+as+Value%2CNetMass+with+sum+as+NetMass%29%29" TargetMode="External"/><Relationship Id="rId7" Type="http://schemas.openxmlformats.org/officeDocument/2006/relationships/hyperlink" Target="https://api.uktradeinfo.com/OTS?%24apply=filter%28MonthId+ge+202501+and+MonthId+le+202512+and+FlowTypeId+eq+3+and+%28CountryId+eq+52+or+CountryId+eq+204+or+CountryId+eq+662+or+CountryId+eq+664+or+CountryId+eq+666+or+CountryId+eq+669+or+CountryId+eq+676+or+CountryId+eq+690+or+CountryId+eq+696+or+CountryId+eq+720%29+and+CommodityId+ge+61000000+and+CommodityId+lt+63000000%29%2Fgroupby%28%28CommodityId%2CCountryId%2CFlowTypeId%2CSuppressionIndex%29%2Caggregate%28Value+with+sum+as+Value%2CNetMass+with+sum+as+NetMass%2CSuppUnit+with+sum+as+SuppUnit%29%29" TargetMode="External"/><Relationship Id="rId2" Type="http://schemas.openxmlformats.org/officeDocument/2006/relationships/hyperlink" Target="https://api.uktradeinfo.com/OTS?%24apply=filter%28MonthId+ge+202501+and+MonthId+le+202512+and+%28FlowTypeId+eq+1+or+FlowTypeId+eq+3%29+and+%28Commodity%2FHs2Code+eq+%2761%27+or+Commodity%2FHs2Code+eq+%2762%27%29%29%2Fgroupby%28%28Commodity%2FHs2Code%2CFlowTypeId%2CSuppressionIndex%29%2Caggregate%28Value+with+sum+as+Value%2CNetMass+with+sum+as+NetMass%29%29" TargetMode="External"/><Relationship Id="rId1" Type="http://schemas.openxmlformats.org/officeDocument/2006/relationships/hyperlink" Target="https://api.uktradeinfo.com/OTS?%24apply=filter((((MonthId%20ge%20202501%20and%20MonthId%20le%20202506)%20or%20(MonthId%20ge%20202601%20and%20MonthId%20le%20202606))%20and%20FlowTypeId%20eq%203%20and%20(CountryId%20eq%20662%20or%20CountryId%20eq%20690%20or%20CountryId%20eq%20696)%20and%20CommodityId%20ge%2061000000%20and%20CommodityId%20lt%2063000000))%2Fgroupby((MonthId%2CCommodityId%2CCountryId%2CFlowTypeId%2CSuppressionIndex)%2Caggregate(Value%20with%20sum%20as%20Value%2CNetMass%20with%20sum%20as%20NetMass%2CSuppUnit%20with%20sum%20as%20SuppUnit))" TargetMode="External"/><Relationship Id="rId6" Type="http://schemas.openxmlformats.org/officeDocument/2006/relationships/hyperlink" Target="https://api.uktradeinfo.com/OTS?%24apply=filter%28MonthId+ge+202501+and+MonthId+le+202512+and+%28FlowTypeId+eq+1+or+FlowTypeId+eq+3%29+and+CommodityId+ge+61000000+and+CommodityId+lt+63000000%29%2Fgroupby%28%28CommodityId%2CFlowTypeId%2CSuppressionIndex%29%2Caggregate%28Value+with+sum+as+Value%2CNetMass+with+sum+as+NetMass%2CSuppUnit+with+sum+as+SuppUnit%29%29" TargetMode="External"/><Relationship Id="rId5" Type="http://schemas.openxmlformats.org/officeDocument/2006/relationships/hyperlink" Target="https://api.uktradeinfo.com/OTS?%24apply=filter%28MonthId+ge+202501+and+MonthId+le+202512+and+%28FlowTypeId+eq+1+or+FlowTypeId+eq+3%29+and+CommodityId+ge+61000000+and+CommodityId+lt+63000000%29%2Fgroupby%28%28CountryId%2CFlowTypeId%2CSuppressionIndex%29%2Caggregate%28Value+with+sum+as+Value%2CNetMass+with+sum+as+NetMass%29%29" TargetMode="External"/><Relationship Id="rId10" Type="http://schemas.openxmlformats.org/officeDocument/2006/relationships/table" Target="../tables/table16.xml"/><Relationship Id="rId4" Type="http://schemas.openxmlformats.org/officeDocument/2006/relationships/hyperlink" Target="https://api.uktradeinfo.com/OTS?%24apply=filter%28%28%28MonthId+ge+202501+and+MonthId+le+202506%29+or+%28MonthId+ge+202601+and+MonthId+le+202606%29%29+and+FlowTypeId+eq+3+and+CountryId+eq+664+and+CommodityId+ge+61000000+and+CommodityId+lt+63000000%29%2Fgroupby%28%28MonthId%2CCommodityId%2CCountryId%2CFlowTypeId%2CSuppressionIndex%29%2Caggregate%28Value+with+sum+as+Value%2CNetMass+with+sum+as+NetMass%2CSuppUnit+with+sum+as+SuppUnit%29%29" TargetMode="External"/><Relationship Id="rId9" Type="http://schemas.openxmlformats.org/officeDocument/2006/relationships/hyperlink" Target="https://api.uktradeinfo.com/Commodity?%24filter=CommodityId+ge+61000000+and+CommodityId+lt+63000000&amp;%24select=CommodityId%2CCn8Code%2CHs2Code%2CHs4Code%2CHs6Code%2CHs2Description%2CHs4Description%2CHs6Description%2CCn8LongDescription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showGridLines="0" zoomScaleNormal="100" workbookViewId="0">
      <selection activeCell="B7" sqref="B7"/>
    </sheetView>
  </sheetViews>
  <sheetFormatPr defaultColWidth="8.7109375" defaultRowHeight="15"/>
  <cols>
    <col min="1" max="1" width="36" customWidth="1"/>
    <col min="2" max="2" width="108" customWidth="1"/>
  </cols>
  <sheetData>
    <row r="1" spans="1:2" ht="16.899999999999999" customHeight="1">
      <c r="A1" s="18" t="s">
        <v>0</v>
      </c>
      <c r="B1" s="18"/>
    </row>
    <row r="2" spans="1:2" ht="15" customHeight="1">
      <c r="A2" s="1"/>
      <c r="B2" s="1"/>
    </row>
    <row r="3" spans="1:2" ht="15" customHeight="1">
      <c r="A3" s="2" t="s">
        <v>1</v>
      </c>
      <c r="B3" s="2" t="s">
        <v>2</v>
      </c>
    </row>
    <row r="4" spans="1:2" ht="15" customHeight="1">
      <c r="A4" s="1" t="s">
        <v>3</v>
      </c>
      <c r="B4" s="1" t="s">
        <v>4</v>
      </c>
    </row>
    <row r="5" spans="1:2" ht="15" customHeight="1">
      <c r="A5" s="1" t="s">
        <v>5</v>
      </c>
      <c r="B5" s="1" t="s">
        <v>6</v>
      </c>
    </row>
    <row r="6" spans="1:2" ht="15" customHeight="1">
      <c r="A6" s="1" t="s">
        <v>7</v>
      </c>
      <c r="B6" s="3">
        <v>46260</v>
      </c>
    </row>
    <row r="7" spans="1:2" ht="15" customHeight="1">
      <c r="A7" s="1" t="s">
        <v>8</v>
      </c>
      <c r="B7" t="s">
        <v>9</v>
      </c>
    </row>
    <row r="8" spans="1:2" ht="15" customHeight="1">
      <c r="A8" s="1" t="s">
        <v>10</v>
      </c>
      <c r="B8" s="1" t="s">
        <v>11</v>
      </c>
    </row>
    <row r="9" spans="1:2" ht="15" customHeight="1">
      <c r="A9" s="1" t="s">
        <v>12</v>
      </c>
      <c r="B9" s="1" t="s">
        <v>13</v>
      </c>
    </row>
    <row r="10" spans="1:2" ht="15" customHeight="1">
      <c r="A10" s="1" t="s">
        <v>14</v>
      </c>
      <c r="B10" s="1" t="s">
        <v>15</v>
      </c>
    </row>
    <row r="11" spans="1:2" ht="15" customHeight="1">
      <c r="A11" s="1" t="s">
        <v>16</v>
      </c>
      <c r="B11" s="1">
        <f>COUNTIF(Commodity_Shortlist!P2:P6,"Core")</f>
        <v>4</v>
      </c>
    </row>
    <row r="12" spans="1:2" ht="15" customHeight="1">
      <c r="A12" s="1" t="s">
        <v>17</v>
      </c>
      <c r="B12" s="1" t="s">
        <v>18</v>
      </c>
    </row>
    <row r="13" spans="1:2" ht="15" customHeight="1">
      <c r="A13" s="1" t="s">
        <v>19</v>
      </c>
      <c r="B13" s="1" t="s">
        <v>20</v>
      </c>
    </row>
    <row r="14" spans="1:2" ht="15" customHeight="1">
      <c r="A14" s="1" t="s">
        <v>21</v>
      </c>
      <c r="B14" s="1" t="s">
        <v>22</v>
      </c>
    </row>
    <row r="15" spans="1:2" ht="15" customHeight="1">
      <c r="A15" s="1" t="s">
        <v>23</v>
      </c>
      <c r="B15" s="1" t="s">
        <v>24</v>
      </c>
    </row>
    <row r="16" spans="1:2" ht="15" customHeight="1">
      <c r="A16" s="1" t="s">
        <v>25</v>
      </c>
      <c r="B16" s="4">
        <f>SUM(Commodity_Shortlist!G2:G5)</f>
        <v>2554995126</v>
      </c>
    </row>
    <row r="17" spans="1:2" ht="15" customHeight="1">
      <c r="A17" s="1" t="s">
        <v>26</v>
      </c>
      <c r="B17" s="5">
        <f>B16/SUM(Category_Screen!D2:D3)</f>
        <v>0.15793752575707881</v>
      </c>
    </row>
    <row r="18" spans="1:2" ht="15" customHeight="1">
      <c r="A18" s="1" t="s">
        <v>27</v>
      </c>
      <c r="B18" s="6">
        <f>Basket_Representativeness!F4</f>
        <v>1.2019665346253583</v>
      </c>
    </row>
    <row r="19" spans="1:2" ht="15" customHeight="1">
      <c r="A19" s="1" t="s">
        <v>28</v>
      </c>
      <c r="B19" s="6">
        <f>Basket_Representativeness!I3</f>
        <v>1.5745212460739444</v>
      </c>
    </row>
    <row r="20" spans="1:2" ht="15" customHeight="1">
      <c r="A20" s="1" t="s">
        <v>29</v>
      </c>
      <c r="B20" s="6">
        <f>Basket_Representativeness!L2</f>
        <v>1.8463992406048118</v>
      </c>
    </row>
    <row r="21" spans="1:2" ht="15" customHeight="1">
      <c r="A21" s="1" t="s">
        <v>30</v>
      </c>
      <c r="B21" s="6">
        <f>Basket_Representativeness!L4</f>
        <v>1.6081225780745549</v>
      </c>
    </row>
    <row r="22" spans="1:2" ht="15" customHeight="1">
      <c r="A22" s="1" t="s">
        <v>31</v>
      </c>
      <c r="B22" s="1" t="str">
        <f>Basket_Representativeness!N4</f>
        <v>No activation</v>
      </c>
    </row>
    <row r="23" spans="1:2" ht="15" customHeight="1">
      <c r="A23" s="1" t="s">
        <v>32</v>
      </c>
      <c r="B23" s="7">
        <f>MIN(Mass_Coverage_QC!D2:D5)</f>
        <v>1</v>
      </c>
    </row>
    <row r="24" spans="1:2" ht="15" customHeight="1">
      <c r="A24" s="1" t="s">
        <v>33</v>
      </c>
      <c r="B24" s="7">
        <f>SUM(Commodity_Shortlist!J3:J4)/SUM(Commodity_Shortlist!J2:J5)</f>
        <v>0.85610483295619633</v>
      </c>
    </row>
    <row r="25" spans="1:2" ht="15" customHeight="1">
      <c r="A25" s="1" t="s">
        <v>34</v>
      </c>
      <c r="B25" s="7">
        <f>Duty_BreakEven!G2</f>
        <v>0.10714285714285721</v>
      </c>
    </row>
    <row r="26" spans="1:2" ht="15" customHeight="1">
      <c r="A26" s="1" t="s">
        <v>35</v>
      </c>
      <c r="B26" s="7">
        <f>Duty_BreakEven!G3</f>
        <v>9.3750000000000111E-2</v>
      </c>
    </row>
    <row r="27" spans="1:2" ht="15" customHeight="1">
      <c r="A27" s="1"/>
      <c r="B27" s="1"/>
    </row>
    <row r="28" spans="1:2" ht="15" customHeight="1">
      <c r="A28" s="2" t="s">
        <v>36</v>
      </c>
      <c r="B28" s="2" t="s">
        <v>37</v>
      </c>
    </row>
    <row r="29" spans="1:2" ht="15" customHeight="1">
      <c r="A29" s="1" t="s">
        <v>38</v>
      </c>
      <c r="B29" s="1" t="s">
        <v>39</v>
      </c>
    </row>
    <row r="30" spans="1:2" ht="15" customHeight="1">
      <c r="A30" s="1" t="s">
        <v>40</v>
      </c>
      <c r="B30" s="1" t="s">
        <v>41</v>
      </c>
    </row>
    <row r="31" spans="1:2" ht="15" customHeight="1">
      <c r="A31" s="1" t="s">
        <v>42</v>
      </c>
      <c r="B31" s="1" t="s">
        <v>43</v>
      </c>
    </row>
    <row r="32" spans="1:2" ht="15" customHeight="1">
      <c r="A32" s="1" t="s">
        <v>44</v>
      </c>
      <c r="B32" s="1" t="s">
        <v>45</v>
      </c>
    </row>
    <row r="33" spans="1:2" ht="15" customHeight="1">
      <c r="A33" s="1" t="s">
        <v>46</v>
      </c>
      <c r="B33" s="1" t="s">
        <v>47</v>
      </c>
    </row>
    <row r="34" spans="1:2" ht="15" customHeight="1">
      <c r="A34" s="1" t="s">
        <v>48</v>
      </c>
      <c r="B34" s="1" t="s">
        <v>49</v>
      </c>
    </row>
    <row r="35" spans="1:2" ht="24" customHeight="1">
      <c r="A35" s="1" t="s">
        <v>50</v>
      </c>
      <c r="B35" s="1" t="s">
        <v>51</v>
      </c>
    </row>
    <row r="36" spans="1:2" ht="15" customHeight="1">
      <c r="A36" s="1" t="s">
        <v>52</v>
      </c>
      <c r="B36" s="1" t="s">
        <v>53</v>
      </c>
    </row>
    <row r="37" spans="1:2" ht="24" customHeight="1">
      <c r="A37" s="1" t="s">
        <v>54</v>
      </c>
      <c r="B37" s="1" t="s">
        <v>55</v>
      </c>
    </row>
    <row r="38" spans="1:2" ht="15" customHeight="1">
      <c r="A38" s="1"/>
      <c r="B38" s="1"/>
    </row>
    <row r="39" spans="1:2" ht="15" customHeight="1">
      <c r="A39" s="2" t="s">
        <v>56</v>
      </c>
      <c r="B39" s="2" t="s">
        <v>57</v>
      </c>
    </row>
    <row r="40" spans="1:2" ht="15" customHeight="1">
      <c r="A40" s="1" t="s">
        <v>58</v>
      </c>
      <c r="B40" s="1" t="s">
        <v>59</v>
      </c>
    </row>
    <row r="41" spans="1:2" ht="24" customHeight="1">
      <c r="A41" s="1" t="s">
        <v>60</v>
      </c>
      <c r="B41" s="1" t="s">
        <v>61</v>
      </c>
    </row>
    <row r="42" spans="1:2" ht="15" customHeight="1">
      <c r="A42" s="1" t="s">
        <v>62</v>
      </c>
      <c r="B42" s="1" t="s">
        <v>63</v>
      </c>
    </row>
    <row r="43" spans="1:2" ht="15" customHeight="1">
      <c r="A43" s="1" t="s">
        <v>64</v>
      </c>
      <c r="B43" s="1" t="s">
        <v>65</v>
      </c>
    </row>
    <row r="44" spans="1:2" ht="15" customHeight="1">
      <c r="A44" s="1" t="s">
        <v>66</v>
      </c>
      <c r="B44" s="1" t="s">
        <v>67</v>
      </c>
    </row>
    <row r="45" spans="1:2" ht="15" customHeight="1">
      <c r="A45" s="1" t="s">
        <v>68</v>
      </c>
      <c r="B45" s="1" t="s">
        <v>69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topLeftCell="C4" zoomScaleNormal="100" workbookViewId="0">
      <selection activeCell="D17" sqref="D17"/>
    </sheetView>
  </sheetViews>
  <sheetFormatPr defaultColWidth="8.7109375" defaultRowHeight="15"/>
  <cols>
    <col min="1" max="1" width="8" customWidth="1"/>
    <col min="2" max="2" width="30" customWidth="1"/>
    <col min="3" max="3" width="44" customWidth="1"/>
    <col min="4" max="4" width="42" customWidth="1"/>
    <col min="5" max="5" width="46" customWidth="1"/>
    <col min="6" max="6" width="36" customWidth="1"/>
    <col min="7" max="7" width="44" customWidth="1"/>
  </cols>
  <sheetData>
    <row r="1" spans="1:7" ht="15" customHeight="1">
      <c r="A1" s="8" t="s">
        <v>70</v>
      </c>
      <c r="B1" s="8" t="s">
        <v>71</v>
      </c>
      <c r="C1" s="8" t="s">
        <v>72</v>
      </c>
      <c r="D1" s="8" t="s">
        <v>73</v>
      </c>
      <c r="E1" s="8" t="s">
        <v>74</v>
      </c>
      <c r="F1" s="8" t="s">
        <v>75</v>
      </c>
      <c r="G1" s="8" t="s">
        <v>76</v>
      </c>
    </row>
    <row r="2" spans="1:7" ht="24" customHeight="1">
      <c r="A2" s="1">
        <v>1</v>
      </c>
      <c r="B2" s="1" t="s">
        <v>77</v>
      </c>
      <c r="C2" s="1" t="s">
        <v>78</v>
      </c>
      <c r="D2" s="1" t="inlineStr">
        <is>
          <t>Scope record D010, L007-L009; WP003 outputs</t>
        </is>
      </c>
      <c r="E2" s="1" t="s">
        <v>80</v>
      </c>
      <c r="F2" s="1" t="s">
        <v>81</v>
      </c>
      <c r="G2" s="1" t="s">
        <v>82</v>
      </c>
    </row>
    <row r="3" spans="1:7" ht="24" customHeight="1">
      <c r="A3" s="1">
        <v>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88</v>
      </c>
    </row>
    <row r="4" spans="1:7" ht="24" customHeight="1">
      <c r="A4" s="1">
        <v>3</v>
      </c>
      <c r="B4" s="1" t="s">
        <v>89</v>
      </c>
      <c r="C4" s="1" t="s">
        <v>90</v>
      </c>
      <c r="D4" s="1" t="s">
        <v>91</v>
      </c>
      <c r="E4" s="1" t="s">
        <v>92</v>
      </c>
      <c r="F4" s="1" t="s">
        <v>93</v>
      </c>
      <c r="G4" s="1" t="s">
        <v>94</v>
      </c>
    </row>
    <row r="5" spans="1:7" ht="24" customHeight="1">
      <c r="A5" s="1">
        <v>4</v>
      </c>
      <c r="B5" s="1" t="s">
        <v>95</v>
      </c>
      <c r="C5" s="1" t="s">
        <v>96</v>
      </c>
      <c r="D5" s="1" t="s">
        <v>97</v>
      </c>
      <c r="E5" s="1" t="s">
        <v>98</v>
      </c>
      <c r="F5" s="1" t="s">
        <v>93</v>
      </c>
      <c r="G5" s="1" t="s">
        <v>99</v>
      </c>
    </row>
    <row r="6" spans="1:7" ht="24" customHeight="1">
      <c r="A6" s="1">
        <v>5</v>
      </c>
      <c r="B6" s="1" t="s">
        <v>100</v>
      </c>
      <c r="C6" s="1" t="s">
        <v>101</v>
      </c>
      <c r="D6" s="1" t="s">
        <v>102</v>
      </c>
      <c r="E6" s="1" t="s">
        <v>103</v>
      </c>
      <c r="F6" s="1" t="s">
        <v>104</v>
      </c>
      <c r="G6" s="1" t="s">
        <v>105</v>
      </c>
    </row>
    <row r="7" spans="1:7" ht="24" customHeight="1">
      <c r="A7" s="1">
        <v>6</v>
      </c>
      <c r="B7" s="1" t="s">
        <v>106</v>
      </c>
      <c r="C7" s="1" t="s">
        <v>107</v>
      </c>
      <c r="D7" s="1" t="s">
        <v>108</v>
      </c>
      <c r="E7" s="1" t="s">
        <v>109</v>
      </c>
      <c r="F7" s="1" t="s">
        <v>110</v>
      </c>
      <c r="G7" s="1" t="s">
        <v>111</v>
      </c>
    </row>
    <row r="8" spans="1:7" ht="24" customHeight="1">
      <c r="A8" s="1">
        <v>7</v>
      </c>
      <c r="B8" s="1" t="s">
        <v>112</v>
      </c>
      <c r="C8" s="1" t="s">
        <v>113</v>
      </c>
      <c r="D8" s="1" t="s">
        <v>114</v>
      </c>
      <c r="E8" s="1" t="s">
        <v>115</v>
      </c>
      <c r="F8" s="1" t="s">
        <v>116</v>
      </c>
      <c r="G8" s="1" t="s">
        <v>117</v>
      </c>
    </row>
    <row r="9" spans="1:7" ht="24" customHeight="1">
      <c r="A9" s="1">
        <v>8</v>
      </c>
      <c r="B9" s="1" t="s">
        <v>118</v>
      </c>
      <c r="C9" s="1" t="s">
        <v>119</v>
      </c>
      <c r="D9" s="1" t="s">
        <v>120</v>
      </c>
      <c r="E9" s="1" t="s">
        <v>121</v>
      </c>
      <c r="F9" s="1" t="s">
        <v>122</v>
      </c>
      <c r="G9" s="1" t="s">
        <v>123</v>
      </c>
    </row>
    <row r="10" spans="1:7" ht="24" customHeight="1">
      <c r="A10" s="1">
        <v>9</v>
      </c>
      <c r="B10" s="1" t="s">
        <v>124</v>
      </c>
      <c r="C10" s="1" t="s">
        <v>125</v>
      </c>
      <c r="D10" s="1" t="s">
        <v>126</v>
      </c>
      <c r="E10" s="1" t="s">
        <v>127</v>
      </c>
      <c r="F10" s="1" t="s">
        <v>128</v>
      </c>
      <c r="G10" s="1" t="s">
        <v>129</v>
      </c>
    </row>
    <row r="11" spans="1:7" ht="24" customHeight="1">
      <c r="A11" s="1">
        <v>10</v>
      </c>
      <c r="B11" s="1" t="s">
        <v>130</v>
      </c>
      <c r="C11" s="1" t="s">
        <v>131</v>
      </c>
      <c r="D11" s="1" t="s">
        <v>132</v>
      </c>
      <c r="E11" s="1" t="s">
        <v>133</v>
      </c>
      <c r="F11" s="1" t="s">
        <v>134</v>
      </c>
      <c r="G11" s="1" t="s">
        <v>135</v>
      </c>
    </row>
    <row r="12" spans="1:7" ht="24" customHeight="1">
      <c r="A12" s="1">
        <v>11</v>
      </c>
      <c r="B12" s="1" t="s">
        <v>136</v>
      </c>
      <c r="C12" s="1" t="s">
        <v>137</v>
      </c>
      <c r="D12" s="1" t="s">
        <v>138</v>
      </c>
      <c r="E12" s="1" t="s">
        <v>139</v>
      </c>
      <c r="F12" s="1" t="s">
        <v>140</v>
      </c>
      <c r="G12" s="1" t="s">
        <v>141</v>
      </c>
    </row>
    <row r="13" spans="1:7" ht="24" customHeight="1">
      <c r="A13" s="1">
        <v>12</v>
      </c>
      <c r="B13" s="1" t="s">
        <v>142</v>
      </c>
      <c r="C13" s="1" t="s">
        <v>143</v>
      </c>
      <c r="D13" s="1" t="s">
        <v>144</v>
      </c>
      <c r="E13" s="1" t="s">
        <v>145</v>
      </c>
      <c r="F13" s="1" t="s">
        <v>146</v>
      </c>
      <c r="G13" s="1" t="s">
        <v>147</v>
      </c>
    </row>
    <row r="14" spans="1:7" ht="24" customHeight="1">
      <c r="A14" s="1">
        <v>13</v>
      </c>
      <c r="B14" s="1" t="s">
        <v>148</v>
      </c>
      <c r="C14" s="1" t="s">
        <v>149</v>
      </c>
      <c r="D14" s="1" t="s">
        <v>150</v>
      </c>
      <c r="E14" s="1" t="s">
        <v>151</v>
      </c>
      <c r="F14" s="1" t="s">
        <v>152</v>
      </c>
      <c r="G14" s="1" t="s">
        <v>153</v>
      </c>
    </row>
    <row r="15" spans="1:7" ht="15" customHeight="1">
      <c r="A15" s="1">
        <v>14</v>
      </c>
      <c r="B15" s="1" t="s">
        <v>154</v>
      </c>
      <c r="C15" s="1" t="s">
        <v>155</v>
      </c>
      <c r="D15" s="1" t="s">
        <v>156</v>
      </c>
      <c r="E15" s="1" t="s">
        <v>157</v>
      </c>
      <c r="F15" s="1" t="s">
        <v>158</v>
      </c>
      <c r="G15" s="1" t="s">
        <v>159</v>
      </c>
    </row>
    <row r="16" spans="1:7" ht="24" customHeight="1">
      <c r="A16" s="1">
        <v>15</v>
      </c>
      <c r="B16" s="1" t="s">
        <v>160</v>
      </c>
      <c r="C16" s="1" t="s">
        <v>161</v>
      </c>
      <c r="D16" s="1" t="s">
        <v>162</v>
      </c>
      <c r="E16" s="1" t="s">
        <v>163</v>
      </c>
      <c r="F16" s="1" t="s">
        <v>164</v>
      </c>
      <c r="G16" s="1" t="s">
        <v>165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showGridLines="0" topLeftCell="C1" zoomScaleNormal="100" workbookViewId="0">
      <selection activeCell="E2" sqref="E2"/>
    </sheetView>
  </sheetViews>
  <sheetFormatPr defaultColWidth="8.7109375" defaultRowHeight="15"/>
  <cols>
    <col min="1" max="1" width="22" customWidth="1"/>
    <col min="2" max="2" width="18" customWidth="1"/>
    <col min="3" max="3" width="40" customWidth="1"/>
    <col min="4" max="4" width="22" customWidth="1"/>
    <col min="5" max="5" width="21.85546875" customWidth="1"/>
    <col min="6" max="6" width="24" customWidth="1"/>
    <col min="7" max="7" width="42" customWidth="1"/>
    <col min="8" max="8" width="58" customWidth="1"/>
    <col min="9" max="9" width="44" customWidth="1"/>
    <col min="10" max="10" width="42" customWidth="1"/>
    <col min="11" max="11" width="24" customWidth="1"/>
    <col min="12" max="12" width="42" customWidth="1"/>
  </cols>
  <sheetData>
    <row r="1" spans="1:12" ht="15" customHeight="1">
      <c r="A1" s="8" t="s">
        <v>166</v>
      </c>
      <c r="B1" s="8" t="s">
        <v>167</v>
      </c>
      <c r="C1" s="8" t="s">
        <v>168</v>
      </c>
      <c r="D1" s="8" t="s">
        <v>169</v>
      </c>
      <c r="E1" s="8" t="s">
        <v>170</v>
      </c>
      <c r="F1" s="8" t="s">
        <v>171</v>
      </c>
      <c r="G1" s="8" t="s">
        <v>172</v>
      </c>
      <c r="H1" s="8" t="s">
        <v>173</v>
      </c>
      <c r="I1" s="8" t="s">
        <v>174</v>
      </c>
      <c r="J1" s="8" t="s">
        <v>175</v>
      </c>
      <c r="K1" s="8" t="s">
        <v>176</v>
      </c>
      <c r="L1" s="8" t="s">
        <v>177</v>
      </c>
    </row>
    <row r="2" spans="1:12" ht="36" customHeight="1">
      <c r="A2" s="1" t="s">
        <v>178</v>
      </c>
      <c r="B2" s="1" t="s">
        <v>179</v>
      </c>
      <c r="C2" s="1" t="s">
        <v>180</v>
      </c>
      <c r="D2" s="1" t="s">
        <v>181</v>
      </c>
      <c r="E2" s="3">
        <v>46260</v>
      </c>
      <c r="F2" s="1" t="s">
        <v>182</v>
      </c>
      <c r="G2" s="14" t="s">
        <v>9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</row>
    <row r="3" spans="1:12" ht="24" customHeight="1">
      <c r="A3" s="1" t="s">
        <v>188</v>
      </c>
      <c r="B3" s="1" t="s">
        <v>189</v>
      </c>
      <c r="C3" s="1" t="s">
        <v>190</v>
      </c>
      <c r="D3" s="1" t="s">
        <v>181</v>
      </c>
      <c r="E3" s="3">
        <v>46258</v>
      </c>
      <c r="F3" s="1" t="s">
        <v>191</v>
      </c>
      <c r="G3" s="1" t="s">
        <v>192</v>
      </c>
      <c r="H3" s="1" t="s">
        <v>193</v>
      </c>
      <c r="I3" s="1" t="s">
        <v>194</v>
      </c>
      <c r="J3" s="1" t="s">
        <v>195</v>
      </c>
      <c r="K3" s="1" t="s">
        <v>196</v>
      </c>
      <c r="L3" s="1" t="s">
        <v>197</v>
      </c>
    </row>
    <row r="4" spans="1:12" ht="24" customHeight="1">
      <c r="A4" s="1" t="s">
        <v>198</v>
      </c>
      <c r="B4" s="1" t="s">
        <v>199</v>
      </c>
      <c r="C4" s="1" t="s">
        <v>200</v>
      </c>
      <c r="D4" s="1" t="s">
        <v>181</v>
      </c>
      <c r="E4" s="3">
        <v>46247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 t="s">
        <v>196</v>
      </c>
      <c r="L4" s="1" t="s">
        <v>206</v>
      </c>
    </row>
    <row r="5" spans="1:12" ht="24" customHeight="1">
      <c r="A5" s="1" t="s">
        <v>207</v>
      </c>
      <c r="B5" s="1" t="s">
        <v>208</v>
      </c>
      <c r="C5" s="1" t="s">
        <v>209</v>
      </c>
      <c r="D5" s="1" t="s">
        <v>210</v>
      </c>
      <c r="E5" s="3">
        <v>46259</v>
      </c>
      <c r="F5" s="1" t="s">
        <v>211</v>
      </c>
      <c r="G5" s="14" t="s">
        <v>9</v>
      </c>
      <c r="H5" s="1" t="s">
        <v>212</v>
      </c>
      <c r="I5" s="1" t="s">
        <v>213</v>
      </c>
      <c r="J5" s="1" t="s">
        <v>214</v>
      </c>
      <c r="K5" s="1" t="s">
        <v>186</v>
      </c>
      <c r="L5" s="1" t="s">
        <v>215</v>
      </c>
    </row>
    <row r="6" spans="1:12" ht="24" customHeight="1">
      <c r="A6" s="1" t="s">
        <v>216</v>
      </c>
      <c r="B6" s="1" t="s">
        <v>217</v>
      </c>
      <c r="C6" s="1" t="s">
        <v>218</v>
      </c>
      <c r="D6" s="1" t="s">
        <v>210</v>
      </c>
      <c r="E6" s="3">
        <v>46258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196</v>
      </c>
      <c r="L6" s="1" t="s">
        <v>224</v>
      </c>
    </row>
    <row r="7" spans="1:12" ht="36" customHeight="1">
      <c r="A7" s="1" t="s">
        <v>225</v>
      </c>
      <c r="B7" s="1" t="s">
        <v>226</v>
      </c>
      <c r="C7" s="1" t="s">
        <v>227</v>
      </c>
      <c r="D7" s="1" t="s">
        <v>210</v>
      </c>
      <c r="E7" s="3">
        <v>46258</v>
      </c>
      <c r="F7" s="1" t="s">
        <v>228</v>
      </c>
      <c r="G7" s="1" t="s">
        <v>229</v>
      </c>
      <c r="H7" s="1" t="s">
        <v>230</v>
      </c>
      <c r="I7" s="1" t="s">
        <v>231</v>
      </c>
      <c r="J7" s="1" t="s">
        <v>223</v>
      </c>
      <c r="K7" s="1" t="s">
        <v>196</v>
      </c>
      <c r="L7" s="1" t="s">
        <v>232</v>
      </c>
    </row>
    <row r="8" spans="1:12" ht="36" customHeight="1">
      <c r="A8" s="1" t="s">
        <v>233</v>
      </c>
      <c r="B8" s="1" t="s">
        <v>234</v>
      </c>
      <c r="C8" s="1" t="s">
        <v>235</v>
      </c>
      <c r="D8" s="1" t="s">
        <v>210</v>
      </c>
      <c r="E8" s="3">
        <v>46041</v>
      </c>
      <c r="F8" s="1" t="s">
        <v>236</v>
      </c>
      <c r="G8" s="1" t="s">
        <v>237</v>
      </c>
      <c r="H8" s="1" t="s">
        <v>238</v>
      </c>
      <c r="I8" s="1" t="s">
        <v>239</v>
      </c>
      <c r="J8" s="1" t="s">
        <v>223</v>
      </c>
      <c r="K8" s="1" t="s">
        <v>196</v>
      </c>
      <c r="L8" s="1" t="s">
        <v>240</v>
      </c>
    </row>
    <row r="9" spans="1:12" ht="24" customHeight="1">
      <c r="A9" s="1" t="s">
        <v>241</v>
      </c>
      <c r="B9" s="1" t="s">
        <v>242</v>
      </c>
      <c r="C9" s="1" t="s">
        <v>243</v>
      </c>
      <c r="D9" s="1" t="s">
        <v>210</v>
      </c>
      <c r="E9" s="3">
        <v>46218</v>
      </c>
      <c r="F9" s="1" t="s">
        <v>244</v>
      </c>
      <c r="G9" s="1" t="s">
        <v>245</v>
      </c>
      <c r="H9" s="1" t="s">
        <v>246</v>
      </c>
      <c r="I9" s="1" t="s">
        <v>247</v>
      </c>
      <c r="J9" s="1" t="s">
        <v>248</v>
      </c>
      <c r="K9" s="1" t="s">
        <v>196</v>
      </c>
      <c r="L9" s="1" t="s">
        <v>249</v>
      </c>
    </row>
    <row r="10" spans="1:12" ht="24" customHeight="1">
      <c r="A10" s="1" t="s">
        <v>250</v>
      </c>
      <c r="B10" s="1" t="s">
        <v>251</v>
      </c>
      <c r="C10" s="1" t="s">
        <v>252</v>
      </c>
      <c r="D10" s="1" t="s">
        <v>210</v>
      </c>
      <c r="E10" s="3">
        <v>46218</v>
      </c>
      <c r="F10" s="1" t="s">
        <v>244</v>
      </c>
      <c r="G10" s="1" t="s">
        <v>253</v>
      </c>
      <c r="H10" s="1" t="s">
        <v>254</v>
      </c>
      <c r="I10" s="1" t="s">
        <v>255</v>
      </c>
      <c r="J10" s="1" t="s">
        <v>248</v>
      </c>
      <c r="K10" s="1" t="s">
        <v>196</v>
      </c>
      <c r="L10" s="1" t="s">
        <v>256</v>
      </c>
    </row>
    <row r="11" spans="1:12" ht="24" customHeight="1">
      <c r="A11" s="1" t="s">
        <v>257</v>
      </c>
      <c r="B11" s="1" t="s">
        <v>258</v>
      </c>
      <c r="C11" s="1" t="s">
        <v>259</v>
      </c>
      <c r="D11" s="1" t="s">
        <v>210</v>
      </c>
      <c r="E11" s="3">
        <v>46218</v>
      </c>
      <c r="F11" s="1" t="s">
        <v>244</v>
      </c>
      <c r="G11" s="1" t="s">
        <v>260</v>
      </c>
      <c r="H11" s="1" t="s">
        <v>261</v>
      </c>
      <c r="I11" s="1" t="s">
        <v>262</v>
      </c>
      <c r="J11" s="1" t="s">
        <v>248</v>
      </c>
      <c r="K11" s="1" t="s">
        <v>196</v>
      </c>
      <c r="L11" s="1" t="s">
        <v>263</v>
      </c>
    </row>
    <row r="12" spans="1:12" ht="24" customHeight="1">
      <c r="A12" s="1" t="s">
        <v>264</v>
      </c>
      <c r="B12" s="1" t="s">
        <v>265</v>
      </c>
      <c r="C12" s="1" t="s">
        <v>266</v>
      </c>
      <c r="D12" s="1" t="s">
        <v>210</v>
      </c>
      <c r="E12" s="3">
        <v>46218</v>
      </c>
      <c r="F12" s="1" t="s">
        <v>244</v>
      </c>
      <c r="G12" s="1" t="s">
        <v>267</v>
      </c>
      <c r="H12" s="1" t="s">
        <v>268</v>
      </c>
      <c r="I12" s="1" t="s">
        <v>269</v>
      </c>
      <c r="J12" s="1" t="s">
        <v>248</v>
      </c>
      <c r="K12" s="1" t="s">
        <v>196</v>
      </c>
      <c r="L12" s="1" t="s">
        <v>270</v>
      </c>
    </row>
    <row r="13" spans="1:12" ht="24" customHeight="1">
      <c r="A13" s="1" t="s">
        <v>271</v>
      </c>
      <c r="B13" s="1" t="s">
        <v>272</v>
      </c>
      <c r="C13" s="1" t="s">
        <v>273</v>
      </c>
      <c r="D13" s="1" t="s">
        <v>210</v>
      </c>
      <c r="E13" s="3">
        <v>46218</v>
      </c>
      <c r="F13" s="1" t="s">
        <v>274</v>
      </c>
      <c r="G13" s="1" t="s">
        <v>275</v>
      </c>
      <c r="H13" s="1" t="s">
        <v>276</v>
      </c>
      <c r="I13" s="1" t="s">
        <v>277</v>
      </c>
      <c r="J13" s="1" t="s">
        <v>248</v>
      </c>
      <c r="K13" s="1" t="s">
        <v>196</v>
      </c>
      <c r="L13" s="1" t="s">
        <v>278</v>
      </c>
    </row>
    <row r="14" spans="1:12" ht="24" customHeight="1">
      <c r="A14" s="1" t="s">
        <v>279</v>
      </c>
      <c r="B14" s="1" t="s">
        <v>280</v>
      </c>
      <c r="C14" s="1" t="s">
        <v>281</v>
      </c>
      <c r="D14" s="1" t="s">
        <v>181</v>
      </c>
      <c r="E14" s="3">
        <v>46258</v>
      </c>
      <c r="F14" s="1" t="s">
        <v>282</v>
      </c>
      <c r="G14" s="1" t="s">
        <v>283</v>
      </c>
      <c r="H14" s="1" t="s">
        <v>284</v>
      </c>
      <c r="I14" s="1" t="s">
        <v>285</v>
      </c>
      <c r="J14" s="1" t="s">
        <v>223</v>
      </c>
      <c r="K14" s="1" t="s">
        <v>196</v>
      </c>
      <c r="L14" s="1" t="s">
        <v>286</v>
      </c>
    </row>
    <row r="15" spans="1:12" ht="24" customHeight="1">
      <c r="A15" s="1" t="s">
        <v>287</v>
      </c>
      <c r="B15" s="1" t="s">
        <v>242</v>
      </c>
      <c r="C15" s="1" t="s">
        <v>288</v>
      </c>
      <c r="D15" s="1" t="s">
        <v>210</v>
      </c>
      <c r="E15" s="3">
        <v>43831</v>
      </c>
      <c r="F15" s="1" t="s">
        <v>289</v>
      </c>
      <c r="G15" s="1" t="s">
        <v>290</v>
      </c>
      <c r="H15" s="1" t="s">
        <v>291</v>
      </c>
      <c r="I15" s="1" t="s">
        <v>292</v>
      </c>
      <c r="J15" s="1" t="s">
        <v>293</v>
      </c>
      <c r="K15" s="1" t="s">
        <v>294</v>
      </c>
      <c r="L15" s="1" t="s">
        <v>295</v>
      </c>
    </row>
    <row r="16" spans="1:12" ht="24" customHeight="1">
      <c r="A16" s="1" t="s">
        <v>296</v>
      </c>
      <c r="B16" s="1" t="s">
        <v>242</v>
      </c>
      <c r="C16" s="1" t="s">
        <v>297</v>
      </c>
      <c r="D16" s="1" t="s">
        <v>210</v>
      </c>
      <c r="E16" s="3">
        <v>44216</v>
      </c>
      <c r="F16" s="1" t="s">
        <v>289</v>
      </c>
      <c r="G16" s="1" t="s">
        <v>298</v>
      </c>
      <c r="H16" s="1" t="s">
        <v>299</v>
      </c>
      <c r="I16" s="1" t="s">
        <v>300</v>
      </c>
      <c r="J16" s="1" t="s">
        <v>293</v>
      </c>
      <c r="K16" s="1" t="s">
        <v>294</v>
      </c>
      <c r="L16" s="1" t="s">
        <v>295</v>
      </c>
    </row>
    <row r="17" spans="1:12" ht="24" customHeight="1">
      <c r="A17" s="1" t="s">
        <v>301</v>
      </c>
      <c r="B17" s="1" t="s">
        <v>242</v>
      </c>
      <c r="C17" s="1" t="s">
        <v>302</v>
      </c>
      <c r="D17" s="1" t="s">
        <v>210</v>
      </c>
      <c r="E17" s="3">
        <v>44200</v>
      </c>
      <c r="F17" s="1" t="s">
        <v>289</v>
      </c>
      <c r="G17" s="1" t="s">
        <v>303</v>
      </c>
      <c r="H17" s="1" t="s">
        <v>304</v>
      </c>
      <c r="I17" s="1" t="s">
        <v>305</v>
      </c>
      <c r="J17" s="1" t="s">
        <v>293</v>
      </c>
      <c r="K17" s="1" t="s">
        <v>294</v>
      </c>
      <c r="L17" s="1" t="s">
        <v>306</v>
      </c>
    </row>
    <row r="18" spans="1:12" ht="36">
      <c r="A18" t="s">
        <v>307</v>
      </c>
      <c r="B18" t="s">
        <v>308</v>
      </c>
      <c r="C18" t="s">
        <v>309</v>
      </c>
      <c r="D18" s="14" t="s">
        <v>310</v>
      </c>
      <c r="E18" s="17">
        <v>46260</v>
      </c>
      <c r="F18" s="14" t="s">
        <v>311</v>
      </c>
      <c r="G18" s="14" t="s">
        <v>312</v>
      </c>
      <c r="H18" s="14" t="s">
        <v>313</v>
      </c>
      <c r="I18" s="14" t="s">
        <v>314</v>
      </c>
      <c r="J18" s="14" t="s">
        <v>315</v>
      </c>
      <c r="K18" t="s">
        <v>196</v>
      </c>
      <c r="L18" s="14" t="s">
        <v>316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zoomScaleNormal="100" workbookViewId="0">
      <selection activeCell="C7" sqref="C7"/>
    </sheetView>
  </sheetViews>
  <sheetFormatPr defaultColWidth="8.7109375" defaultRowHeight="15"/>
  <cols>
    <col min="1" max="1" width="14" customWidth="1"/>
    <col min="2" max="2" width="25" customWidth="1"/>
    <col min="3" max="3" width="52" customWidth="1"/>
    <col min="4" max="4" width="50" customWidth="1"/>
    <col min="5" max="5" width="38" customWidth="1"/>
    <col min="6" max="6" width="46" customWidth="1"/>
    <col min="7" max="7" width="42" customWidth="1"/>
    <col min="8" max="8" width="16" customWidth="1"/>
  </cols>
  <sheetData>
    <row r="1" spans="1:8" ht="15" customHeight="1">
      <c r="A1" s="8" t="s">
        <v>317</v>
      </c>
      <c r="B1" s="8" t="s">
        <v>318</v>
      </c>
      <c r="C1" s="8" t="s">
        <v>319</v>
      </c>
      <c r="D1" s="8" t="s">
        <v>320</v>
      </c>
      <c r="E1" s="8" t="s">
        <v>321</v>
      </c>
      <c r="F1" s="8" t="s">
        <v>322</v>
      </c>
      <c r="G1" s="8" t="s">
        <v>323</v>
      </c>
      <c r="H1" s="8" t="s">
        <v>5</v>
      </c>
    </row>
    <row r="2" spans="1:8" ht="48" customHeight="1">
      <c r="A2" s="1" t="s">
        <v>324</v>
      </c>
      <c r="B2" s="1" t="s">
        <v>325</v>
      </c>
      <c r="C2" s="1" t="s">
        <v>326</v>
      </c>
      <c r="D2" s="1" t="s">
        <v>327</v>
      </c>
      <c r="E2" s="1" t="s">
        <v>328</v>
      </c>
      <c r="F2" s="1" t="s">
        <v>329</v>
      </c>
      <c r="G2" s="1" t="s">
        <v>330</v>
      </c>
      <c r="H2" s="1" t="s">
        <v>331</v>
      </c>
    </row>
    <row r="3" spans="1:8" ht="24" customHeight="1">
      <c r="A3" s="1" t="s">
        <v>332</v>
      </c>
      <c r="B3" s="1" t="s">
        <v>333</v>
      </c>
      <c r="C3" s="1" t="s">
        <v>334</v>
      </c>
      <c r="D3" s="1" t="s">
        <v>335</v>
      </c>
      <c r="E3" s="1" t="s">
        <v>336</v>
      </c>
      <c r="F3" s="1" t="s">
        <v>337</v>
      </c>
      <c r="G3" s="1" t="s">
        <v>338</v>
      </c>
      <c r="H3" s="1" t="s">
        <v>331</v>
      </c>
    </row>
    <row r="4" spans="1:8" ht="24" customHeight="1">
      <c r="A4" s="1" t="s">
        <v>339</v>
      </c>
      <c r="B4" s="1" t="s">
        <v>340</v>
      </c>
      <c r="C4" s="1" t="s">
        <v>341</v>
      </c>
      <c r="D4" s="1" t="s">
        <v>342</v>
      </c>
      <c r="E4" s="1" t="s">
        <v>343</v>
      </c>
      <c r="F4" s="1" t="s">
        <v>344</v>
      </c>
      <c r="G4" s="1" t="s">
        <v>345</v>
      </c>
      <c r="H4" s="1" t="s">
        <v>331</v>
      </c>
    </row>
    <row r="5" spans="1:8" ht="24" customHeight="1">
      <c r="A5" s="1" t="s">
        <v>346</v>
      </c>
      <c r="B5" s="1" t="s">
        <v>347</v>
      </c>
      <c r="C5" s="1" t="s">
        <v>348</v>
      </c>
      <c r="D5" s="1" t="s">
        <v>349</v>
      </c>
      <c r="E5" s="1" t="s">
        <v>350</v>
      </c>
      <c r="F5" s="1" t="s">
        <v>351</v>
      </c>
      <c r="G5" s="1" t="s">
        <v>352</v>
      </c>
      <c r="H5" s="1" t="s">
        <v>331</v>
      </c>
    </row>
    <row r="6" spans="1:8" ht="36" customHeight="1">
      <c r="A6" s="1" t="s">
        <v>353</v>
      </c>
      <c r="B6" s="1" t="s">
        <v>354</v>
      </c>
      <c r="C6" s="1" t="s">
        <v>355</v>
      </c>
      <c r="D6" s="1" t="s">
        <v>356</v>
      </c>
      <c r="E6" s="1" t="s">
        <v>357</v>
      </c>
      <c r="F6" s="1" t="s">
        <v>358</v>
      </c>
      <c r="G6" s="1" t="s">
        <v>359</v>
      </c>
      <c r="H6" s="1" t="s">
        <v>331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showGridLines="0" zoomScaleNormal="100" workbookViewId="0"/>
  </sheetViews>
  <sheetFormatPr defaultColWidth="8.7109375" defaultRowHeight="15"/>
  <cols>
    <col min="1" max="1" width="10" customWidth="1"/>
    <col min="2" max="2" width="12" customWidth="1"/>
    <col min="3" max="3" width="42" customWidth="1"/>
    <col min="4" max="4" width="20" customWidth="1"/>
    <col min="5" max="5" width="18" customWidth="1"/>
    <col min="6" max="6" width="20" customWidth="1"/>
    <col min="7" max="7" width="46" customWidth="1"/>
    <col min="8" max="8" width="24" customWidth="1"/>
    <col min="9" max="10" width="18" customWidth="1"/>
  </cols>
  <sheetData>
    <row r="1" spans="1:10" ht="24" customHeight="1">
      <c r="A1" s="8" t="s">
        <v>360</v>
      </c>
      <c r="B1" s="8" t="s">
        <v>361</v>
      </c>
      <c r="C1" s="8" t="s">
        <v>362</v>
      </c>
      <c r="D1" s="8" t="s">
        <v>363</v>
      </c>
      <c r="E1" s="8" t="s">
        <v>364</v>
      </c>
      <c r="F1" s="8" t="s">
        <v>365</v>
      </c>
      <c r="G1" s="8" t="s">
        <v>366</v>
      </c>
      <c r="H1" s="8" t="s">
        <v>367</v>
      </c>
      <c r="I1" s="8" t="s">
        <v>166</v>
      </c>
      <c r="J1" s="8" t="s">
        <v>368</v>
      </c>
    </row>
    <row r="2" spans="1:10" ht="24" customHeight="1">
      <c r="A2" s="1" t="s">
        <v>369</v>
      </c>
      <c r="B2" s="1" t="s">
        <v>370</v>
      </c>
      <c r="C2" s="1" t="s">
        <v>371</v>
      </c>
      <c r="D2" s="4">
        <v>9076640036</v>
      </c>
      <c r="E2" s="9">
        <v>610892405</v>
      </c>
      <c r="F2" s="10">
        <f>IFERROR(D2/E2,"")</f>
        <v>14.858001117234384</v>
      </c>
      <c r="G2" s="1" t="s">
        <v>372</v>
      </c>
      <c r="H2" s="1" t="s">
        <v>373</v>
      </c>
      <c r="I2" s="1" t="s">
        <v>178</v>
      </c>
      <c r="J2" s="1" t="s">
        <v>374</v>
      </c>
    </row>
    <row r="3" spans="1:10" ht="15" customHeight="1">
      <c r="A3" s="1" t="s">
        <v>369</v>
      </c>
      <c r="B3" s="1" t="s">
        <v>375</v>
      </c>
      <c r="C3" s="1" t="s">
        <v>376</v>
      </c>
      <c r="D3" s="4">
        <v>7100611784</v>
      </c>
      <c r="E3" s="9">
        <v>323849334</v>
      </c>
      <c r="F3" s="10">
        <f>IFERROR(D3/E3,"")</f>
        <v>21.925664309070342</v>
      </c>
      <c r="G3" s="1" t="s">
        <v>377</v>
      </c>
      <c r="H3" s="1" t="s">
        <v>373</v>
      </c>
      <c r="I3" s="1" t="s">
        <v>178</v>
      </c>
      <c r="J3" s="1" t="s">
        <v>374</v>
      </c>
    </row>
    <row r="4" spans="1:10" ht="24" customHeight="1">
      <c r="A4" s="1" t="s">
        <v>369</v>
      </c>
      <c r="B4" s="1" t="s">
        <v>378</v>
      </c>
      <c r="C4" s="1" t="s">
        <v>379</v>
      </c>
      <c r="D4" s="4">
        <v>2073800925</v>
      </c>
      <c r="E4" s="9">
        <v>446237905</v>
      </c>
      <c r="F4" s="10">
        <f>IFERROR(D4/E4,"")</f>
        <v>4.647298899899595</v>
      </c>
      <c r="G4" s="1" t="s">
        <v>380</v>
      </c>
      <c r="H4" s="1" t="s">
        <v>381</v>
      </c>
      <c r="I4" s="1" t="s">
        <v>178</v>
      </c>
      <c r="J4" s="1" t="s">
        <v>382</v>
      </c>
    </row>
    <row r="5" spans="1:10" ht="24" customHeight="1">
      <c r="A5" s="1" t="s">
        <v>383</v>
      </c>
      <c r="B5" s="1" t="s">
        <v>384</v>
      </c>
      <c r="C5" s="1" t="s">
        <v>385</v>
      </c>
      <c r="D5" s="4">
        <v>1766783189</v>
      </c>
      <c r="E5" s="9">
        <v>115336777</v>
      </c>
      <c r="F5" s="10">
        <f>IFERROR(D5/E5,"")</f>
        <v>15.318471999612058</v>
      </c>
      <c r="G5" s="1" t="s">
        <v>386</v>
      </c>
      <c r="H5" s="1" t="s">
        <v>387</v>
      </c>
      <c r="I5" s="1" t="s">
        <v>178</v>
      </c>
      <c r="J5" s="1" t="s">
        <v>388</v>
      </c>
    </row>
    <row r="6" spans="1:10" ht="24" customHeight="1">
      <c r="A6" s="1" t="s">
        <v>383</v>
      </c>
      <c r="B6" s="1" t="s">
        <v>389</v>
      </c>
      <c r="C6" s="1" t="s">
        <v>390</v>
      </c>
      <c r="D6" s="4">
        <v>2416205305</v>
      </c>
      <c r="E6" s="9">
        <v>148636475</v>
      </c>
      <c r="F6" s="10">
        <f>IFERROR(D6/E6,"")</f>
        <v>16.255803328220747</v>
      </c>
      <c r="G6" s="1" t="s">
        <v>391</v>
      </c>
      <c r="H6" s="1" t="s">
        <v>387</v>
      </c>
      <c r="I6" s="1" t="s">
        <v>178</v>
      </c>
      <c r="J6" s="1" t="s">
        <v>388</v>
      </c>
    </row>
    <row r="7" spans="1:10" ht="15" customHeight="1">
      <c r="A7" s="1" t="s">
        <v>383</v>
      </c>
      <c r="B7" s="1" t="s">
        <v>392</v>
      </c>
      <c r="C7" s="1" t="s">
        <v>393</v>
      </c>
      <c r="D7" s="4">
        <v>1357918091</v>
      </c>
      <c r="E7" s="9">
        <v>71787577</v>
      </c>
      <c r="F7" s="10">
        <f>IFERROR(D7/E7,"")</f>
        <v>18.915781082846689</v>
      </c>
      <c r="G7" s="1" t="s">
        <v>394</v>
      </c>
      <c r="H7" s="1" t="s">
        <v>395</v>
      </c>
      <c r="I7" s="1" t="s">
        <v>178</v>
      </c>
      <c r="J7" s="1" t="s">
        <v>388</v>
      </c>
    </row>
    <row r="8" spans="1:10" ht="24" customHeight="1">
      <c r="A8" s="1" t="s">
        <v>383</v>
      </c>
      <c r="B8" s="1" t="s">
        <v>396</v>
      </c>
      <c r="C8" s="1" t="s">
        <v>397</v>
      </c>
      <c r="D8" s="4">
        <v>2200050494</v>
      </c>
      <c r="E8" s="9">
        <v>97035965</v>
      </c>
      <c r="F8" s="10">
        <f>IFERROR(D8/E8,"")</f>
        <v>22.672526562702807</v>
      </c>
      <c r="G8" s="1" t="s">
        <v>398</v>
      </c>
      <c r="H8" s="1" t="s">
        <v>387</v>
      </c>
      <c r="I8" s="1" t="s">
        <v>178</v>
      </c>
      <c r="J8" s="1" t="s">
        <v>388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"/>
  <sheetViews>
    <sheetView showGridLines="0" zoomScaleNormal="100" workbookViewId="0"/>
  </sheetViews>
  <sheetFormatPr defaultColWidth="8.7109375" defaultRowHeight="15"/>
  <cols>
    <col min="1" max="1" width="14" customWidth="1"/>
    <col min="2" max="2" width="10" customWidth="1"/>
    <col min="3" max="3" width="44" customWidth="1"/>
    <col min="4" max="4" width="14" customWidth="1"/>
    <col min="5" max="5" width="18" customWidth="1"/>
    <col min="6" max="6" width="36" customWidth="1"/>
    <col min="7" max="8" width="20" customWidth="1"/>
    <col min="9" max="10" width="18" customWidth="1"/>
    <col min="11" max="11" width="14" customWidth="1"/>
    <col min="12" max="12" width="20" customWidth="1"/>
    <col min="13" max="13" width="14" customWidth="1"/>
    <col min="14" max="14" width="18" customWidth="1"/>
    <col min="15" max="15" width="14" customWidth="1"/>
    <col min="16" max="16" width="18" customWidth="1"/>
    <col min="17" max="17" width="46" customWidth="1"/>
    <col min="18" max="18" width="42" customWidth="1"/>
    <col min="19" max="19" width="18" customWidth="1"/>
    <col min="20" max="20" width="20" customWidth="1"/>
  </cols>
  <sheetData>
    <row r="1" spans="1:20" ht="15" customHeight="1">
      <c r="A1" s="8" t="s">
        <v>399</v>
      </c>
      <c r="B1" s="8" t="s">
        <v>383</v>
      </c>
      <c r="C1" s="8" t="s">
        <v>400</v>
      </c>
      <c r="D1" s="8" t="s">
        <v>401</v>
      </c>
      <c r="E1" s="8" t="s">
        <v>402</v>
      </c>
      <c r="F1" s="8" t="s">
        <v>403</v>
      </c>
      <c r="G1" s="8" t="s">
        <v>404</v>
      </c>
      <c r="H1" s="8" t="s">
        <v>405</v>
      </c>
      <c r="I1" s="8" t="s">
        <v>406</v>
      </c>
      <c r="J1" s="8" t="s">
        <v>407</v>
      </c>
      <c r="K1" s="8" t="s">
        <v>408</v>
      </c>
      <c r="L1" s="8" t="s">
        <v>409</v>
      </c>
      <c r="M1" s="8" t="s">
        <v>410</v>
      </c>
      <c r="N1" s="8" t="s">
        <v>411</v>
      </c>
      <c r="O1" s="8" t="s">
        <v>412</v>
      </c>
      <c r="P1" s="8" t="s">
        <v>413</v>
      </c>
      <c r="Q1" s="8" t="s">
        <v>414</v>
      </c>
      <c r="R1" s="8" t="s">
        <v>415</v>
      </c>
      <c r="S1" s="8" t="s">
        <v>166</v>
      </c>
      <c r="T1" s="8" t="s">
        <v>368</v>
      </c>
    </row>
    <row r="2" spans="1:20" ht="24" customHeight="1">
      <c r="A2" s="1" t="s">
        <v>416</v>
      </c>
      <c r="B2" s="1" t="s">
        <v>384</v>
      </c>
      <c r="C2" s="1" t="s">
        <v>417</v>
      </c>
      <c r="D2" s="1" t="s">
        <v>418</v>
      </c>
      <c r="E2" s="1" t="s">
        <v>419</v>
      </c>
      <c r="F2" s="1" t="s">
        <v>420</v>
      </c>
      <c r="G2" s="4">
        <v>1223299784</v>
      </c>
      <c r="H2" s="9">
        <v>90508362</v>
      </c>
      <c r="I2" s="10">
        <f>IFERROR(G2/H2,"")</f>
        <v>13.515875848023855</v>
      </c>
      <c r="J2" s="4">
        <v>44790747</v>
      </c>
      <c r="K2" s="5">
        <f>IFERROR(J2/G2,"")</f>
        <v>3.6614693786294332E-2</v>
      </c>
      <c r="L2" s="4">
        <v>455361217</v>
      </c>
      <c r="M2" s="5">
        <f>IFERROR(L2/G2,"")</f>
        <v>0.3722400861635401</v>
      </c>
      <c r="N2" s="4">
        <v>100902224</v>
      </c>
      <c r="O2" s="5">
        <f>IFERROR(N2/G2,"")</f>
        <v>8.2483644090956529E-2</v>
      </c>
      <c r="P2" s="1" t="s">
        <v>421</v>
      </c>
      <c r="Q2" s="1" t="s">
        <v>422</v>
      </c>
      <c r="R2" s="1" t="s">
        <v>423</v>
      </c>
      <c r="S2" s="1" t="s">
        <v>178</v>
      </c>
      <c r="T2" s="1" t="s">
        <v>424</v>
      </c>
    </row>
    <row r="3" spans="1:20" ht="24" customHeight="1">
      <c r="A3" s="1" t="s">
        <v>425</v>
      </c>
      <c r="B3" s="1" t="s">
        <v>389</v>
      </c>
      <c r="C3" s="1" t="s">
        <v>426</v>
      </c>
      <c r="D3" s="1" t="s">
        <v>418</v>
      </c>
      <c r="E3" s="1" t="s">
        <v>427</v>
      </c>
      <c r="F3" s="1" t="s">
        <v>428</v>
      </c>
      <c r="G3" s="4">
        <v>719371758</v>
      </c>
      <c r="H3" s="9">
        <v>51671885</v>
      </c>
      <c r="I3" s="10">
        <f>IFERROR(G3/H3,"")</f>
        <v>13.921918234645398</v>
      </c>
      <c r="J3" s="4">
        <v>235660674</v>
      </c>
      <c r="K3" s="5">
        <f>IFERROR(J3/G3,"")</f>
        <v>0.32759233508858432</v>
      </c>
      <c r="L3" s="4">
        <v>164836619</v>
      </c>
      <c r="M3" s="5">
        <f>IFERROR(L3/G3,"")</f>
        <v>0.22913968635393661</v>
      </c>
      <c r="N3" s="4">
        <v>2259458</v>
      </c>
      <c r="O3" s="5">
        <f>IFERROR(N3/G3,"")</f>
        <v>3.1408767092577466E-3</v>
      </c>
      <c r="P3" s="1" t="s">
        <v>421</v>
      </c>
      <c r="Q3" s="1" t="s">
        <v>429</v>
      </c>
      <c r="R3" s="1" t="s">
        <v>430</v>
      </c>
      <c r="S3" s="1" t="s">
        <v>178</v>
      </c>
      <c r="T3" s="1" t="s">
        <v>424</v>
      </c>
    </row>
    <row r="4" spans="1:20" ht="24" customHeight="1">
      <c r="A4" s="1" t="s">
        <v>431</v>
      </c>
      <c r="B4" s="1" t="s">
        <v>396</v>
      </c>
      <c r="C4" s="1" t="s">
        <v>432</v>
      </c>
      <c r="D4" s="1" t="s">
        <v>433</v>
      </c>
      <c r="E4" s="1" t="s">
        <v>434</v>
      </c>
      <c r="F4" s="1" t="s">
        <v>428</v>
      </c>
      <c r="G4" s="4">
        <v>349077816</v>
      </c>
      <c r="H4" s="9">
        <v>10212693</v>
      </c>
      <c r="I4" s="10">
        <f>IFERROR(G4/H4,"")</f>
        <v>34.180780328949474</v>
      </c>
      <c r="J4" s="4">
        <v>102164136</v>
      </c>
      <c r="K4" s="5">
        <f>IFERROR(J4/G4,"")</f>
        <v>0.2926686581538599</v>
      </c>
      <c r="L4" s="4">
        <v>12960863</v>
      </c>
      <c r="M4" s="5">
        <f>IFERROR(L4/G4,"")</f>
        <v>3.7128864699898317E-2</v>
      </c>
      <c r="N4" s="4">
        <v>35008468</v>
      </c>
      <c r="O4" s="5">
        <f>IFERROR(N4/G4,"")</f>
        <v>0.10028843540146361</v>
      </c>
      <c r="P4" s="1" t="s">
        <v>421</v>
      </c>
      <c r="Q4" s="1" t="s">
        <v>435</v>
      </c>
      <c r="R4" s="1" t="s">
        <v>436</v>
      </c>
      <c r="S4" s="1" t="s">
        <v>178</v>
      </c>
      <c r="T4" s="1" t="s">
        <v>424</v>
      </c>
    </row>
    <row r="5" spans="1:20" ht="24" customHeight="1">
      <c r="A5" s="1" t="s">
        <v>437</v>
      </c>
      <c r="B5" s="1" t="s">
        <v>438</v>
      </c>
      <c r="C5" s="1" t="s">
        <v>439</v>
      </c>
      <c r="D5" s="1" t="s">
        <v>433</v>
      </c>
      <c r="E5" s="1" t="s">
        <v>419</v>
      </c>
      <c r="F5" s="1" t="s">
        <v>420</v>
      </c>
      <c r="G5" s="4">
        <v>263245768</v>
      </c>
      <c r="H5" s="9">
        <v>10289911</v>
      </c>
      <c r="I5" s="10">
        <f>IFERROR(G5/H5,"")</f>
        <v>25.582900376883725</v>
      </c>
      <c r="J5" s="4">
        <v>11991268</v>
      </c>
      <c r="K5" s="5">
        <f>IFERROR(J5/G5,"")</f>
        <v>4.5551607879979292E-2</v>
      </c>
      <c r="L5" s="4">
        <v>81131664</v>
      </c>
      <c r="M5" s="5">
        <f>IFERROR(L5/G5,"")</f>
        <v>0.30819741041383047</v>
      </c>
      <c r="N5" s="4">
        <v>30022861</v>
      </c>
      <c r="O5" s="5">
        <f>IFERROR(N5/G5,"")</f>
        <v>0.11404878881091832</v>
      </c>
      <c r="P5" s="1" t="s">
        <v>421</v>
      </c>
      <c r="Q5" s="1" t="s">
        <v>440</v>
      </c>
      <c r="R5" s="1" t="s">
        <v>441</v>
      </c>
      <c r="S5" s="1" t="s">
        <v>178</v>
      </c>
      <c r="T5" s="1" t="s">
        <v>424</v>
      </c>
    </row>
    <row r="6" spans="1:20" ht="24" customHeight="1">
      <c r="A6" s="1" t="s">
        <v>442</v>
      </c>
      <c r="B6" s="1" t="s">
        <v>443</v>
      </c>
      <c r="C6" s="1" t="s">
        <v>444</v>
      </c>
      <c r="D6" s="1" t="s">
        <v>433</v>
      </c>
      <c r="E6" s="1" t="s">
        <v>419</v>
      </c>
      <c r="F6" s="1" t="s">
        <v>445</v>
      </c>
      <c r="G6" s="4"/>
      <c r="H6" s="9"/>
      <c r="I6" s="10"/>
      <c r="J6" s="4"/>
      <c r="K6" s="5"/>
      <c r="L6" s="4"/>
      <c r="M6" s="5"/>
      <c r="N6" s="4"/>
      <c r="O6" s="5"/>
      <c r="P6" s="1" t="s">
        <v>446</v>
      </c>
      <c r="Q6" s="1" t="s">
        <v>447</v>
      </c>
      <c r="R6" s="1" t="s">
        <v>448</v>
      </c>
      <c r="S6" s="1" t="s">
        <v>178</v>
      </c>
      <c r="T6" s="1" t="s">
        <v>449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"/>
  <sheetViews>
    <sheetView showGridLines="0" zoomScaleNormal="100" workbookViewId="0"/>
  </sheetViews>
  <sheetFormatPr defaultColWidth="8.7109375" defaultRowHeight="15"/>
  <cols>
    <col min="1" max="1" width="14" customWidth="1"/>
    <col min="2" max="2" width="20" customWidth="1"/>
    <col min="3" max="3" width="16" customWidth="1"/>
    <col min="4" max="4" width="19" customWidth="1"/>
    <col min="5" max="5" width="16" customWidth="1"/>
    <col min="6" max="6" width="19" customWidth="1"/>
    <col min="7" max="7" width="20" customWidth="1"/>
    <col min="8" max="8" width="17" customWidth="1"/>
    <col min="9" max="9" width="19" customWidth="1"/>
    <col min="10" max="10" width="22" customWidth="1"/>
    <col min="11" max="11" width="20" customWidth="1"/>
    <col min="12" max="12" width="22" customWidth="1"/>
    <col min="13" max="13" width="18" customWidth="1"/>
    <col min="14" max="14" width="20" customWidth="1"/>
    <col min="15" max="15" width="56" customWidth="1"/>
    <col min="16" max="16" width="18" customWidth="1"/>
    <col min="17" max="17" width="24" customWidth="1"/>
  </cols>
  <sheetData>
    <row r="1" spans="1:17" ht="24" customHeight="1">
      <c r="A1" s="8" t="s">
        <v>450</v>
      </c>
      <c r="B1" s="8" t="s">
        <v>451</v>
      </c>
      <c r="C1" s="8" t="s">
        <v>452</v>
      </c>
      <c r="D1" s="8" t="s">
        <v>453</v>
      </c>
      <c r="E1" s="8" t="s">
        <v>454</v>
      </c>
      <c r="F1" s="8" t="s">
        <v>455</v>
      </c>
      <c r="G1" s="8" t="s">
        <v>456</v>
      </c>
      <c r="H1" s="8" t="s">
        <v>457</v>
      </c>
      <c r="I1" s="8" t="s">
        <v>458</v>
      </c>
      <c r="J1" s="8" t="s">
        <v>459</v>
      </c>
      <c r="K1" s="8" t="s">
        <v>460</v>
      </c>
      <c r="L1" s="8" t="s">
        <v>461</v>
      </c>
      <c r="M1" s="8" t="s">
        <v>462</v>
      </c>
      <c r="N1" s="8" t="s">
        <v>463</v>
      </c>
      <c r="O1" s="8" t="s">
        <v>464</v>
      </c>
      <c r="P1" s="8" t="s">
        <v>166</v>
      </c>
      <c r="Q1" s="8" t="s">
        <v>368</v>
      </c>
    </row>
    <row r="2" spans="1:17" ht="15" customHeight="1">
      <c r="A2" s="1" t="s">
        <v>465</v>
      </c>
      <c r="B2" s="4">
        <v>3162021909</v>
      </c>
      <c r="C2" s="5">
        <f>B2/$B$5</f>
        <v>0.19546100562586161</v>
      </c>
      <c r="D2" s="4">
        <v>714290363</v>
      </c>
      <c r="E2" s="5">
        <f>D2/$D$5</f>
        <v>0.27956623311382395</v>
      </c>
      <c r="F2" s="6">
        <f>E2/C2</f>
        <v>1.4302915930400508</v>
      </c>
      <c r="G2" s="4">
        <v>177797482</v>
      </c>
      <c r="H2" s="5">
        <f>G2/$G$5</f>
        <v>0.1664069941404647</v>
      </c>
      <c r="I2" s="6">
        <f>H2/C2</f>
        <v>0.85135648211587456</v>
      </c>
      <c r="J2" s="4">
        <v>536492881</v>
      </c>
      <c r="K2" s="5">
        <f>J2/$J$5</f>
        <v>0.36089905235544373</v>
      </c>
      <c r="L2" s="6">
        <f>K2/C2</f>
        <v>1.8463992406048118</v>
      </c>
      <c r="M2" s="5"/>
      <c r="N2" s="1" t="s">
        <v>466</v>
      </c>
      <c r="O2" s="1" t="s">
        <v>467</v>
      </c>
      <c r="P2" s="1" t="s">
        <v>178</v>
      </c>
      <c r="Q2" s="1" t="s">
        <v>468</v>
      </c>
    </row>
    <row r="3" spans="1:17" ht="24" customHeight="1">
      <c r="A3" s="1" t="s">
        <v>469</v>
      </c>
      <c r="B3" s="4">
        <v>3248581237</v>
      </c>
      <c r="C3" s="5">
        <f>B3/$B$5</f>
        <v>0.20081168749464395</v>
      </c>
      <c r="D3" s="4">
        <v>394606825</v>
      </c>
      <c r="E3" s="5">
        <f>D3/$D$5</f>
        <v>0.1544452359162739</v>
      </c>
      <c r="F3" s="6">
        <f>E3/C3</f>
        <v>0.76910481577618961</v>
      </c>
      <c r="G3" s="4">
        <v>337824810</v>
      </c>
      <c r="H3" s="5">
        <f>G3/$G$5</f>
        <v>0.3161822684202783</v>
      </c>
      <c r="I3" s="6">
        <f>H3/C3</f>
        <v>1.5745212460739444</v>
      </c>
      <c r="J3" s="4">
        <v>56782015</v>
      </c>
      <c r="K3" s="5">
        <f>J3/$J$5</f>
        <v>3.8197292322193162E-2</v>
      </c>
      <c r="L3" s="6">
        <f>K3/C3</f>
        <v>0.19021448800489743</v>
      </c>
      <c r="M3" s="5"/>
      <c r="N3" s="1" t="s">
        <v>466</v>
      </c>
      <c r="O3" s="1" t="s">
        <v>470</v>
      </c>
      <c r="P3" s="1" t="s">
        <v>178</v>
      </c>
      <c r="Q3" s="1" t="s">
        <v>468</v>
      </c>
    </row>
    <row r="4" spans="1:17" ht="24" customHeight="1">
      <c r="A4" s="1" t="s">
        <v>471</v>
      </c>
      <c r="B4" s="4">
        <v>885992895</v>
      </c>
      <c r="C4" s="5">
        <f>B4/$B$5</f>
        <v>5.4767824897467662E-2</v>
      </c>
      <c r="D4" s="4">
        <v>168193011</v>
      </c>
      <c r="E4" s="5">
        <f>D4/$D$5</f>
        <v>6.5829092700977629E-2</v>
      </c>
      <c r="F4" s="6">
        <f>E4/C4</f>
        <v>1.2019665346253583</v>
      </c>
      <c r="G4" s="4">
        <v>37267926</v>
      </c>
      <c r="H4" s="5">
        <f>G4/$G$5</f>
        <v>3.4880378921841378E-2</v>
      </c>
      <c r="I4" s="6">
        <f>H4/C4</f>
        <v>0.6368771991062615</v>
      </c>
      <c r="J4" s="4">
        <v>130925085</v>
      </c>
      <c r="K4" s="5">
        <f>J4/$J$5</f>
        <v>8.8073375769651491E-2</v>
      </c>
      <c r="L4" s="6">
        <f>K4/C4</f>
        <v>1.6081225780745549</v>
      </c>
      <c r="M4" s="5">
        <v>0.8</v>
      </c>
      <c r="N4" s="1" t="str">
        <f>IF(F4&lt;M4,"Activate reserve","No activation")</f>
        <v>No activation</v>
      </c>
      <c r="O4" s="1" t="s">
        <v>472</v>
      </c>
      <c r="P4" s="1" t="s">
        <v>178</v>
      </c>
      <c r="Q4" s="1" t="s">
        <v>468</v>
      </c>
    </row>
    <row r="5" spans="1:17" ht="15" customHeight="1">
      <c r="A5" s="1" t="s">
        <v>473</v>
      </c>
      <c r="B5" s="4">
        <v>16177251820</v>
      </c>
      <c r="C5" s="5">
        <v>1</v>
      </c>
      <c r="D5" s="4">
        <v>2554995126</v>
      </c>
      <c r="E5" s="5">
        <v>1</v>
      </c>
      <c r="F5" s="6"/>
      <c r="G5" s="4">
        <v>1068449574</v>
      </c>
      <c r="H5" s="5">
        <v>1</v>
      </c>
      <c r="I5" s="6"/>
      <c r="J5" s="4">
        <v>1486545552</v>
      </c>
      <c r="K5" s="5">
        <v>1</v>
      </c>
      <c r="L5" s="6"/>
      <c r="M5" s="5"/>
      <c r="N5" s="1" t="s">
        <v>474</v>
      </c>
      <c r="O5" s="1" t="s">
        <v>475</v>
      </c>
      <c r="P5" s="1" t="s">
        <v>178</v>
      </c>
      <c r="Q5" s="1" t="s">
        <v>476</v>
      </c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1"/>
  <sheetViews>
    <sheetView showGridLines="0" topLeftCell="L1" zoomScaleNormal="100" workbookViewId="0">
      <selection activeCell="L8" sqref="L8"/>
    </sheetView>
  </sheetViews>
  <sheetFormatPr defaultColWidth="8.7109375" defaultRowHeight="15"/>
  <cols>
    <col min="1" max="1" width="14" customWidth="1"/>
    <col min="2" max="2" width="13" customWidth="1"/>
    <col min="3" max="3" width="10" customWidth="1"/>
    <col min="4" max="4" width="28" customWidth="1"/>
    <col min="5" max="5" width="12" customWidth="1"/>
    <col min="6" max="6" width="30" customWidth="1"/>
    <col min="7" max="7" width="16" customWidth="1"/>
    <col min="8" max="8" width="28" customWidth="1"/>
    <col min="9" max="9" width="13" customWidth="1"/>
    <col min="10" max="10" width="18" customWidth="1"/>
    <col min="11" max="11" width="50" customWidth="1"/>
    <col min="12" max="12" width="77.42578125" customWidth="1"/>
    <col min="13" max="13" width="20" customWidth="1"/>
  </cols>
  <sheetData>
    <row r="1" spans="1:14" ht="15" customHeight="1">
      <c r="A1" s="8" t="s">
        <v>450</v>
      </c>
      <c r="B1" s="8" t="s">
        <v>399</v>
      </c>
      <c r="C1" s="8" t="s">
        <v>477</v>
      </c>
      <c r="D1" s="8" t="s">
        <v>478</v>
      </c>
      <c r="E1" s="8" t="s">
        <v>479</v>
      </c>
      <c r="F1" s="8" t="s">
        <v>480</v>
      </c>
      <c r="G1" s="8" t="s">
        <v>481</v>
      </c>
      <c r="H1" s="8" t="s">
        <v>482</v>
      </c>
      <c r="I1" s="8" t="s">
        <v>483</v>
      </c>
      <c r="J1" s="8" t="s">
        <v>484</v>
      </c>
      <c r="K1" s="8" t="s">
        <v>485</v>
      </c>
      <c r="L1" s="8" t="s">
        <v>486</v>
      </c>
      <c r="M1" s="8" t="s">
        <v>487</v>
      </c>
      <c r="N1" s="8" t="s">
        <v>368</v>
      </c>
    </row>
    <row r="2" spans="1:14" ht="60" customHeight="1">
      <c r="A2" s="1" t="s">
        <v>465</v>
      </c>
      <c r="B2" s="1" t="s">
        <v>416</v>
      </c>
      <c r="C2" s="1" t="s">
        <v>370</v>
      </c>
      <c r="D2" s="1" t="s">
        <v>488</v>
      </c>
      <c r="E2" s="5">
        <v>0</v>
      </c>
      <c r="F2" s="1" t="s">
        <v>488</v>
      </c>
      <c r="G2" s="5">
        <v>0</v>
      </c>
      <c r="H2" s="1" t="s">
        <v>488</v>
      </c>
      <c r="I2" s="5">
        <v>0</v>
      </c>
      <c r="J2" s="1" t="s">
        <v>489</v>
      </c>
      <c r="K2" s="1" t="s">
        <v>490</v>
      </c>
      <c r="L2" s="1" t="s">
        <v>491</v>
      </c>
      <c r="M2" s="1" t="s">
        <v>492</v>
      </c>
      <c r="N2" s="1" t="s">
        <v>493</v>
      </c>
    </row>
    <row r="3" spans="1:14" ht="15" customHeight="1">
      <c r="A3" s="1" t="s">
        <v>465</v>
      </c>
      <c r="B3" s="1" t="s">
        <v>425</v>
      </c>
      <c r="C3" s="1" t="s">
        <v>370</v>
      </c>
      <c r="D3" s="1" t="s">
        <v>488</v>
      </c>
      <c r="E3" s="5">
        <v>0</v>
      </c>
      <c r="F3" s="1" t="s">
        <v>488</v>
      </c>
      <c r="G3" s="5">
        <v>0</v>
      </c>
      <c r="H3" s="1" t="s">
        <v>488</v>
      </c>
      <c r="I3" s="5">
        <v>0</v>
      </c>
      <c r="J3" s="1" t="s">
        <v>489</v>
      </c>
      <c r="K3" s="1" t="s">
        <v>490</v>
      </c>
      <c r="L3" s="1" t="s">
        <v>491</v>
      </c>
      <c r="M3" s="1" t="s">
        <v>492</v>
      </c>
      <c r="N3" s="1" t="s">
        <v>494</v>
      </c>
    </row>
    <row r="4" spans="1:14" ht="15" customHeight="1">
      <c r="A4" s="1" t="s">
        <v>465</v>
      </c>
      <c r="B4" s="1" t="s">
        <v>431</v>
      </c>
      <c r="C4" s="1" t="s">
        <v>375</v>
      </c>
      <c r="D4" s="1" t="s">
        <v>488</v>
      </c>
      <c r="E4" s="5">
        <v>0</v>
      </c>
      <c r="F4" s="1" t="s">
        <v>488</v>
      </c>
      <c r="G4" s="5">
        <v>0</v>
      </c>
      <c r="H4" s="1" t="s">
        <v>488</v>
      </c>
      <c r="I4" s="5">
        <v>0</v>
      </c>
      <c r="J4" s="1" t="s">
        <v>489</v>
      </c>
      <c r="K4" s="1" t="s">
        <v>490</v>
      </c>
      <c r="L4" s="1" t="s">
        <v>491</v>
      </c>
      <c r="M4" s="1" t="s">
        <v>492</v>
      </c>
      <c r="N4" s="1" t="s">
        <v>495</v>
      </c>
    </row>
    <row r="5" spans="1:14" ht="15" customHeight="1">
      <c r="A5" s="1" t="s">
        <v>465</v>
      </c>
      <c r="B5" s="1" t="s">
        <v>437</v>
      </c>
      <c r="C5" s="1" t="s">
        <v>375</v>
      </c>
      <c r="D5" s="1" t="s">
        <v>488</v>
      </c>
      <c r="E5" s="5">
        <v>0</v>
      </c>
      <c r="F5" s="1" t="s">
        <v>488</v>
      </c>
      <c r="G5" s="5">
        <v>0</v>
      </c>
      <c r="H5" s="1" t="s">
        <v>488</v>
      </c>
      <c r="I5" s="5">
        <v>0</v>
      </c>
      <c r="J5" s="1" t="s">
        <v>489</v>
      </c>
      <c r="K5" s="1" t="s">
        <v>490</v>
      </c>
      <c r="L5" s="1" t="s">
        <v>491</v>
      </c>
      <c r="M5" s="1" t="s">
        <v>492</v>
      </c>
      <c r="N5" s="1" t="s">
        <v>496</v>
      </c>
    </row>
    <row r="6" spans="1:14" ht="15" customHeight="1">
      <c r="A6" s="1" t="s">
        <v>497</v>
      </c>
      <c r="B6" s="1" t="s">
        <v>416</v>
      </c>
      <c r="C6" s="1" t="s">
        <v>370</v>
      </c>
      <c r="D6" s="1" t="s">
        <v>488</v>
      </c>
      <c r="E6" s="5">
        <v>0</v>
      </c>
      <c r="F6" s="1" t="s">
        <v>488</v>
      </c>
      <c r="G6" s="5">
        <v>0</v>
      </c>
      <c r="H6" s="1" t="s">
        <v>488</v>
      </c>
      <c r="I6" s="5">
        <v>0</v>
      </c>
      <c r="J6" s="1" t="s">
        <v>489</v>
      </c>
      <c r="K6" s="1" t="s">
        <v>490</v>
      </c>
      <c r="L6" s="1"/>
      <c r="M6" s="1" t="s">
        <v>498</v>
      </c>
      <c r="N6" s="1" t="s">
        <v>493</v>
      </c>
    </row>
    <row r="7" spans="1:14" ht="15" customHeight="1">
      <c r="A7" s="1" t="s">
        <v>497</v>
      </c>
      <c r="B7" s="1" t="s">
        <v>425</v>
      </c>
      <c r="C7" s="1" t="s">
        <v>370</v>
      </c>
      <c r="D7" s="1" t="s">
        <v>488</v>
      </c>
      <c r="E7" s="5">
        <v>0</v>
      </c>
      <c r="F7" s="1" t="s">
        <v>488</v>
      </c>
      <c r="G7" s="5">
        <v>0</v>
      </c>
      <c r="H7" s="1" t="s">
        <v>488</v>
      </c>
      <c r="I7" s="5">
        <v>0</v>
      </c>
      <c r="J7" s="1" t="s">
        <v>489</v>
      </c>
      <c r="K7" s="1" t="s">
        <v>490</v>
      </c>
      <c r="L7" s="1"/>
      <c r="M7" s="1" t="s">
        <v>498</v>
      </c>
      <c r="N7" s="1" t="s">
        <v>494</v>
      </c>
    </row>
    <row r="8" spans="1:14" ht="15" customHeight="1">
      <c r="A8" s="1" t="s">
        <v>497</v>
      </c>
      <c r="B8" s="1" t="s">
        <v>431</v>
      </c>
      <c r="C8" s="1" t="s">
        <v>375</v>
      </c>
      <c r="D8" s="1" t="s">
        <v>488</v>
      </c>
      <c r="E8" s="5">
        <v>0</v>
      </c>
      <c r="F8" s="1" t="s">
        <v>488</v>
      </c>
      <c r="G8" s="5">
        <v>0</v>
      </c>
      <c r="H8" s="1" t="s">
        <v>488</v>
      </c>
      <c r="I8" s="5">
        <v>0</v>
      </c>
      <c r="J8" s="1" t="s">
        <v>489</v>
      </c>
      <c r="K8" s="1" t="s">
        <v>490</v>
      </c>
      <c r="L8" s="1"/>
      <c r="M8" s="1" t="s">
        <v>498</v>
      </c>
      <c r="N8" s="1" t="s">
        <v>495</v>
      </c>
    </row>
    <row r="9" spans="1:14" ht="15" customHeight="1">
      <c r="A9" s="1" t="s">
        <v>497</v>
      </c>
      <c r="B9" s="1" t="s">
        <v>437</v>
      </c>
      <c r="C9" s="1" t="s">
        <v>375</v>
      </c>
      <c r="D9" s="1" t="s">
        <v>488</v>
      </c>
      <c r="E9" s="5">
        <v>0</v>
      </c>
      <c r="F9" s="1" t="s">
        <v>488</v>
      </c>
      <c r="G9" s="5">
        <v>0</v>
      </c>
      <c r="H9" s="1" t="s">
        <v>488</v>
      </c>
      <c r="I9" s="5">
        <v>0</v>
      </c>
      <c r="J9" s="1" t="s">
        <v>489</v>
      </c>
      <c r="K9" s="1" t="s">
        <v>490</v>
      </c>
      <c r="L9" s="1"/>
      <c r="M9" s="1" t="s">
        <v>498</v>
      </c>
      <c r="N9" s="1" t="s">
        <v>496</v>
      </c>
    </row>
    <row r="10" spans="1:14" ht="15" customHeight="1">
      <c r="A10" s="1" t="s">
        <v>469</v>
      </c>
      <c r="B10" s="1" t="s">
        <v>416</v>
      </c>
      <c r="C10" s="1" t="s">
        <v>370</v>
      </c>
      <c r="D10" s="1" t="s">
        <v>499</v>
      </c>
      <c r="E10" s="5">
        <v>0.12</v>
      </c>
      <c r="F10" s="1" t="s">
        <v>499</v>
      </c>
      <c r="G10" s="5">
        <v>0.12</v>
      </c>
      <c r="H10" s="1" t="s">
        <v>499</v>
      </c>
      <c r="I10" s="5">
        <v>0.12</v>
      </c>
      <c r="J10" s="1" t="s">
        <v>500</v>
      </c>
      <c r="K10" s="1" t="s">
        <v>501</v>
      </c>
      <c r="L10" s="1"/>
      <c r="M10" s="1" t="s">
        <v>207</v>
      </c>
      <c r="N10" s="1" t="s">
        <v>493</v>
      </c>
    </row>
    <row r="11" spans="1:14" ht="15" customHeight="1">
      <c r="A11" s="1" t="s">
        <v>469</v>
      </c>
      <c r="B11" s="1" t="s">
        <v>425</v>
      </c>
      <c r="C11" s="1" t="s">
        <v>370</v>
      </c>
      <c r="D11" s="1" t="s">
        <v>499</v>
      </c>
      <c r="E11" s="5">
        <v>0.12</v>
      </c>
      <c r="F11" s="1" t="s">
        <v>499</v>
      </c>
      <c r="G11" s="5">
        <v>0.12</v>
      </c>
      <c r="H11" s="1" t="s">
        <v>499</v>
      </c>
      <c r="I11" s="5">
        <v>0.12</v>
      </c>
      <c r="J11" s="1" t="s">
        <v>500</v>
      </c>
      <c r="K11" s="1" t="s">
        <v>501</v>
      </c>
      <c r="L11" s="1"/>
      <c r="M11" s="1" t="s">
        <v>207</v>
      </c>
      <c r="N11" s="1" t="s">
        <v>494</v>
      </c>
    </row>
    <row r="12" spans="1:14" ht="15" customHeight="1">
      <c r="A12" s="1" t="s">
        <v>469</v>
      </c>
      <c r="B12" s="1" t="s">
        <v>431</v>
      </c>
      <c r="C12" s="1" t="s">
        <v>375</v>
      </c>
      <c r="D12" s="1" t="s">
        <v>499</v>
      </c>
      <c r="E12" s="5">
        <v>0.12</v>
      </c>
      <c r="F12" s="1" t="s">
        <v>499</v>
      </c>
      <c r="G12" s="5">
        <v>0.12</v>
      </c>
      <c r="H12" s="1" t="s">
        <v>499</v>
      </c>
      <c r="I12" s="5">
        <v>0.12</v>
      </c>
      <c r="J12" s="1" t="s">
        <v>500</v>
      </c>
      <c r="K12" s="1" t="s">
        <v>501</v>
      </c>
      <c r="L12" s="1"/>
      <c r="M12" s="1" t="s">
        <v>207</v>
      </c>
      <c r="N12" s="1" t="s">
        <v>495</v>
      </c>
    </row>
    <row r="13" spans="1:14" ht="15" customHeight="1">
      <c r="A13" s="1" t="s">
        <v>469</v>
      </c>
      <c r="B13" s="1" t="s">
        <v>437</v>
      </c>
      <c r="C13" s="1" t="s">
        <v>375</v>
      </c>
      <c r="D13" s="1" t="s">
        <v>499</v>
      </c>
      <c r="E13" s="5">
        <v>0.12</v>
      </c>
      <c r="F13" s="1" t="s">
        <v>499</v>
      </c>
      <c r="G13" s="5">
        <v>0.12</v>
      </c>
      <c r="H13" s="1" t="s">
        <v>499</v>
      </c>
      <c r="I13" s="5">
        <v>0.12</v>
      </c>
      <c r="J13" s="1" t="s">
        <v>500</v>
      </c>
      <c r="K13" s="1" t="s">
        <v>501</v>
      </c>
      <c r="L13" s="1"/>
      <c r="M13" s="1" t="s">
        <v>207</v>
      </c>
      <c r="N13" s="1" t="s">
        <v>496</v>
      </c>
    </row>
    <row r="14" spans="1:14" ht="24" customHeight="1">
      <c r="A14" s="1" t="s">
        <v>471</v>
      </c>
      <c r="B14" s="1" t="s">
        <v>416</v>
      </c>
      <c r="C14" s="1" t="s">
        <v>370</v>
      </c>
      <c r="D14" s="1" t="s">
        <v>502</v>
      </c>
      <c r="E14" s="5">
        <v>9.6000000000000002E-2</v>
      </c>
      <c r="F14" s="1" t="s">
        <v>502</v>
      </c>
      <c r="G14" s="5">
        <v>9.6000000000000002E-2</v>
      </c>
      <c r="H14" s="1" t="s">
        <v>503</v>
      </c>
      <c r="I14" s="5">
        <v>0</v>
      </c>
      <c r="J14" s="1" t="s">
        <v>489</v>
      </c>
      <c r="K14" s="1" t="s">
        <v>504</v>
      </c>
      <c r="L14" s="1"/>
      <c r="M14" s="1" t="s">
        <v>505</v>
      </c>
      <c r="N14" s="1" t="s">
        <v>493</v>
      </c>
    </row>
    <row r="15" spans="1:14" ht="24" customHeight="1">
      <c r="A15" s="1" t="s">
        <v>471</v>
      </c>
      <c r="B15" s="1" t="s">
        <v>425</v>
      </c>
      <c r="C15" s="1" t="s">
        <v>370</v>
      </c>
      <c r="D15" s="1" t="s">
        <v>502</v>
      </c>
      <c r="E15" s="5">
        <v>9.6000000000000002E-2</v>
      </c>
      <c r="F15" s="1" t="s">
        <v>502</v>
      </c>
      <c r="G15" s="5">
        <v>9.6000000000000002E-2</v>
      </c>
      <c r="H15" s="1" t="s">
        <v>503</v>
      </c>
      <c r="I15" s="5">
        <v>0</v>
      </c>
      <c r="J15" s="1" t="s">
        <v>489</v>
      </c>
      <c r="K15" s="1" t="s">
        <v>504</v>
      </c>
      <c r="L15" s="1"/>
      <c r="M15" s="1" t="s">
        <v>505</v>
      </c>
      <c r="N15" s="1" t="s">
        <v>494</v>
      </c>
    </row>
    <row r="16" spans="1:14" ht="24" customHeight="1">
      <c r="A16" s="1" t="s">
        <v>471</v>
      </c>
      <c r="B16" s="1" t="s">
        <v>431</v>
      </c>
      <c r="C16" s="1" t="s">
        <v>375</v>
      </c>
      <c r="D16" s="1" t="s">
        <v>502</v>
      </c>
      <c r="E16" s="5">
        <v>9.6000000000000002E-2</v>
      </c>
      <c r="F16" s="1" t="s">
        <v>506</v>
      </c>
      <c r="G16" s="5">
        <v>0.12</v>
      </c>
      <c r="H16" s="1" t="s">
        <v>503</v>
      </c>
      <c r="I16" s="5">
        <v>0</v>
      </c>
      <c r="J16" s="1" t="s">
        <v>489</v>
      </c>
      <c r="K16" s="1" t="s">
        <v>507</v>
      </c>
      <c r="L16" s="1"/>
      <c r="M16" s="1" t="s">
        <v>505</v>
      </c>
      <c r="N16" s="1" t="s">
        <v>495</v>
      </c>
    </row>
    <row r="17" spans="1:14" ht="24" customHeight="1">
      <c r="A17" s="1" t="s">
        <v>471</v>
      </c>
      <c r="B17" s="1" t="s">
        <v>437</v>
      </c>
      <c r="C17" s="1" t="s">
        <v>375</v>
      </c>
      <c r="D17" s="1" t="s">
        <v>502</v>
      </c>
      <c r="E17" s="5">
        <v>9.6000000000000002E-2</v>
      </c>
      <c r="F17" s="1" t="s">
        <v>506</v>
      </c>
      <c r="G17" s="5">
        <v>0.12</v>
      </c>
      <c r="H17" s="1" t="s">
        <v>503</v>
      </c>
      <c r="I17" s="5">
        <v>0</v>
      </c>
      <c r="J17" s="1" t="s">
        <v>489</v>
      </c>
      <c r="K17" s="1" t="s">
        <v>507</v>
      </c>
      <c r="L17" s="1"/>
      <c r="M17" s="1" t="s">
        <v>505</v>
      </c>
      <c r="N17" s="1" t="s">
        <v>496</v>
      </c>
    </row>
    <row r="18" spans="1:14" ht="15" customHeight="1">
      <c r="A18" s="1" t="s">
        <v>508</v>
      </c>
      <c r="B18" s="1" t="s">
        <v>416</v>
      </c>
      <c r="C18" s="1" t="s">
        <v>370</v>
      </c>
      <c r="D18" s="1" t="s">
        <v>288</v>
      </c>
      <c r="E18" s="5">
        <v>0</v>
      </c>
      <c r="F18" s="1" t="s">
        <v>288</v>
      </c>
      <c r="G18" s="5">
        <v>0</v>
      </c>
      <c r="H18" s="1" t="s">
        <v>288</v>
      </c>
      <c r="I18" s="5">
        <v>0</v>
      </c>
      <c r="J18" s="1" t="s">
        <v>489</v>
      </c>
      <c r="K18" s="1" t="s">
        <v>490</v>
      </c>
      <c r="L18" s="1"/>
      <c r="M18" s="1" t="s">
        <v>509</v>
      </c>
      <c r="N18" s="1" t="s">
        <v>493</v>
      </c>
    </row>
    <row r="19" spans="1:14" ht="15" customHeight="1">
      <c r="A19" s="1" t="s">
        <v>508</v>
      </c>
      <c r="B19" s="1" t="s">
        <v>425</v>
      </c>
      <c r="C19" s="1" t="s">
        <v>370</v>
      </c>
      <c r="D19" s="1" t="s">
        <v>288</v>
      </c>
      <c r="E19" s="5">
        <v>0</v>
      </c>
      <c r="F19" s="1" t="s">
        <v>288</v>
      </c>
      <c r="G19" s="5">
        <v>0</v>
      </c>
      <c r="H19" s="1" t="s">
        <v>288</v>
      </c>
      <c r="I19" s="5">
        <v>0</v>
      </c>
      <c r="J19" s="1" t="s">
        <v>489</v>
      </c>
      <c r="K19" s="1" t="s">
        <v>490</v>
      </c>
      <c r="L19" s="1"/>
      <c r="M19" s="1" t="s">
        <v>509</v>
      </c>
      <c r="N19" s="1" t="s">
        <v>494</v>
      </c>
    </row>
    <row r="20" spans="1:14" ht="15" customHeight="1">
      <c r="A20" s="1" t="s">
        <v>508</v>
      </c>
      <c r="B20" s="1" t="s">
        <v>431</v>
      </c>
      <c r="C20" s="1" t="s">
        <v>375</v>
      </c>
      <c r="D20" s="1" t="s">
        <v>288</v>
      </c>
      <c r="E20" s="5">
        <v>0</v>
      </c>
      <c r="F20" s="1" t="s">
        <v>288</v>
      </c>
      <c r="G20" s="5">
        <v>0</v>
      </c>
      <c r="H20" s="1" t="s">
        <v>288</v>
      </c>
      <c r="I20" s="5">
        <v>0</v>
      </c>
      <c r="J20" s="1" t="s">
        <v>489</v>
      </c>
      <c r="K20" s="1" t="s">
        <v>490</v>
      </c>
      <c r="L20" s="1"/>
      <c r="M20" s="1" t="s">
        <v>509</v>
      </c>
      <c r="N20" s="1" t="s">
        <v>495</v>
      </c>
    </row>
    <row r="21" spans="1:14" ht="15" customHeight="1">
      <c r="A21" s="1" t="s">
        <v>508</v>
      </c>
      <c r="B21" s="1" t="s">
        <v>437</v>
      </c>
      <c r="C21" s="1" t="s">
        <v>375</v>
      </c>
      <c r="D21" s="1" t="s">
        <v>288</v>
      </c>
      <c r="E21" s="5">
        <v>0</v>
      </c>
      <c r="F21" s="1" t="s">
        <v>288</v>
      </c>
      <c r="G21" s="5">
        <v>0</v>
      </c>
      <c r="H21" s="1" t="s">
        <v>288</v>
      </c>
      <c r="I21" s="5">
        <v>0</v>
      </c>
      <c r="J21" s="1" t="s">
        <v>489</v>
      </c>
      <c r="K21" s="1" t="s">
        <v>490</v>
      </c>
      <c r="L21" s="1"/>
      <c r="M21" s="1" t="s">
        <v>509</v>
      </c>
      <c r="N21" s="1" t="s">
        <v>496</v>
      </c>
    </row>
    <row r="22" spans="1:14" ht="24" customHeight="1">
      <c r="A22" s="1" t="s">
        <v>510</v>
      </c>
      <c r="B22" s="1" t="s">
        <v>416</v>
      </c>
      <c r="C22" s="1" t="s">
        <v>370</v>
      </c>
      <c r="D22" s="1" t="s">
        <v>488</v>
      </c>
      <c r="E22" s="5">
        <v>0</v>
      </c>
      <c r="F22" s="1" t="s">
        <v>488</v>
      </c>
      <c r="G22" s="5">
        <v>0</v>
      </c>
      <c r="H22" s="1" t="s">
        <v>488</v>
      </c>
      <c r="I22" s="5">
        <v>0</v>
      </c>
      <c r="J22" s="1" t="s">
        <v>489</v>
      </c>
      <c r="K22" s="1" t="s">
        <v>511</v>
      </c>
      <c r="L22" s="1"/>
      <c r="M22" s="1" t="s">
        <v>498</v>
      </c>
      <c r="N22" s="1" t="s">
        <v>493</v>
      </c>
    </row>
    <row r="23" spans="1:14" ht="24" customHeight="1">
      <c r="A23" s="1" t="s">
        <v>510</v>
      </c>
      <c r="B23" s="1" t="s">
        <v>425</v>
      </c>
      <c r="C23" s="1" t="s">
        <v>370</v>
      </c>
      <c r="D23" s="1" t="s">
        <v>488</v>
      </c>
      <c r="E23" s="5">
        <v>0</v>
      </c>
      <c r="F23" s="1" t="s">
        <v>488</v>
      </c>
      <c r="G23" s="5">
        <v>0</v>
      </c>
      <c r="H23" s="1" t="s">
        <v>488</v>
      </c>
      <c r="I23" s="5">
        <v>0</v>
      </c>
      <c r="J23" s="1" t="s">
        <v>489</v>
      </c>
      <c r="K23" s="1" t="s">
        <v>511</v>
      </c>
      <c r="L23" s="1"/>
      <c r="M23" s="1" t="s">
        <v>498</v>
      </c>
      <c r="N23" s="1" t="s">
        <v>494</v>
      </c>
    </row>
    <row r="24" spans="1:14" ht="24" customHeight="1">
      <c r="A24" s="1" t="s">
        <v>510</v>
      </c>
      <c r="B24" s="1" t="s">
        <v>431</v>
      </c>
      <c r="C24" s="1" t="s">
        <v>375</v>
      </c>
      <c r="D24" s="1" t="s">
        <v>488</v>
      </c>
      <c r="E24" s="5">
        <v>0</v>
      </c>
      <c r="F24" s="1" t="s">
        <v>488</v>
      </c>
      <c r="G24" s="5">
        <v>0</v>
      </c>
      <c r="H24" s="1" t="s">
        <v>488</v>
      </c>
      <c r="I24" s="5">
        <v>0</v>
      </c>
      <c r="J24" s="1" t="s">
        <v>489</v>
      </c>
      <c r="K24" s="1" t="s">
        <v>511</v>
      </c>
      <c r="L24" s="1"/>
      <c r="M24" s="1" t="s">
        <v>498</v>
      </c>
      <c r="N24" s="1" t="s">
        <v>495</v>
      </c>
    </row>
    <row r="25" spans="1:14" ht="24" customHeight="1">
      <c r="A25" s="1" t="s">
        <v>510</v>
      </c>
      <c r="B25" s="1" t="s">
        <v>437</v>
      </c>
      <c r="C25" s="1" t="s">
        <v>375</v>
      </c>
      <c r="D25" s="1" t="s">
        <v>488</v>
      </c>
      <c r="E25" s="5">
        <v>0</v>
      </c>
      <c r="F25" s="1" t="s">
        <v>488</v>
      </c>
      <c r="G25" s="5">
        <v>0</v>
      </c>
      <c r="H25" s="1" t="s">
        <v>488</v>
      </c>
      <c r="I25" s="5">
        <v>0</v>
      </c>
      <c r="J25" s="1" t="s">
        <v>489</v>
      </c>
      <c r="K25" s="1" t="s">
        <v>511</v>
      </c>
      <c r="L25" s="1"/>
      <c r="M25" s="1" t="s">
        <v>498</v>
      </c>
      <c r="N25" s="1" t="s">
        <v>496</v>
      </c>
    </row>
    <row r="26" spans="1:14" ht="15" customHeight="1">
      <c r="A26" s="1" t="s">
        <v>512</v>
      </c>
      <c r="B26" s="1" t="s">
        <v>416</v>
      </c>
      <c r="C26" s="1" t="s">
        <v>370</v>
      </c>
      <c r="D26" s="1" t="s">
        <v>513</v>
      </c>
      <c r="E26" s="5">
        <v>0</v>
      </c>
      <c r="F26" s="1" t="s">
        <v>513</v>
      </c>
      <c r="G26" s="5">
        <v>0</v>
      </c>
      <c r="H26" s="1" t="s">
        <v>513</v>
      </c>
      <c r="I26" s="5">
        <v>0</v>
      </c>
      <c r="J26" s="1" t="s">
        <v>489</v>
      </c>
      <c r="K26" s="1" t="s">
        <v>490</v>
      </c>
      <c r="L26" s="1"/>
      <c r="M26" s="1" t="s">
        <v>498</v>
      </c>
      <c r="N26" s="1" t="s">
        <v>493</v>
      </c>
    </row>
    <row r="27" spans="1:14" ht="15" customHeight="1">
      <c r="A27" s="1" t="s">
        <v>512</v>
      </c>
      <c r="B27" s="1" t="s">
        <v>425</v>
      </c>
      <c r="C27" s="1" t="s">
        <v>370</v>
      </c>
      <c r="D27" s="1" t="s">
        <v>513</v>
      </c>
      <c r="E27" s="5">
        <v>0</v>
      </c>
      <c r="F27" s="1" t="s">
        <v>513</v>
      </c>
      <c r="G27" s="5">
        <v>0</v>
      </c>
      <c r="H27" s="1" t="s">
        <v>513</v>
      </c>
      <c r="I27" s="5">
        <v>0</v>
      </c>
      <c r="J27" s="1" t="s">
        <v>489</v>
      </c>
      <c r="K27" s="1" t="s">
        <v>490</v>
      </c>
      <c r="L27" s="1"/>
      <c r="M27" s="1" t="s">
        <v>498</v>
      </c>
      <c r="N27" s="1" t="s">
        <v>494</v>
      </c>
    </row>
    <row r="28" spans="1:14" ht="15" customHeight="1">
      <c r="A28" s="1" t="s">
        <v>512</v>
      </c>
      <c r="B28" s="1" t="s">
        <v>431</v>
      </c>
      <c r="C28" s="1" t="s">
        <v>375</v>
      </c>
      <c r="D28" s="1" t="s">
        <v>513</v>
      </c>
      <c r="E28" s="5">
        <v>0</v>
      </c>
      <c r="F28" s="1" t="s">
        <v>513</v>
      </c>
      <c r="G28" s="5">
        <v>0</v>
      </c>
      <c r="H28" s="1" t="s">
        <v>513</v>
      </c>
      <c r="I28" s="5">
        <v>0</v>
      </c>
      <c r="J28" s="1" t="s">
        <v>489</v>
      </c>
      <c r="K28" s="1" t="s">
        <v>490</v>
      </c>
      <c r="L28" s="1"/>
      <c r="M28" s="1" t="s">
        <v>498</v>
      </c>
      <c r="N28" s="1" t="s">
        <v>495</v>
      </c>
    </row>
    <row r="29" spans="1:14" ht="15" customHeight="1">
      <c r="A29" s="1" t="s">
        <v>512</v>
      </c>
      <c r="B29" s="1" t="s">
        <v>437</v>
      </c>
      <c r="C29" s="1" t="s">
        <v>375</v>
      </c>
      <c r="D29" s="1" t="s">
        <v>513</v>
      </c>
      <c r="E29" s="5">
        <v>0</v>
      </c>
      <c r="F29" s="1" t="s">
        <v>513</v>
      </c>
      <c r="G29" s="5">
        <v>0</v>
      </c>
      <c r="H29" s="1" t="s">
        <v>513</v>
      </c>
      <c r="I29" s="5">
        <v>0</v>
      </c>
      <c r="J29" s="1" t="s">
        <v>489</v>
      </c>
      <c r="K29" s="1" t="s">
        <v>490</v>
      </c>
      <c r="L29" s="1"/>
      <c r="M29" s="1" t="s">
        <v>498</v>
      </c>
      <c r="N29" s="1" t="s">
        <v>496</v>
      </c>
    </row>
    <row r="30" spans="1:14" ht="15" customHeight="1">
      <c r="A30" s="1" t="s">
        <v>514</v>
      </c>
      <c r="B30" s="1" t="s">
        <v>416</v>
      </c>
      <c r="C30" s="1" t="s">
        <v>370</v>
      </c>
      <c r="D30" s="1" t="s">
        <v>513</v>
      </c>
      <c r="E30" s="5">
        <v>0</v>
      </c>
      <c r="F30" s="1" t="s">
        <v>513</v>
      </c>
      <c r="G30" s="5">
        <v>0</v>
      </c>
      <c r="H30" s="1" t="s">
        <v>513</v>
      </c>
      <c r="I30" s="5">
        <v>0</v>
      </c>
      <c r="J30" s="1" t="s">
        <v>489</v>
      </c>
      <c r="K30" s="1" t="s">
        <v>490</v>
      </c>
      <c r="L30" s="1"/>
      <c r="M30" s="1" t="s">
        <v>498</v>
      </c>
      <c r="N30" s="1" t="s">
        <v>493</v>
      </c>
    </row>
    <row r="31" spans="1:14" ht="15" customHeight="1">
      <c r="A31" s="1" t="s">
        <v>514</v>
      </c>
      <c r="B31" s="1" t="s">
        <v>425</v>
      </c>
      <c r="C31" s="1" t="s">
        <v>370</v>
      </c>
      <c r="D31" s="1" t="s">
        <v>513</v>
      </c>
      <c r="E31" s="5">
        <v>0</v>
      </c>
      <c r="F31" s="1" t="s">
        <v>513</v>
      </c>
      <c r="G31" s="5">
        <v>0</v>
      </c>
      <c r="H31" s="1" t="s">
        <v>513</v>
      </c>
      <c r="I31" s="5">
        <v>0</v>
      </c>
      <c r="J31" s="1" t="s">
        <v>489</v>
      </c>
      <c r="K31" s="1" t="s">
        <v>490</v>
      </c>
      <c r="L31" s="1"/>
      <c r="M31" s="1" t="s">
        <v>498</v>
      </c>
      <c r="N31" s="1" t="s">
        <v>494</v>
      </c>
    </row>
    <row r="32" spans="1:14" ht="15" customHeight="1">
      <c r="A32" s="1" t="s">
        <v>514</v>
      </c>
      <c r="B32" s="1" t="s">
        <v>431</v>
      </c>
      <c r="C32" s="1" t="s">
        <v>375</v>
      </c>
      <c r="D32" s="1" t="s">
        <v>513</v>
      </c>
      <c r="E32" s="5">
        <v>0</v>
      </c>
      <c r="F32" s="1" t="s">
        <v>513</v>
      </c>
      <c r="G32" s="5">
        <v>0</v>
      </c>
      <c r="H32" s="1" t="s">
        <v>513</v>
      </c>
      <c r="I32" s="5">
        <v>0</v>
      </c>
      <c r="J32" s="1" t="s">
        <v>489</v>
      </c>
      <c r="K32" s="1" t="s">
        <v>490</v>
      </c>
      <c r="L32" s="1"/>
      <c r="M32" s="1" t="s">
        <v>498</v>
      </c>
      <c r="N32" s="1" t="s">
        <v>495</v>
      </c>
    </row>
    <row r="33" spans="1:14" ht="15" customHeight="1">
      <c r="A33" s="1" t="s">
        <v>514</v>
      </c>
      <c r="B33" s="1" t="s">
        <v>437</v>
      </c>
      <c r="C33" s="1" t="s">
        <v>375</v>
      </c>
      <c r="D33" s="1" t="s">
        <v>513</v>
      </c>
      <c r="E33" s="5">
        <v>0</v>
      </c>
      <c r="F33" s="1" t="s">
        <v>513</v>
      </c>
      <c r="G33" s="5">
        <v>0</v>
      </c>
      <c r="H33" s="1" t="s">
        <v>513</v>
      </c>
      <c r="I33" s="5">
        <v>0</v>
      </c>
      <c r="J33" s="1" t="s">
        <v>489</v>
      </c>
      <c r="K33" s="1" t="s">
        <v>490</v>
      </c>
      <c r="L33" s="1"/>
      <c r="M33" s="1" t="s">
        <v>498</v>
      </c>
      <c r="N33" s="1" t="s">
        <v>496</v>
      </c>
    </row>
    <row r="34" spans="1:14" ht="15" customHeight="1">
      <c r="A34" s="1" t="s">
        <v>515</v>
      </c>
      <c r="B34" s="1" t="s">
        <v>416</v>
      </c>
      <c r="C34" s="1" t="s">
        <v>370</v>
      </c>
      <c r="D34" s="1" t="s">
        <v>516</v>
      </c>
      <c r="E34" s="5">
        <v>0</v>
      </c>
      <c r="F34" s="1" t="s">
        <v>516</v>
      </c>
      <c r="G34" s="5">
        <v>0</v>
      </c>
      <c r="H34" s="1" t="s">
        <v>516</v>
      </c>
      <c r="I34" s="5">
        <v>0</v>
      </c>
      <c r="J34" s="1" t="s">
        <v>489</v>
      </c>
      <c r="K34" s="1" t="s">
        <v>490</v>
      </c>
      <c r="L34" s="1"/>
      <c r="M34" s="1" t="s">
        <v>517</v>
      </c>
      <c r="N34" s="1" t="s">
        <v>493</v>
      </c>
    </row>
    <row r="35" spans="1:14" ht="15" customHeight="1">
      <c r="A35" s="1" t="s">
        <v>515</v>
      </c>
      <c r="B35" s="1" t="s">
        <v>425</v>
      </c>
      <c r="C35" s="1" t="s">
        <v>370</v>
      </c>
      <c r="D35" s="1" t="s">
        <v>516</v>
      </c>
      <c r="E35" s="5">
        <v>0</v>
      </c>
      <c r="F35" s="1" t="s">
        <v>516</v>
      </c>
      <c r="G35" s="5">
        <v>0</v>
      </c>
      <c r="H35" s="1" t="s">
        <v>516</v>
      </c>
      <c r="I35" s="5">
        <v>0</v>
      </c>
      <c r="J35" s="1" t="s">
        <v>489</v>
      </c>
      <c r="K35" s="1" t="s">
        <v>490</v>
      </c>
      <c r="L35" s="1"/>
      <c r="M35" s="1" t="s">
        <v>517</v>
      </c>
      <c r="N35" s="1" t="s">
        <v>494</v>
      </c>
    </row>
    <row r="36" spans="1:14" ht="15" customHeight="1">
      <c r="A36" s="1" t="s">
        <v>515</v>
      </c>
      <c r="B36" s="1" t="s">
        <v>431</v>
      </c>
      <c r="C36" s="1" t="s">
        <v>375</v>
      </c>
      <c r="D36" s="1" t="s">
        <v>516</v>
      </c>
      <c r="E36" s="5">
        <v>0</v>
      </c>
      <c r="F36" s="1" t="s">
        <v>516</v>
      </c>
      <c r="G36" s="5">
        <v>0</v>
      </c>
      <c r="H36" s="1" t="s">
        <v>516</v>
      </c>
      <c r="I36" s="5">
        <v>0</v>
      </c>
      <c r="J36" s="1" t="s">
        <v>489</v>
      </c>
      <c r="K36" s="1" t="s">
        <v>490</v>
      </c>
      <c r="L36" s="1"/>
      <c r="M36" s="1" t="s">
        <v>517</v>
      </c>
      <c r="N36" s="1" t="s">
        <v>495</v>
      </c>
    </row>
    <row r="37" spans="1:14" ht="15" customHeight="1">
      <c r="A37" s="1" t="s">
        <v>515</v>
      </c>
      <c r="B37" s="1" t="s">
        <v>437</v>
      </c>
      <c r="C37" s="1" t="s">
        <v>375</v>
      </c>
      <c r="D37" s="1" t="s">
        <v>516</v>
      </c>
      <c r="E37" s="5">
        <v>0</v>
      </c>
      <c r="F37" s="1" t="s">
        <v>516</v>
      </c>
      <c r="G37" s="5">
        <v>0</v>
      </c>
      <c r="H37" s="1" t="s">
        <v>516</v>
      </c>
      <c r="I37" s="5">
        <v>0</v>
      </c>
      <c r="J37" s="1" t="s">
        <v>489</v>
      </c>
      <c r="K37" s="1" t="s">
        <v>490</v>
      </c>
      <c r="L37" s="1"/>
      <c r="M37" s="1" t="s">
        <v>517</v>
      </c>
      <c r="N37" s="1" t="s">
        <v>496</v>
      </c>
    </row>
    <row r="38" spans="1:14" ht="15" customHeight="1">
      <c r="A38" s="1" t="s">
        <v>518</v>
      </c>
      <c r="B38" s="1" t="s">
        <v>416</v>
      </c>
      <c r="C38" s="1" t="s">
        <v>370</v>
      </c>
      <c r="D38" s="1" t="s">
        <v>519</v>
      </c>
      <c r="E38" s="5">
        <v>0</v>
      </c>
      <c r="F38" s="1" t="s">
        <v>519</v>
      </c>
      <c r="G38" s="5">
        <v>0</v>
      </c>
      <c r="H38" s="1" t="s">
        <v>519</v>
      </c>
      <c r="I38" s="5">
        <v>0</v>
      </c>
      <c r="J38" s="1" t="s">
        <v>489</v>
      </c>
      <c r="K38" s="1" t="s">
        <v>490</v>
      </c>
      <c r="L38" s="1"/>
      <c r="M38" s="1" t="s">
        <v>520</v>
      </c>
      <c r="N38" s="1" t="s">
        <v>493</v>
      </c>
    </row>
    <row r="39" spans="1:14" ht="15" customHeight="1">
      <c r="A39" s="1" t="s">
        <v>518</v>
      </c>
      <c r="B39" s="1" t="s">
        <v>425</v>
      </c>
      <c r="C39" s="1" t="s">
        <v>370</v>
      </c>
      <c r="D39" s="1" t="s">
        <v>519</v>
      </c>
      <c r="E39" s="5">
        <v>0</v>
      </c>
      <c r="F39" s="1" t="s">
        <v>519</v>
      </c>
      <c r="G39" s="5">
        <v>0</v>
      </c>
      <c r="H39" s="1" t="s">
        <v>519</v>
      </c>
      <c r="I39" s="5">
        <v>0</v>
      </c>
      <c r="J39" s="1" t="s">
        <v>489</v>
      </c>
      <c r="K39" s="1" t="s">
        <v>490</v>
      </c>
      <c r="L39" s="1"/>
      <c r="M39" s="1" t="s">
        <v>520</v>
      </c>
      <c r="N39" s="1" t="s">
        <v>494</v>
      </c>
    </row>
    <row r="40" spans="1:14" ht="15" customHeight="1">
      <c r="A40" s="1" t="s">
        <v>518</v>
      </c>
      <c r="B40" s="1" t="s">
        <v>431</v>
      </c>
      <c r="C40" s="1" t="s">
        <v>375</v>
      </c>
      <c r="D40" s="1" t="s">
        <v>519</v>
      </c>
      <c r="E40" s="5">
        <v>0.03</v>
      </c>
      <c r="F40" s="1" t="s">
        <v>519</v>
      </c>
      <c r="G40" s="5">
        <v>1.4999999999999999E-2</v>
      </c>
      <c r="H40" s="1" t="s">
        <v>519</v>
      </c>
      <c r="I40" s="5">
        <v>1.4999999999999999E-2</v>
      </c>
      <c r="J40" s="1" t="s">
        <v>489</v>
      </c>
      <c r="K40" s="1" t="s">
        <v>521</v>
      </c>
      <c r="L40" s="1"/>
      <c r="M40" s="1" t="s">
        <v>520</v>
      </c>
      <c r="N40" s="1" t="s">
        <v>495</v>
      </c>
    </row>
    <row r="41" spans="1:14" ht="15" customHeight="1">
      <c r="A41" s="1" t="s">
        <v>518</v>
      </c>
      <c r="B41" s="1" t="s">
        <v>437</v>
      </c>
      <c r="C41" s="1" t="s">
        <v>375</v>
      </c>
      <c r="D41" s="1" t="s">
        <v>519</v>
      </c>
      <c r="E41" s="5">
        <v>0</v>
      </c>
      <c r="F41" s="1" t="s">
        <v>519</v>
      </c>
      <c r="G41" s="5">
        <v>0</v>
      </c>
      <c r="H41" s="1" t="s">
        <v>519</v>
      </c>
      <c r="I41" s="5">
        <v>0</v>
      </c>
      <c r="J41" s="1" t="s">
        <v>489</v>
      </c>
      <c r="K41" s="1" t="s">
        <v>490</v>
      </c>
      <c r="L41" s="1"/>
      <c r="M41" s="1" t="s">
        <v>520</v>
      </c>
      <c r="N41" s="1" t="s">
        <v>496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"/>
  <sheetViews>
    <sheetView showGridLines="0" zoomScaleNormal="100" workbookViewId="0"/>
  </sheetViews>
  <sheetFormatPr defaultColWidth="8.7109375" defaultRowHeight="15"/>
  <cols>
    <col min="1" max="1" width="28" customWidth="1"/>
    <col min="2" max="2" width="24" customWidth="1"/>
    <col min="3" max="3" width="38" customWidth="1"/>
    <col min="4" max="4" width="50" customWidth="1"/>
    <col min="5" max="5" width="44" customWidth="1"/>
    <col min="6" max="6" width="38" customWidth="1"/>
    <col min="7" max="7" width="16" customWidth="1"/>
    <col min="8" max="8" width="42" customWidth="1"/>
    <col min="9" max="9" width="40" customWidth="1"/>
    <col min="10" max="10" width="28" customWidth="1"/>
  </cols>
  <sheetData>
    <row r="1" spans="1:10" ht="15" customHeight="1">
      <c r="A1" s="8" t="s">
        <v>522</v>
      </c>
      <c r="B1" s="8" t="s">
        <v>523</v>
      </c>
      <c r="C1" s="8" t="s">
        <v>524</v>
      </c>
      <c r="D1" s="8" t="s">
        <v>525</v>
      </c>
      <c r="E1" s="8" t="s">
        <v>526</v>
      </c>
      <c r="F1" s="8" t="s">
        <v>527</v>
      </c>
      <c r="G1" s="8" t="s">
        <v>528</v>
      </c>
      <c r="H1" s="8" t="s">
        <v>487</v>
      </c>
      <c r="I1" s="8" t="s">
        <v>415</v>
      </c>
      <c r="J1" s="8" t="s">
        <v>529</v>
      </c>
    </row>
    <row r="2" spans="1:10" ht="24" customHeight="1">
      <c r="A2" s="1" t="s">
        <v>469</v>
      </c>
      <c r="B2" s="1" t="s">
        <v>499</v>
      </c>
      <c r="C2" s="1" t="s">
        <v>530</v>
      </c>
      <c r="D2" s="1" t="s">
        <v>531</v>
      </c>
      <c r="E2" s="1" t="s">
        <v>532</v>
      </c>
      <c r="F2" s="1" t="s">
        <v>533</v>
      </c>
      <c r="G2" s="1" t="s">
        <v>534</v>
      </c>
      <c r="H2" s="1" t="s">
        <v>207</v>
      </c>
      <c r="I2" s="1" t="s">
        <v>535</v>
      </c>
      <c r="J2" s="1" t="s">
        <v>536</v>
      </c>
    </row>
    <row r="3" spans="1:10" ht="24" customHeight="1">
      <c r="A3" s="1" t="s">
        <v>471</v>
      </c>
      <c r="B3" s="1" t="s">
        <v>503</v>
      </c>
      <c r="C3" s="1" t="s">
        <v>537</v>
      </c>
      <c r="D3" s="1" t="s">
        <v>538</v>
      </c>
      <c r="E3" s="1" t="s">
        <v>539</v>
      </c>
      <c r="F3" s="1" t="s">
        <v>540</v>
      </c>
      <c r="G3" s="1" t="s">
        <v>541</v>
      </c>
      <c r="H3" s="1" t="s">
        <v>542</v>
      </c>
      <c r="I3" s="1" t="s">
        <v>543</v>
      </c>
      <c r="J3" s="1" t="s">
        <v>544</v>
      </c>
    </row>
    <row r="4" spans="1:10" ht="24" customHeight="1">
      <c r="A4" s="1" t="s">
        <v>545</v>
      </c>
      <c r="B4" s="1" t="s">
        <v>488</v>
      </c>
      <c r="C4" s="1" t="s">
        <v>546</v>
      </c>
      <c r="D4" s="1" t="s">
        <v>547</v>
      </c>
      <c r="E4" s="1" t="s">
        <v>548</v>
      </c>
      <c r="F4" s="1" t="s">
        <v>549</v>
      </c>
      <c r="G4" s="1" t="s">
        <v>541</v>
      </c>
      <c r="H4" s="1" t="s">
        <v>550</v>
      </c>
      <c r="I4" s="1" t="s">
        <v>551</v>
      </c>
      <c r="J4" s="1" t="s">
        <v>536</v>
      </c>
    </row>
    <row r="5" spans="1:10" ht="24" customHeight="1">
      <c r="A5" s="1" t="s">
        <v>552</v>
      </c>
      <c r="B5" s="1" t="s">
        <v>513</v>
      </c>
      <c r="C5" s="1" t="s">
        <v>553</v>
      </c>
      <c r="D5" s="1" t="s">
        <v>554</v>
      </c>
      <c r="E5" s="1" t="s">
        <v>548</v>
      </c>
      <c r="F5" s="1" t="s">
        <v>555</v>
      </c>
      <c r="G5" s="1" t="s">
        <v>541</v>
      </c>
      <c r="H5" s="1" t="s">
        <v>550</v>
      </c>
      <c r="I5" s="1" t="s">
        <v>556</v>
      </c>
      <c r="J5" s="1" t="s">
        <v>536</v>
      </c>
    </row>
    <row r="6" spans="1:10" ht="15" customHeight="1">
      <c r="A6" s="1" t="s">
        <v>515</v>
      </c>
      <c r="B6" s="1" t="s">
        <v>516</v>
      </c>
      <c r="C6" s="1" t="s">
        <v>557</v>
      </c>
      <c r="D6" s="1" t="s">
        <v>558</v>
      </c>
      <c r="E6" s="1" t="s">
        <v>559</v>
      </c>
      <c r="F6" s="1" t="s">
        <v>560</v>
      </c>
      <c r="G6" s="1" t="s">
        <v>541</v>
      </c>
      <c r="H6" s="1" t="s">
        <v>517</v>
      </c>
      <c r="I6" s="1" t="s">
        <v>561</v>
      </c>
      <c r="J6" s="1" t="s">
        <v>536</v>
      </c>
    </row>
    <row r="7" spans="1:10" ht="24" customHeight="1">
      <c r="A7" s="1" t="s">
        <v>508</v>
      </c>
      <c r="B7" s="1" t="s">
        <v>288</v>
      </c>
      <c r="C7" s="1" t="s">
        <v>557</v>
      </c>
      <c r="D7" s="1" t="s">
        <v>562</v>
      </c>
      <c r="E7" s="1" t="s">
        <v>559</v>
      </c>
      <c r="F7" s="1" t="s">
        <v>560</v>
      </c>
      <c r="G7" s="1" t="s">
        <v>541</v>
      </c>
      <c r="H7" s="1" t="s">
        <v>509</v>
      </c>
      <c r="I7" s="1" t="s">
        <v>561</v>
      </c>
      <c r="J7" s="1" t="s">
        <v>536</v>
      </c>
    </row>
    <row r="8" spans="1:10" ht="24" customHeight="1">
      <c r="A8" s="1" t="s">
        <v>518</v>
      </c>
      <c r="B8" s="1" t="s">
        <v>519</v>
      </c>
      <c r="C8" s="1" t="s">
        <v>563</v>
      </c>
      <c r="D8" s="1" t="s">
        <v>562</v>
      </c>
      <c r="E8" s="1" t="s">
        <v>559</v>
      </c>
      <c r="F8" s="1" t="s">
        <v>564</v>
      </c>
      <c r="G8" s="1" t="s">
        <v>541</v>
      </c>
      <c r="H8" s="1" t="s">
        <v>520</v>
      </c>
      <c r="I8" s="1" t="s">
        <v>565</v>
      </c>
      <c r="J8" s="1" t="s">
        <v>566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showGridLines="0" zoomScaleNormal="100" workbookViewId="0"/>
  </sheetViews>
  <sheetFormatPr defaultColWidth="8.7109375" defaultRowHeight="15"/>
  <cols>
    <col min="1" max="1" width="34" customWidth="1"/>
    <col min="2" max="2" width="22" customWidth="1"/>
    <col min="3" max="3" width="14" customWidth="1"/>
    <col min="4" max="4" width="16" customWidth="1"/>
    <col min="5" max="5" width="20" customWidth="1"/>
    <col min="6" max="6" width="24" customWidth="1"/>
    <col min="7" max="7" width="20" customWidth="1"/>
    <col min="8" max="8" width="42" customWidth="1"/>
    <col min="9" max="9" width="52" customWidth="1"/>
    <col min="10" max="10" width="28" customWidth="1"/>
    <col min="11" max="11" width="22" customWidth="1"/>
  </cols>
  <sheetData>
    <row r="1" spans="1:11" ht="24" customHeight="1">
      <c r="A1" s="8" t="s">
        <v>567</v>
      </c>
      <c r="B1" s="8" t="s">
        <v>568</v>
      </c>
      <c r="C1" s="8" t="s">
        <v>569</v>
      </c>
      <c r="D1" s="8" t="s">
        <v>570</v>
      </c>
      <c r="E1" s="8" t="s">
        <v>571</v>
      </c>
      <c r="F1" s="8" t="s">
        <v>572</v>
      </c>
      <c r="G1" s="8" t="s">
        <v>573</v>
      </c>
      <c r="H1" s="8" t="s">
        <v>574</v>
      </c>
      <c r="I1" s="8" t="s">
        <v>464</v>
      </c>
      <c r="J1" s="8" t="s">
        <v>166</v>
      </c>
      <c r="K1" s="8" t="s">
        <v>368</v>
      </c>
    </row>
    <row r="2" spans="1:11" ht="15" customHeight="1">
      <c r="A2" s="1" t="s">
        <v>575</v>
      </c>
      <c r="B2" s="10">
        <v>100</v>
      </c>
      <c r="C2" s="7">
        <v>0.12</v>
      </c>
      <c r="D2" s="7">
        <v>0</v>
      </c>
      <c r="E2" s="10">
        <f>B2*(1+D2)</f>
        <v>100</v>
      </c>
      <c r="F2" s="10">
        <f>E2/(1+C2)</f>
        <v>89.285714285714278</v>
      </c>
      <c r="G2" s="7">
        <f>1-F2/B2</f>
        <v>0.10714285714285721</v>
      </c>
      <c r="H2" s="1" t="s">
        <v>576</v>
      </c>
      <c r="I2" s="1" t="s">
        <v>577</v>
      </c>
      <c r="J2" s="1" t="s">
        <v>207</v>
      </c>
      <c r="K2" s="1" t="s">
        <v>578</v>
      </c>
    </row>
    <row r="3" spans="1:11" ht="24" customHeight="1">
      <c r="A3" s="1" t="s">
        <v>579</v>
      </c>
      <c r="B3" s="10">
        <v>100</v>
      </c>
      <c r="C3" s="7">
        <v>0.12</v>
      </c>
      <c r="D3" s="7">
        <v>1.4999999999999999E-2</v>
      </c>
      <c r="E3" s="10">
        <f>B3*(1+D3)</f>
        <v>101.49999999999999</v>
      </c>
      <c r="F3" s="10">
        <f>E3/(1+C3)</f>
        <v>90.624999999999986</v>
      </c>
      <c r="G3" s="7">
        <f>1-F3/B3</f>
        <v>9.3750000000000111E-2</v>
      </c>
      <c r="H3" s="1" t="s">
        <v>580</v>
      </c>
      <c r="I3" s="1" t="s">
        <v>581</v>
      </c>
      <c r="J3" s="1" t="s">
        <v>520</v>
      </c>
      <c r="K3" s="1" t="s">
        <v>495</v>
      </c>
    </row>
    <row r="4" spans="1:11" ht="24" customHeight="1">
      <c r="A4" s="1" t="s">
        <v>582</v>
      </c>
      <c r="B4" s="10">
        <v>100</v>
      </c>
      <c r="C4" s="7">
        <v>0.12</v>
      </c>
      <c r="D4" s="7">
        <v>0.12</v>
      </c>
      <c r="E4" s="10">
        <f>B4*(1+D4)</f>
        <v>112.00000000000001</v>
      </c>
      <c r="F4" s="10">
        <f>E4/(1+C4)</f>
        <v>100</v>
      </c>
      <c r="G4" s="7">
        <f>1-F4/B4</f>
        <v>0</v>
      </c>
      <c r="H4" s="1" t="s">
        <v>583</v>
      </c>
      <c r="I4" s="1" t="s">
        <v>584</v>
      </c>
      <c r="J4" s="1" t="s">
        <v>207</v>
      </c>
      <c r="K4" s="1" t="s">
        <v>578</v>
      </c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showGridLines="0" zoomScaleNormal="100" workbookViewId="0"/>
  </sheetViews>
  <sheetFormatPr defaultColWidth="8.7109375" defaultRowHeight="15"/>
  <cols>
    <col min="1" max="1" width="48" customWidth="1"/>
    <col min="2" max="2" width="22" customWidth="1"/>
    <col min="3" max="3" width="27" customWidth="1"/>
    <col min="4" max="4" width="16" customWidth="1"/>
    <col min="5" max="5" width="26" customWidth="1"/>
    <col min="6" max="6" width="68" customWidth="1"/>
    <col min="7" max="7" width="54" customWidth="1"/>
  </cols>
  <sheetData>
    <row r="1" spans="1:7" ht="32.1" customHeight="1">
      <c r="A1" s="8" t="s">
        <v>522</v>
      </c>
      <c r="B1" s="8" t="s">
        <v>585</v>
      </c>
      <c r="C1" s="8" t="s">
        <v>586</v>
      </c>
      <c r="D1" s="8" t="s">
        <v>587</v>
      </c>
      <c r="E1" s="8" t="s">
        <v>588</v>
      </c>
      <c r="F1" s="8" t="s">
        <v>464</v>
      </c>
      <c r="G1" s="8" t="s">
        <v>589</v>
      </c>
    </row>
    <row r="2" spans="1:7" ht="23.85">
      <c r="A2" s="1" t="s">
        <v>469</v>
      </c>
      <c r="B2" s="12">
        <v>507</v>
      </c>
      <c r="C2" s="12">
        <v>159</v>
      </c>
      <c r="D2" s="13">
        <f>IFERROR(C2/B2,"")</f>
        <v>0.31360946745562129</v>
      </c>
      <c r="E2" s="12">
        <f>B2-C2</f>
        <v>348</v>
      </c>
      <c r="F2" s="1" t="s">
        <v>590</v>
      </c>
      <c r="G2" s="1" t="s">
        <v>591</v>
      </c>
    </row>
    <row r="3" spans="1:7" ht="23.85">
      <c r="A3" s="1" t="s">
        <v>471</v>
      </c>
      <c r="B3" s="12">
        <v>212</v>
      </c>
      <c r="C3" s="12">
        <v>11</v>
      </c>
      <c r="D3" s="13">
        <f>IFERROR(C3/B3,"")</f>
        <v>5.1886792452830191E-2</v>
      </c>
      <c r="E3" s="12">
        <f>B3-C3</f>
        <v>201</v>
      </c>
      <c r="F3" s="1" t="s">
        <v>592</v>
      </c>
      <c r="G3" s="1" t="s">
        <v>591</v>
      </c>
    </row>
    <row r="4" spans="1:7">
      <c r="A4" s="1" t="s">
        <v>465</v>
      </c>
      <c r="B4" s="12">
        <v>192</v>
      </c>
      <c r="C4" s="12">
        <v>1</v>
      </c>
      <c r="D4" s="13">
        <f>IFERROR(C4/B4,"")</f>
        <v>5.208333333333333E-3</v>
      </c>
      <c r="E4" s="12">
        <f>B4-C4</f>
        <v>191</v>
      </c>
      <c r="F4" s="1" t="s">
        <v>593</v>
      </c>
      <c r="G4" s="1" t="s">
        <v>591</v>
      </c>
    </row>
    <row r="5" spans="1:7">
      <c r="A5" s="1" t="s">
        <v>594</v>
      </c>
      <c r="B5" s="12">
        <v>228</v>
      </c>
      <c r="C5" s="12">
        <v>0</v>
      </c>
      <c r="D5" s="13">
        <f>IFERROR(C5/B5,"")</f>
        <v>0</v>
      </c>
      <c r="E5" s="12">
        <f>B5-C5</f>
        <v>228</v>
      </c>
      <c r="F5" s="1" t="s">
        <v>595</v>
      </c>
      <c r="G5" s="1" t="s">
        <v>596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"/>
  <sheetViews>
    <sheetView showGridLines="0" topLeftCell="C1" zoomScaleNormal="100" workbookViewId="0">
      <selection activeCell="D9" sqref="D9"/>
    </sheetView>
  </sheetViews>
  <sheetFormatPr defaultColWidth="8.7109375" defaultRowHeight="15"/>
  <cols>
    <col min="1" max="1" width="44.42578125" customWidth="1"/>
    <col min="2" max="3" width="20" customWidth="1"/>
    <col min="4" max="5" width="16" customWidth="1"/>
    <col min="6" max="6" width="14" customWidth="1"/>
    <col min="7" max="7" width="44" customWidth="1"/>
    <col min="8" max="8" width="34" customWidth="1"/>
    <col min="9" max="9" width="32" customWidth="1"/>
    <col min="10" max="10" width="28" customWidth="1"/>
    <col min="11" max="11" width="18" customWidth="1"/>
  </cols>
  <sheetData>
    <row r="1" spans="1:11" ht="15" customHeight="1">
      <c r="A1" s="8" t="s">
        <v>597</v>
      </c>
      <c r="B1" s="8" t="s">
        <v>598</v>
      </c>
      <c r="C1" s="8" t="s">
        <v>599</v>
      </c>
      <c r="D1" s="8" t="s">
        <v>600</v>
      </c>
      <c r="E1" s="8" t="s">
        <v>601</v>
      </c>
      <c r="F1" s="8" t="s">
        <v>602</v>
      </c>
      <c r="G1" s="8" t="s">
        <v>603</v>
      </c>
      <c r="H1" s="8" t="s">
        <v>604</v>
      </c>
      <c r="I1" s="8" t="s">
        <v>605</v>
      </c>
      <c r="J1" s="8" t="s">
        <v>166</v>
      </c>
      <c r="K1" s="8" t="s">
        <v>368</v>
      </c>
    </row>
    <row r="2" spans="1:11" ht="15" customHeight="1">
      <c r="A2" s="1" t="s">
        <v>606</v>
      </c>
      <c r="B2" s="9">
        <v>17715335</v>
      </c>
      <c r="C2" s="9">
        <v>16301594</v>
      </c>
      <c r="D2" s="10">
        <v>100</v>
      </c>
      <c r="E2" s="10">
        <f>C2/B2*100</f>
        <v>92.019676737696471</v>
      </c>
      <c r="F2" s="5">
        <f>E2/D2-1</f>
        <v>-7.9803232623035236E-2</v>
      </c>
      <c r="G2" s="1" t="s">
        <v>607</v>
      </c>
      <c r="H2" s="1" t="s">
        <v>608</v>
      </c>
      <c r="I2" s="1" t="s">
        <v>609</v>
      </c>
      <c r="J2" s="1" t="s">
        <v>610</v>
      </c>
      <c r="K2" s="1" t="s">
        <v>611</v>
      </c>
    </row>
    <row r="3" spans="1:11" ht="15" customHeight="1">
      <c r="A3" s="1" t="s">
        <v>612</v>
      </c>
      <c r="B3" s="9">
        <v>11557061</v>
      </c>
      <c r="C3" s="9">
        <v>12647573</v>
      </c>
      <c r="D3" s="10">
        <v>100</v>
      </c>
      <c r="E3" s="10">
        <f>C3/B3*100</f>
        <v>109.43589377956904</v>
      </c>
      <c r="F3" s="5">
        <f>E3/D3-1</f>
        <v>9.4358937795690379E-2</v>
      </c>
      <c r="G3" s="1" t="s">
        <v>613</v>
      </c>
      <c r="H3" s="1" t="s">
        <v>614</v>
      </c>
      <c r="I3" s="1" t="s">
        <v>609</v>
      </c>
      <c r="J3" s="1" t="s">
        <v>610</v>
      </c>
      <c r="K3" s="1" t="s">
        <v>611</v>
      </c>
    </row>
    <row r="4" spans="1:11" ht="15" customHeight="1">
      <c r="A4" s="1" t="s">
        <v>615</v>
      </c>
      <c r="B4" s="9"/>
      <c r="C4" s="9"/>
      <c r="D4" s="10"/>
      <c r="E4" s="10"/>
      <c r="F4" s="5">
        <f>F3-F2</f>
        <v>0.17416217041872561</v>
      </c>
      <c r="G4" s="1" t="s">
        <v>616</v>
      </c>
      <c r="H4" s="1" t="s">
        <v>617</v>
      </c>
      <c r="I4" s="1" t="s">
        <v>618</v>
      </c>
      <c r="J4" s="1" t="s">
        <v>610</v>
      </c>
      <c r="K4" s="1" t="s">
        <v>611</v>
      </c>
    </row>
    <row r="5" spans="1:11" ht="24">
      <c r="A5" t="s">
        <v>619</v>
      </c>
      <c r="F5" s="19">
        <v>0.13500000000000001</v>
      </c>
      <c r="G5" s="14" t="s">
        <v>620</v>
      </c>
      <c r="H5" s="14" t="s">
        <v>621</v>
      </c>
      <c r="I5" s="14" t="s">
        <v>622</v>
      </c>
      <c r="J5" t="s">
        <v>178</v>
      </c>
      <c r="K5" t="s">
        <v>623</v>
      </c>
    </row>
    <row r="6" spans="1:11" ht="24">
      <c r="A6" t="s">
        <v>624</v>
      </c>
      <c r="F6" s="19">
        <v>0.437</v>
      </c>
      <c r="G6" s="14" t="s">
        <v>625</v>
      </c>
      <c r="H6" s="14" t="s">
        <v>626</v>
      </c>
      <c r="I6" s="14" t="s">
        <v>627</v>
      </c>
      <c r="J6" t="s">
        <v>178</v>
      </c>
      <c r="K6" t="s">
        <v>623</v>
      </c>
    </row>
    <row r="7" spans="1:11" ht="24">
      <c r="A7" t="s">
        <v>628</v>
      </c>
      <c r="F7" s="19">
        <v>0.47499999999999998</v>
      </c>
      <c r="G7" s="14" t="s">
        <v>629</v>
      </c>
      <c r="H7" s="14" t="s">
        <v>630</v>
      </c>
      <c r="I7" s="14" t="s">
        <v>631</v>
      </c>
      <c r="J7" t="s">
        <v>178</v>
      </c>
      <c r="K7" t="s">
        <v>623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"/>
  <sheetViews>
    <sheetView showGridLines="0" zoomScaleNormal="100" workbookViewId="0"/>
  </sheetViews>
  <sheetFormatPr defaultColWidth="8.7109375" defaultRowHeight="15"/>
  <cols>
    <col min="1" max="1" width="14" customWidth="1"/>
    <col min="2" max="2" width="21" customWidth="1"/>
    <col min="3" max="3" width="22" customWidth="1"/>
    <col min="4" max="4" width="18" customWidth="1"/>
    <col min="5" max="5" width="20" customWidth="1"/>
    <col min="6" max="6" width="22" customWidth="1"/>
    <col min="7" max="7" width="20" customWidth="1"/>
    <col min="8" max="8" width="14" customWidth="1"/>
    <col min="9" max="9" width="12" customWidth="1"/>
    <col min="10" max="10" width="56" customWidth="1"/>
    <col min="11" max="12" width="18" customWidth="1"/>
  </cols>
  <sheetData>
    <row r="1" spans="1:12" ht="24" customHeight="1">
      <c r="A1" s="8" t="s">
        <v>399</v>
      </c>
      <c r="B1" s="8" t="s">
        <v>632</v>
      </c>
      <c r="C1" s="8" t="s">
        <v>633</v>
      </c>
      <c r="D1" s="8" t="s">
        <v>634</v>
      </c>
      <c r="E1" s="8" t="s">
        <v>635</v>
      </c>
      <c r="F1" s="8" t="s">
        <v>636</v>
      </c>
      <c r="G1" s="8" t="s">
        <v>637</v>
      </c>
      <c r="H1" s="8" t="s">
        <v>638</v>
      </c>
      <c r="I1" s="8" t="s">
        <v>5</v>
      </c>
      <c r="J1" s="8" t="s">
        <v>639</v>
      </c>
      <c r="K1" s="8" t="s">
        <v>166</v>
      </c>
      <c r="L1" s="8" t="s">
        <v>368</v>
      </c>
    </row>
    <row r="2" spans="1:12" ht="15" customHeight="1">
      <c r="A2" s="1" t="s">
        <v>416</v>
      </c>
      <c r="B2" s="4">
        <v>1223299784</v>
      </c>
      <c r="C2" s="4">
        <v>1223299784</v>
      </c>
      <c r="D2" s="7">
        <f>IFERROR(C2/B2,0)</f>
        <v>1</v>
      </c>
      <c r="E2" s="4">
        <v>830546091</v>
      </c>
      <c r="F2" s="4">
        <v>830546091</v>
      </c>
      <c r="G2" s="7">
        <f>IFERROR(F2/E2,0)</f>
        <v>1</v>
      </c>
      <c r="H2" s="7">
        <v>0.995</v>
      </c>
      <c r="I2" s="1" t="str">
        <f>IF(AND(D2&gt;=H2,G2&gt;=H2),"Pass","Fail")</f>
        <v>Pass</v>
      </c>
      <c r="J2" s="1" t="s">
        <v>640</v>
      </c>
      <c r="K2" s="1" t="s">
        <v>178</v>
      </c>
      <c r="L2" s="1" t="s">
        <v>424</v>
      </c>
    </row>
    <row r="3" spans="1:12" ht="15" customHeight="1">
      <c r="A3" s="1" t="s">
        <v>425</v>
      </c>
      <c r="B3" s="4">
        <v>719371758</v>
      </c>
      <c r="C3" s="4">
        <v>719371758</v>
      </c>
      <c r="D3" s="7">
        <f>IFERROR(C3/B3,0)</f>
        <v>1</v>
      </c>
      <c r="E3" s="4">
        <v>560567400</v>
      </c>
      <c r="F3" s="4">
        <v>560567400</v>
      </c>
      <c r="G3" s="7">
        <f>IFERROR(F3/E3,0)</f>
        <v>1</v>
      </c>
      <c r="H3" s="7">
        <v>0.995</v>
      </c>
      <c r="I3" s="1" t="str">
        <f>IF(AND(D3&gt;=H3,G3&gt;=H3),"Pass","Fail")</f>
        <v>Pass</v>
      </c>
      <c r="J3" s="1" t="s">
        <v>640</v>
      </c>
      <c r="K3" s="1" t="s">
        <v>178</v>
      </c>
      <c r="L3" s="1" t="s">
        <v>424</v>
      </c>
    </row>
    <row r="4" spans="1:12" ht="15" customHeight="1">
      <c r="A4" s="1" t="s">
        <v>431</v>
      </c>
      <c r="B4" s="4">
        <v>349077816</v>
      </c>
      <c r="C4" s="4">
        <v>349077816</v>
      </c>
      <c r="D4" s="7">
        <f>IFERROR(C4/B4,0)</f>
        <v>1</v>
      </c>
      <c r="E4" s="4">
        <v>201158776</v>
      </c>
      <c r="F4" s="4">
        <v>201158776</v>
      </c>
      <c r="G4" s="7">
        <f>IFERROR(F4/E4,0)</f>
        <v>1</v>
      </c>
      <c r="H4" s="7">
        <v>0.995</v>
      </c>
      <c r="I4" s="1" t="str">
        <f>IF(AND(D4&gt;=H4,G4&gt;=H4),"Pass","Fail")</f>
        <v>Pass</v>
      </c>
      <c r="J4" s="1" t="s">
        <v>640</v>
      </c>
      <c r="K4" s="1" t="s">
        <v>178</v>
      </c>
      <c r="L4" s="1" t="s">
        <v>424</v>
      </c>
    </row>
    <row r="5" spans="1:12" ht="15" customHeight="1">
      <c r="A5" s="1" t="s">
        <v>437</v>
      </c>
      <c r="B5" s="4">
        <v>263245768</v>
      </c>
      <c r="C5" s="4">
        <v>263245768</v>
      </c>
      <c r="D5" s="7">
        <f>IFERROR(C5/B5,0)</f>
        <v>1</v>
      </c>
      <c r="E5" s="4">
        <v>171628888</v>
      </c>
      <c r="F5" s="4">
        <v>171628888</v>
      </c>
      <c r="G5" s="7">
        <f>IFERROR(F5/E5,0)</f>
        <v>1</v>
      </c>
      <c r="H5" s="7">
        <v>0.995</v>
      </c>
      <c r="I5" s="1" t="str">
        <f>IF(AND(D5&gt;=H5,G5&gt;=H5),"Pass","Fail")</f>
        <v>Pass</v>
      </c>
      <c r="J5" s="1" t="s">
        <v>640</v>
      </c>
      <c r="K5" s="1" t="s">
        <v>178</v>
      </c>
      <c r="L5" s="1" t="s">
        <v>424</v>
      </c>
    </row>
  </sheetData>
  <conditionalFormatting sqref="E2:E5">
    <cfRule type="expression" dxfId="14" priority="2">
      <formula>E2="Pass"</formula>
    </cfRule>
    <cfRule type="expression" dxfId="13" priority="3">
      <formula>E2="Caution"</formula>
    </cfRule>
    <cfRule type="expression" dxfId="12" priority="4">
      <formula>E2="Fail"</formula>
    </cfRule>
  </conditionalFormatting>
  <conditionalFormatting sqref="I2:I5">
    <cfRule type="expression" dxfId="11" priority="5">
      <formula>$I2="Pass"</formula>
    </cfRule>
    <cfRule type="expression" dxfId="10" priority="6">
      <formula>$I2="Conditional"</formula>
    </cfRule>
    <cfRule type="expression" dxfId="9" priority="7">
      <formula>$I2="Fail"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"/>
  <sheetViews>
    <sheetView showGridLines="0" zoomScaleNormal="100" workbookViewId="0">
      <selection activeCell="B6" sqref="B6"/>
    </sheetView>
  </sheetViews>
  <sheetFormatPr defaultColWidth="8.7109375" defaultRowHeight="15"/>
  <cols>
    <col min="1" max="1" width="28" customWidth="1"/>
    <col min="2" max="2" width="32" customWidth="1"/>
    <col min="3" max="3" width="16" customWidth="1"/>
    <col min="4" max="4" width="48" customWidth="1"/>
    <col min="5" max="5" width="44" customWidth="1"/>
    <col min="6" max="6" width="34" customWidth="1"/>
    <col min="7" max="7" width="48" customWidth="1"/>
  </cols>
  <sheetData>
    <row r="1" spans="1:7" ht="15" customHeight="1">
      <c r="A1" s="8" t="s">
        <v>641</v>
      </c>
      <c r="B1" s="8" t="s">
        <v>642</v>
      </c>
      <c r="C1" s="8" t="s">
        <v>643</v>
      </c>
      <c r="D1" s="8" t="s">
        <v>644</v>
      </c>
      <c r="E1" s="8" t="s">
        <v>36</v>
      </c>
      <c r="F1" s="8" t="s">
        <v>645</v>
      </c>
      <c r="G1" s="8" t="s">
        <v>177</v>
      </c>
    </row>
    <row r="2" spans="1:7" ht="15" customHeight="1">
      <c r="A2" s="1" t="s">
        <v>93</v>
      </c>
      <c r="B2" s="1" t="s">
        <v>365</v>
      </c>
      <c r="C2" s="1" t="s">
        <v>646</v>
      </c>
      <c r="D2" s="1" t="s">
        <v>647</v>
      </c>
      <c r="E2" s="1" t="s">
        <v>648</v>
      </c>
      <c r="F2" s="1" t="s">
        <v>649</v>
      </c>
      <c r="G2" s="1" t="s">
        <v>650</v>
      </c>
    </row>
    <row r="3" spans="1:7" ht="15" customHeight="1">
      <c r="A3" s="1" t="s">
        <v>104</v>
      </c>
      <c r="B3" s="1" t="s">
        <v>399</v>
      </c>
      <c r="C3" s="1" t="s">
        <v>651</v>
      </c>
      <c r="D3" s="1" t="s">
        <v>652</v>
      </c>
      <c r="E3" s="1" t="s">
        <v>653</v>
      </c>
      <c r="F3" s="1" t="s">
        <v>654</v>
      </c>
      <c r="G3" s="1" t="s">
        <v>655</v>
      </c>
    </row>
    <row r="4" spans="1:7" ht="15" customHeight="1">
      <c r="A4" s="1" t="s">
        <v>104</v>
      </c>
      <c r="B4" s="1" t="s">
        <v>403</v>
      </c>
      <c r="C4" s="1" t="s">
        <v>651</v>
      </c>
      <c r="D4" s="1" t="s">
        <v>656</v>
      </c>
      <c r="E4" s="1" t="s">
        <v>657</v>
      </c>
      <c r="F4" s="1" t="s">
        <v>324</v>
      </c>
      <c r="G4" s="1" t="s">
        <v>658</v>
      </c>
    </row>
    <row r="5" spans="1:7" ht="15" customHeight="1">
      <c r="A5" s="1" t="s">
        <v>116</v>
      </c>
      <c r="B5" s="1" t="s">
        <v>455</v>
      </c>
      <c r="C5" s="1" t="s">
        <v>646</v>
      </c>
      <c r="D5" s="1" t="s">
        <v>659</v>
      </c>
      <c r="E5" s="1" t="s">
        <v>660</v>
      </c>
      <c r="F5" s="1" t="s">
        <v>661</v>
      </c>
      <c r="G5" s="1" t="s">
        <v>662</v>
      </c>
    </row>
    <row r="6" spans="1:7" ht="24" customHeight="1">
      <c r="A6" s="1" t="s">
        <v>116</v>
      </c>
      <c r="B6" s="1" t="s">
        <v>663</v>
      </c>
      <c r="C6" s="1" t="s">
        <v>646</v>
      </c>
      <c r="D6" s="1" t="s">
        <v>664</v>
      </c>
      <c r="E6" s="1" t="s">
        <v>665</v>
      </c>
      <c r="F6" s="1" t="s">
        <v>661</v>
      </c>
      <c r="G6" s="1" t="s">
        <v>666</v>
      </c>
    </row>
    <row r="7" spans="1:7" ht="15" customHeight="1">
      <c r="A7" s="1" t="s">
        <v>116</v>
      </c>
      <c r="B7" s="1" t="s">
        <v>462</v>
      </c>
      <c r="C7" s="1" t="s">
        <v>667</v>
      </c>
      <c r="D7" s="1" t="s">
        <v>668</v>
      </c>
      <c r="E7" s="1" t="s">
        <v>669</v>
      </c>
      <c r="F7" s="1" t="s">
        <v>324</v>
      </c>
      <c r="G7" s="1" t="s">
        <v>670</v>
      </c>
    </row>
    <row r="8" spans="1:7" ht="15" customHeight="1">
      <c r="A8" s="1" t="s">
        <v>122</v>
      </c>
      <c r="B8" s="1" t="s">
        <v>483</v>
      </c>
      <c r="C8" s="1" t="s">
        <v>667</v>
      </c>
      <c r="D8" s="1" t="s">
        <v>671</v>
      </c>
      <c r="E8" s="1" t="s">
        <v>672</v>
      </c>
      <c r="F8" s="1" t="s">
        <v>673</v>
      </c>
      <c r="G8" s="1" t="s">
        <v>674</v>
      </c>
    </row>
    <row r="9" spans="1:7" ht="24" customHeight="1">
      <c r="A9" s="1" t="s">
        <v>675</v>
      </c>
      <c r="B9" s="1" t="s">
        <v>676</v>
      </c>
      <c r="C9" s="1" t="s">
        <v>677</v>
      </c>
      <c r="D9" s="1" t="s">
        <v>678</v>
      </c>
      <c r="E9" s="1" t="s">
        <v>679</v>
      </c>
      <c r="F9" s="1" t="s">
        <v>178</v>
      </c>
      <c r="G9" s="1" t="s">
        <v>680</v>
      </c>
    </row>
    <row r="10" spans="1:7" ht="15" customHeight="1">
      <c r="A10" s="1" t="s">
        <v>681</v>
      </c>
      <c r="B10" s="1" t="s">
        <v>676</v>
      </c>
      <c r="C10" s="1" t="s">
        <v>677</v>
      </c>
      <c r="D10" s="1" t="s">
        <v>682</v>
      </c>
      <c r="E10" s="1" t="s">
        <v>683</v>
      </c>
      <c r="F10" s="1" t="s">
        <v>207</v>
      </c>
      <c r="G10" s="1" t="s">
        <v>684</v>
      </c>
    </row>
    <row r="11" spans="1:7" ht="24" customHeight="1">
      <c r="A11" s="1" t="s">
        <v>685</v>
      </c>
      <c r="B11" s="1" t="s">
        <v>686</v>
      </c>
      <c r="C11" s="1" t="s">
        <v>667</v>
      </c>
      <c r="D11" s="1" t="s">
        <v>687</v>
      </c>
      <c r="E11" s="1" t="s">
        <v>688</v>
      </c>
      <c r="F11" s="1" t="s">
        <v>207</v>
      </c>
      <c r="G11" s="1" t="s">
        <v>689</v>
      </c>
    </row>
    <row r="12" spans="1:7" ht="24" customHeight="1">
      <c r="A12" s="1" t="s">
        <v>128</v>
      </c>
      <c r="B12" s="1" t="s">
        <v>690</v>
      </c>
      <c r="C12" s="1" t="s">
        <v>651</v>
      </c>
      <c r="D12" s="1" t="s">
        <v>691</v>
      </c>
      <c r="E12" s="1" t="s">
        <v>692</v>
      </c>
      <c r="F12" s="1" t="s">
        <v>271</v>
      </c>
      <c r="G12" s="1" t="s">
        <v>693</v>
      </c>
    </row>
    <row r="13" spans="1:7" ht="24" customHeight="1">
      <c r="A13" s="1" t="s">
        <v>128</v>
      </c>
      <c r="B13" s="1" t="s">
        <v>694</v>
      </c>
      <c r="C13" s="1" t="s">
        <v>651</v>
      </c>
      <c r="D13" s="1" t="s">
        <v>695</v>
      </c>
      <c r="E13" s="1" t="s">
        <v>692</v>
      </c>
      <c r="F13" s="1" t="s">
        <v>271</v>
      </c>
      <c r="G13" s="1" t="s">
        <v>696</v>
      </c>
    </row>
    <row r="14" spans="1:7" ht="24" customHeight="1">
      <c r="A14" s="1" t="s">
        <v>134</v>
      </c>
      <c r="B14" s="1" t="s">
        <v>573</v>
      </c>
      <c r="C14" s="1" t="s">
        <v>667</v>
      </c>
      <c r="D14" s="1" t="s">
        <v>697</v>
      </c>
      <c r="E14" s="1" t="s">
        <v>698</v>
      </c>
      <c r="F14" s="1" t="s">
        <v>699</v>
      </c>
      <c r="G14" s="1" t="s">
        <v>700</v>
      </c>
    </row>
    <row r="15" spans="1:7" ht="15" customHeight="1">
      <c r="A15" s="1" t="s">
        <v>146</v>
      </c>
      <c r="B15" s="1" t="s">
        <v>701</v>
      </c>
      <c r="C15" s="1" t="s">
        <v>667</v>
      </c>
      <c r="D15" s="1" t="s">
        <v>702</v>
      </c>
      <c r="E15" s="1" t="s">
        <v>703</v>
      </c>
      <c r="F15" s="1" t="s">
        <v>704</v>
      </c>
      <c r="G15" s="1" t="s">
        <v>705</v>
      </c>
    </row>
    <row r="16" spans="1:7" ht="15" customHeight="1">
      <c r="A16" s="1" t="s">
        <v>152</v>
      </c>
      <c r="B16" s="1" t="s">
        <v>706</v>
      </c>
      <c r="C16" s="1" t="s">
        <v>707</v>
      </c>
      <c r="D16" s="1" t="s">
        <v>708</v>
      </c>
      <c r="E16" s="1" t="s">
        <v>709</v>
      </c>
      <c r="F16" s="1" t="s">
        <v>710</v>
      </c>
      <c r="G16" s="1" t="s">
        <v>711</v>
      </c>
    </row>
    <row r="17" spans="1:7" ht="24" customHeight="1">
      <c r="A17" s="1" t="s">
        <v>158</v>
      </c>
      <c r="B17" s="1" t="s">
        <v>712</v>
      </c>
      <c r="C17" s="1" t="s">
        <v>651</v>
      </c>
      <c r="D17" s="1" t="s">
        <v>713</v>
      </c>
      <c r="E17" s="1" t="s">
        <v>714</v>
      </c>
      <c r="F17" s="1" t="s">
        <v>715</v>
      </c>
      <c r="G17" s="1" t="s">
        <v>716</v>
      </c>
    </row>
    <row r="18" spans="1:7" ht="24" customHeight="1">
      <c r="A18" s="1" t="s">
        <v>717</v>
      </c>
      <c r="B18" s="1" t="s">
        <v>368</v>
      </c>
      <c r="C18" s="1" t="s">
        <v>651</v>
      </c>
      <c r="D18" s="1" t="s">
        <v>718</v>
      </c>
      <c r="E18" s="1" t="s">
        <v>719</v>
      </c>
      <c r="F18" s="1" t="s">
        <v>720</v>
      </c>
      <c r="G18" s="1" t="s">
        <v>721</v>
      </c>
    </row>
    <row r="19" spans="1:7" ht="36">
      <c r="A19" t="s">
        <v>152</v>
      </c>
      <c r="B19" t="s">
        <v>722</v>
      </c>
      <c r="C19" t="s">
        <v>723</v>
      </c>
      <c r="D19" s="14" t="s">
        <v>724</v>
      </c>
      <c r="E19" s="14" t="s">
        <v>725</v>
      </c>
      <c r="F19" t="s">
        <v>726</v>
      </c>
      <c r="G19" s="14" t="s">
        <v>727</v>
      </c>
    </row>
    <row r="20" spans="1:7" ht="36">
      <c r="A20" t="s">
        <v>122</v>
      </c>
      <c r="B20" t="s">
        <v>486</v>
      </c>
      <c r="C20" t="s">
        <v>651</v>
      </c>
      <c r="D20" s="14" t="s">
        <v>728</v>
      </c>
      <c r="E20" s="14" t="s">
        <v>729</v>
      </c>
      <c r="F20" s="14" t="s">
        <v>730</v>
      </c>
      <c r="G20" s="14" t="s">
        <v>731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showGridLines="0" zoomScaleNormal="100" workbookViewId="0"/>
  </sheetViews>
  <sheetFormatPr defaultColWidth="8.7109375" defaultRowHeight="15"/>
  <cols>
    <col min="1" max="1" width="24" customWidth="1"/>
    <col min="2" max="2" width="60" customWidth="1"/>
    <col min="3" max="3" width="52" customWidth="1"/>
    <col min="4" max="4" width="38" customWidth="1"/>
  </cols>
  <sheetData>
    <row r="1" spans="1:4" ht="15" customHeight="1">
      <c r="A1" s="8" t="s">
        <v>732</v>
      </c>
      <c r="B1" s="8" t="s">
        <v>733</v>
      </c>
      <c r="C1" s="8" t="s">
        <v>734</v>
      </c>
      <c r="D1" s="8" t="s">
        <v>735</v>
      </c>
    </row>
    <row r="2" spans="1:4" ht="15" customHeight="1">
      <c r="A2" s="1" t="s">
        <v>736</v>
      </c>
      <c r="B2" s="1" t="s">
        <v>737</v>
      </c>
      <c r="C2" s="1" t="s">
        <v>738</v>
      </c>
      <c r="D2" s="1" t="s">
        <v>739</v>
      </c>
    </row>
    <row r="3" spans="1:4" ht="15" customHeight="1">
      <c r="A3" s="1" t="s">
        <v>740</v>
      </c>
      <c r="B3" s="1" t="s">
        <v>741</v>
      </c>
      <c r="C3" s="1" t="s">
        <v>742</v>
      </c>
      <c r="D3" s="1" t="s">
        <v>743</v>
      </c>
    </row>
    <row r="4" spans="1:4" ht="24" customHeight="1">
      <c r="A4" s="1" t="s">
        <v>23</v>
      </c>
      <c r="B4" s="1" t="s">
        <v>744</v>
      </c>
      <c r="C4" s="1" t="s">
        <v>745</v>
      </c>
      <c r="D4" s="1" t="s">
        <v>746</v>
      </c>
    </row>
    <row r="5" spans="1:4" ht="24" customHeight="1">
      <c r="A5" s="1" t="s">
        <v>747</v>
      </c>
      <c r="B5" s="1" t="s">
        <v>748</v>
      </c>
      <c r="C5" s="1" t="s">
        <v>749</v>
      </c>
      <c r="D5" s="1" t="s">
        <v>750</v>
      </c>
    </row>
    <row r="6" spans="1:4" ht="15" customHeight="1">
      <c r="A6" s="1" t="s">
        <v>751</v>
      </c>
      <c r="B6" s="1" t="s">
        <v>752</v>
      </c>
      <c r="C6" s="1" t="s">
        <v>753</v>
      </c>
      <c r="D6" s="1" t="s">
        <v>754</v>
      </c>
    </row>
    <row r="7" spans="1:4" ht="24" customHeight="1">
      <c r="A7" s="1" t="s">
        <v>755</v>
      </c>
      <c r="B7" s="1" t="s">
        <v>756</v>
      </c>
      <c r="C7" s="1" t="s">
        <v>757</v>
      </c>
      <c r="D7" s="1" t="s">
        <v>758</v>
      </c>
    </row>
    <row r="8" spans="1:4" ht="15" customHeight="1">
      <c r="A8" s="1" t="s">
        <v>759</v>
      </c>
      <c r="B8" s="1" t="s">
        <v>760</v>
      </c>
      <c r="C8" s="1" t="s">
        <v>761</v>
      </c>
      <c r="D8" s="1" t="s">
        <v>762</v>
      </c>
    </row>
    <row r="9" spans="1:4" ht="24" customHeight="1">
      <c r="A9" s="1" t="s">
        <v>48</v>
      </c>
      <c r="B9" s="1" t="s">
        <v>763</v>
      </c>
      <c r="C9" s="1" t="s">
        <v>764</v>
      </c>
      <c r="D9" s="1" t="s">
        <v>765</v>
      </c>
    </row>
    <row r="10" spans="1:4" ht="24" customHeight="1">
      <c r="A10" s="1" t="s">
        <v>766</v>
      </c>
      <c r="B10" s="1" t="s">
        <v>767</v>
      </c>
      <c r="C10" s="1" t="s">
        <v>768</v>
      </c>
      <c r="D10" s="1" t="s">
        <v>769</v>
      </c>
    </row>
    <row r="11" spans="1:4" ht="24" customHeight="1">
      <c r="A11" s="1" t="s">
        <v>770</v>
      </c>
      <c r="B11" s="1" t="s">
        <v>771</v>
      </c>
      <c r="C11" s="1" t="s">
        <v>772</v>
      </c>
      <c r="D11" s="1" t="s">
        <v>773</v>
      </c>
    </row>
    <row r="12" spans="1:4" ht="24" customHeight="1">
      <c r="A12" s="1" t="s">
        <v>774</v>
      </c>
      <c r="B12" s="1" t="s">
        <v>775</v>
      </c>
      <c r="C12" s="1" t="s">
        <v>776</v>
      </c>
      <c r="D12" s="1" t="s">
        <v>777</v>
      </c>
    </row>
    <row r="13" spans="1:4" ht="15" customHeight="1">
      <c r="A13" s="1" t="s">
        <v>778</v>
      </c>
      <c r="B13" s="1" t="s">
        <v>779</v>
      </c>
      <c r="C13" s="1" t="s">
        <v>780</v>
      </c>
      <c r="D13" s="1" t="s">
        <v>781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showGridLines="0" tabSelected="1" topLeftCell="G10" zoomScaleNormal="100" workbookViewId="0">
      <selection activeCell="I20" sqref="I20"/>
    </sheetView>
  </sheetViews>
  <sheetFormatPr defaultColWidth="8.7109375" defaultRowHeight="15"/>
  <cols>
    <col min="1" max="1" width="10" customWidth="1"/>
    <col min="2" max="2" width="28" customWidth="1"/>
    <col min="3" max="3" width="48" customWidth="1"/>
    <col min="4" max="4" width="54" customWidth="1"/>
    <col min="5" max="5" width="14" customWidth="1"/>
    <col min="6" max="6" width="12" customWidth="1"/>
    <col min="7" max="7" width="42" customWidth="1"/>
    <col min="8" max="8" width="20" customWidth="1"/>
    <col min="9" max="9" width="14" customWidth="1"/>
  </cols>
  <sheetData>
    <row r="1" spans="1:9" ht="15" customHeight="1">
      <c r="A1" s="8" t="s">
        <v>782</v>
      </c>
      <c r="B1" s="8" t="s">
        <v>783</v>
      </c>
      <c r="C1" s="8" t="s">
        <v>784</v>
      </c>
      <c r="D1" s="8" t="s">
        <v>785</v>
      </c>
      <c r="E1" s="8" t="s">
        <v>786</v>
      </c>
      <c r="F1" s="8" t="s">
        <v>5</v>
      </c>
      <c r="G1" s="8" t="s">
        <v>787</v>
      </c>
      <c r="H1" s="8" t="s">
        <v>788</v>
      </c>
      <c r="I1" s="8" t="s">
        <v>789</v>
      </c>
    </row>
    <row r="2" spans="1:9" ht="15" customHeight="1">
      <c r="A2" s="1" t="s">
        <v>790</v>
      </c>
      <c r="B2" s="1" t="s">
        <v>791</v>
      </c>
      <c r="C2" s="1" t="s">
        <v>792</v>
      </c>
      <c r="D2" s="1" t="s">
        <v>793</v>
      </c>
      <c r="E2" s="9">
        <v>0</v>
      </c>
      <c r="F2" s="1" t="s">
        <v>794</v>
      </c>
      <c r="G2" s="1" t="s">
        <v>795</v>
      </c>
      <c r="H2" s="1" t="s">
        <v>796</v>
      </c>
      <c r="I2" s="3">
        <v>46259</v>
      </c>
    </row>
    <row r="3" spans="1:9" ht="15" customHeight="1">
      <c r="A3" s="1" t="s">
        <v>797</v>
      </c>
      <c r="B3" s="1" t="s">
        <v>798</v>
      </c>
      <c r="C3" s="1" t="s">
        <v>799</v>
      </c>
      <c r="D3" s="1" t="s">
        <v>800</v>
      </c>
      <c r="E3" s="9">
        <v>0</v>
      </c>
      <c r="F3" s="1" t="s">
        <v>794</v>
      </c>
      <c r="G3" s="1" t="s">
        <v>801</v>
      </c>
      <c r="H3" s="1" t="s">
        <v>796</v>
      </c>
      <c r="I3" s="3">
        <v>46259</v>
      </c>
    </row>
    <row r="4" spans="1:9" ht="15" customHeight="1">
      <c r="A4" s="1" t="s">
        <v>802</v>
      </c>
      <c r="B4" s="1" t="s">
        <v>803</v>
      </c>
      <c r="C4" s="1" t="s">
        <v>804</v>
      </c>
      <c r="D4" s="1" t="s">
        <v>805</v>
      </c>
      <c r="E4" s="9">
        <v>0</v>
      </c>
      <c r="F4" s="1" t="s">
        <v>794</v>
      </c>
      <c r="G4" s="1" t="s">
        <v>806</v>
      </c>
      <c r="H4" s="1" t="s">
        <v>796</v>
      </c>
      <c r="I4" s="3">
        <v>46259</v>
      </c>
    </row>
    <row r="5" spans="1:9" ht="15" customHeight="1">
      <c r="A5" s="1" t="s">
        <v>807</v>
      </c>
      <c r="B5" s="1" t="s">
        <v>808</v>
      </c>
      <c r="C5" s="1" t="s">
        <v>809</v>
      </c>
      <c r="D5" s="1" t="s">
        <v>810</v>
      </c>
      <c r="E5" s="9">
        <v>0</v>
      </c>
      <c r="F5" s="1" t="s">
        <v>794</v>
      </c>
      <c r="G5" s="1" t="s">
        <v>811</v>
      </c>
      <c r="H5" s="1" t="s">
        <v>796</v>
      </c>
      <c r="I5" s="3">
        <v>46259</v>
      </c>
    </row>
    <row r="6" spans="1:9" ht="15" customHeight="1">
      <c r="A6" s="1" t="s">
        <v>812</v>
      </c>
      <c r="B6" s="1" t="s">
        <v>813</v>
      </c>
      <c r="C6" s="1" t="s">
        <v>814</v>
      </c>
      <c r="D6" s="1" t="s">
        <v>815</v>
      </c>
      <c r="E6" s="9">
        <v>0</v>
      </c>
      <c r="F6" s="1" t="s">
        <v>794</v>
      </c>
      <c r="G6" s="1" t="s">
        <v>816</v>
      </c>
      <c r="H6" s="1" t="s">
        <v>796</v>
      </c>
      <c r="I6" s="3">
        <v>46259</v>
      </c>
    </row>
    <row r="7" spans="1:9" ht="24" customHeight="1">
      <c r="A7" s="1" t="s">
        <v>817</v>
      </c>
      <c r="B7" s="1" t="s">
        <v>818</v>
      </c>
      <c r="C7" s="1" t="s">
        <v>819</v>
      </c>
      <c r="D7" s="1" t="s">
        <v>820</v>
      </c>
      <c r="E7" s="9">
        <v>0</v>
      </c>
      <c r="F7" s="1" t="s">
        <v>794</v>
      </c>
      <c r="G7" s="1" t="s">
        <v>821</v>
      </c>
      <c r="H7" s="1" t="s">
        <v>796</v>
      </c>
      <c r="I7" s="3">
        <v>46259</v>
      </c>
    </row>
    <row r="8" spans="1:9" ht="15" customHeight="1">
      <c r="A8" s="1" t="s">
        <v>822</v>
      </c>
      <c r="B8" s="1" t="s">
        <v>823</v>
      </c>
      <c r="C8" s="1" t="s">
        <v>824</v>
      </c>
      <c r="D8" s="1" t="s">
        <v>825</v>
      </c>
      <c r="E8" s="9">
        <v>0</v>
      </c>
      <c r="F8" s="1" t="s">
        <v>794</v>
      </c>
      <c r="G8" s="1" t="s">
        <v>826</v>
      </c>
      <c r="H8" s="1" t="s">
        <v>796</v>
      </c>
      <c r="I8" s="3">
        <v>46259</v>
      </c>
    </row>
    <row r="9" spans="1:9" ht="15" customHeight="1">
      <c r="A9" s="1" t="s">
        <v>827</v>
      </c>
      <c r="B9" s="1" t="s">
        <v>828</v>
      </c>
      <c r="C9" s="1" t="s">
        <v>829</v>
      </c>
      <c r="D9" s="1" t="s">
        <v>830</v>
      </c>
      <c r="E9" s="9">
        <v>0</v>
      </c>
      <c r="F9" s="1" t="s">
        <v>794</v>
      </c>
      <c r="G9" s="1" t="s">
        <v>831</v>
      </c>
      <c r="H9" s="1" t="s">
        <v>796</v>
      </c>
      <c r="I9" s="3">
        <v>46259</v>
      </c>
    </row>
    <row r="10" spans="1:9" ht="15" customHeight="1">
      <c r="A10" s="1" t="s">
        <v>832</v>
      </c>
      <c r="B10" s="1" t="s">
        <v>833</v>
      </c>
      <c r="C10" s="1" t="s">
        <v>834</v>
      </c>
      <c r="D10" s="1" t="s">
        <v>835</v>
      </c>
      <c r="E10" s="9">
        <v>0</v>
      </c>
      <c r="F10" s="1" t="s">
        <v>794</v>
      </c>
      <c r="G10" s="1" t="s">
        <v>836</v>
      </c>
      <c r="H10" s="1" t="s">
        <v>796</v>
      </c>
      <c r="I10" s="3">
        <v>46259</v>
      </c>
    </row>
    <row r="11" spans="1:9" ht="15" customHeight="1">
      <c r="A11" s="1" t="s">
        <v>837</v>
      </c>
      <c r="B11" s="1" t="s">
        <v>838</v>
      </c>
      <c r="C11" s="1" t="s">
        <v>839</v>
      </c>
      <c r="D11" s="1" t="s">
        <v>840</v>
      </c>
      <c r="E11" s="9">
        <v>0</v>
      </c>
      <c r="F11" s="1" t="s">
        <v>794</v>
      </c>
      <c r="G11" s="1" t="s">
        <v>841</v>
      </c>
      <c r="H11" s="1" t="s">
        <v>796</v>
      </c>
      <c r="I11" s="3">
        <v>46259</v>
      </c>
    </row>
    <row r="12" spans="1:9" ht="15" customHeight="1">
      <c r="A12" s="1" t="s">
        <v>842</v>
      </c>
      <c r="B12" s="1" t="s">
        <v>843</v>
      </c>
      <c r="C12" s="1" t="s">
        <v>844</v>
      </c>
      <c r="D12" s="1" t="s">
        <v>845</v>
      </c>
      <c r="E12" s="9">
        <v>0</v>
      </c>
      <c r="F12" s="1" t="s">
        <v>794</v>
      </c>
      <c r="G12" s="1" t="s">
        <v>846</v>
      </c>
      <c r="H12" s="1" t="s">
        <v>796</v>
      </c>
      <c r="I12" s="3">
        <v>46259</v>
      </c>
    </row>
    <row r="13" spans="1:9" ht="15" customHeight="1">
      <c r="A13" s="1" t="s">
        <v>847</v>
      </c>
      <c r="B13" s="1" t="s">
        <v>848</v>
      </c>
      <c r="C13" s="1" t="s">
        <v>849</v>
      </c>
      <c r="D13" s="1" t="s">
        <v>850</v>
      </c>
      <c r="E13" s="9">
        <v>0</v>
      </c>
      <c r="F13" s="1" t="s">
        <v>794</v>
      </c>
      <c r="G13" s="1" t="s">
        <v>851</v>
      </c>
      <c r="H13" s="1" t="s">
        <v>796</v>
      </c>
      <c r="I13" s="3">
        <v>46259</v>
      </c>
    </row>
    <row r="14" spans="1:9" ht="24" customHeight="1">
      <c r="A14" s="1" t="s">
        <v>852</v>
      </c>
      <c r="B14" s="1" t="s">
        <v>853</v>
      </c>
      <c r="C14" s="1" t="s">
        <v>854</v>
      </c>
      <c r="D14" s="14" t="s">
        <v>855</v>
      </c>
      <c r="E14" s="9">
        <v>0</v>
      </c>
      <c r="F14" s="1" t="s">
        <v>794</v>
      </c>
      <c r="G14" s="14" t="s">
        <v>856</v>
      </c>
      <c r="H14" s="1" t="s">
        <v>796</v>
      </c>
      <c r="I14" s="3">
        <v>46260</v>
      </c>
    </row>
    <row r="15" spans="1:9" ht="24" customHeight="1">
      <c r="A15" s="1" t="s">
        <v>857</v>
      </c>
      <c r="B15" s="1" t="s">
        <v>858</v>
      </c>
      <c r="C15" s="1" t="s">
        <v>859</v>
      </c>
      <c r="D15" s="1" t="s">
        <v>860</v>
      </c>
      <c r="E15" s="9">
        <v>0</v>
      </c>
      <c r="F15" s="1" t="s">
        <v>794</v>
      </c>
      <c r="G15" s="1" t="s">
        <v>861</v>
      </c>
      <c r="H15" s="1" t="s">
        <v>796</v>
      </c>
      <c r="I15" s="3">
        <v>46259</v>
      </c>
    </row>
    <row r="16" spans="1:9" ht="15" customHeight="1">
      <c r="A16" s="1" t="s">
        <v>862</v>
      </c>
      <c r="B16" s="1" t="s">
        <v>863</v>
      </c>
      <c r="C16" s="1" t="s">
        <v>864</v>
      </c>
      <c r="D16" s="1" t="s">
        <v>865</v>
      </c>
      <c r="E16" s="9">
        <v>0</v>
      </c>
      <c r="F16" s="1" t="s">
        <v>794</v>
      </c>
      <c r="G16" s="1" t="s">
        <v>866</v>
      </c>
      <c r="H16" s="1" t="s">
        <v>796</v>
      </c>
      <c r="I16" s="3">
        <v>46259</v>
      </c>
    </row>
    <row r="17" spans="1:9" ht="24" customHeight="1">
      <c r="A17" s="1" t="s">
        <v>867</v>
      </c>
      <c r="B17" s="1" t="s">
        <v>868</v>
      </c>
      <c r="C17" s="1" t="s">
        <v>869</v>
      </c>
      <c r="D17" s="1" t="s">
        <v>870</v>
      </c>
      <c r="E17" s="9">
        <v>0</v>
      </c>
      <c r="F17" s="1" t="s">
        <v>794</v>
      </c>
      <c r="G17" s="1" t="s">
        <v>871</v>
      </c>
      <c r="H17" s="1" t="s">
        <v>796</v>
      </c>
      <c r="I17" s="3">
        <v>46259</v>
      </c>
    </row>
    <row r="18" spans="1:9" ht="15" customHeight="1">
      <c r="A18" s="1" t="s">
        <v>872</v>
      </c>
      <c r="B18" s="1" t="s">
        <v>873</v>
      </c>
      <c r="C18" s="1" t="s">
        <v>874</v>
      </c>
      <c r="D18" s="1" t="s">
        <v>875</v>
      </c>
      <c r="E18" s="9">
        <v>0</v>
      </c>
      <c r="F18" s="1" t="s">
        <v>794</v>
      </c>
      <c r="G18" s="1" t="s">
        <v>876</v>
      </c>
      <c r="H18" s="1" t="s">
        <v>796</v>
      </c>
      <c r="I18" s="3">
        <v>46259</v>
      </c>
    </row>
    <row r="19" spans="1:9" ht="15" customHeight="1">
      <c r="A19" s="1" t="s">
        <v>877</v>
      </c>
      <c r="B19" s="1" t="s">
        <v>878</v>
      </c>
      <c r="C19" s="1" t="s">
        <v>879</v>
      </c>
      <c r="D19" s="1" t="s">
        <v>880</v>
      </c>
      <c r="E19" s="9">
        <v>0</v>
      </c>
      <c r="F19" s="1" t="s">
        <v>794</v>
      </c>
      <c r="G19" s="1" t="s">
        <v>881</v>
      </c>
      <c r="H19" s="1" t="s">
        <v>796</v>
      </c>
      <c r="I19" s="3">
        <v>46259</v>
      </c>
    </row>
    <row r="20" spans="1:9" ht="24">
      <c r="A20" t="s">
        <v>882</v>
      </c>
      <c r="B20" s="14" t="s">
        <v>883</v>
      </c>
      <c r="C20" s="14" t="s">
        <v>884</v>
      </c>
      <c r="D20" s="14" t="s">
        <v>885</v>
      </c>
      <c r="E20">
        <v>0</v>
      </c>
      <c r="F20" t="s">
        <v>794</v>
      </c>
      <c r="G20" s="14" t="s">
        <v>886</v>
      </c>
      <c r="H20" t="s">
        <v>796</v>
      </c>
      <c r="I20" s="20">
        <v>46260</v>
      </c>
    </row>
  </sheetData>
  <conditionalFormatting sqref="F2:F14">
    <cfRule type="expression" dxfId="8" priority="2">
      <formula>F2="Pass"</formula>
    </cfRule>
    <cfRule type="expression" dxfId="7" priority="3">
      <formula>F2="Caution"</formula>
    </cfRule>
    <cfRule type="expression" dxfId="6" priority="4">
      <formula>F2="Fail"</formula>
    </cfRule>
  </conditionalFormatting>
  <conditionalFormatting sqref="F2:F20">
    <cfRule type="expression" dxfId="5" priority="5">
      <formula>$F2="Pass"</formula>
    </cfRule>
    <cfRule type="expression" dxfId="4" priority="6">
      <formula>$F2="Conditional"</formula>
    </cfRule>
    <cfRule type="expression" dxfId="3" priority="7">
      <formula>$F2="Fail"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"/>
  <sheetViews>
    <sheetView showGridLines="0" topLeftCell="I7" zoomScaleNormal="100" workbookViewId="0">
      <selection activeCell="M10" sqref="M10"/>
    </sheetView>
  </sheetViews>
  <sheetFormatPr defaultColWidth="8.7109375" defaultRowHeight="15"/>
  <cols>
    <col min="1" max="1" width="10" customWidth="1"/>
    <col min="2" max="2" width="18" customWidth="1"/>
    <col min="3" max="3" width="42" customWidth="1"/>
    <col min="4" max="4" width="14" customWidth="1"/>
    <col min="5" max="6" width="55" customWidth="1"/>
    <col min="7" max="7" width="75" customWidth="1"/>
    <col min="8" max="8" width="56" customWidth="1"/>
    <col min="9" max="9" width="68" customWidth="1"/>
    <col min="10" max="10" width="12" customWidth="1"/>
    <col min="11" max="11" width="10" customWidth="1"/>
    <col min="12" max="12" width="16" customWidth="1"/>
    <col min="13" max="13" width="22" customWidth="1"/>
    <col min="14" max="14" width="28" customWidth="1"/>
    <col min="15" max="15" width="48" customWidth="1"/>
  </cols>
  <sheetData>
    <row r="1" spans="1:15" ht="15" customHeight="1">
      <c r="A1" s="8" t="s">
        <v>887</v>
      </c>
      <c r="B1" s="8" t="s">
        <v>166</v>
      </c>
      <c r="C1" s="8" t="s">
        <v>888</v>
      </c>
      <c r="D1" s="8" t="s">
        <v>889</v>
      </c>
      <c r="E1" s="8" t="s">
        <v>890</v>
      </c>
      <c r="F1" s="8" t="s">
        <v>891</v>
      </c>
      <c r="G1" s="8" t="s">
        <v>676</v>
      </c>
      <c r="H1" s="8" t="s">
        <v>892</v>
      </c>
      <c r="I1" s="8" t="s">
        <v>893</v>
      </c>
      <c r="J1" s="8" t="s">
        <v>894</v>
      </c>
      <c r="K1" s="8" t="s">
        <v>895</v>
      </c>
      <c r="L1" s="8" t="s">
        <v>896</v>
      </c>
      <c r="M1" s="8" t="s">
        <v>171</v>
      </c>
      <c r="N1" s="8" t="s">
        <v>897</v>
      </c>
      <c r="O1" s="8" t="s">
        <v>898</v>
      </c>
    </row>
    <row r="2" spans="1:15" ht="36" customHeight="1">
      <c r="A2" s="1" t="s">
        <v>899</v>
      </c>
      <c r="B2" s="1" t="s">
        <v>178</v>
      </c>
      <c r="C2" s="1" t="s">
        <v>900</v>
      </c>
      <c r="D2" s="1" t="s">
        <v>901</v>
      </c>
      <c r="E2" s="1" t="s">
        <v>902</v>
      </c>
      <c r="F2" s="1" t="s">
        <v>903</v>
      </c>
      <c r="G2" s="16" t="s">
        <v>904</v>
      </c>
      <c r="H2" s="1" t="s">
        <v>905</v>
      </c>
      <c r="I2" s="1" t="s">
        <v>906</v>
      </c>
      <c r="J2" s="9">
        <v>317103</v>
      </c>
      <c r="K2" s="9">
        <v>449</v>
      </c>
      <c r="L2" s="1" t="s">
        <v>500</v>
      </c>
      <c r="M2" s="1" t="s">
        <v>907</v>
      </c>
      <c r="N2" s="1" t="s">
        <v>908</v>
      </c>
      <c r="O2" s="1" t="s">
        <v>909</v>
      </c>
    </row>
    <row r="3" spans="1:15" ht="24" customHeight="1">
      <c r="A3" s="1" t="s">
        <v>910</v>
      </c>
      <c r="B3" s="1" t="s">
        <v>178</v>
      </c>
      <c r="C3" s="1" t="s">
        <v>911</v>
      </c>
      <c r="D3" s="1" t="s">
        <v>912</v>
      </c>
      <c r="E3" s="1" t="s">
        <v>913</v>
      </c>
      <c r="F3" s="1" t="s">
        <v>914</v>
      </c>
      <c r="G3" s="16" t="s">
        <v>915</v>
      </c>
      <c r="H3" s="1" t="s">
        <v>916</v>
      </c>
      <c r="I3" s="1" t="s">
        <v>917</v>
      </c>
      <c r="J3" s="9">
        <v>25081</v>
      </c>
      <c r="K3" s="9">
        <v>263</v>
      </c>
      <c r="L3" s="1" t="s">
        <v>500</v>
      </c>
      <c r="M3" s="1" t="s">
        <v>907</v>
      </c>
      <c r="N3" s="1" t="s">
        <v>908</v>
      </c>
      <c r="O3" s="1" t="s">
        <v>918</v>
      </c>
    </row>
    <row r="4" spans="1:15" ht="72" customHeight="1">
      <c r="A4" s="1" t="s">
        <v>919</v>
      </c>
      <c r="B4" s="1" t="s">
        <v>178</v>
      </c>
      <c r="C4" s="1" t="s">
        <v>920</v>
      </c>
      <c r="D4" s="1" t="s">
        <v>921</v>
      </c>
      <c r="E4" s="1" t="s">
        <v>922</v>
      </c>
      <c r="F4" s="1" t="s">
        <v>923</v>
      </c>
      <c r="G4" s="16" t="s">
        <v>924</v>
      </c>
      <c r="H4" s="1" t="s">
        <v>925</v>
      </c>
      <c r="I4" s="1" t="s">
        <v>926</v>
      </c>
      <c r="J4" s="9">
        <v>392325</v>
      </c>
      <c r="K4" s="9">
        <v>2664</v>
      </c>
      <c r="L4" s="1" t="s">
        <v>500</v>
      </c>
      <c r="M4" s="1" t="s">
        <v>927</v>
      </c>
      <c r="N4" s="1" t="s">
        <v>908</v>
      </c>
      <c r="O4" s="1" t="s">
        <v>928</v>
      </c>
    </row>
    <row r="5" spans="1:15" ht="48" customHeight="1">
      <c r="A5" s="1" t="s">
        <v>388</v>
      </c>
      <c r="B5" s="1" t="s">
        <v>178</v>
      </c>
      <c r="C5" s="1" t="s">
        <v>929</v>
      </c>
      <c r="D5" s="1" t="s">
        <v>921</v>
      </c>
      <c r="E5" s="1" t="s">
        <v>930</v>
      </c>
      <c r="F5" s="1" t="s">
        <v>931</v>
      </c>
      <c r="G5" s="16" t="s">
        <v>932</v>
      </c>
      <c r="H5" s="1" t="s">
        <v>933</v>
      </c>
      <c r="I5" s="1" t="s">
        <v>934</v>
      </c>
      <c r="J5" s="9">
        <v>89360</v>
      </c>
      <c r="K5" s="9">
        <v>665</v>
      </c>
      <c r="L5" s="1" t="s">
        <v>500</v>
      </c>
      <c r="M5" s="1" t="s">
        <v>927</v>
      </c>
      <c r="N5" s="1" t="s">
        <v>908</v>
      </c>
      <c r="O5" s="1" t="s">
        <v>935</v>
      </c>
    </row>
    <row r="6" spans="1:15" ht="48" customHeight="1">
      <c r="A6" s="1" t="s">
        <v>936</v>
      </c>
      <c r="B6" s="1" t="s">
        <v>178</v>
      </c>
      <c r="C6" s="1" t="s">
        <v>937</v>
      </c>
      <c r="D6" s="1" t="s">
        <v>921</v>
      </c>
      <c r="E6" s="1" t="s">
        <v>930</v>
      </c>
      <c r="F6" s="1" t="s">
        <v>938</v>
      </c>
      <c r="G6" s="16" t="s">
        <v>939</v>
      </c>
      <c r="H6" s="1" t="s">
        <v>940</v>
      </c>
      <c r="I6" s="1" t="s">
        <v>941</v>
      </c>
      <c r="J6" s="9">
        <v>17073</v>
      </c>
      <c r="K6" s="9">
        <v>160</v>
      </c>
      <c r="L6" s="1" t="s">
        <v>500</v>
      </c>
      <c r="M6" s="1" t="s">
        <v>927</v>
      </c>
      <c r="N6" s="1" t="s">
        <v>908</v>
      </c>
      <c r="O6" s="1" t="s">
        <v>942</v>
      </c>
    </row>
    <row r="7" spans="1:15" ht="60" customHeight="1">
      <c r="A7" s="1" t="s">
        <v>611</v>
      </c>
      <c r="B7" s="1" t="s">
        <v>178</v>
      </c>
      <c r="C7" s="1" t="s">
        <v>943</v>
      </c>
      <c r="D7" s="1" t="s">
        <v>921</v>
      </c>
      <c r="E7" s="1" t="s">
        <v>944</v>
      </c>
      <c r="F7" s="1" t="s">
        <v>945</v>
      </c>
      <c r="G7" s="16" t="s">
        <v>946</v>
      </c>
      <c r="H7" s="1" t="s">
        <v>947</v>
      </c>
      <c r="I7" s="1" t="s">
        <v>948</v>
      </c>
      <c r="J7" s="9">
        <v>442612</v>
      </c>
      <c r="K7" s="9">
        <v>2733</v>
      </c>
      <c r="L7" s="1" t="s">
        <v>500</v>
      </c>
      <c r="M7" s="1" t="s">
        <v>949</v>
      </c>
      <c r="N7" s="1" t="s">
        <v>908</v>
      </c>
      <c r="O7" s="1" t="s">
        <v>950</v>
      </c>
    </row>
    <row r="8" spans="1:15" ht="48" customHeight="1">
      <c r="A8" s="1" t="s">
        <v>382</v>
      </c>
      <c r="B8" s="1" t="s">
        <v>178</v>
      </c>
      <c r="C8" s="1" t="s">
        <v>951</v>
      </c>
      <c r="D8" s="1" t="s">
        <v>921</v>
      </c>
      <c r="E8" s="1" t="s">
        <v>952</v>
      </c>
      <c r="F8" s="1" t="s">
        <v>953</v>
      </c>
      <c r="G8" s="16" t="s">
        <v>954</v>
      </c>
      <c r="H8" s="1" t="s">
        <v>955</v>
      </c>
      <c r="I8" s="1" t="s">
        <v>956</v>
      </c>
      <c r="J8" s="9">
        <v>309</v>
      </c>
      <c r="K8" s="9">
        <v>2</v>
      </c>
      <c r="L8" s="1" t="s">
        <v>500</v>
      </c>
      <c r="M8" s="1" t="s">
        <v>927</v>
      </c>
      <c r="N8" s="1" t="s">
        <v>908</v>
      </c>
      <c r="O8" s="1" t="s">
        <v>957</v>
      </c>
    </row>
    <row r="9" spans="1:15" ht="48" customHeight="1">
      <c r="A9" s="1" t="s">
        <v>374</v>
      </c>
      <c r="B9" s="1" t="s">
        <v>178</v>
      </c>
      <c r="C9" s="1" t="s">
        <v>958</v>
      </c>
      <c r="D9" s="1" t="s">
        <v>921</v>
      </c>
      <c r="E9" s="1" t="s">
        <v>959</v>
      </c>
      <c r="F9" s="1" t="s">
        <v>960</v>
      </c>
      <c r="G9" s="16" t="s">
        <v>961</v>
      </c>
      <c r="H9" s="1" t="s">
        <v>962</v>
      </c>
      <c r="I9" s="1" t="s">
        <v>963</v>
      </c>
      <c r="J9" s="9">
        <v>708</v>
      </c>
      <c r="K9" s="9">
        <v>4</v>
      </c>
      <c r="L9" s="1" t="s">
        <v>500</v>
      </c>
      <c r="M9" s="1" t="s">
        <v>927</v>
      </c>
      <c r="N9" s="1" t="s">
        <v>908</v>
      </c>
      <c r="O9" s="1" t="s">
        <v>964</v>
      </c>
    </row>
    <row r="10" spans="1:15" ht="107.25">
      <c r="A10" t="s">
        <v>623</v>
      </c>
      <c r="B10" t="s">
        <v>178</v>
      </c>
      <c r="C10" s="14" t="s">
        <v>965</v>
      </c>
      <c r="D10" t="s">
        <v>921</v>
      </c>
      <c r="E10" s="14" t="s">
        <v>966</v>
      </c>
      <c r="F10" s="14" t="s">
        <v>945</v>
      </c>
      <c r="G10" s="15" t="s">
        <v>967</v>
      </c>
      <c r="H10" s="14" t="s">
        <v>968</v>
      </c>
      <c r="I10" s="14" t="s">
        <v>969</v>
      </c>
      <c r="J10">
        <v>1058589</v>
      </c>
      <c r="K10">
        <v>6531</v>
      </c>
      <c r="L10" t="s">
        <v>500</v>
      </c>
      <c r="M10" t="s">
        <v>949</v>
      </c>
      <c r="N10" s="14" t="s">
        <v>970</v>
      </c>
      <c r="O10" s="14" t="s">
        <v>971</v>
      </c>
    </row>
  </sheetData>
  <hyperlinks>
    <hyperlink ref="G10" r:id="rId1" display="https://api.uktradeinfo.com/OTS?%24apply=filter((((MonthId%20ge%20202501%20and%20MonthId%20le%20202506)%20or%20(MonthId%20ge%20202601%20and%20MonthId%20le%20202606))%20and%20FlowTypeId%20eq%203%20and%20(CountryId%20eq%20662%20or%20CountryId%20eq%20690%20or%20CountryId%20eq%20696)%20and%20CommodityId%20ge%2061000000%20and%20CommodityId%20lt%2063000000))%2Fgroupby((MonthId%2CCommodityId%2CCountryId%2CFlowTypeId%2CSuppressionIndex)%2Caggregate(Value%20with%20sum%20as%20Value%2CNetMass%20with%20sum%20as%20NetMass%2CSuppUnit%20with%20sum%20as%20SuppUnit))" xr:uid="{709EBCC1-8B38-477D-A6FB-4BDF83D89E87}"/>
    <hyperlink ref="G9" r:id="rId2" display="https://api.uktradeinfo.com/OTS?%24apply=filter%28MonthId+ge+202501+and+MonthId+le+202512+and+%28FlowTypeId+eq+1+or+FlowTypeId+eq+3%29+and+%28Commodity%2FHs2Code+eq+%2761%27+or+Commodity%2FHs2Code+eq+%2762%27%29%29%2Fgroupby%28%28Commodity%2FHs2Code%2CFlowTypeId%2CSuppressionIndex%29%2Caggregate%28Value+with+sum+as+Value%2CNetMass+with+sum+as+NetMass%29%29" xr:uid="{70B4B3D2-7AF2-4E90-8286-60C7A1B325AD}"/>
    <hyperlink ref="G8" r:id="rId3" display="https://api.uktradeinfo.com/OTS?%24apply=filter%28MonthId+ge+202501+and+MonthId+le+202512+and+%28FlowTypeId+eq+1+or+FlowTypeId+eq+3%29+and+Commodity%2FHs2Code+eq+%2763%27%29%2Fgroupby%28%28FlowTypeId%2CSuppressionIndex%29%2Caggregate%28Value+with+sum+as+Value%2CNetMass+with+sum+as+NetMass%29%29" xr:uid="{AB5DF44A-0244-433F-A877-DD12079E2DD5}"/>
    <hyperlink ref="G7" r:id="rId4" display="https://api.uktradeinfo.com/OTS?%24apply=filter%28%28%28MonthId+ge+202501+and+MonthId+le+202506%29+or+%28MonthId+ge+202601+and+MonthId+le+202606%29%29+and+FlowTypeId+eq+3+and+CountryId+eq+664+and+CommodityId+ge+61000000+and+CommodityId+lt+63000000%29%2Fgroupby%28%28MonthId%2CCommodityId%2CCountryId%2CFlowTypeId%2CSuppressionIndex%29%2Caggregate%28Value+with+sum+as+Value%2CNetMass+with+sum+as+NetMass%2CSuppUnit+with+sum+as+SuppUnit%29%29" xr:uid="{EDD80EED-AE8D-41EB-B675-962E8DFD5737}"/>
    <hyperlink ref="G6" r:id="rId5" display="https://api.uktradeinfo.com/OTS?%24apply=filter%28MonthId+ge+202501+and+MonthId+le+202512+and+%28FlowTypeId+eq+1+or+FlowTypeId+eq+3%29+and+CommodityId+ge+61000000+and+CommodityId+lt+63000000%29%2Fgroupby%28%28CountryId%2CFlowTypeId%2CSuppressionIndex%29%2Caggregate%28Value+with+sum+as+Value%2CNetMass+with+sum+as+NetMass%29%29" xr:uid="{D2EA88A2-6CCE-407B-B367-ACA585ABA323}"/>
    <hyperlink ref="G5" r:id="rId6" display="https://api.uktradeinfo.com/OTS?%24apply=filter%28MonthId+ge+202501+and+MonthId+le+202512+and+%28FlowTypeId+eq+1+or+FlowTypeId+eq+3%29+and+CommodityId+ge+61000000+and+CommodityId+lt+63000000%29%2Fgroupby%28%28CommodityId%2CFlowTypeId%2CSuppressionIndex%29%2Caggregate%28Value+with+sum+as+Value%2CNetMass+with+sum+as+NetMass%2CSuppUnit+with+sum+as+SuppUnit%29%29" xr:uid="{A2CAF34C-B354-4C85-A59A-02A56E8A98DC}"/>
    <hyperlink ref="G4" r:id="rId7" display="https://api.uktradeinfo.com/OTS?%24apply=filter%28MonthId+ge+202501+and+MonthId+le+202512+and+FlowTypeId+eq+3+and+%28CountryId+eq+52+or+CountryId+eq+204+or+CountryId+eq+662+or+CountryId+eq+664+or+CountryId+eq+666+or+CountryId+eq+669+or+CountryId+eq+676+or+CountryId+eq+690+or+CountryId+eq+696+or+CountryId+eq+720%29+and+CommodityId+ge+61000000+and+CommodityId+lt+63000000%29%2Fgroupby%28%28CommodityId%2CCountryId%2CFlowTypeId%2CSuppressionIndex%29%2Caggregate%28Value+with+sum+as+Value%2CNetMass+with+sum+as+NetMass%2CSuppUnit+with+sum+as+SuppUnit%29%29" xr:uid="{7011F106-AB26-4E18-B3E3-8878D12502E2}"/>
    <hyperlink ref="G3" r:id="rId8" xr:uid="{B88CC3DC-E11F-4A4D-8264-FD6D5E71C0E2}"/>
    <hyperlink ref="G2" r:id="rId9" xr:uid="{D44AAC3F-FE42-4C0D-86D3-A76A2DD56E33}"/>
  </hyperlinks>
  <pageMargins left="0.7" right="0.7" top="0.75" bottom="0.75" header="0.511811023622047" footer="0.511811023622047"/>
  <pageSetup paperSize="9" orientation="portrait" horizontalDpi="300" verticalDpi="300"/>
  <tableParts count="1">
    <tablePart r:id="rId10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2"/>
  <sheetViews>
    <sheetView showGridLines="0" zoomScaleNormal="100" workbookViewId="0"/>
  </sheetViews>
  <sheetFormatPr defaultColWidth="8.7109375" defaultRowHeight="15"/>
  <cols>
    <col min="1" max="1" width="10" customWidth="1"/>
    <col min="2" max="2" width="16" customWidth="1"/>
    <col min="3" max="3" width="36" customWidth="1"/>
    <col min="4" max="4" width="14" customWidth="1"/>
    <col min="5" max="5" width="18" customWidth="1"/>
    <col min="6" max="6" width="14" customWidth="1"/>
    <col min="7" max="7" width="38" customWidth="1"/>
    <col min="8" max="8" width="72" customWidth="1"/>
    <col min="9" max="9" width="56" customWidth="1"/>
    <col min="10" max="10" width="68" customWidth="1"/>
    <col min="11" max="11" width="12" customWidth="1"/>
    <col min="12" max="12" width="16" customWidth="1"/>
    <col min="13" max="13" width="14" customWidth="1"/>
    <col min="14" max="14" width="32" customWidth="1"/>
    <col min="15" max="15" width="64" customWidth="1"/>
    <col min="16" max="16" width="34" customWidth="1"/>
    <col min="17" max="17" width="44" customWidth="1"/>
  </cols>
  <sheetData>
    <row r="1" spans="1:17" ht="15" customHeight="1">
      <c r="A1" s="8" t="s">
        <v>887</v>
      </c>
      <c r="B1" s="8" t="s">
        <v>166</v>
      </c>
      <c r="C1" s="8" t="s">
        <v>888</v>
      </c>
      <c r="D1" s="8" t="s">
        <v>972</v>
      </c>
      <c r="E1" s="8" t="s">
        <v>973</v>
      </c>
      <c r="F1" s="8" t="s">
        <v>974</v>
      </c>
      <c r="G1" s="8" t="s">
        <v>889</v>
      </c>
      <c r="H1" s="8" t="s">
        <v>676</v>
      </c>
      <c r="I1" s="8" t="s">
        <v>892</v>
      </c>
      <c r="J1" s="8" t="s">
        <v>893</v>
      </c>
      <c r="K1" s="8" t="s">
        <v>894</v>
      </c>
      <c r="L1" s="8" t="s">
        <v>975</v>
      </c>
      <c r="M1" s="8" t="s">
        <v>976</v>
      </c>
      <c r="N1" s="8" t="s">
        <v>362</v>
      </c>
      <c r="O1" s="8" t="s">
        <v>977</v>
      </c>
      <c r="P1" s="8" t="s">
        <v>897</v>
      </c>
      <c r="Q1" s="8" t="s">
        <v>898</v>
      </c>
    </row>
    <row r="2" spans="1:17" ht="24" customHeight="1">
      <c r="A2" s="1" t="s">
        <v>978</v>
      </c>
      <c r="B2" s="1" t="s">
        <v>207</v>
      </c>
      <c r="C2" s="1" t="s">
        <v>979</v>
      </c>
      <c r="D2" s="1" t="s">
        <v>416</v>
      </c>
      <c r="E2" s="1" t="s">
        <v>980</v>
      </c>
      <c r="F2" s="3" t="s">
        <v>981</v>
      </c>
      <c r="G2" s="1" t="s">
        <v>982</v>
      </c>
      <c r="H2" s="1" t="s">
        <v>983</v>
      </c>
      <c r="I2" s="1" t="s">
        <v>984</v>
      </c>
      <c r="J2" s="1" t="s">
        <v>985</v>
      </c>
      <c r="K2" s="9">
        <v>325495</v>
      </c>
      <c r="L2" s="9">
        <v>637</v>
      </c>
      <c r="M2" s="1" t="s">
        <v>489</v>
      </c>
      <c r="N2" s="1" t="s">
        <v>986</v>
      </c>
      <c r="O2" s="1" t="s">
        <v>987</v>
      </c>
      <c r="P2" s="1" t="s">
        <v>988</v>
      </c>
      <c r="Q2" s="1" t="s">
        <v>989</v>
      </c>
    </row>
    <row r="3" spans="1:17" ht="24" customHeight="1">
      <c r="A3" s="1" t="s">
        <v>990</v>
      </c>
      <c r="B3" s="1" t="s">
        <v>207</v>
      </c>
      <c r="C3" s="1" t="s">
        <v>979</v>
      </c>
      <c r="D3" s="1" t="s">
        <v>416</v>
      </c>
      <c r="E3" s="1" t="s">
        <v>991</v>
      </c>
      <c r="F3" s="3" t="s">
        <v>981</v>
      </c>
      <c r="G3" s="1" t="s">
        <v>992</v>
      </c>
      <c r="H3" s="1" t="s">
        <v>993</v>
      </c>
      <c r="I3" s="1" t="s">
        <v>994</v>
      </c>
      <c r="J3" s="1" t="s">
        <v>995</v>
      </c>
      <c r="K3" s="9">
        <v>325486</v>
      </c>
      <c r="L3" s="9">
        <v>637</v>
      </c>
      <c r="M3" s="1" t="s">
        <v>489</v>
      </c>
      <c r="N3" s="1" t="s">
        <v>996</v>
      </c>
      <c r="O3" s="1" t="s">
        <v>987</v>
      </c>
      <c r="P3" s="1" t="s">
        <v>988</v>
      </c>
      <c r="Q3" s="1" t="s">
        <v>989</v>
      </c>
    </row>
    <row r="4" spans="1:17" ht="24" customHeight="1">
      <c r="A4" s="1" t="s">
        <v>494</v>
      </c>
      <c r="B4" s="1" t="s">
        <v>207</v>
      </c>
      <c r="C4" s="1" t="s">
        <v>979</v>
      </c>
      <c r="D4" s="1" t="s">
        <v>425</v>
      </c>
      <c r="E4" s="1" t="s">
        <v>997</v>
      </c>
      <c r="F4" s="3" t="s">
        <v>981</v>
      </c>
      <c r="G4" s="1" t="s">
        <v>998</v>
      </c>
      <c r="H4" s="1" t="s">
        <v>999</v>
      </c>
      <c r="I4" s="1" t="s">
        <v>1000</v>
      </c>
      <c r="J4" s="1" t="s">
        <v>1001</v>
      </c>
      <c r="K4" s="9">
        <v>331344</v>
      </c>
      <c r="L4" s="9">
        <v>638</v>
      </c>
      <c r="M4" s="1" t="s">
        <v>489</v>
      </c>
      <c r="N4" s="1" t="s">
        <v>1002</v>
      </c>
      <c r="O4" s="1" t="s">
        <v>987</v>
      </c>
      <c r="P4" s="1" t="s">
        <v>988</v>
      </c>
      <c r="Q4" s="1" t="s">
        <v>989</v>
      </c>
    </row>
    <row r="5" spans="1:17" ht="24" customHeight="1">
      <c r="A5" s="1" t="s">
        <v>1003</v>
      </c>
      <c r="B5" s="1" t="s">
        <v>207</v>
      </c>
      <c r="C5" s="1" t="s">
        <v>979</v>
      </c>
      <c r="D5" s="1" t="s">
        <v>431</v>
      </c>
      <c r="E5" s="1" t="s">
        <v>1004</v>
      </c>
      <c r="F5" s="3" t="s">
        <v>981</v>
      </c>
      <c r="G5" s="1" t="s">
        <v>1005</v>
      </c>
      <c r="H5" s="1" t="s">
        <v>1006</v>
      </c>
      <c r="I5" s="1" t="s">
        <v>1007</v>
      </c>
      <c r="J5" s="1" t="s">
        <v>1008</v>
      </c>
      <c r="K5" s="9">
        <v>351435</v>
      </c>
      <c r="L5" s="9">
        <v>661</v>
      </c>
      <c r="M5" s="1" t="s">
        <v>489</v>
      </c>
      <c r="N5" s="1" t="s">
        <v>1009</v>
      </c>
      <c r="O5" s="1" t="s">
        <v>1010</v>
      </c>
      <c r="P5" s="1" t="s">
        <v>988</v>
      </c>
      <c r="Q5" s="1" t="s">
        <v>989</v>
      </c>
    </row>
    <row r="6" spans="1:17" ht="24" customHeight="1">
      <c r="A6" s="1" t="s">
        <v>1011</v>
      </c>
      <c r="B6" s="1" t="s">
        <v>207</v>
      </c>
      <c r="C6" s="1" t="s">
        <v>979</v>
      </c>
      <c r="D6" s="1" t="s">
        <v>437</v>
      </c>
      <c r="E6" s="1" t="s">
        <v>1012</v>
      </c>
      <c r="F6" s="3" t="s">
        <v>981</v>
      </c>
      <c r="G6" s="1" t="s">
        <v>1013</v>
      </c>
      <c r="H6" s="1" t="s">
        <v>1014</v>
      </c>
      <c r="I6" s="1" t="s">
        <v>1015</v>
      </c>
      <c r="J6" s="1" t="s">
        <v>1016</v>
      </c>
      <c r="K6" s="9">
        <v>335103</v>
      </c>
      <c r="L6" s="9">
        <v>647</v>
      </c>
      <c r="M6" s="1" t="s">
        <v>489</v>
      </c>
      <c r="N6" s="1" t="s">
        <v>1017</v>
      </c>
      <c r="O6" s="1" t="s">
        <v>987</v>
      </c>
      <c r="P6" s="1" t="s">
        <v>988</v>
      </c>
      <c r="Q6" s="1" t="s">
        <v>989</v>
      </c>
    </row>
    <row r="7" spans="1:17" ht="24" customHeight="1">
      <c r="A7" s="1" t="s">
        <v>1018</v>
      </c>
      <c r="B7" s="1" t="s">
        <v>207</v>
      </c>
      <c r="C7" s="1" t="s">
        <v>979</v>
      </c>
      <c r="D7" s="1" t="s">
        <v>437</v>
      </c>
      <c r="E7" s="1" t="s">
        <v>1019</v>
      </c>
      <c r="F7" s="3" t="s">
        <v>981</v>
      </c>
      <c r="G7" s="1" t="s">
        <v>1020</v>
      </c>
      <c r="H7" s="1" t="s">
        <v>1021</v>
      </c>
      <c r="I7" s="1" t="s">
        <v>1022</v>
      </c>
      <c r="J7" s="1" t="s">
        <v>1023</v>
      </c>
      <c r="K7" s="9">
        <v>335010</v>
      </c>
      <c r="L7" s="9">
        <v>647</v>
      </c>
      <c r="M7" s="1" t="s">
        <v>489</v>
      </c>
      <c r="N7" s="1" t="s">
        <v>996</v>
      </c>
      <c r="O7" s="1" t="s">
        <v>987</v>
      </c>
      <c r="P7" s="1" t="s">
        <v>988</v>
      </c>
      <c r="Q7" s="1" t="s">
        <v>989</v>
      </c>
    </row>
    <row r="8" spans="1:17" ht="24" customHeight="1">
      <c r="A8" s="1" t="s">
        <v>1024</v>
      </c>
      <c r="B8" s="1" t="s">
        <v>207</v>
      </c>
      <c r="C8" s="1" t="s">
        <v>979</v>
      </c>
      <c r="D8" s="1" t="s">
        <v>442</v>
      </c>
      <c r="E8" s="1" t="s">
        <v>1025</v>
      </c>
      <c r="F8" s="3" t="s">
        <v>981</v>
      </c>
      <c r="G8" s="1" t="s">
        <v>1026</v>
      </c>
      <c r="H8" s="1" t="s">
        <v>1027</v>
      </c>
      <c r="I8" s="1" t="s">
        <v>1028</v>
      </c>
      <c r="J8" s="1" t="s">
        <v>1029</v>
      </c>
      <c r="K8" s="9">
        <v>315453</v>
      </c>
      <c r="L8" s="9">
        <v>627</v>
      </c>
      <c r="M8" s="1" t="s">
        <v>489</v>
      </c>
      <c r="N8" s="1" t="s">
        <v>1017</v>
      </c>
      <c r="O8" s="1" t="s">
        <v>987</v>
      </c>
      <c r="P8" s="1" t="s">
        <v>988</v>
      </c>
      <c r="Q8" s="1" t="s">
        <v>989</v>
      </c>
    </row>
    <row r="9" spans="1:17" ht="24" customHeight="1">
      <c r="A9" s="1" t="s">
        <v>1030</v>
      </c>
      <c r="B9" s="1" t="s">
        <v>207</v>
      </c>
      <c r="C9" s="1" t="s">
        <v>979</v>
      </c>
      <c r="D9" s="1" t="s">
        <v>442</v>
      </c>
      <c r="E9" s="1" t="s">
        <v>1031</v>
      </c>
      <c r="F9" s="3" t="s">
        <v>981</v>
      </c>
      <c r="G9" s="1" t="s">
        <v>1032</v>
      </c>
      <c r="H9" s="1" t="s">
        <v>1033</v>
      </c>
      <c r="I9" s="1" t="s">
        <v>1034</v>
      </c>
      <c r="J9" s="1" t="s">
        <v>1035</v>
      </c>
      <c r="K9" s="9">
        <v>315360</v>
      </c>
      <c r="L9" s="9">
        <v>627</v>
      </c>
      <c r="M9" s="1" t="s">
        <v>489</v>
      </c>
      <c r="N9" s="1" t="s">
        <v>996</v>
      </c>
      <c r="O9" s="1" t="s">
        <v>987</v>
      </c>
      <c r="P9" s="1" t="s">
        <v>988</v>
      </c>
      <c r="Q9" s="1" t="s">
        <v>989</v>
      </c>
    </row>
    <row r="10" spans="1:17" ht="24" customHeight="1">
      <c r="A10" s="1" t="s">
        <v>1036</v>
      </c>
      <c r="B10" s="1" t="s">
        <v>207</v>
      </c>
      <c r="C10" s="1" t="s">
        <v>1037</v>
      </c>
      <c r="D10" s="1" t="s">
        <v>431</v>
      </c>
      <c r="E10" s="1" t="s">
        <v>1004</v>
      </c>
      <c r="F10" s="3" t="s">
        <v>1038</v>
      </c>
      <c r="G10" s="1" t="s">
        <v>1005</v>
      </c>
      <c r="H10" s="1" t="s">
        <v>1039</v>
      </c>
      <c r="I10" s="1" t="s">
        <v>1040</v>
      </c>
      <c r="J10" s="1" t="s">
        <v>1041</v>
      </c>
      <c r="K10" s="9">
        <v>364278</v>
      </c>
      <c r="L10" s="9">
        <v>666</v>
      </c>
      <c r="M10" s="1" t="s">
        <v>489</v>
      </c>
      <c r="N10" s="1" t="s">
        <v>1009</v>
      </c>
      <c r="O10" s="1" t="s">
        <v>1042</v>
      </c>
      <c r="P10" s="1" t="s">
        <v>988</v>
      </c>
      <c r="Q10" s="1" t="s">
        <v>989</v>
      </c>
    </row>
    <row r="11" spans="1:17" ht="24" customHeight="1">
      <c r="A11" s="1" t="s">
        <v>1043</v>
      </c>
      <c r="B11" s="1" t="s">
        <v>207</v>
      </c>
      <c r="C11" s="1" t="s">
        <v>1044</v>
      </c>
      <c r="D11" s="1" t="s">
        <v>416</v>
      </c>
      <c r="E11" s="1" t="s">
        <v>980</v>
      </c>
      <c r="F11" s="3" t="s">
        <v>1045</v>
      </c>
      <c r="G11" s="1" t="s">
        <v>982</v>
      </c>
      <c r="H11" s="1" t="s">
        <v>1046</v>
      </c>
      <c r="I11" s="1" t="s">
        <v>1047</v>
      </c>
      <c r="J11" s="1" t="s">
        <v>1048</v>
      </c>
      <c r="K11" s="9">
        <v>323481</v>
      </c>
      <c r="L11" s="9">
        <v>633</v>
      </c>
      <c r="M11" s="1" t="s">
        <v>489</v>
      </c>
      <c r="N11" s="1" t="s">
        <v>986</v>
      </c>
      <c r="O11" s="1" t="s">
        <v>1049</v>
      </c>
      <c r="P11" s="1" t="s">
        <v>988</v>
      </c>
      <c r="Q11" s="1" t="s">
        <v>989</v>
      </c>
    </row>
    <row r="12" spans="1:17" ht="24" customHeight="1">
      <c r="A12" s="1" t="s">
        <v>1050</v>
      </c>
      <c r="B12" s="1" t="s">
        <v>207</v>
      </c>
      <c r="C12" s="1" t="s">
        <v>1051</v>
      </c>
      <c r="D12" s="1" t="s">
        <v>431</v>
      </c>
      <c r="E12" s="1" t="s">
        <v>1004</v>
      </c>
      <c r="F12" s="3" t="s">
        <v>1045</v>
      </c>
      <c r="G12" s="1" t="s">
        <v>1005</v>
      </c>
      <c r="H12" s="1" t="s">
        <v>1052</v>
      </c>
      <c r="I12" s="1" t="s">
        <v>1053</v>
      </c>
      <c r="J12" s="1" t="s">
        <v>1054</v>
      </c>
      <c r="K12" s="9">
        <v>349421</v>
      </c>
      <c r="L12" s="9">
        <v>657</v>
      </c>
      <c r="M12" s="1" t="s">
        <v>489</v>
      </c>
      <c r="N12" s="1" t="s">
        <v>1009</v>
      </c>
      <c r="O12" s="1" t="s">
        <v>1055</v>
      </c>
      <c r="P12" s="1" t="s">
        <v>988</v>
      </c>
      <c r="Q12" s="1" t="s">
        <v>989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2"/>
  <sheetViews>
    <sheetView showGridLines="0" zoomScaleNormal="100" workbookViewId="0"/>
  </sheetViews>
  <sheetFormatPr defaultColWidth="8.7109375" defaultRowHeight="15"/>
  <cols>
    <col min="1" max="1" width="10" customWidth="1"/>
    <col min="2" max="3" width="14" customWidth="1"/>
    <col min="4" max="4" width="18" customWidth="1"/>
    <col min="5" max="5" width="36" customWidth="1"/>
    <col min="6" max="6" width="14" customWidth="1"/>
    <col min="7" max="8" width="16" customWidth="1"/>
    <col min="9" max="10" width="20" customWidth="1"/>
    <col min="11" max="11" width="16" customWidth="1"/>
    <col min="12" max="14" width="18" customWidth="1"/>
    <col min="15" max="15" width="16" customWidth="1"/>
    <col min="16" max="16" width="56" customWidth="1"/>
    <col min="17" max="17" width="68" customWidth="1"/>
    <col min="18" max="18" width="12" customWidth="1"/>
  </cols>
  <sheetData>
    <row r="1" spans="1:18" ht="15" customHeight="1">
      <c r="A1" s="8" t="s">
        <v>887</v>
      </c>
      <c r="B1" s="8" t="s">
        <v>974</v>
      </c>
      <c r="C1" s="8" t="s">
        <v>972</v>
      </c>
      <c r="D1" s="8" t="s">
        <v>973</v>
      </c>
      <c r="E1" s="8" t="s">
        <v>1056</v>
      </c>
      <c r="F1" s="8" t="s">
        <v>1057</v>
      </c>
      <c r="G1" s="8" t="s">
        <v>502</v>
      </c>
      <c r="H1" s="8" t="s">
        <v>513</v>
      </c>
      <c r="I1" s="8" t="s">
        <v>488</v>
      </c>
      <c r="J1" s="8" t="s">
        <v>1058</v>
      </c>
      <c r="K1" s="8" t="s">
        <v>1059</v>
      </c>
      <c r="L1" s="8" t="s">
        <v>1060</v>
      </c>
      <c r="M1" s="8" t="s">
        <v>1061</v>
      </c>
      <c r="N1" s="8" t="s">
        <v>1062</v>
      </c>
      <c r="O1" s="8" t="s">
        <v>1063</v>
      </c>
      <c r="P1" s="8" t="s">
        <v>892</v>
      </c>
      <c r="Q1" s="8" t="s">
        <v>893</v>
      </c>
      <c r="R1" s="8" t="s">
        <v>5</v>
      </c>
    </row>
    <row r="2" spans="1:18" ht="15" customHeight="1">
      <c r="A2" s="1" t="s">
        <v>978</v>
      </c>
      <c r="B2" s="3" t="s">
        <v>981</v>
      </c>
      <c r="C2" s="1" t="s">
        <v>416</v>
      </c>
      <c r="D2" s="1" t="s">
        <v>980</v>
      </c>
      <c r="E2" s="1" t="s">
        <v>986</v>
      </c>
      <c r="F2" s="7">
        <v>0.12</v>
      </c>
      <c r="G2" s="7">
        <v>9.6000000000000002E-2</v>
      </c>
      <c r="H2" s="7">
        <v>0</v>
      </c>
      <c r="I2" s="7">
        <v>0</v>
      </c>
      <c r="J2" s="7">
        <v>0</v>
      </c>
      <c r="K2" s="3" t="s">
        <v>1064</v>
      </c>
      <c r="L2" s="7">
        <v>0</v>
      </c>
      <c r="M2" s="7">
        <v>0</v>
      </c>
      <c r="N2" s="7">
        <v>0</v>
      </c>
      <c r="O2" s="3" t="s">
        <v>1065</v>
      </c>
      <c r="P2" s="1" t="s">
        <v>984</v>
      </c>
      <c r="Q2" s="1" t="s">
        <v>985</v>
      </c>
      <c r="R2" s="1" t="s">
        <v>794</v>
      </c>
    </row>
    <row r="3" spans="1:18" ht="15" customHeight="1">
      <c r="A3" s="1" t="s">
        <v>990</v>
      </c>
      <c r="B3" s="3" t="s">
        <v>981</v>
      </c>
      <c r="C3" s="1" t="s">
        <v>416</v>
      </c>
      <c r="D3" s="1" t="s">
        <v>991</v>
      </c>
      <c r="E3" s="1" t="s">
        <v>996</v>
      </c>
      <c r="F3" s="7">
        <v>0.12</v>
      </c>
      <c r="G3" s="7">
        <v>9.6000000000000002E-2</v>
      </c>
      <c r="H3" s="7">
        <v>0</v>
      </c>
      <c r="I3" s="7">
        <v>0</v>
      </c>
      <c r="J3" s="7">
        <v>0</v>
      </c>
      <c r="K3" s="3" t="s">
        <v>1064</v>
      </c>
      <c r="L3" s="7">
        <v>0</v>
      </c>
      <c r="M3" s="7">
        <v>0</v>
      </c>
      <c r="N3" s="7">
        <v>0</v>
      </c>
      <c r="O3" s="3" t="s">
        <v>1065</v>
      </c>
      <c r="P3" s="1" t="s">
        <v>994</v>
      </c>
      <c r="Q3" s="1" t="s">
        <v>995</v>
      </c>
      <c r="R3" s="1" t="s">
        <v>794</v>
      </c>
    </row>
    <row r="4" spans="1:18" ht="15" customHeight="1">
      <c r="A4" s="1" t="s">
        <v>494</v>
      </c>
      <c r="B4" s="3" t="s">
        <v>981</v>
      </c>
      <c r="C4" s="1" t="s">
        <v>425</v>
      </c>
      <c r="D4" s="1" t="s">
        <v>997</v>
      </c>
      <c r="E4" s="1" t="s">
        <v>1002</v>
      </c>
      <c r="F4" s="7">
        <v>0.12</v>
      </c>
      <c r="G4" s="7">
        <v>9.6000000000000002E-2</v>
      </c>
      <c r="H4" s="7">
        <v>0</v>
      </c>
      <c r="I4" s="7">
        <v>0</v>
      </c>
      <c r="J4" s="7">
        <v>0</v>
      </c>
      <c r="K4" s="3" t="s">
        <v>1064</v>
      </c>
      <c r="L4" s="7">
        <v>0</v>
      </c>
      <c r="M4" s="7">
        <v>0</v>
      </c>
      <c r="N4" s="7">
        <v>0</v>
      </c>
      <c r="O4" s="3" t="s">
        <v>1065</v>
      </c>
      <c r="P4" s="1" t="s">
        <v>1000</v>
      </c>
      <c r="Q4" s="1" t="s">
        <v>1001</v>
      </c>
      <c r="R4" s="1" t="s">
        <v>794</v>
      </c>
    </row>
    <row r="5" spans="1:18" ht="15" customHeight="1">
      <c r="A5" s="1" t="s">
        <v>1003</v>
      </c>
      <c r="B5" s="3" t="s">
        <v>981</v>
      </c>
      <c r="C5" s="1" t="s">
        <v>431</v>
      </c>
      <c r="D5" s="1" t="s">
        <v>1004</v>
      </c>
      <c r="E5" s="1" t="s">
        <v>1009</v>
      </c>
      <c r="F5" s="7">
        <v>0.12</v>
      </c>
      <c r="G5" s="7">
        <v>9.6000000000000002E-2</v>
      </c>
      <c r="H5" s="7">
        <v>0</v>
      </c>
      <c r="I5" s="7">
        <v>0</v>
      </c>
      <c r="J5" s="7">
        <v>0</v>
      </c>
      <c r="K5" s="3" t="s">
        <v>1064</v>
      </c>
      <c r="L5" s="7">
        <v>0</v>
      </c>
      <c r="M5" s="7">
        <v>0</v>
      </c>
      <c r="N5" s="7">
        <v>1.4999999999999999E-2</v>
      </c>
      <c r="O5" s="3" t="s">
        <v>1066</v>
      </c>
      <c r="P5" s="1" t="s">
        <v>1007</v>
      </c>
      <c r="Q5" s="1" t="s">
        <v>1008</v>
      </c>
      <c r="R5" s="1" t="s">
        <v>794</v>
      </c>
    </row>
    <row r="6" spans="1:18" ht="15" customHeight="1">
      <c r="A6" s="1" t="s">
        <v>1011</v>
      </c>
      <c r="B6" s="3" t="s">
        <v>981</v>
      </c>
      <c r="C6" s="1" t="s">
        <v>437</v>
      </c>
      <c r="D6" s="1" t="s">
        <v>1012</v>
      </c>
      <c r="E6" s="1" t="s">
        <v>1017</v>
      </c>
      <c r="F6" s="7">
        <v>0.12</v>
      </c>
      <c r="G6" s="7">
        <v>9.6000000000000002E-2</v>
      </c>
      <c r="H6" s="7">
        <v>0</v>
      </c>
      <c r="I6" s="7">
        <v>0</v>
      </c>
      <c r="J6" s="7">
        <v>0</v>
      </c>
      <c r="K6" s="3" t="s">
        <v>1064</v>
      </c>
      <c r="L6" s="7">
        <v>0</v>
      </c>
      <c r="M6" s="7">
        <v>0</v>
      </c>
      <c r="N6" s="7">
        <v>0</v>
      </c>
      <c r="O6" s="3" t="s">
        <v>1065</v>
      </c>
      <c r="P6" s="1" t="s">
        <v>1015</v>
      </c>
      <c r="Q6" s="1" t="s">
        <v>1016</v>
      </c>
      <c r="R6" s="1" t="s">
        <v>794</v>
      </c>
    </row>
    <row r="7" spans="1:18" ht="15" customHeight="1">
      <c r="A7" s="1" t="s">
        <v>1018</v>
      </c>
      <c r="B7" s="3" t="s">
        <v>981</v>
      </c>
      <c r="C7" s="1" t="s">
        <v>437</v>
      </c>
      <c r="D7" s="1" t="s">
        <v>1019</v>
      </c>
      <c r="E7" s="1" t="s">
        <v>996</v>
      </c>
      <c r="F7" s="7">
        <v>0.12</v>
      </c>
      <c r="G7" s="7">
        <v>9.6000000000000002E-2</v>
      </c>
      <c r="H7" s="7">
        <v>0</v>
      </c>
      <c r="I7" s="7">
        <v>0</v>
      </c>
      <c r="J7" s="7">
        <v>0</v>
      </c>
      <c r="K7" s="3" t="s">
        <v>1064</v>
      </c>
      <c r="L7" s="7">
        <v>0</v>
      </c>
      <c r="M7" s="7">
        <v>0</v>
      </c>
      <c r="N7" s="7">
        <v>0</v>
      </c>
      <c r="O7" s="3" t="s">
        <v>1065</v>
      </c>
      <c r="P7" s="1" t="s">
        <v>1022</v>
      </c>
      <c r="Q7" s="1" t="s">
        <v>1023</v>
      </c>
      <c r="R7" s="1" t="s">
        <v>794</v>
      </c>
    </row>
    <row r="8" spans="1:18" ht="15" customHeight="1">
      <c r="A8" s="1" t="s">
        <v>1024</v>
      </c>
      <c r="B8" s="3" t="s">
        <v>981</v>
      </c>
      <c r="C8" s="1" t="s">
        <v>442</v>
      </c>
      <c r="D8" s="1" t="s">
        <v>1025</v>
      </c>
      <c r="E8" s="1" t="s">
        <v>1017</v>
      </c>
      <c r="F8" s="7">
        <v>0.12</v>
      </c>
      <c r="G8" s="7">
        <v>9.6000000000000002E-2</v>
      </c>
      <c r="H8" s="7">
        <v>0</v>
      </c>
      <c r="I8" s="7">
        <v>0</v>
      </c>
      <c r="J8" s="7">
        <v>0</v>
      </c>
      <c r="K8" s="3" t="s">
        <v>1064</v>
      </c>
      <c r="L8" s="7">
        <v>0</v>
      </c>
      <c r="M8" s="7">
        <v>0</v>
      </c>
      <c r="N8" s="7">
        <v>0</v>
      </c>
      <c r="O8" s="3" t="s">
        <v>1065</v>
      </c>
      <c r="P8" s="1" t="s">
        <v>1028</v>
      </c>
      <c r="Q8" s="1" t="s">
        <v>1029</v>
      </c>
      <c r="R8" s="1" t="s">
        <v>794</v>
      </c>
    </row>
    <row r="9" spans="1:18" ht="15" customHeight="1">
      <c r="A9" s="1" t="s">
        <v>1030</v>
      </c>
      <c r="B9" s="3" t="s">
        <v>981</v>
      </c>
      <c r="C9" s="1" t="s">
        <v>442</v>
      </c>
      <c r="D9" s="1" t="s">
        <v>1031</v>
      </c>
      <c r="E9" s="1" t="s">
        <v>996</v>
      </c>
      <c r="F9" s="7">
        <v>0.12</v>
      </c>
      <c r="G9" s="7">
        <v>9.6000000000000002E-2</v>
      </c>
      <c r="H9" s="7">
        <v>0</v>
      </c>
      <c r="I9" s="7">
        <v>0</v>
      </c>
      <c r="J9" s="7">
        <v>0</v>
      </c>
      <c r="K9" s="3" t="s">
        <v>1064</v>
      </c>
      <c r="L9" s="7">
        <v>0</v>
      </c>
      <c r="M9" s="7">
        <v>0</v>
      </c>
      <c r="N9" s="7">
        <v>0</v>
      </c>
      <c r="O9" s="3" t="s">
        <v>1065</v>
      </c>
      <c r="P9" s="1" t="s">
        <v>1034</v>
      </c>
      <c r="Q9" s="1" t="s">
        <v>1035</v>
      </c>
      <c r="R9" s="1" t="s">
        <v>794</v>
      </c>
    </row>
    <row r="10" spans="1:18" ht="15" customHeight="1">
      <c r="A10" s="1" t="s">
        <v>1036</v>
      </c>
      <c r="B10" s="3" t="s">
        <v>1038</v>
      </c>
      <c r="C10" s="1" t="s">
        <v>431</v>
      </c>
      <c r="D10" s="1" t="s">
        <v>1004</v>
      </c>
      <c r="E10" s="1" t="s">
        <v>1009</v>
      </c>
      <c r="F10" s="7">
        <v>0.12</v>
      </c>
      <c r="G10" s="7">
        <v>9.6000000000000002E-2</v>
      </c>
      <c r="H10" s="7">
        <v>0</v>
      </c>
      <c r="I10" s="7">
        <v>0</v>
      </c>
      <c r="J10" s="7"/>
      <c r="K10" s="3"/>
      <c r="L10" s="7">
        <v>0</v>
      </c>
      <c r="M10" s="7">
        <v>0</v>
      </c>
      <c r="N10" s="7">
        <v>0.03</v>
      </c>
      <c r="O10" s="3" t="s">
        <v>1065</v>
      </c>
      <c r="P10" s="1" t="s">
        <v>1040</v>
      </c>
      <c r="Q10" s="1" t="s">
        <v>1041</v>
      </c>
      <c r="R10" s="1" t="s">
        <v>794</v>
      </c>
    </row>
    <row r="11" spans="1:18" ht="15" customHeight="1">
      <c r="A11" s="1" t="s">
        <v>1043</v>
      </c>
      <c r="B11" s="3" t="s">
        <v>1045</v>
      </c>
      <c r="C11" s="1" t="s">
        <v>416</v>
      </c>
      <c r="D11" s="1" t="s">
        <v>980</v>
      </c>
      <c r="E11" s="1" t="s">
        <v>986</v>
      </c>
      <c r="F11" s="7">
        <v>0.12</v>
      </c>
      <c r="G11" s="7">
        <v>9.6000000000000002E-2</v>
      </c>
      <c r="H11" s="7">
        <v>0</v>
      </c>
      <c r="I11" s="7">
        <v>0</v>
      </c>
      <c r="J11" s="7"/>
      <c r="K11" s="3"/>
      <c r="L11" s="7">
        <v>0</v>
      </c>
      <c r="M11" s="7">
        <v>0</v>
      </c>
      <c r="N11" s="7">
        <v>0</v>
      </c>
      <c r="O11" s="3" t="s">
        <v>1065</v>
      </c>
      <c r="P11" s="1" t="s">
        <v>1047</v>
      </c>
      <c r="Q11" s="1" t="s">
        <v>1048</v>
      </c>
      <c r="R11" s="1" t="s">
        <v>794</v>
      </c>
    </row>
    <row r="12" spans="1:18" ht="15" customHeight="1">
      <c r="A12" s="1" t="s">
        <v>1050</v>
      </c>
      <c r="B12" s="3" t="s">
        <v>1045</v>
      </c>
      <c r="C12" s="1" t="s">
        <v>431</v>
      </c>
      <c r="D12" s="1" t="s">
        <v>1004</v>
      </c>
      <c r="E12" s="1" t="s">
        <v>1009</v>
      </c>
      <c r="F12" s="7">
        <v>0.12</v>
      </c>
      <c r="G12" s="7">
        <v>9.6000000000000002E-2</v>
      </c>
      <c r="H12" s="7">
        <v>0</v>
      </c>
      <c r="I12" s="7">
        <v>0</v>
      </c>
      <c r="J12" s="7"/>
      <c r="K12" s="3"/>
      <c r="L12" s="7">
        <v>0</v>
      </c>
      <c r="M12" s="7">
        <v>0</v>
      </c>
      <c r="N12" s="7">
        <v>1.4999999999999999E-2</v>
      </c>
      <c r="O12" s="3" t="s">
        <v>1066</v>
      </c>
      <c r="P12" s="1" t="s">
        <v>1053</v>
      </c>
      <c r="Q12" s="1" t="s">
        <v>1054</v>
      </c>
      <c r="R12" s="1" t="s">
        <v>794</v>
      </c>
    </row>
  </sheetData>
  <conditionalFormatting sqref="R2:R12">
    <cfRule type="expression" dxfId="2" priority="2">
      <formula>$R2="Pass"</formula>
    </cfRule>
    <cfRule type="expression" dxfId="1" priority="3">
      <formula>$R2="Conditional"</formula>
    </cfRule>
    <cfRule type="expression" dxfId="0" priority="4">
      <formula>$R2="Fail"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2026-08-27T13:05:13Z</dcterms:created>
  <dcterms:modified xsi:type="dcterms:W3CDTF">2026-08-31T00:50:43Z</dcterms:modified>
  <cp:category/>
  <cp:contentStatus/>
</cp:coreProperties>
</file>